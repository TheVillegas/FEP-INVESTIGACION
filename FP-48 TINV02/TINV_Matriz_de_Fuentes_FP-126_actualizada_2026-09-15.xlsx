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135312455b4809" /></Relationships>
</file>

<file path=xl/workbook.xml><?xml version="1.0" encoding="utf-8"?>
<x:workbook xmlns:x="http://schemas.openxmlformats.org/spreadsheetml/2006/main">
  <x:sheets>
    <x:sheet xmlns:r="http://schemas.openxmlformats.org/officeDocument/2006/relationships" name="Pilares e instrucciones" sheetId="1" r:id="R6b03467af85446f9"/>
    <x:sheet xmlns:r="http://schemas.openxmlformats.org/officeDocument/2006/relationships" name="Matriz de Fuentes" sheetId="2" r:id="Ref34ddd0c4d24d3b"/>
    <x:sheet xmlns:r="http://schemas.openxmlformats.org/officeDocument/2006/relationships" name="Tablero" sheetId="3" r:id="Ra6b43875244b4b21"/>
    <x:sheet xmlns:r="http://schemas.openxmlformats.org/officeDocument/2006/relationships" name="Busquedas ejecutadas" sheetId="4" r:id="R4182998738634ce0"/>
    <x:sheet xmlns:r="http://schemas.openxmlformats.org/officeDocument/2006/relationships" name="Matriz de precios" sheetId="5" r:id="R89a975d6989c485c"/>
    <x:sheet xmlns:r="http://schemas.openxmlformats.org/officeDocument/2006/relationships" name="Alternativas" sheetId="6" r:id="Rae410fccf4214b79"/>
    <x:sheet xmlns:r="http://schemas.openxmlformats.org/officeDocument/2006/relationships" name="Descartes" sheetId="7" r:id="R8797abfeadd249ea"/>
    <x:sheet xmlns:r="http://schemas.openxmlformats.org/officeDocument/2006/relationships" name="Control FP-126" sheetId="8" r:id="Rb3b7d1e5a21f44d5"/>
  </x:sheets>
</x:workbook>
</file>

<file path=xl/sharedStrings.xml><?xml version="1.0" encoding="utf-8"?>
<x:sst xmlns:x="http://schemas.openxmlformats.org/spreadsheetml/2006/main">
  <x:si>
    <x:t xml:space="preserve">Los 3 pilares y como usar este archivo</x:t>
  </x:si>
  <x:si>
    <x:t xml:space="preserve">Definidos por el equipo el 28-08-2026 (FP-68). Fuente de la exigencia de fuentes: FEP00.1.26 - Pautas del Curso, p. 32.</x:t>
  </x:si>
  <x:si>
    <x:t xml:space="preserve">Pilar y pregunta</x:t>
  </x:si>
  <x:si>
    <x:t xml:space="preserve">Terminos para bases academicas</x:t>
  </x:si>
  <x:si>
    <x:t xml:space="preserve">Terminos para fuentes tecnicas</x:t>
  </x:si>
  <x:si>
    <x:t xml:space="preserve">P1</x:t>
  </x:si>
  <x:si>
    <x:t xml:space="preserve">Medicion, atribucion y costo unitario
(Cuanto cuesta, quien lo consume y como se mide la eficiencia economica del gasto)</x:t>
  </x:si>
  <x:si>
    <x:t xml:space="preserve">cost allocation, chargeback, showback, shared cost allocation, cost sharing, unit economics, cost transparency</x:t>
  </x:si>
  <x:si>
    <x:t xml:space="preserve">tagging strategies, cost visibility, unit cost metrics</x:t>
  </x:si>
  <x:si>
    <x:t xml:space="preserve">P2</x:t>
  </x:si>
  <x:si>
    <x:t xml:space="preserve">Modelos de precios, contratos y optimizacion de tarifas
(Que esquemas de cobro existen y que trade-offs de flexibilidad implican)</x:t>
  </x:si>
  <x:si>
    <x:t xml:space="preserve">cloud pricing models, reserved instances, spot pricing, capacity provisioning, overprovisioning, pricing under uncertainty</x:t>
  </x:si>
  <x:si>
    <x:t xml:space="preserve">savings plans, commitment discounts, rate optimization, rightsizing</x:t>
  </x:si>
  <x:si>
    <x:t xml:space="preserve">P3</x:t>
  </x:si>
  <x:si>
    <x:t xml:space="preserve">Evaluacion de inversiones, valor de negocio y viabilidad
(Justifica el negocio la inversion frente a on-premise, hibrido o repatriacion)</x:t>
  </x:si>
  <x:si>
    <x:t xml:space="preserve">total cost of ownership, cost-benefit analysis, net present value, cloud migration economics, cloud adoption decision</x:t>
  </x:si>
  <x:si>
    <x:t xml:space="preserve">cloud ROI, cloud repatriation</x:t>
  </x:si>
  <x:si>
    <x:t xml:space="preserve">Como se usa</x:t>
  </x:si>
  <x:si>
    <x:t xml:space="preserve">1</x:t>
  </x:si>
  <x:si>
    <x:t xml:space="preserve">Antes de buscar, anota la cadena en la hoja 'Busquedas ejecutadas'. Asi nadie repite la misma query.</x:t>
  </x:si>
  <x:si>
    <x:t xml:space="preserve">2</x:t>
  </x:si>
  <x:si>
    <x:t xml:space="preserve">Carga una fila por fuente en 'Matriz de Fuentes'. La columna ID se rellena sola al escribir el titulo.</x:t>
  </x:si>
  <x:si>
    <x:t xml:space="preserve">3</x:t>
  </x:si>
  <x:si>
    <x:t xml:space="preserve">Cada fuente pertenece a UN solo pilar. Si sirve para dos, el equipo elige el principal y lo explica en Comentarios; 'Transversal' solo cuando de verdad no se puede decidir.</x:t>
  </x:si>
  <x:si>
    <x:t xml:space="preserve">4</x:t>
  </x:si>
  <x:si>
    <x:t xml:space="preserve">Pega siempre el DOI o el link en la columna I. Es la clave con que el archivo detecta duplicados: si dos personas cargan el mismo DOI en pilares distintos, la fila se pinta ROJA.</x:t>
  </x:si>
  <x:si>
    <x:t xml:space="preserve">5</x:t>
  </x:si>
  <x:si>
    <x:t xml:space="preserve">Marca 'Tipo de fuente'. Solo las marcadas Academica cuentan para el minimo de 10 que exige la pauta.</x:t>
  </x:si>
  <x:si>
    <x:t xml:space="preserve">6</x:t>
  </x:si>
  <x:si>
    <x:t xml:space="preserve">Asigna la seccion del informe donde la vas a usar. Eso es lo que mantiene la trazabilidad fuente -&gt; parrafo.</x:t>
  </x:si>
  <x:si>
    <x:t xml:space="preserve">7</x:t>
  </x:si>
  <x:si>
    <x:t xml:space="preserve">Revisa la hoja 'Tablero' antes de cerrar FP-48 y otra vez antes de redactar. Si algo esta en rojo, no esta listo.</x:t>
  </x:si>
  <x:si>
    <x:t xml:space="preserve">Codigo de colores</x:t>
  </x:si>
  <x:si>
    <x:t xml:space="preserve">Rojo</x:t>
  </x:si>
  <x:si>
    <x:t xml:space="preserve">Matriz de Fuentes: la misma fuente quedo asignada a dos pilares distintos. Hay que resolverlo, porque rompe el criterio de no solapamiento. Lo decide quien la cargo primero, conversandolo con el otro.</x:t>
  </x:si>
  <x:si>
    <x:t xml:space="preserve">Naranjo</x:t>
  </x:si>
  <x:si>
    <x:t xml:space="preserve">Matriz de Fuentes: la misma fuente esta cargada dos veces dentro del mismo pilar. Borrar la fila repetida.</x:t>
  </x:si>
  <x:si>
    <x:t xml:space="preserve">Verde</x:t>
  </x:si>
  <x:si>
    <x:t xml:space="preserve">Matriz de Fuentes: fuente ya citada en el informe. Debe aparecer en la bibliografia final que valida FP-53.</x:t>
  </x:si>
  <x:si>
    <x:t xml:space="preserve">Gris</x:t>
  </x:si>
  <x:si>
    <x:t xml:space="preserve">Columnas calculadas (A y M). Nadie escribe ahi: se rellenan solas.</x:t>
  </x:si>
  <x:si>
    <x:t xml:space="preserve">Amarillo</x:t>
  </x:si>
  <x:si>
    <x:t xml:space="preserve">Busquedas ejecutadas: campos que se completan despues de correr la consulta (buscador, fecha, resultados, utiles, quien).</x:t>
  </x:si>
  <x:si>
    <x:t xml:space="preserve">Blanco</x:t>
  </x:si>
  <x:si>
    <x:t xml:space="preserve">Todo lo demas se llena a mano, por cualquier integrante del equipo.</x:t>
  </x:si>
  <x:si>
    <x:t xml:space="preserve">Trabajo en equipo</x:t>
  </x:si>
  <x:si>
    <x:t xml:space="preserve">●</x:t>
  </x:si>
  <x:si>
    <x:t xml:space="preserve">Antes de cargar una fuente, filtrar por DOI para ver si alguien ya la subio.</x:t>
  </x:si>
  <x:si>
    <x:t xml:space="preserve">La columna 'Quien lo encontro' tiene lista desplegable con los tres nombres. Usarla siempre: si aparece un solapamiento, hay que saber a quien preguntarle.</x:t>
  </x:si>
  <x:si>
    <x:t xml:space="preserve">Al subirlo a Drive, convertirlo a Google Sheets. Si se deja como .xlsx, cada uno lo descarga y lo vuelve a subir, y el ultimo en guardar borra el trabajo de los otros dos.</x:t>
  </x:si>
  <x:si>
    <x:t xml:space="preserve">Tras la conversion, revisar que se hayan mantenido las listas desplegables y los colores automaticos. Google suele conservarlos, pero conviene confirmarlo antes de repartirse el trabajo.</x:t>
  </x:si>
  <x:si>
    <x:t xml:space="preserve">Un solapamiento en rojo no se borra: se conversa y se decide a que pilar pertenece. Ese criterio hay que poder defenderlo en la presentacion.</x:t>
  </x:si>
  <x:si>
    <x:t xml:space="preserve">Advertencias</x:t>
  </x:si>
  <x:si>
    <x:t xml:space="preserve">!</x:t>
  </x:si>
  <x:si>
    <x:t xml:space="preserve">Ancla siempre la consulta a la nube: "cloud comput*" AND (...). Sin ancla, chargeback devuelve devoluciones de tarjetas de credito y tagging devuelve etiquetado de imagenes.</x:t>
  </x:si>
  <x:si>
    <x:t xml:space="preserve">Los terminos de la columna "fuentes tecnicas" son en varios casos nombres de producto (savings plans es de AWS) y no aparecen en journals. Sirven, pero para la mitad tecnica de la bibliografia.</x:t>
  </x:si>
  <x:si>
    <x:t xml:space="preserve">La pauta advierte que el analisis no puede ser copiado y que se chequeara (pp. 25 y 32). Esta matriz sirve para respaldar el analisis propio, no para reemplazarlo.</x:t>
  </x:si>
  <x:si>
    <x:t xml:space="preserve">Que un termino rinda o no en bases academicas es criterio, no dato verificado. Si una cadena da menos de 4 fuentes utiles, se ajusta el cluster.</x:t>
  </x:si>
  <x:si>
    <x:t xml:space="preserve">Control de IA y autoria humana</x:t>
  </x:si>
  <x:si>
    <x:t xml:space="preserve">La IA puede localizar candidatos y dar formato, pero cada enlace, cifra y referencia debe validarse en el original y fecharse.</x:t>
  </x:si>
  <x:si>
    <x:t xml:space="preserve">Las comparaciones, la justificacion de criterios, la discusion critica, el aporte propio, las conclusiones y recomendaciones requieren autoria y revision humana.</x:t>
  </x:si>
  <x:si>
    <x:t xml:space="preserve">Esta matriz respalda FP-48; no reemplaza el TCO, la sensibilidad, la redaccion del informe ni las preguntas de tareas posteriores.</x:t>
  </x:si>
  <x:si>
    <x:t xml:space="preserve">TINV TI-06 FinOps — Matriz de Fuentes</x:t>
  </x:si>
  <x:si>
    <x:t xml:space="preserve">Una fila por fuente. Las columnas A (ID) y M (alerta de solapamiento) se calculan solas: no escribir sobre ellas. Regla del equipo: cada fuente pertenece a UN solo pilar. Si dos integrantes cargan el mismo DOI en pilares distintos, la fila se pinta roja.</x:t>
  </x:si>
  <x:si>
    <x:t xml:space="preserve">ID</x:t>
  </x:si>
  <x:si>
    <x:t xml:space="preserve">Buscador</x:t>
  </x:si>
  <x:si>
    <x:t xml:space="preserve">Palabras de Busqueda</x:t>
  </x:si>
  <x:si>
    <x:t xml:space="preserve">Anio</x:t>
  </x:si>
  <x:si>
    <x:t xml:space="preserve">Autores</x:t>
  </x:si>
  <x:si>
    <x:t xml:space="preserve">Titulo</x:t>
  </x:si>
  <x:si>
    <x:t xml:space="preserve">Abstract</x:t>
  </x:si>
  <x:si>
    <x:t xml:space="preserve">Keyword</x:t>
  </x:si>
  <x:si>
    <x:t xml:space="preserve">Publicacion / Link - DOI</x:t>
  </x:si>
  <x:si>
    <x:t xml:space="preserve">Tipo de fuente</x:t>
  </x:si>
  <x:si>
    <x:t xml:space="preserve">A que pilar pertenece</x:t>
  </x:si>
  <x:si>
    <x:t xml:space="preserve">Seccion del informe</x:t>
  </x:si>
  <x:si>
    <x:t xml:space="preserve">Alerta de solapamiento</x:t>
  </x:si>
  <x:si>
    <x:t xml:space="preserve">Quien lo encontro</x:t>
  </x:si>
  <x:si>
    <x:t xml:space="preserve">Estado</x:t>
  </x:si>
  <x:si>
    <x:t xml:space="preserve">Comentarios</x:t>
  </x:si>
  <x:si>
    <x:t xml:space="preserve">Se encuentra en carpeta</x:t>
  </x:si>
  <x:si>
    <x:t xml:space="preserve">EJEMPLO</x:t>
  </x:si>
  <x:si>
    <x:t xml:space="preserve">Web of Science</x:t>
  </x:si>
  <x:si>
    <x:t xml:space="preserve">("cloud comput*" AND ("cost allocation" OR chargeback))</x:t>
  </x:si>
  <x:si>
    <x:t xml:space="preserve">Apellido, A., y Apellido, B.</x:t>
  </x:si>
  <x:si>
    <x:t xml:space="preserve">Titulo completo del articulo tal como aparece</x:t>
  </x:si>
  <x:si>
    <x:t xml:space="preserve">Pegar aqui el abstract, o al menos 2-3 lineas con la idea central</x:t>
  </x:si>
  <x:si>
    <x:t xml:space="preserve">cloud computing; cost allocation; chargeback</x:t>
  </x:si>
  <x:si>
    <x:t xml:space="preserve">Journal of X, 12(3), 45-67. https://doi.org/10.xxxx/yyyy</x:t>
  </x:si>
  <x:si>
    <x:t xml:space="preserve">Academica</x:t>
  </x:si>
  <x:si>
    <x:t xml:space="preserve">3. Marco teorico</x:t>
  </x:si>
  <x:si>
    <x:t xml:space="preserve">Danilo</x:t>
  </x:si>
  <x:si>
    <x:t xml:space="preserve">Leido</x:t>
  </x:si>
  <x:si>
    <x:t xml:space="preserve">Sirve para justificar la diferencia entre showback y chargeback</x:t>
  </x:si>
  <x:si>
    <x:t xml:space="preserve">Si</x:t>
  </x:si>
  <x:si>
    <x:t xml:space="preserve">Sitio oficial</x:t>
  </x:si>
  <x:si>
    <x:t xml:space="preserve">FinOps Framework Inform Optimize Operate roles engineering finance procurement</x:t>
  </x:si>
  <x:si>
    <x:t xml:space="preserve">FinOps Foundation</x:t>
  </x:si>
  <x:si>
    <x:t xml:space="preserve">FinOps Framework</x:t>
  </x:si>
  <x:si>
    <x:t xml:space="preserve">Define el marco FinOps, sus dominios, capacidades, personas y ciclos de trabajo para gestionar el valor empresarial de la nube.</x:t>
  </x:si>
  <x:si>
    <x:t xml:space="preserve">FinOps Framework; Inform; Optimize; Operate; roles</x:t>
  </x:si>
  <x:si>
    <x:t xml:space="preserve">https://www.finops.org/framework/</x:t>
  </x:si>
  <x:si>
    <x:t xml:space="preserve">Oficial/estandar</x:t>
  </x:si>
  <x:si>
    <x:t xml:space="preserve">Matias Romero</x:t>
  </x:si>
  <x:si>
    <x:t xml:space="preserve">Verificada para matriz</x:t>
  </x:si>
  <x:si>
    <x:t xml:space="preserve">Autoridad: organismo rector de FinOps. Metodo: marco mantenido por la comunidad profesional. Sesgo/limite: fuente institucional; describe buenas practicas y no demuestra por si sola resultados economicos. Original verificado el 2026-09-12.</x:t>
  </x:si>
  <x:si>
    <x:t xml:space="preserve">No</x:t>
  </x:si>
  <x:si>
    <x:t xml:space="preserve">FinOps allocation tagging showback chargeback shared costs</x:t>
  </x:si>
  <x:si>
    <x:t xml:space="preserve">Allocation</x:t>
  </x:si>
  <x:si>
    <x:t xml:space="preserve">Describe asignacion de costos mediante cuentas, etiquetas y categorias; diferencia showback y chargeback y aborda costos compartidos.</x:t>
  </x:si>
  <x:si>
    <x:t xml:space="preserve">allocation; tagging; showback; chargeback; shared costs</x:t>
  </x:si>
  <x:si>
    <x:t xml:space="preserve">https://framework.finops.org/framework/capabilities/allocation/</x:t>
  </x:si>
  <x:si>
    <x:t xml:space="preserve">4. Analisis comparativo</x:t>
  </x:si>
  <x:si>
    <x:t xml:space="preserve">Cristofer Contreras</x:t>
  </x:si>
  <x:si>
    <x:t xml:space="preserve">Autoridad: capacidad oficial del FinOps Framework. Metodo: guia de practica. Sesgo/limite: no prescribe una unica regla de reparto; la efectividad depende de gobernanza y calidad de etiquetas. Original verificado el 2026-09-12.</x:t>
  </x:si>
  <x:si>
    <x:t xml:space="preserve">FinOps unit economics cost per transaction customer request token</x:t>
  </x:si>
  <x:si>
    <x:t xml:space="preserve">Unit Economics</x:t>
  </x:si>
  <x:si>
    <x:t xml:space="preserve">Explica como relacionar costos cloud con unidades de valor empresarial, por ejemplo transaccion, cliente o solicitud.</x:t>
  </x:si>
  <x:si>
    <x:t xml:space="preserve">unit economics; unit cost; business value; KPI</x:t>
  </x:si>
  <x:si>
    <x:t xml:space="preserve">https://www.finops.org/framework/capabilities/unit-economics/</x:t>
  </x:si>
  <x:si>
    <x:t xml:space="preserve">Autoridad: capacidad oficial del FinOps Framework. Metodo: guia operativa con metricas unitarias. Sesgo/limite: la unidad debe definirse para el caso y no puede copiarse sin validar volumen y causalidad. Original verificado el 2026-09-12.</x:t>
  </x:si>
  <x:si>
    <x:t xml:space="preserve">FinOps planning estimating shift left CI CD cost</x:t>
  </x:si>
  <x:si>
    <x:t xml:space="preserve">Planning and Estimating</x:t>
  </x:si>
  <x:si>
    <x:t xml:space="preserve">Integra pronostico y estimacion temprana de costos en decisiones de arquitectura, presupuestos y ciclo de entrega.</x:t>
  </x:si>
  <x:si>
    <x:t xml:space="preserve">planning; estimating; forecast; shift-left; CI/CD</x:t>
  </x:si>
  <x:si>
    <x:t xml:space="preserve">https://www.finops.org/framework/capabilities/planning-estimating/</x:t>
  </x:si>
  <x:si>
    <x:t xml:space="preserve">Autoridad: capacidad oficial del FinOps Framework. Metodo: guia de practica. Sesgo/limite: requiere datos historicos y supuestos explicitos; no reemplaza una cotizacion. Original verificado el 2026-09-12.</x:t>
  </x:si>
  <x:si>
    <x:t xml:space="preserve">FOCUS specification cost usage dataset cloud billing standard</x:t>
  </x:si>
  <x:si>
    <x:t xml:space="preserve">FOCUS Specification 1.4</x:t>
  </x:si>
  <x:si>
    <x:t xml:space="preserve">Estandariza columnas y semantica de datos de costo y uso para facilitar comparaciones y analisis entre proveedores.</x:t>
  </x:si>
  <x:si>
    <x:t xml:space="preserve">FOCUS; billing data; cost and usage; interoperability</x:t>
  </x:si>
  <x:si>
    <x:t xml:space="preserve">https://focus.finops.org/docs/specification/v1-4/</x:t>
  </x:si>
  <x:si>
    <x:t xml:space="preserve">Autoridad: especificacion abierta ratificada por FinOps Foundation el 2026-06-04. Metodo: esquema normativo. Sesgo/limite: normaliza datos; no garantiza que todos los proveedores expongan igual detalle. Original verificado el 2026-09-12.</x:t>
  </x:si>
  <x:si>
    <x:t xml:space="preserve">AWS Savings Plans commitment discount official guide</x:t>
  </x:si>
  <x:si>
    <x:t xml:space="preserve">Amazon Web Services</x:t>
  </x:si>
  <x:si>
    <x:t xml:space="preserve">AWS Savings Plans User Guide</x:t>
  </x:si>
  <x:si>
    <x:t xml:space="preserve">Documenta compromisos de gasto, tipos de Savings Plans, cobertura y restricciones para optimizar tarifas.</x:t>
  </x:si>
  <x:si>
    <x:t xml:space="preserve">Savings Plans; commitments; discount; AWS</x:t>
  </x:si>
  <x:si>
    <x:t xml:space="preserve">https://docs.aws.amazon.com/pdfs/savingsplans/latest/userguide/savingsplans.pdf</x:t>
  </x:si>
  <x:si>
    <x:t xml:space="preserve">Comercial/proveedor</x:t>
  </x:si>
  <x:si>
    <x:t xml:space="preserve">Autoridad: documentacion oficial del proveedor. Metodo: especificacion del producto. Sesgo: fuente interesada de AWS; usar para condiciones vigentes, no para afirmar superioridad. Original verificado el 2026-09-12.</x:t>
  </x:si>
  <x:si>
    <x:t xml:space="preserve">Azure Cost Management plan manage costs official</x:t>
  </x:si>
  <x:si>
    <x:t xml:space="preserve">Microsoft</x:t>
  </x:si>
  <x:si>
    <x:t xml:space="preserve">Plan to manage Azure costs</x:t>
  </x:si>
  <x:si>
    <x:t xml:space="preserve">Describe presupuestos, analisis de costos, alertas, recomendaciones y responsabilidades de administracion financiera en Azure.</x:t>
  </x:si>
  <x:si>
    <x:t xml:space="preserve">Azure Cost Management; budgets; alerts; cost analysis</x:t>
  </x:si>
  <x:si>
    <x:t xml:space="preserve">https://learn.microsoft.com/en-us/azure/cost-management-billing/understand/plan-manage-costs</x:t>
  </x:si>
  <x:si>
    <x:t xml:space="preserve">Autoridad: documentacion oficial del proveedor. Metodo: guia operativa. Sesgo: fuente interesada de Microsoft; no usar como comparacion neutral entre nubes. Original verificado el 2026-09-12.</x:t>
  </x:si>
  <x:si>
    <x:t xml:space="preserve">AWS Fargate pricing vCPU memory region</x:t>
  </x:si>
  <x:si>
    <x:t xml:space="preserve">AWS Fargate Pricing</x:t>
  </x:si>
  <x:si>
    <x:t xml:space="preserve">Fuente primaria para unidades, modalidades y precios regionales de ejecucion de contenedores Fargate.</x:t>
  </x:si>
  <x:si>
    <x:t xml:space="preserve">AWS Fargate; price; vCPU; memory; region</x:t>
  </x:si>
  <x:si>
    <x:t xml:space="preserve">https://aws.amazon.com/fargate/pricing/</x:t>
  </x:si>
  <x:si>
    <x:t xml:space="preserve">5. Caso practico</x:t>
  </x:si>
  <x:si>
    <x:t xml:space="preserve">Autoridad: pagina oficial de precios. Metodo: tarifa de lista por configuracion. Sesgo: fuente interesada; fecha, region y calculadora deben conservarse. Chile no tiene precio regional verificable al 2026-09-12.</x:t>
  </x:si>
  <x:si>
    <x:t xml:space="preserve">Azure Container Apps pricing Chile Central East US retail API</x:t>
  </x:si>
  <x:si>
    <x:t xml:space="preserve">Azure Container Apps Pricing</x:t>
  </x:si>
  <x:si>
    <x:t xml:space="preserve">Fuente primaria para precios de CPU, memoria y solicitudes; permite comparar la misma unidad entre Chile Central y East US.</x:t>
  </x:si>
  <x:si>
    <x:t xml:space="preserve">Azure Container Apps; Chile Central; East US; price</x:t>
  </x:si>
  <x:si>
    <x:t xml:space="preserve">https://azure.microsoft.com/pricing/details/container-apps/</x:t>
  </x:si>
  <x:si>
    <x:t xml:space="preserve">Autoridad: pagina oficial; cifras numericas verificadas contra Azure Retail Prices API. Metodo: precio de lista por medidor. Sesgo: fuente interesada; descuentos contractuales no incluidos. Validado el 2026-09-12.</x:t>
  </x:si>
  <x:si>
    <x:t xml:space="preserve">Google Cloud Run pricing Santiago Chile official</x:t>
  </x:si>
  <x:si>
    <x:t xml:space="preserve">Google Cloud</x:t>
  </x:si>
  <x:si>
    <x:t xml:space="preserve">Cloud Run pricing</x:t>
  </x:si>
  <x:si>
    <x:t xml:space="preserve">Fuente primaria para tarifas de CPU, memoria y solicitudes de Cloud Run por region y modalidad.</x:t>
  </x:si>
  <x:si>
    <x:t xml:space="preserve">Cloud Run; pricing; Santiago; serverless containers</x:t>
  </x:si>
  <x:si>
    <x:t xml:space="preserve">https://cloud.google.com/run/pricing</x:t>
  </x:si>
  <x:si>
    <x:t xml:space="preserve">Autoridad: pagina oficial de precios. Metodo: tarifa de lista. Sesgo: fuente interesada; conservar region, moneda, fecha, nivel gratuito y modalidad al citar cifras. Original verificado el 2026-09-12.</x:t>
  </x:si>
  <x:si>
    <x:t xml:space="preserve">NIST cloud deployment models public private hybrid community</x:t>
  </x:si>
  <x:si>
    <x:t xml:space="preserve">NIST</x:t>
  </x:si>
  <x:si>
    <x:t xml:space="preserve">NIST SP 800-146 Cloud Computing Synopsis and Recommendations</x:t>
  </x:si>
  <x:si>
    <x:t xml:space="preserve">Resume modelos y consideraciones de adopcion cloud para comparar nube publica, privada e hibrida.</x:t>
  </x:si>
  <x:si>
    <x:t xml:space="preserve">NIST; public cloud; private cloud; hybrid cloud; risk</x:t>
  </x:si>
  <x:si>
    <x:t xml:space="preserve">https://nvlpubs.nist.gov/nistpubs/legacy/sp/nistspecialpublication800-146.pdf</x:t>
  </x:si>
  <x:si>
    <x:t xml:space="preserve">Autoridad: publicacion del NIST. Metodo: sintesis tecnica y recomendaciones. Sesgo/limite: documento antiguo; sirve para conceptos, no para precios ni capacidades actuales. Original verificado el 2026-09-12.</x:t>
  </x:si>
  <x:si>
    <x:t xml:space="preserve">ISO IEC 22123-1 cloud computing vocabulary</x:t>
  </x:si>
  <x:si>
    <x:t xml:space="preserve">ISO/IEC</x:t>
  </x:si>
  <x:si>
    <x:t xml:space="preserve">ISO/IEC 22123-1:2023 Cloud computing - Vocabulary</x:t>
  </x:si>
  <x:si>
    <x:t xml:space="preserve">Establece vocabulario normalizado para cloud computing y reduce ambiguedad terminologica del informe.</x:t>
  </x:si>
  <x:si>
    <x:t xml:space="preserve">ISO; cloud computing; vocabulary; terminology</x:t>
  </x:si>
  <x:si>
    <x:t xml:space="preserve">https://www.iso.org/standard/82758.html</x:t>
  </x:si>
  <x:si>
    <x:t xml:space="preserve">Autoridad: norma internacional vigente. Metodo: consenso normativo. Sesgo/limite: la pagina publica solo expone metadatos; el texto completo puede requerir acceso institucional. Original verificado el 2026-09-12.</x:t>
  </x:si>
  <x:si>
    <x:t xml:space="preserve">ISO IEC 19086-1 cloud SLA framework</x:t>
  </x:si>
  <x:si>
    <x:t xml:space="preserve">ISO/IEC 19086-1:2016 Cloud computing SLA framework</x:t>
  </x:si>
  <x:si>
    <x:t xml:space="preserve">Aporta conceptos de acuerdos de nivel de servicio y relacion entre compromisos, soporte, riesgo y costo.</x:t>
  </x:si>
  <x:si>
    <x:t xml:space="preserve">ISO; cloud SLA; service level; support; risk</x:t>
  </x:si>
  <x:si>
    <x:t xml:space="preserve">https://www.iso.org/standard/67545.html</x:t>
  </x:si>
  <x:si>
    <x:t xml:space="preserve">Autoridad: norma internacional confirmada vigente y enmendada en 2025. Metodo: consenso normativo. Sesgo/limite: texto completo puede requerir acceso institucional. Original verificado el 2026-09-12.</x:t>
  </x:si>
  <x:si>
    <x:t xml:space="preserve">OpenCost Kubernetes cost allocation specification</x:t>
  </x:si>
  <x:si>
    <x:t xml:space="preserve">OpenCost / CNCF</x:t>
  </x:si>
  <x:si>
    <x:t xml:space="preserve">OpenCost Documentation</x:t>
  </x:si>
  <x:si>
    <x:t xml:space="preserve">Documenta un modelo abierto para asignacion y visibilidad de costos Kubernetes.</x:t>
  </x:si>
  <x:si>
    <x:t xml:space="preserve">OpenCost; Kubernetes; allocation; cost monitoring</x:t>
  </x:si>
  <x:si>
    <x:t xml:space="preserve">https://opencost.io/docs/</x:t>
  </x:si>
  <x:si>
    <x:t xml:space="preserve">Tecnica de terceros</x:t>
  </x:si>
  <x:si>
    <x:t xml:space="preserve">Autoridad: proyecto tecnico abierto vinculado a CNCF. Metodo: documentacion de implementacion. Sesgo/limite: centrado en Kubernetes y dependiente de la calidad de metricas y precios cargados. Original verificado el 2026-09-12.</x:t>
  </x:si>
  <x:si>
    <x:t xml:space="preserve">Infracost CI CD cloud cost estimation infrastructure as code</x:t>
  </x:si>
  <x:si>
    <x:t xml:space="preserve">Infracost</x:t>
  </x:si>
  <x:si>
    <x:t xml:space="preserve">Infracost Documentation</x:t>
  </x:si>
  <x:si>
    <x:t xml:space="preserve">Permite estimar variaciones de costo desde infraestructura como codigo e integrar el analisis en CI/CD.</x:t>
  </x:si>
  <x:si>
    <x:t xml:space="preserve">Infracost; IaC; cost estimation; CI/CD; shift-left</x:t>
  </x:si>
  <x:si>
    <x:t xml:space="preserve">https://www.infracost.io/docs/</x:t>
  </x:si>
  <x:si>
    <x:t xml:space="preserve">Autoridad: documentacion tecnica del producto. Metodo: consulta de precios y estimacion sobre IaC. Sesgo: fuente del proveedor; validar cobertura de recursos y exactitud contra precios oficiales. Original verificado el 2026-09-12.</x:t>
  </x:si>
  <x:si>
    <x:t xml:space="preserve">principios FinOps colaboracion valor responsabilidad costos datos</x:t>
  </x:si>
  <x:si>
    <x:t xml:space="preserve">FinOps Principles</x:t>
  </x:si>
  <x:si>
    <x:t xml:space="preserve">Establece los principios de colaboracion, responsabilidad distribuida, valor empresarial, datos oportunos y costo variable que justifican el problema de investigacion.</x:t>
  </x:si>
  <x:si>
    <x:t xml:space="preserve">FinOps principles; accountability; collaboration; business value</x:t>
  </x:si>
  <x:si>
    <x:t xml:space="preserve">https://www.finops.org/framework/principles/</x:t>
  </x:si>
  <x:si>
    <x:t xml:space="preserve">2. Introduccion y contexto</x:t>
  </x:si>
  <x:si>
    <x:t xml:space="preserve">Autoridad: principios oficiales del FinOps Framework. Metodo: consenso de practica. Sesgo/limite: marco institucional y no evidencia causal de ahorro. Original verificado el 2026-09-12.</x:t>
  </x:si>
  <x:si>
    <x:t xml:space="preserve">FinOps domains outcomes understand quantify optimize manage</x:t>
  </x:si>
  <x:si>
    <x:t xml:space="preserve">FinOps Domains</x:t>
  </x:si>
  <x:si>
    <x:t xml:space="preserve">Organiza los resultados esperados de FinOps: comprender uso y costo, cuantificar valor, optimizar y gestionar la practica.</x:t>
  </x:si>
  <x:si>
    <x:t xml:space="preserve">FinOps domains; outcomes; value; optimization</x:t>
  </x:si>
  <x:si>
    <x:t xml:space="preserve">https://www.finops.org/framework/domains/</x:t>
  </x:si>
  <x:si>
    <x:t xml:space="preserve">7. Conclusiones</x:t>
  </x:si>
  <x:si>
    <x:t xml:space="preserve">Autoridad: dominio oficial del FinOps Framework. Metodo: modelo de resultados. Sesgo/limite: usar como criterio de discusion, no como prueba automatica de beneficios. Original verificado el 2026-09-12.</x:t>
  </x:si>
  <x:si>
    <x:t xml:space="preserve">FinOps governance policy risk cost performance business value</x:t>
  </x:si>
  <x:si>
    <x:t xml:space="preserve">Governance, Policy and Risk</x:t>
  </x:si>
  <x:si>
    <x:t xml:space="preserve">Relaciona decisiones de tecnologia con costo, rendimiento, riesgo, cumplimiento y valor empresarial mediante controles y seguimiento continuo.</x:t>
  </x:si>
  <x:si>
    <x:t xml:space="preserve">governance; policy; financial risk; business value</x:t>
  </x:si>
  <x:si>
    <x:t xml:space="preserve">https://www.finops.org/framework/capabilities/governance-policy-risk/</x:t>
  </x:si>
  <x:si>
    <x:t xml:space="preserve">Autoridad: capacidad oficial del FinOps Framework. Metodo: guia de gobernanza. Sesgo/limite: requiere adaptacion al caso y evidencia de resultados; no valida por si misma una conclusion. Original verificado el 2026-09-12.</x:t>
  </x:si>
  <x:si>
    <x:t xml:space="preserve">FinOps usage optimization rightsizing idle shutdown nonproduction</x:t>
  </x:si>
  <x:si>
    <x:t xml:space="preserve">Usage Optimization</x:t>
  </x:si>
  <x:si>
    <x:t xml:space="preserve">Describe rightsizing, eliminacion de recursos ociosos, apagado programado y reduccion de desperdicio en cargas productivas y no productivas.</x:t>
  </x:si>
  <x:si>
    <x:t xml:space="preserve">usage optimization; rightsizing; idle resources; waste</x:t>
  </x:si>
  <x:si>
    <x:t xml:space="preserve">https://www.finops.org/framework/capabilities/usage-optimization/</x:t>
  </x:si>
  <x:si>
    <x:t xml:space="preserve">Autoridad: capacidad oficial del FinOps Framework. Metodo: guia de practica. Limite: no aporta por si sola resultados economicos para el caso; cada medida requiere datos del workload. Original verificado el 2026-09-13.</x:t>
  </x:si>
  <x:si>
    <x:t xml:space="preserve">FinOps rate optimization commitments reservations CUD spot</x:t>
  </x:si>
  <x:si>
    <x:t xml:space="preserve">Rate Optimization</x:t>
  </x:si>
  <x:si>
    <x:t xml:space="preserve">Ordena la optimizacion de tarifas mediante compromisos, reservas, descuentos por uso comprometido y capacidad interrumpible.</x:t>
  </x:si>
  <x:si>
    <x:t xml:space="preserve">rate optimization; commitments; reservations; CUD; spot</x:t>
  </x:si>
  <x:si>
    <x:t xml:space="preserve">https://www.finops.org/framework/capabilities/rate-optimization/</x:t>
  </x:si>
  <x:si>
    <x:t xml:space="preserve">Autoridad: capacidad oficial del FinOps Framework. Metodo: guia operativa. Limite: las condiciones contractuales y el riesgo de subutilizacion deben validarse por proveedor. Original verificado el 2026-09-13.</x:t>
  </x:si>
  <x:si>
    <x:t xml:space="preserve">FinOps architecting workload placement shift left cost aware design</x:t>
  </x:si>
  <x:si>
    <x:t xml:space="preserve">Architecting and Workload Placement</x:t>
  </x:si>
  <x:si>
    <x:t xml:space="preserve">Integra costo y valor en decisiones tempranas de arquitectura y ubicacion de workloads, incluyendo restricciones tecnicas y comerciales.</x:t>
  </x:si>
  <x:si>
    <x:t xml:space="preserve">architecting; workload placement; shift-left; cost-aware design</x:t>
  </x:si>
  <x:si>
    <x:t xml:space="preserve">https://www.finops.org/framework/capabilities/architecting-workload-placement/</x:t>
  </x:si>
  <x:si>
    <x:t xml:space="preserve">Autoridad: capacidad oficial del FinOps Framework. Metodo: guia de practica. Limite: no sustituye la evaluacion de requisitos ni el TCO del caso. Original verificado el 2026-09-13.</x:t>
  </x:si>
  <x:si>
    <x:t xml:space="preserve">FinOps licensing SaaS BYOL support hidden costs</x:t>
  </x:si>
  <x:si>
    <x:t xml:space="preserve">Licensing and SaaS</x:t>
  </x:si>
  <x:si>
    <x:t xml:space="preserve">Incorpora licencias, BYOL, contratos SaaS y costo total en la gestion FinOps para evitar omitir costos no ligados directamente al consumo cloud.</x:t>
  </x:si>
  <x:si>
    <x:t xml:space="preserve">licensing; SaaS; BYOL; contracts; TCO</x:t>
  </x:si>
  <x:si>
    <x:t xml:space="preserve">https://www.finops.org/framework/capabilities/licensing-saas/</x:t>
  </x:si>
  <x:si>
    <x:t xml:space="preserve">Autoridad: capacidad oficial del FinOps Framework. Metodo: guia de practica. Limite: valores y condiciones dependen de contratos; declarar solo por cotizacion cuando no exista precio publico. Original verificado el 2026-09-13.</x:t>
  </x:si>
  <x:si>
    <x:t xml:space="preserve">AWS EC2 data transfer egress inter availability zone pricing</x:t>
  </x:si>
  <x:si>
    <x:t xml:space="preserve">Amazon EC2 On-Demand Pricing</x:t>
  </x:si>
  <x:si>
    <x:t xml:space="preserve">Documenta cobros de transferencia, trafico entre zonas y otros cargos asociados al uso bajo demanda de EC2.</x:t>
  </x:si>
  <x:si>
    <x:t xml:space="preserve">EC2; data transfer; egress; inter-AZ; on-demand</x:t>
  </x:si>
  <x:si>
    <x:t xml:space="preserve">https://aws.amazon.com/ec2/pricing/on-demand/</x:t>
  </x:si>
  <x:si>
    <x:t xml:space="preserve">Autoridad: pagina oficial de precios AWS. Metodo: tarifa de lista. Sesgo: fuente interesada del proveedor; region, volumen y vigencia deben conservarse al citar cifras. Original verificado el 2026-09-13.</x:t>
  </x:si>
  <x:si>
    <x:t xml:space="preserve">Amazon S3 storage classes tiering access patterns cost</x:t>
  </x:si>
  <x:si>
    <x:t xml:space="preserve">Amazon S3 Storage Classes</x:t>
  </x:si>
  <x:si>
    <x:t xml:space="preserve">Describe clases de almacenamiento y patrones de acceso que modifican el costo de capacidad, recuperacion y administracion.</x:t>
  </x:si>
  <x:si>
    <x:t xml:space="preserve">S3; storage classes; tiering; access patterns; retrieval</x:t>
  </x:si>
  <x:si>
    <x:t xml:space="preserve">https://aws.amazon.com/s3/storage-classes/</x:t>
  </x:si>
  <x:si>
    <x:t xml:space="preserve">6. Tendencias</x:t>
  </x:si>
  <x:si>
    <x:t xml:space="preserve">Autoridad: documentacion oficial AWS. Metodo: descripcion del producto. Sesgo: fuente interesada; no usar como comparacion neutral y validar precios en la pagina regional. Original verificado el 2026-09-13.</x:t>
  </x:si>
  <x:si>
    <x:t xml:space="preserve">AWS Support pricing plan minimum percentage hidden cost</x:t>
  </x:si>
  <x:si>
    <x:t xml:space="preserve">AWS Support Plans Pricing</x:t>
  </x:si>
  <x:si>
    <x:t xml:space="preserve">Expone minimos y porcentajes de los planes de soporte, un componente que puede quedar fuera de una comparacion limitada al consumo tecnico.</x:t>
  </x:si>
  <x:si>
    <x:t xml:space="preserve">AWS Support; plan; percentage; minimum; hidden cost</x:t>
  </x:si>
  <x:si>
    <x:t xml:space="preserve">https://aws.amazon.com/premiumsupport/pricing/</x:t>
  </x:si>
  <x:si>
    <x:t xml:space="preserve">Autoridad: pagina oficial de precios AWS. Metodo: tarifa de lista por plan. Sesgo: fuente interesada; la seleccion del plan requiere justificacion humana segun el caso. Original verificado el 2026-09-13.</x:t>
  </x:si>
  <x:si>
    <x:t xml:space="preserve">Google Cloud Spot VMs pricing preemption risk</x:t>
  </x:si>
  <x:si>
    <x:t xml:space="preserve">Spot VMs</x:t>
  </x:si>
  <x:si>
    <x:t xml:space="preserve">Documenta el comportamiento, los descuentos y el riesgo de interrupcion de las maquinas virtuales Spot de Google Cloud.</x:t>
  </x:si>
  <x:si>
    <x:t xml:space="preserve">Google Cloud; Spot VM; preemption; discount; risk</x:t>
  </x:si>
  <x:si>
    <x:t xml:space="preserve">https://docs.cloud.google.com/compute/docs/instances/spot</x:t>
  </x:si>
  <x:si>
    <x:t xml:space="preserve">Autoridad: documentacion oficial Google Cloud. Metodo: especificacion del producto. Sesgo: fuente interesada; el ahorro debe evaluarse junto con tolerancia a interrupciones. Original verificado el 2026-09-13.</x:t>
  </x:si>
  <x:si>
    <x:t xml:space="preserve">Google Scholar</x:t>
  </x:si>
  <x:si>
    <x:t xml:space="preserve">Manurung, H., y Aji, R.F.</x:t>
  </x:si>
  <x:si>
    <x:t xml:space="preserve">Evaluating the Implementation of the FinOps Framework for Cloud Infrastructure Cost Management: A Case Study of Technology Companies in Indonesia</x:t>
  </x:si>
  <x:si>
    <x:t xml:space="preserve">Estudio de caso mixto con seis arquitectos de nube en empresas tecnologicas de Indonesia que mide la madurez de adopcion de FinOps con el modelo Crawl/Walk/Run. El promedio fue 1.53/3.00 (fase Crawl-Walk): buena capacidad tecnica (rightsizing, RIs) pero fuerte rezago en gobernanza y asignacion centralizada de costos.</x:t>
  </x:si>
  <x:si>
    <x:t xml:space="preserve">Cloud computing; FinOps framework; Cost optimization</x:t>
  </x:si>
  <x:si>
    <x:t xml:space="preserve">Scientific Journal of Informatics, Vol. 12, No. 4 (nov. 2025), pp. 709-720. https://doi.org/10.15294/sji.v12i4.36226</x:t>
  </x:si>
  <x:si>
    <x:t xml:space="preserve">Fuente academica revisada por pares (Scientific Journal of Informatics, UNNES). Metodo: estudio de caso mixto (6 entrevistas + rubrica cuantitativa Crawl/Walk/Run). Limite: muestra pequena (n=6) y contexto especifico de Indonesia; los propios autores senalan que la generalizacion es analitica, no estadistica.</x:t>
  </x:si>
  <x:si>
    <x:t xml:space="preserve">Turkkan, B.O., Murali, P., Narayanaswami, C., y Sheinin, V.</x:t>
  </x:si>
  <x:si>
    <x:t xml:space="preserve">Agentic Solutions for IT Financial Operations</x:t>
  </x:si>
  <x:si>
    <x:t xml:space="preserve">Presenta un agente de IA (arquitectura LangGraph) que permite a practicantes de FinOps consultar datos de facturacion en lenguaje natural, combinando Text2SQL y una herramienta de ejecucion de codigo Python. Evaluado en escenarios ITBench, alcanza hasta 90% de precision al descomponer consultas complejas en tareas simples.</x:t>
  </x:si>
  <x:si>
    <x:t xml:space="preserve">No especifica keywords</x:t>
  </x:si>
  <x:si>
    <x:t xml:space="preserve">The Fortieth AAAI Conference on Artificial Intelligence (AAAI-26), pp. 41703-41705 (sin DOI visible en el PDF).</x:t>
  </x:si>
  <x:si>
    <x:t xml:space="preserve">Fuente academica (AAAI-26; autores de IBM Research). Metodo: paper de demostracion de un sistema evaluado en datos de muestra (ITBench/FOCUS sample data). Limite: no usa facturacion real de produccion y no reporta el costo de operar el propio agente.</x:t>
  </x:si>
  <x:si>
    <x:t xml:space="preserve">Tak, B.C., Kwon, Y., y Urgaonkar, B.</x:t>
  </x:si>
  <x:si>
    <x:t xml:space="preserve">Resource Accounting of Shared IT Resources in Multi-Tenant Clouds</x:t>
  </x:si>
  <x:si>
    <x:t xml:space="preserve">Propone Rameter, tecnica de contabilizacion de recursos a nivel de hilo dentro del hipervisor para atribuir consumo de CPU, red y disco entre entidades que comparten un mismo servicio multi-tenant. Frente a un metodo de regresion lineal (LR), logra menos de 1% de error de atribucion (vs. 5-150% de LR) y mejora decisiones de throttling y cumplimiento de SLA.</x:t>
  </x:si>
  <x:si>
    <x:t xml:space="preserve">Cloud computing; distributed system; resource management</x:t>
  </x:si>
  <x:si>
    <x:t xml:space="preserve">IEEE Transactions on Services Computing, Vol. 10, No. 2 (mar-abr 2017), pp. 302-315. https://doi.org/10.1109/TSC.2015.2453980</x:t>
  </x:si>
  <x:si>
    <x:t xml:space="preserve">Fuente academica revisada por pares (IEEE TSC). Metodo: diseno e implementacion de un mecanismo de contabilizacion validado con benchmarks sinteticos y dos servicios reales (MySQL Cluster, HBase). Limite: implementado sobre Xen 3.1.4 (para-virtualizacion), tecnologia de hipervisor antigua; no cubre memoria.</x:t>
  </x:si>
  <x:si>
    <x:t xml:space="preserve">Chaisiri, S., Lee, B.-S., y Niyato, D.</x:t>
  </x:si>
  <x:si>
    <x:t xml:space="preserve">Optimization of Resource Provisioning Cost in Cloud Computing</x:t>
  </x:si>
  <x:si>
    <x:t xml:space="preserve">Formula un problema de programacion estocastica multietapa (OCRP) para decidir cuanto reservar vs. comprar bajo demanda en la nube, bajo incertidumbre de demanda y precio. Resuelve el modelo con formulacion determinista equivalente, descomposicion de Benders y aproximacion por muestreo (SAA), mostrando ahorro frente a reserva maxima o nula.</x:t>
  </x:si>
  <x:si>
    <x:t xml:space="preserve">Cloud computing; resource provisioning; virtualization; virtual machine placement; stochastic programming</x:t>
  </x:si>
  <x:si>
    <x:t xml:space="preserve">IEEE Transactions on Services Computing, Vol. 5, No. 2 (abr-jun 2012), pp. 164-177. https://doi.org/10.1109/TSC.2011.7</x:t>
  </x:si>
  <x:si>
    <x:t xml:space="preserve">Fuente academica revisada por pares (IEEE TSC). Metodo: programacion estocastica multietapa con recurso, resuelta via formulacion determinista, descomposicion de Benders y SAA. Limite: parametros de precio/demanda basados en distribuciones supuestas y precios de AWS EC2 de 2010; no reflejan tarifas actuales.</x:t>
  </x:si>
  <x:si>
    <x:t xml:space="preserve">Fragiadakis, G., Tsadimas, A., Filiopoulou, E., Kousiouris, G., Michalakelis, C., y Nikolaidou, M.</x:t>
  </x:si>
  <x:si>
    <x:t xml:space="preserve">Cloud PricingOps: A Decision Support Framework to Explore Pricing Policies of Cloud Services</x:t>
  </x:si>
  <x:si>
    <x:t xml:space="preserve">Propone CloudPricingOps, un sistema de soporte de decisiones para analizar, comparar y predecir politicas de precios de servicios cloud entre proveedores, usando modelos hedonicos, series de tiempo y tecnicas de clustering/machine learning. Se ilustra con dos ejemplos basados en datos reales para equipos de ingenieria y negocio.</x:t>
  </x:si>
  <x:si>
    <x:t xml:space="preserve">cloud computing; decision support system; cloud pricing</x:t>
  </x:si>
  <x:si>
    <x:t xml:space="preserve">Applied Sciences 2024, 14, 11946. https://doi.org/10.3390/app142411946</x:t>
  </x:si>
  <x:si>
    <x:t xml:space="preserve">Fuente academica revisada por pares y de acceso abierto (MDPI Applied Sciences). Metodo: propuesta de un framework de soporte de decisiones (modelos hedonicos, series de tiempo, clustering/ML) ilustrado con dos casos de datos reales. Limite: framework general y extensible; su utilidad depende de la calidad y vigencia del dataset de precios que se alimente.</x:t>
  </x:si>
  <x:si>
    <x:t xml:space="preserve">Yoon, Y., Choi, B., y Lee, J.</x:t>
  </x:si>
  <x:si>
    <x:t xml:space="preserve">Design of Experiments-Based Adaptive Scheduling in Kubernetes for Performance and Cost Optimization</x:t>
  </x:si>
  <x:si>
    <x:t xml:space="preserve">Propone un scheduler personalizado de Kubernetes que usa Diseno de Experimentos (Superficie de Respuesta + Diseno Compuesto Central) para hallar el tamano optimo de CPU/memoria por aplicacion con pocos experimentos. En cinco cargas de trabajo distintas mejora el puntaje costo-rendimiento en promedio 1.5x frente a la asignacion maxima, con significancia estadistica (p menor a 0.05).</x:t>
  </x:si>
  <x:si>
    <x:t xml:space="preserve">Kubernetes; adaptive scheduling; design of experiments (DoE); resource optimization; performance and cost optimization; custom scheduler; cloud computing; workload management</x:t>
  </x:si>
  <x:si>
    <x:t xml:space="preserve">Applied Sciences 2025, 15, 10098. https://doi.org/10.3390/app151810098</x:t>
  </x:si>
  <x:si>
    <x:t xml:space="preserve">Fuente academica revisada por pares (MDPI Applied Sciences). Metodo: Diseno de Experimentos (RSM+CCD) con 13 corridas por aplicacion, validado con prueba t pareada/Wilcoxon. Limite: evaluado en un cluster pequeno de una sola maquina AWS EC2 (8 vCPU), sin escenarios multiusuario ni autoescalado.</x:t>
  </x:si>
  <x:si>
    <x:t xml:space="preserve">Feitosa, D., Penca, M.-T., Berardi, M., Boza, R.-D., y Andrikopoulos, V.</x:t>
  </x:si>
  <x:si>
    <x:t xml:space="preserve">Mining for cost awareness in the infrastructure as code artifacts of cloud-based applications: An exploratory study</x:t>
  </x:si>
  <x:si>
    <x:t xml:space="preserve">Mineria de 152.735 repositorios de GitHub que usan Terraform para detectar evidencia de conciencia de costos en mensajes de commit e issues. Los desarrolladores no solo mencionan el costo, sino que toman acciones concretas (cambio de instancias, tiering de almacenamiento, alertas); los hallazgos se organizan en un grafo de conocimiento y se validan con discusiones de Stack Overflow.</x:t>
  </x:si>
  <x:si>
    <x:t xml:space="preserve">Cloud computing; Cost awareness; Mining software repositories; Cloud orchestration</x:t>
  </x:si>
  <x:si>
    <x:t xml:space="preserve">The Journal of Systems and Software, 215 (2024) 112112. https://doi.org/10.1016/j.jss.2024.112112</x:t>
  </x:si>
  <x:si>
    <x:t xml:space="preserve">Fuente academica revisada por pares y de acceso abierto (Journal of Systems and Software, Elsevier). Metodo: mineria de repositorios (MSR) con codificacion inductiva/deductiva sobre commits e issues de Terraform, triangulada con Stack Overflow. Limite: cubre solo Terraform (no otras herramientas IaC) y depende de las palabras clave definidas por los autores.</x:t>
  </x:si>
  <x:si>
    <x:t xml:space="preserve">Cho, C.-H.</x:t>
  </x:si>
  <x:si>
    <x:t xml:space="preserve">FinOps-Aware Budget-Constrained Optimization for Cloud Resource Management</x:t>
  </x:si>
  <x:si>
    <x:t xml:space="preserve">Formaliza el redimensionamiento de VMs bajo restricciones presupuestarias estrictas como un problema NP-duro y propone un solver dual (Budget-aware Dual) que usa el precio sombra para guiar decisiones hacia la factibilidad presupuestaria. Reduce violaciones de presupuesto a cero y el cambio operativo de 53.95% a 7.80%, siendo mas de 100x mas rapido que NSGA-II.</x:t>
  </x:si>
  <x:si>
    <x:t xml:space="preserve">FinOps; cloud resource management; budget-constrained optimization; cloud cost management; hard budget constraints; dual-based optimization; multi-objective optimization; cloud computing</x:t>
  </x:si>
  <x:si>
    <x:t xml:space="preserve">Applied Sciences 2026, 16, 3302. https://doi.org/10.3390/app16073302</x:t>
  </x:si>
  <x:si>
    <x:t xml:space="preserve">Fuente academica revisada por pares (MDPI Applied Sciences). Metodo: formulacion de optimizacion con demostracion de NP-dureza y solver dual (BD), comparado contra NSGA-II en simulaciones. Limite: autor unico; resultados de experimentos simulados, no de una nube productiva real.</x:t>
  </x:si>
  <x:si>
    <x:t xml:space="preserve">Megahed, A., Nazeem, A., Yin, P., Tata, S., Motahari Nezhad, H.R., y Nakamura, T.</x:t>
  </x:si>
  <x:si>
    <x:t xml:space="preserve">Optimizing cloud solutioning design</x:t>
  </x:si>
  <x:si>
    <x:t xml:space="preserve">Desde la perspectiva del proveedor de nube (no del cliente), formula el diseno de soluciones cloud personalizadas como un modelo de programacion entera que minimiza el costo/precio cumpliendo restricciones del cliente y de la oferta. Evaluado con datos reales de negocio, reduce tiempo y error frente al diseno manual.</x:t>
  </x:si>
  <x:si>
    <x:t xml:space="preserve">Cloud Solution Design; Cloud Computing; Optimization; Integer Programming; Operations Research; Heuristics</x:t>
  </x:si>
  <x:si>
    <x:t xml:space="preserve">Future Generation Computer Systems (2018). https://doi.org/10.1016/j.future.2018.08.005</x:t>
  </x:si>
  <x:si>
    <x:t xml:space="preserve">Fuente academica (autores de IBM Research; Future Generation Computer Systems, Elsevier). Metodo: modelo de programacion entera evaluado con datos reales de negocio de IBM contra dos baselines. Sesgo: perspectiva del proveedor de nube, no del cliente; datos de evaluacion no publicos.</x:t>
  </x:si>
  <x:si>
    <x:t xml:space="preserve">Misra, S.C., y Mondal, A.</x:t>
  </x:si>
  <x:si>
    <x:t xml:space="preserve">Identification of a company's suitability for the adoption of cloud computing and modelling its corresponding Return on Investment</x:t>
  </x:si>
  <x:si>
    <x:t xml:space="preserve">Propone un marco para que las empresas evaluen su idoneidad para migrar a la nube y un modelo general de Retorno de Inversion (ROI) que incorpora impactos intangibles ademas del costo directo, como apoyo a la decision de adoptar arquitecturas cloud.</x:t>
  </x:si>
  <x:si>
    <x:t xml:space="preserve">Cloud computing; Return on Investment (ROI); Benefits of cloud computing; Cost of cloud computing</x:t>
  </x:si>
  <x:si>
    <x:t xml:space="preserve">Mathematical and Computer Modelling, 53 (2011) 504-521. https://doi.org/10.1016/j.mcm.2010.03.037</x:t>
  </x:si>
  <x:si>
    <x:t xml:space="preserve">Fuente academica revisada por pares (Mathematical and Computer Modelling, Elsevier). Metodo: propuesta conceptual de un marco de idoneidad y un modelo general de ROI. Limite: fuente de 2011, anterior a FinOps y a los modelos de precios actuales de los hyperscalers; util para conceptos de ROI, no para cifras vigentes.</x:t>
  </x:si>
  <x:si>
    <x:t xml:space="preserve">Bazi, H.R., Hasanzadeh, A., y Moeini, A.</x:t>
  </x:si>
  <x:si>
    <x:t xml:space="preserve">A comprehensive framework for cloud computing migration using Meta-synthesis approach</x:t>
  </x:si>
  <x:si>
    <x:t xml:space="preserve">Mediante meta-sintesis de mas de 657 estudios, propone un marco integral de migracion a la nube con siete fases y quince subcategorias, junto con un modelo de madurez (ClM3) para mejorar el proceso de migracion, validado con grupos focales de expertos.</x:t>
  </x:si>
  <x:si>
    <x:t xml:space="preserve">Cloud Computing; Migration Framework; Meta-Synthesis; Process Maturity Model</x:t>
  </x:si>
  <x:si>
    <x:t xml:space="preserve">The Journal of Systems &amp; Software (2017), manuscrito aceptado. https://doi.org/10.1016/j.jss.2017.02.049</x:t>
  </x:si>
  <x:si>
    <x:t xml:space="preserve">Fuente academica revisada por pares (Journal of Systems &amp; Software, Elsevier). Metodo: meta-sintesis cualitativa de mas de 657 estudios, validada con grupos focales de expertos. Limite: marco general de migracion, no especifico a la gestion financiera/FinOps del gasto cloud.</x:t>
  </x:si>
  <x:si>
    <x:t xml:space="preserve">Schniederjans, D.G., y Hales, D.N.</x:t>
  </x:si>
  <x:si>
    <x:t xml:space="preserve">Cloud computing and its impact on economic and environmental performance: A transaction cost economics perspective</x:t>
  </x:si>
  <x:si>
    <x:t xml:space="preserve">Desde la economia de costos de transaccion (TCE), analiza con datos de encuesta a 247 profesionales de TI y cadena de suministro como la computacion en la nube afecta el desempeno economico y ambiental de las empresas, usando modelado de ecuaciones estructurales (PLS).</x:t>
  </x:si>
  <x:si>
    <x:t xml:space="preserve">Cloud computing; Collaboration; Economic performance; Environmental performance</x:t>
  </x:si>
  <x:si>
    <x:t xml:space="preserve">Decision Support Systems (2016). https://doi.org/10.1016/j.dss.2016.03.009</x:t>
  </x:si>
  <x:si>
    <x:t xml:space="preserve">Fuente academica revisada por pares (Decision Support Systems, Elsevier). Metodo: encuesta a 247 profesionales, modelado de ecuaciones estructurales (PLS-SEM). Limite: mide percepciones de desempeno economico/ambiental, no costos monetarios directos ni tarifas de nube.</x:t>
  </x:si>
  <x:si>
    <x:t xml:space="preserve">The ATLAS Collaboration</x:t>
  </x:si>
  <x:si>
    <x:t xml:space="preserve">Total Cost of Ownership and Evaluation of Google Cloud Resources for the ATLAS Experiment at the LHC</x:t>
  </x:si>
  <x:si>
    <x:t xml:space="preserve">Analisis de Costo Total de Propiedad (TCO) de 15 meses del uso de Google Cloud por el experimento ATLAS del LHC (CERN), identificando el trafico de red como el principal factor de costo y demostrando 'bursting' de recursos a gran escala como mecanismo viable pero costoso.</x:t>
  </x:si>
  <x:si>
    <x:t xml:space="preserve">Computing and Software for Big Science (2025) 9:2. https://doi.org/10.1007/s41781-024-00128-x</x:t>
  </x:si>
  <x:si>
    <x:t xml:space="preserve">Fuente academica de acceso abierto (colaboracion CERN/ATLAS; Computing and Software for Big Science, Springer). Metodo: analisis de TCO sobre 15 meses de uso real de Google Cloud. Limite: tarifa negociada (flat-rate) especifica del acuerdo ATLAS-Google; no es directamente comparable a precios de lista publicos.</x:t>
  </x:si>
  <x:si>
    <x:t xml:space="preserve">Tablero de control — cobertura y solapamiento</x:t>
  </x:si>
  <x:si>
    <x:t xml:space="preserve">Todo se calcula solo desde 'Matriz de Fuentes'. Revisar antes de cerrar FP-48 y otra vez antes de redactar (FP-54).</x:t>
  </x:si>
  <x:si>
    <x:t xml:space="preserve">1. Fuentes academicas por pilar  (meta: minimo 4 por pilar)</x:t>
  </x:si>
  <x:si>
    <x:t xml:space="preserve">Pilar</x:t>
  </x:si>
  <x:si>
    <x:t xml:space="preserve">Academicas</x:t>
  </x:si>
  <x:si>
    <x:t xml:space="preserve">Oficiales, tecnicas y comerciales</x:t>
  </x:si>
  <x:si>
    <x:t xml:space="preserve">Total</x:t>
  </x:si>
  <x:si>
    <x:t xml:space="preserve">Semaforo</x:t>
  </x:si>
  <x:si>
    <x:t xml:space="preserve">Lectura</x:t>
  </x:si>
  <x:si>
    <x:t xml:space="preserve">Transversal</x:t>
  </x:si>
  <x:si>
    <x:t xml:space="preserve">2. Requisito de la pauta  (FEP00.1.26, p. 32)</x:t>
  </x:si>
  <x:si>
    <x:t xml:space="preserve">Indicador</x:t>
  </x:si>
  <x:si>
    <x:t xml:space="preserve">Valor</x:t>
  </x:si>
  <x:si>
    <x:t xml:space="preserve">Regla</x:t>
  </x:si>
  <x:si>
    <x:t xml:space="preserve">Fuentes academicas totales</x:t>
  </x:si>
  <x:si>
    <x:t xml:space="preserve">Minimo 10 exigido por la pauta</x:t>
  </x:si>
  <x:si>
    <x:t xml:space="preserve">Fuentes oficiales, tecnicas y comerciales</x:t>
  </x:si>
  <x:si>
    <x:t xml:space="preserve">La pauta las exige ademas de las academicas</x:t>
  </x:si>
  <x:si>
    <x:t xml:space="preserve">Fuentes ya citadas en el informe</x:t>
  </x:si>
  <x:si>
    <x:t xml:space="preserve">Deben coincidir con la bibliografia final (FP-53)</x:t>
  </x:si>
  <x:si>
    <x:t xml:space="preserve">Sin pilar asignado</x:t>
  </x:si>
  <x:si>
    <x:t xml:space="preserve">Toda fuente cargada debe tener pilar</x:t>
  </x:si>
  <x:si>
    <x:t xml:space="preserve">Sin seccion del informe</x:t>
  </x:si>
  <x:si>
    <x:t xml:space="preserve">Rompe la trazabilidad fuente -&gt; seccion</x:t>
  </x:si>
  <x:si>
    <x:t xml:space="preserve">3. Control de solapamiento entre pilares</x:t>
  </x:si>
  <x:si>
    <x:t xml:space="preserve">Fuentes reclamadas por dos pilares</x:t>
  </x:si>
  <x:si>
    <x:t xml:space="preserve">Aparecen en rojo en la matriz</x:t>
  </x:si>
  <x:si>
    <x:t xml:space="preserve">Duplicadas dentro del mismo pilar</x:t>
  </x:si>
  <x:si>
    <x:t xml:space="preserve">Aparecen en naranjo</x:t>
  </x:si>
  <x:si>
    <x:t xml:space="preserve">4. Cobertura por seccion del informe</x:t>
  </x:si>
  <x:si>
    <x:t xml:space="preserve">Seccion</x:t>
  </x:si>
  <x:si>
    <x:t xml:space="preserve">Fuentes</x:t>
  </x:si>
  <x:si>
    <x:t xml:space="preserve">5. Pendientes para cierre humano</x:t>
  </x:si>
  <x:si>
    <x:t xml:space="preserve">FP-123</x:t>
  </x:si>
  <x:si>
    <x:t xml:space="preserve">Revision humana requerida</x:t>
  </x:si>
  <x:si>
    <x:t xml:space="preserve">Vicente/Cristofer debe validar autoridad, metodologia, limitaciones y sesgos antes de usar las notas como juicio final.</x:t>
  </x:si>
  <x:si>
    <x:t xml:space="preserve">FP-126</x:t>
  </x:si>
  <x:si>
    <x:t xml:space="preserve">Dependencia pendiente</x:t>
  </x:si>
  <x:si>
    <x:t xml:space="preserve">La matriz incluye seis precios Azure verificables y condiciones de cotizacion, pero debe actualizarse cuando FP-51/FP-52 definan la arquitectura y el TCO.</x:t>
  </x:si>
  <x:si>
    <x:t xml:space="preserve">Trazabilidad de archivos</x:t>
  </x:si>
  <x:si>
    <x:t xml:space="preserve">Parcial</x:t>
  </x:si>
  <x:si>
    <x:t xml:space="preserve">Tres papers de acceso abierto estan en la carpeta Papers academicos - FP-48. Los otros nueve requieren acceso institucional PUCV o descarga manual desde el original.</x:t>
  </x:si>
  <x:si>
    <x:t xml:space="preserve">Bitacora de busquedas — FP-48</x:t>
  </x:si>
  <x:si>
    <x:t xml:space="preserve">Anotar cada consulta ANTES de ejecutarla. Evita que dos personas corran la misma query y deja evidencia de la estrategia de busqueda para el informe.</x:t>
  </x:si>
  <x:si>
    <x:t xml:space="preserve">N</x:t>
  </x:si>
  <x:si>
    <x:t xml:space="preserve">Cadena booleana ejecutada</x:t>
  </x:si>
  <x:si>
    <x:t xml:space="preserve">Fecha</x:t>
  </x:si>
  <x:si>
    <x:t xml:space="preserve">Resultados</x:t>
  </x:si>
  <x:si>
    <x:t xml:space="preserve">Utiles</x:t>
  </x:si>
  <x:si>
    <x:t xml:space="preserve">Quien</x:t>
  </x:si>
  <x:si>
    <x:t xml:space="preserve">Notas / criterio</x:t>
  </x:si>
  <x:si>
    <x:t xml:space="preserve">Otro</x:t>
  </x:si>
  <x:si>
    <x:t xml:space="preserve">site:finops.org "FinOps Framework"</x:t>
  </x:si>
  <x:si>
    <x:t xml:space="preserve">Scopus</x:t>
  </x:si>
  <x:si>
    <x:t xml:space="preserve">TITLE-ABS-KEY(("cloud comput*" OR "cloud service*" OR "public cloud") AND ("cost allocation" OR chargeback OR showback OR "cost attribution")) AND PUBYEAR &gt; 2014 AND (LIMIT-TO(DOCTYPE,"ar") OR LIMIT-TO(DOCTYPE,"cp"))</x:t>
  </x:si>
  <x:si>
    <x:t xml:space="preserve">TS=(("cloud comput*" OR "cloud service*" OR "public cloud") AND ("cost allocation" OR chargeback OR showback OR "cost attribution")) AND PY=(2015-2026)</x:t>
  </x:si>
  <x:si>
    <x:t xml:space="preserve">IEEE Xplore</x:t>
  </x:si>
  <x:si>
    <x:t xml:space="preserve">("cloud comput*" OR "cloud service*" OR "public cloud") AND ("cost allocation" OR chargeback OR showback OR "cost attribution")</x:t>
  </x:si>
  <x:si>
    <x:t xml:space="preserve">ScienceDirect</x:t>
  </x:si>
  <x:si>
    <x:t xml:space="preserve">("cloud computing" OR "public cloud") AND ("cost allocation" OR chargeback OR showback)</x:t>
  </x:si>
  <x:si>
    <x:t xml:space="preserve">TITLE-ABS-KEY(("cloud comput*" OR "cloud service*" OR "public cloud") AND ("shared cost*" OR "cost sharing" OR "resource tagging" OR "cost accountability")) AND PUBYEAR &gt; 2014 AND (LIMIT-TO(DOCTYPE,"ar") OR LIMIT-TO(DOCTYPE,"cp"))</x:t>
  </x:si>
  <x:si>
    <x:t xml:space="preserve">TS=(("cloud comput*" OR "cloud service*" OR "public cloud") AND ("shared cost*" OR "cost sharing" OR "resource tagging" OR "cost accountability")) AND PY=(2015-2026)</x:t>
  </x:si>
  <x:si>
    <x:t xml:space="preserve">("cloud comput*" OR "cloud service*" OR "public cloud") AND ("shared cost*" OR "cost sharing" OR "resource tagging" OR "cost accountability")</x:t>
  </x:si>
  <x:si>
    <x:t xml:space="preserve">("cloud computing" OR "public cloud") AND ("shared costs" OR "cost sharing" OR "resource tagging")</x:t>
  </x:si>
  <x:si>
    <x:t xml:space="preserve">TITLE-ABS-KEY(("cloud comput*" OR "cloud service*" OR SaaS) AND ("unit cost*" OR "unit economics" OR "cost per transaction" OR "cost per request")) AND PUBYEAR &gt; 2014 AND (LIMIT-TO(DOCTYPE,"ar") OR LIMIT-TO(DOCTYPE,"cp"))</x:t>
  </x:si>
  <x:si>
    <x:t xml:space="preserve">TS=(("cloud comput*" OR "cloud service*" OR SaaS) AND ("unit cost*" OR "unit economics" OR "cost per transaction" OR "cost per request")) AND PY=(2015-2026)</x:t>
  </x:si>
  <x:si>
    <x:t xml:space="preserve">("cloud comput*" OR "cloud service*" OR SaaS) AND ("unit cost*" OR "unit economics" OR "cost per transaction" OR "cost per request")</x:t>
  </x:si>
  <x:si>
    <x:t xml:space="preserve">("cloud computing" OR SaaS) AND ("unit cost" OR "unit economics" OR "cost per transaction")</x:t>
  </x:si>
  <x:si>
    <x:t xml:space="preserve">TITLE-ABS-KEY(("large language model*" OR LLM OR "generative AI") AND ("inference cost*" OR "cost per token" OR "serving cost*")) AND PUBYEAR &gt; 2021 AND (LIMIT-TO(DOCTYPE,"ar") OR LIMIT-TO(DOCTYPE,"cp"))</x:t>
  </x:si>
  <x:si>
    <x:t xml:space="preserve">TS=(("large language model*" OR LLM OR "generative AI") AND ("inference cost*" OR "cost per token" OR "serving cost*")) AND PY=(2022-2026)</x:t>
  </x:si>
  <x:si>
    <x:t xml:space="preserve">("large language model*" OR LLM OR "generative AI") AND ("inference cost*" OR "cost per token" OR "serving cost*")</x:t>
  </x:si>
  <x:si>
    <x:t xml:space="preserve">("large language model" OR LLM) AND ("inference cost" OR "cost per token")</x:t>
  </x:si>
  <x:si>
    <x:t xml:space="preserve">TITLE-ABS-KEY(("cloud comput*" OR "cloud service*" OR "public cloud") AND ("pricing model*" OR "pricing scheme*" OR "spot pricing" OR "reserved instance*" OR "commitment discount*")) AND PUBYEAR &gt; 2014 AND (LIMIT-TO(DOCTYPE,"ar") OR LIMIT-TO(DOCTYPE,"cp"))</x:t>
  </x:si>
  <x:si>
    <x:t xml:space="preserve">TS=(("cloud comput*" OR "cloud service*" OR "public cloud") AND ("pricing model*" OR "pricing scheme*" OR "spot pricing" OR "reserved instance*" OR "commitment discount*")) AND PY=(2015-2026)</x:t>
  </x:si>
  <x:si>
    <x:t xml:space="preserve">("cloud comput*" OR "cloud service*" OR "public cloud") AND ("pricing model*" OR "pricing scheme*" OR "spot pricing" OR "reserved instance*" OR "commitment discount*")</x:t>
  </x:si>
  <x:si>
    <x:t xml:space="preserve">("cloud computing") AND ("pricing model*" OR "spot pricing" OR "reserved instance*" OR "commitment discount*")</x:t>
  </x:si>
  <x:si>
    <x:t xml:space="preserve">TITLE-ABS-KEY(("cloud comput*" OR "cloud service*" OR "data cent*") AND (rightsizing OR "right-sizing" OR overprovision* OR underutiliz* OR "idle resource*")) AND PUBYEAR &gt; 2014 AND (LIMIT-TO(DOCTYPE,"ar") OR LIMIT-TO(DOCTYPE,"cp"))</x:t>
  </x:si>
  <x:si>
    <x:t xml:space="preserve">TS=(("cloud comput*" OR "cloud service*" OR "data cent*") AND (rightsizing OR "right-sizing" OR overprovision* OR underutiliz* OR "idle resource*")) AND PY=(2015-2026)</x:t>
  </x:si>
  <x:si>
    <x:t xml:space="preserve">("cloud comput*" OR "cloud service*" OR "data cent*") AND (rightsizing OR "right-sizing" OR overprovision* OR underutiliz* OR "idle resource*")</x:t>
  </x:si>
  <x:si>
    <x:t xml:space="preserve">("cloud computing" OR "data center") AND (rightsizing OR overprovision* OR "idle resources")</x:t>
  </x:si>
  <x:si>
    <x:t xml:space="preserve">TITLE-ABS-KEY(("cloud comput*" OR "public cloud" OR "multi-cloud") AND ("data transfer cost*" OR "egress cost*" OR "network cost*" OR "cross-region" OR "inter-zone")) AND PUBYEAR &gt; 2014 AND (LIMIT-TO(DOCTYPE,"ar") OR LIMIT-TO(DOCTYPE,"cp"))</x:t>
  </x:si>
  <x:si>
    <x:t xml:space="preserve">TS=(("cloud comput*" OR "public cloud" OR "multi-cloud") AND ("data transfer cost*" OR "egress cost*" OR "network cost*" OR "cross-region" OR "inter-zone")) AND PY=(2015-2026)</x:t>
  </x:si>
  <x:si>
    <x:t xml:space="preserve">("cloud comput*" OR "public cloud" OR "multi-cloud") AND ("data transfer cost*" OR "egress cost*" OR "network cost*" OR "cross-region" OR "inter-zone")</x:t>
  </x:si>
  <x:si>
    <x:t xml:space="preserve">("cloud computing" OR "multi-cloud") AND ("data transfer cost" OR "egress cost" OR "network cost")</x:t>
  </x:si>
  <x:si>
    <x:t xml:space="preserve">TITLE-ABS-KEY(("cloud comput*" OR "cloud migration" OR "cloud adoption") AND ("total cost of ownership" OR "cost-benefit analys*" OR "net present value" OR "return on investment")) AND PUBYEAR &gt; 2014 AND (LIMIT-TO(DOCTYPE,"ar") OR LIMIT-TO(DOCTYPE,"cp"))</x:t>
  </x:si>
  <x:si>
    <x:t xml:space="preserve">TS=(("cloud comput*" OR "cloud migration" OR "cloud adoption") AND ("total cost of ownership" OR "cost-benefit analys*" OR "net present value" OR "return on investment")) AND PY=(2015-2026)</x:t>
  </x:si>
  <x:si>
    <x:t xml:space="preserve">("cloud comput*" OR "cloud migration" OR "cloud adoption") AND ("total cost of ownership" OR "cost-benefit analys*" OR "net present value" OR "return on investment")</x:t>
  </x:si>
  <x:si>
    <x:t xml:space="preserve">("cloud computing" OR "cloud migration") AND ("total cost of ownership" OR "net present value" OR "cost-benefit analysis")</x:t>
  </x:si>
  <x:si>
    <x:t xml:space="preserve">TITLE-ABS-KEY(("cloud adoption" OR "cloud migration" OR "cloud repatriation" OR "hybrid cloud") AND (cost* OR economic* OR "decision model*")) AND PUBYEAR &gt; 2014 AND (LIMIT-TO(DOCTYPE,"ar") OR LIMIT-TO(DOCTYPE,"cp"))</x:t>
  </x:si>
  <x:si>
    <x:t xml:space="preserve">TS=(("cloud adoption" OR "cloud migration" OR "cloud repatriation" OR "hybrid cloud") AND (cost* OR economic* OR "decision model*")) AND PY=(2015-2026)</x:t>
  </x:si>
  <x:si>
    <x:t xml:space="preserve">("cloud adoption" OR "cloud migration" OR "cloud repatriation" OR "hybrid cloud") AND (cost* OR economic* OR "decision model*")</x:t>
  </x:si>
  <x:si>
    <x:t xml:space="preserve">("cloud adoption" OR "cloud repatriation" OR "hybrid cloud") AND (cost* OR economic*)</x:t>
  </x:si>
  <x:si>
    <x:t xml:space="preserve">TITLE-ABS-KEY(("cloud comput*" OR "cloud adoption") AND ("cost governance" OR "cost accountability" OR "FinOps" OR "cloud financial management" OR "organizational barrier*")) AND PUBYEAR &gt; 2017 AND (LIMIT-TO(DOCTYPE,"ar") OR LIMIT-TO(DOCTYPE,"cp"))</x:t>
  </x:si>
  <x:si>
    <x:t xml:space="preserve">TS=(("cloud comput*" OR "cloud adoption") AND ("cost governance" OR "cost accountability" OR "FinOps" OR "cloud financial management" OR "organizational barrier*")) AND PY=(2018-2026)</x:t>
  </x:si>
  <x:si>
    <x:t xml:space="preserve">("cloud comput*" OR "cloud adoption") AND ("cost governance" OR "cost accountability" OR "FinOps" OR "cloud financial management" OR "organizational barrier*")</x:t>
  </x:si>
  <x:si>
    <x:t xml:space="preserve">("cloud computing" OR "cloud adoption") AND ("cost governance" OR "cost accountability" OR "organizational barriers")</x:t>
  </x:si>
  <x:si>
    <x:t xml:space="preserve">"FinOps Open Cost and Usage Specification" FOCUS specification version</x:t>
  </x:si>
  <x:si>
    <x:t xml:space="preserve">AWS region Chile Santiago availability codigo region 2026</x:t>
  </x:si>
  <x:si>
    <x:t xml:space="preserve">Azure Chile Central region availability Microsoft official</x:t>
  </x:si>
  <x:si>
    <x:t xml:space="preserve">Google Cloud region Santiago Chile southamerica-west1</x:t>
  </x:si>
  <x:si>
    <x:t xml:space="preserve">FinOps marco Inform Optimize Operate roles ingenieria finanzas compras</x:t>
  </x:si>
  <x:si>
    <x:t xml:space="preserve">Se selecciono el marco original de FinOps Foundation; se descartaron resumenes de terceros.</x:t>
  </x:si>
  <x:si>
    <x:t xml:space="preserve">asignacion de costos cloud etiquetas showback chargeback costos compartidos</x:t>
  </x:si>
  <x:si>
    <x:t xml:space="preserve">Fuente original: capacidad Allocation del FinOps Framework.</x:t>
  </x:si>
  <x:si>
    <x:t xml:space="preserve">economia unitaria nube costo por transaccion cliente solicitud token</x:t>
  </x:si>
  <x:si>
    <x:t xml:space="preserve">Fuente original: capacidad Unit Economics del FinOps Framework.</x:t>
  </x:si>
  <x:si>
    <x:t xml:space="preserve">optimizacion costos nube rightsizing apagado compromisos spot almacenamiento arquitectura</x:t>
  </x:si>
  <x:si>
    <x:t xml:space="preserve">Se conservaron FinOps Foundation y documentacion oficial de proveedores; cifras solo desde originales.</x:t>
  </x:si>
  <x:si>
    <x:t xml:space="preserve">precio Azure Container Apps Chile Central East US vCPU memoria solicitudes</x:t>
  </x:si>
  <x:si>
    <x:t xml:space="preserve">Se consulto Azure Retail Prices API y se registraron seis medidores comparables.</x:t>
  </x:si>
  <x:si>
    <x:t xml:space="preserve">AWS region Chile precio Fargate</x:t>
  </x:si>
  <x:si>
    <x:t xml:space="preserve">Sin tarifa regional Chile verificable; se documento descarte y no se sustituyo por Sao Paulo.</x:t>
  </x:si>
  <x:si>
    <x:t xml:space="preserve">Biblioteca PUCV</x:t>
  </x:si>
  <x:si>
    <x:t xml:space="preserve">FinOps economia y optimizacion de costos en la nube</x:t>
  </x:si>
  <x:si>
    <x:t xml:space="preserve">Sin resultado directamente pertinente en el repositorio; continuar en Scopus, WoS, IEEE Xplore y ScienceDirect disponibles por PUCV.</x:t>
  </x:si>
  <x:si>
    <x:t xml:space="preserve">bases de datos Scopus Web of Science IEEE Xplore ScienceDirect</x:t>
  </x:si>
  <x:si>
    <x:t xml:space="preserve">Se verifico la disponibilidad institucional; falta ejecutar las consultas academicas pendientes con acceso PUCV.</x:t>
  </x:si>
  <x:si>
    <x:t xml:space="preserve">FOCUS especificacion datos de costo y uso cloud</x:t>
  </x:si>
  <x:si>
    <x:t xml:space="preserve">FOCUS 1.4 ratificada el 2026-06-04.</x:t>
  </x:si>
  <x:si>
    <x:t xml:space="preserve">ISO cloud computing vocabulary SLA framework</x:t>
  </x:si>
  <x:si>
    <x:t xml:space="preserve">Se registraron ISO/IEC 22123-1:2023 e ISO/IEC 19086-1:2016; texto completo puede requerir acceso institucional.</x:t>
  </x:si>
  <x:si>
    <x:t xml:space="preserve">DOI / editorial original</x:t>
  </x:si>
  <x:si>
    <x:t xml:space="preserve">https://doi.org/10.1109/TSC.2015.2453980</x:t>
  </x:si>
  <x:si>
    <x:t xml:space="preserve">DOI y metadatos cotejados con el registro original; la lectura completa queda para la redaccion.</x:t>
  </x:si>
  <x:si>
    <x:t xml:space="preserve">https://doi.org/10.3390/app16073302</x:t>
  </x:si>
  <x:si>
    <x:t xml:space="preserve">https://doi.org/10.15294/sji.v12i4.36226</x:t>
  </x:si>
  <x:si>
    <x:t xml:space="preserve">https://doi.org/10.1609/aaai.v40i48.42387</x:t>
  </x:si>
  <x:si>
    <x:t xml:space="preserve">https://doi.org/10.1109/TSC.2011.7</x:t>
  </x:si>
  <x:si>
    <x:t xml:space="preserve">https://doi.org/10.1109/ISPA-BDCloud-SustainCom-SocialCom48970.2019.00204</x:t>
  </x:si>
  <x:si>
    <x:t xml:space="preserve">https://doi.org/10.1109/CloudCom59040.2023.00032</x:t>
  </x:si>
  <x:si>
    <x:t xml:space="preserve">https://doi.org/10.1109/ICoICI65217.2025.11253514</x:t>
  </x:si>
  <x:si>
    <x:t xml:space="preserve">https://doi.org/10.1016/j.mcm.2010.03.037</x:t>
  </x:si>
  <x:si>
    <x:t xml:space="preserve">https://doi.org/10.1016/j.jss.2017.02.049</x:t>
  </x:si>
  <x:si>
    <x:t xml:space="preserve">https://doi.org/10.1016/j.dss.2016.03.009</x:t>
  </x:si>
  <x:si>
    <x:t xml:space="preserve">https://doi.org/10.1016/j.future.2018.08.005</x:t>
  </x:si>
  <x:si>
    <x:t xml:space="preserve">Producto</x:t>
  </x:si>
  <x:si>
    <x:t xml:space="preserve">Proveedor</x:t>
  </x:si>
  <x:si>
    <x:t xml:space="preserve">Moneda</x:t>
  </x:si>
  <x:si>
    <x:t xml:space="preserve">Region</x:t>
  </x:si>
  <x:si>
    <x:t xml:space="preserve">Unidad de cobro</x:t>
  </x:si>
  <x:si>
    <x:t xml:space="preserve">Precio</x:t>
  </x:si>
  <x:si>
    <x:t xml:space="preserve">Condicion</x:t>
  </x:si>
  <x:si>
    <x:t xml:space="preserve">Enlace original</x:t>
  </x:si>
  <x:si>
    <x:t xml:space="preserve">Observaciones</x:t>
  </x:si>
  <x:si>
    <x:t xml:space="preserve">Formula / normalizacion</x:t>
  </x:si>
  <x:si>
    <x:t xml:space="preserve">Valor normalizado</x:t>
  </x:si>
  <x:si>
    <x:t xml:space="preserve">Unidad normalizada</x:t>
  </x:si>
  <x:si>
    <x:t xml:space="preserve">Azure Container Apps - Standard vCPU Active Usage</x:t>
  </x:si>
  <x:si>
    <x:t xml:space="preserve">Microsoft Azure</x:t>
  </x:si>
  <x:si>
    <x:t xml:space="preserve">USD</x:t>
  </x:si>
  <x:si>
    <x:t xml:space="preserve">Chile Central</x:t>
  </x:si>
  <x:si>
    <x:t xml:space="preserve">vCPU-segundo</x:t>
  </x:si>
  <x:si>
    <x:t xml:space="preserve">Precio de lista publico</x:t>
  </x:si>
  <x:si>
    <x:t xml:space="preserve">https://prices.azure.com/api/retail/prices?$filter=serviceName%20eq%20%27Azure%20Container%20Apps%27%20and%20armRegionName%20eq%20%27chilecentral%27</x:t>
  </x:si>
  <x:si>
    <x:t xml:space="preserve">Medidor oficial Standard; vigencia del precio 2026-01-01.</x:t>
  </x:si>
  <x:si>
    <x:t xml:space="preserve">Precio por segundo x 3600</x:t>
  </x:si>
  <x:si>
    <x:t xml:space="preserve">USD/vCPU-hora</x:t>
  </x:si>
  <x:si>
    <x:t xml:space="preserve">Azure Container Apps - Standard Memory Active Usage</x:t>
  </x:si>
  <x:si>
    <x:t xml:space="preserve">GiB-segundo</x:t>
  </x:si>
  <x:si>
    <x:t xml:space="preserve">USD/GiB-hora</x:t>
  </x:si>
  <x:si>
    <x:t xml:space="preserve">Azure Container Apps - Standard Requests</x:t>
  </x:si>
  <x:si>
    <x:t xml:space="preserve">1 millon de solicitudes</x:t>
  </x:si>
  <x:si>
    <x:t xml:space="preserve">Sin conversion</x:t>
  </x:si>
  <x:si>
    <x:t xml:space="preserve">USD por 1 millon de solicitudes</x:t>
  </x:si>
  <x:si>
    <x:t xml:space="preserve">East US</x:t>
  </x:si>
  <x:si>
    <x:t xml:space="preserve">https://prices.azure.com/api/retail/prices?$filter=serviceName%20eq%20%27Azure%20Container%20Apps%27%20and%20armRegionName%20eq%20%27eastus%27</x:t>
  </x:si>
  <x:si>
    <x:t xml:space="preserve">Medidor oficial Standard; vigencia del precio 2022-06-01.</x:t>
  </x:si>
  <x:si>
    <x:t xml:space="preserve">AWS Fargate</x:t>
  </x:si>
  <x:si>
    <x:t xml:space="preserve">AWS</x:t>
  </x:si>
  <x:si>
    <x:t xml:space="preserve">South America (Sao Paulo)</x:t>
  </x:si>
  <x:si>
    <x:t xml:space="preserve">vCPU-hora y GB-hora</x:t>
  </x:si>
  <x:si>
    <x:t xml:space="preserve">Precio publico pendiente de captura reproducible</x:t>
  </x:si>
  <x:si>
    <x:t xml:space="preserve">No usar como precio de Chile; capturar configuracion y region exactas antes del TCO.</x:t>
  </x:si>
  <x:si>
    <x:t xml:space="preserve">Componente</x:t>
  </x:si>
  <x:si>
    <x:t xml:space="preserve">Alternativa</x:t>
  </x:si>
  <x:si>
    <x:t xml:space="preserve">Tipo</x:t>
  </x:si>
  <x:si>
    <x:t xml:space="preserve">Justificacion</x:t>
  </x:si>
  <x:si>
    <x:t xml:space="preserve">Fuente original</x:t>
  </x:si>
  <x:si>
    <x:t xml:space="preserve">Ultima validacion</x:t>
  </x:si>
  <x:si>
    <x:t xml:space="preserve">Contenedores serverless</x:t>
  </x:si>
  <x:si>
    <x:t xml:space="preserve">Principal</x:t>
  </x:si>
  <x:si>
    <x:t xml:space="preserve">Servicio administrado con cobro por vCPU, memoria y tiempo de ejecucion.</x:t>
  </x:si>
  <x:si>
    <x:t xml:space="preserve">Identificada</x:t>
  </x:si>
  <x:si>
    <x:t xml:space="preserve">Azure Container Apps</x:t>
  </x:si>
  <x:si>
    <x:t xml:space="preserve">Escala a cero y factura por uso activo/inactivo, memoria, CPU y solicitudes.</x:t>
  </x:si>
  <x:si>
    <x:t xml:space="preserve">Google Cloud Run</x:t>
  </x:si>
  <x:si>
    <x:t xml:space="preserve">Adicional</x:t>
  </x:si>
  <x:si>
    <x:t xml:space="preserve">Santiago, Chile</x:t>
  </x:si>
  <x:si>
    <x:t xml:space="preserve">Alternativa regional adicional que debe compararse con la misma carga y supuestos.</x:t>
  </x:si>
  <x:si>
    <x:t xml:space="preserve">Pendiente de precio</x:t>
  </x:si>
  <x:si>
    <x:t xml:space="preserve">Despliegue</x:t>
  </x:si>
  <x:si>
    <x:t xml:space="preserve">On-premise, nube publica o hibrido</x:t>
  </x:si>
  <x:si>
    <x:t xml:space="preserve">Multiproveedor</x:t>
  </x:si>
  <x:si>
    <x:t xml:space="preserve">Arquitectura</x:t>
  </x:si>
  <x:si>
    <x:t xml:space="preserve">Chile</x:t>
  </x:si>
  <x:si>
    <x:t xml:space="preserve">Alternativas exigidas por el analisis de TCO, resiliencia, portabilidad y operacion desconectada.</x:t>
  </x:si>
  <x:si>
    <x:t xml:space="preserve">Herramientas nativas</x:t>
  </x:si>
  <x:si>
    <x:t xml:space="preserve">AWS Cost Explorer</x:t>
  </x:si>
  <x:si>
    <x:t xml:space="preserve">Base exigida</x:t>
  </x:si>
  <x:si>
    <x:t xml:space="preserve">Global</x:t>
  </x:si>
  <x:si>
    <x:t xml:space="preserve">Analisis y visualizacion nativa de costos AWS.</x:t>
  </x:si>
  <x:si>
    <x:t xml:space="preserve">https://aws.amazon.com/aws-cost-management/aws-cost-explorer/</x:t>
  </x:si>
  <x:si>
    <x:t xml:space="preserve">Azure Cost Management</x:t>
  </x:si>
  <x:si>
    <x:t xml:space="preserve">Presupuestos, alertas, analisis y recomendaciones en Azure.</x:t>
  </x:si>
  <x:si>
    <x:t xml:space="preserve">https://learn.microsoft.com/en-us/azure/cost-management-billing/</x:t>
  </x:si>
  <x:si>
    <x:t xml:space="preserve">Cloud Billing</x:t>
  </x:si>
  <x:si>
    <x:t xml:space="preserve">Gestion nativa de facturacion, exportaciones y presupuestos de GCP.</x:t>
  </x:si>
  <x:si>
    <x:t xml:space="preserve">https://cloud.google.com/billing/docs</x:t>
  </x:si>
  <x:si>
    <x:t xml:space="preserve">OCI Cost Analysis</x:t>
  </x:si>
  <x:si>
    <x:t xml:space="preserve">Oracle</x:t>
  </x:si>
  <x:si>
    <x:t xml:space="preserve">Adicional 1</x:t>
  </x:si>
  <x:si>
    <x:t xml:space="preserve">Alternativa nativa adicional para analisis, presupuestos y reportes OCI.</x:t>
  </x:si>
  <x:si>
    <x:t xml:space="preserve">https://docs.oracle.com/en-us/iaas/Content/Billing/</x:t>
  </x:si>
  <x:si>
    <x:t xml:space="preserve">IBM Cloud Cost Estimator</x:t>
  </x:si>
  <x:si>
    <x:t xml:space="preserve">IBM</x:t>
  </x:si>
  <x:si>
    <x:t xml:space="preserve">Adicional 2</x:t>
  </x:si>
  <x:si>
    <x:t xml:space="preserve">Alternativa nativa adicional para estimacion y seguimiento de costos IBM Cloud.</x:t>
  </x:si>
  <x:si>
    <x:t xml:space="preserve">https://cloud.ibm.com/docs/account?topic=account-cost</x:t>
  </x:si>
  <x:si>
    <x:t xml:space="preserve">Plataformas multicloud</x:t>
  </x:si>
  <x:si>
    <x:t xml:space="preserve">Cloudability</x:t>
  </x:si>
  <x:si>
    <x:t xml:space="preserve">IBM Apptio</x:t>
  </x:si>
  <x:si>
    <x:t xml:space="preserve">Plataforma comercial de gestion financiera multicloud.</x:t>
  </x:si>
  <x:si>
    <x:t xml:space="preserve">https://www.ibm.com/products/cloudability</x:t>
  </x:si>
  <x:si>
    <x:t xml:space="preserve">Solo por cotizacion</x:t>
  </x:si>
  <x:si>
    <x:t xml:space="preserve">CloudHealth</x:t>
  </x:si>
  <x:si>
    <x:t xml:space="preserve">Broadcom</x:t>
  </x:si>
  <x:si>
    <x:t xml:space="preserve">Gestion y gobierno de costos multicloud.</x:t>
  </x:si>
  <x:si>
    <x:t xml:space="preserve">https://www.cloudhealthtech.com/</x:t>
  </x:si>
  <x:si>
    <x:t xml:space="preserve">CloudZero</x:t>
  </x:si>
  <x:si>
    <x:t xml:space="preserve">Asignacion y costos unitarios orientados a producto.</x:t>
  </x:si>
  <x:si>
    <x:t xml:space="preserve">https://www.cloudzero.com/</x:t>
  </x:si>
  <x:si>
    <x:t xml:space="preserve">Vantage</x:t>
  </x:si>
  <x:si>
    <x:t xml:space="preserve">Visibilidad, presupuestos y optimizacion multicloud.</x:t>
  </x:si>
  <x:si>
    <x:t xml:space="preserve">https://www.vantage.sh/</x:t>
  </x:si>
  <x:si>
    <x:t xml:space="preserve">Finout</x:t>
  </x:si>
  <x:si>
    <x:t xml:space="preserve">Asignacion y observabilidad de costos multicloud.</x:t>
  </x:si>
  <x:si>
    <x:t xml:space="preserve">https://www.finout.io/</x:t>
  </x:si>
  <x:si>
    <x:t xml:space="preserve">nOps</x:t>
  </x:si>
  <x:si>
    <x:t xml:space="preserve">Optimizacion de costos y compromisos con foco en AWS.</x:t>
  </x:si>
  <x:si>
    <x:t xml:space="preserve">https://www.nops.io/</x:t>
  </x:si>
  <x:si>
    <x:t xml:space="preserve">Harness Cloud Cost Management</x:t>
  </x:si>
  <x:si>
    <x:t xml:space="preserve">Harness</x:t>
  </x:si>
  <x:si>
    <x:t xml:space="preserve">Alternativa adicional para gobierno y optimizacion de costos cloud.</x:t>
  </x:si>
  <x:si>
    <x:t xml:space="preserve">https://www.harness.io/products/cloud-ai-cost-management</x:t>
  </x:si>
  <x:si>
    <x:t xml:space="preserve">Densify</x:t>
  </x:si>
  <x:si>
    <x:t xml:space="preserve">Alternativa adicional de optimizacion y dimensionamiento de recursos.</x:t>
  </x:si>
  <x:si>
    <x:t xml:space="preserve">https://www.densify.com/</x:t>
  </x:si>
  <x:si>
    <x:t xml:space="preserve">Costos Kubernetes</x:t>
  </x:si>
  <x:si>
    <x:t xml:space="preserve">OpenCost</x:t>
  </x:si>
  <x:si>
    <x:t xml:space="preserve">Modelo abierto de asignacion de costos Kubernetes.</x:t>
  </x:si>
  <x:si>
    <x:t xml:space="preserve">Kubecost</x:t>
  </x:si>
  <x:si>
    <x:t xml:space="preserve">Visibilidad y asignacion de costos Kubernetes.</x:t>
  </x:si>
  <x:si>
    <x:t xml:space="preserve">https://www.kubecost.com/</x:t>
  </x:si>
  <x:si>
    <x:t xml:space="preserve">CAST AI</x:t>
  </x:si>
  <x:si>
    <x:t xml:space="preserve">Automatizacion de costos y recursos Kubernetes.</x:t>
  </x:si>
  <x:si>
    <x:t xml:space="preserve">https://cast.ai/</x:t>
  </x:si>
  <x:si>
    <x:t xml:space="preserve">StormForge</x:t>
  </x:si>
  <x:si>
    <x:t xml:space="preserve">Optimizacion de recursos y rendimiento Kubernetes.</x:t>
  </x:si>
  <x:si>
    <x:t xml:space="preserve">https://stormforge.io/</x:t>
  </x:si>
  <x:si>
    <x:t xml:space="preserve">PerfectScale</x:t>
  </x:si>
  <x:si>
    <x:t xml:space="preserve">Alternativa adicional de rightsizing continuo para Kubernetes.</x:t>
  </x:si>
  <x:si>
    <x:t xml:space="preserve">https://docs.perfectscale.io/</x:t>
  </x:si>
  <x:si>
    <x:t xml:space="preserve">ScaleOps</x:t>
  </x:si>
  <x:si>
    <x:t xml:space="preserve">Alternativa adicional de optimizacion automatizada para Kubernetes.</x:t>
  </x:si>
  <x:si>
    <x:t xml:space="preserve">https://scaleops.com/</x:t>
  </x:si>
  <x:si>
    <x:t xml:space="preserve">Estimacion temprana</x:t>
  </x:si>
  <x:si>
    <x:t xml:space="preserve">Estimacion de costos de infraestructura como codigo en CI/CD.</x:t>
  </x:si>
  <x:si>
    <x:t xml:space="preserve">Cloud Custodian</x:t>
  </x:si>
  <x:si>
    <x:t xml:space="preserve">Cloud Custodian / CNCF</x:t>
  </x:si>
  <x:si>
    <x:t xml:space="preserve">Politicas como codigo para gobierno y control preventivo.</x:t>
  </x:si>
  <x:si>
    <x:t xml:space="preserve">https://cloudcustodian.io/docs/</x:t>
  </x:si>
  <x:si>
    <x:t xml:space="preserve">AWS Pricing Calculator</x:t>
  </x:si>
  <x:si>
    <x:t xml:space="preserve">Estimacion reproducible previa al despliegue para servicios AWS.</x:t>
  </x:si>
  <x:si>
    <x:t xml:space="preserve">https://calculator.aws/</x:t>
  </x:si>
  <x:si>
    <x:t xml:space="preserve">Azure Pricing Calculator</x:t>
  </x:si>
  <x:si>
    <x:t xml:space="preserve">Estimacion reproducible previa al despliegue para servicios Azure.</x:t>
  </x:si>
  <x:si>
    <x:t xml:space="preserve">https://azure.microsoft.com/en-us/pricing/calculator/</x:t>
  </x:si>
  <x:si>
    <x:t xml:space="preserve">Estandares</x:t>
  </x:si>
  <x:si>
    <x:t xml:space="preserve">FOCUS</x:t>
  </x:si>
  <x:si>
    <x:t xml:space="preserve">Esquema abierto de datos de costo y uso.</x:t>
  </x:si>
  <x:si>
    <x:t xml:space="preserve">ISO/IEC 22123-1:2023</x:t>
  </x:si>
  <x:si>
    <x:t xml:space="preserve">Vocabulario normativo de cloud computing.</x:t>
  </x:si>
  <x:si>
    <x:t xml:space="preserve">ISO/IEC 19086-1:2016</x:t>
  </x:si>
  <x:si>
    <x:t xml:space="preserve">Marco normativo para SLA cloud.</x:t>
  </x:si>
  <x:si>
    <x:t xml:space="preserve">Consulta o alternativa</x:t>
  </x:si>
  <x:si>
    <x:t xml:space="preserve">Resultado</x:t>
  </x:si>
  <x:si>
    <x:t xml:space="preserve">Criterio de descarte</x:t>
  </x:si>
  <x:si>
    <x:t xml:space="preserve">Responsable</x:t>
  </x:si>
  <x:si>
    <x:t xml:space="preserve">Evidencia</x:t>
  </x:si>
  <x:si>
    <x:t xml:space="preserve">Precio de AWS Fargate en Region Chile</x:t>
  </x:si>
  <x:si>
    <x:t xml:space="preserve">Sitio oficial AWS</x:t>
  </x:si>
  <x:si>
    <x:t xml:space="preserve">Sin precio regional verificable</x:t>
  </x:si>
  <x:si>
    <x:t xml:space="preserve">No se reemplaza por Sao Paulo sin declararlo y sin una captura regional reproducible.</x:t>
  </x:si>
  <x:si>
    <x:t xml:space="preserve">https://aws.amazon.com/es/local/chile/</x:t>
  </x:si>
  <x:si>
    <x:t xml:space="preserve">Valores numericos no visibles en paginas dinamicas</x:t>
  </x:si>
  <x:si>
    <x:t xml:space="preserve">Sitios oficiales de proveedores</x:t>
  </x:si>
  <x:si>
    <x:t xml:space="preserve">Descartado como cifra</x:t>
  </x:si>
  <x:si>
    <x:t xml:space="preserve">Se exige API oficial, calculadora con configuracion reproducible o cotizacion.</x:t>
  </x:si>
  <x:si>
    <x:t xml:space="preserve">Registrar producto, region, moneda, fecha, unidad y condicion.</x:t>
  </x:si>
  <x:si>
    <x:t xml:space="preserve">FinOps economia y optimizacion de costos</x:t>
  </x:si>
  <x:si>
    <x:t xml:space="preserve">Repositorio PUCV</x:t>
  </x:si>
  <x:si>
    <x:t xml:space="preserve">Sin resultados directamente pertinentes</x:t>
  </x:si>
  <x:si>
    <x:t xml:space="preserve">Se conserva como busqueda sin resultado y se continua en bases academicas suscritas por PUCV.</x:t>
  </x:si>
  <x:si>
    <x:t xml:space="preserve">https://repositorio.pucv.cl/</x:t>
  </x:si>
  <x:si>
    <x:t xml:space="preserve">Comparaciones comerciales sin metodologia o fuente primaria</x:t>
  </x:si>
  <x:si>
    <x:t xml:space="preserve">Web abierta</x:t>
  </x:si>
  <x:si>
    <x:t xml:space="preserve">Descartadas como fuente primaria</x:t>
  </x:si>
  <x:si>
    <x:t xml:space="preserve">No se aceptan agregadores, rankings ni blogs sin metodologia y sin enlace al original.</x:t>
  </x:si>
  <x:si>
    <x:t xml:space="preserve">Criterio aplicado a toda cifra y comparacion.</x:t>
  </x:si>
  <x:si>
    <x:t xml:space="preserve">Alternativas adicionales por categoria</x:t>
  </x:si>
  <x:si>
    <x:t xml:space="preserve">Documentacion oficial</x:t>
  </x:si>
  <x:si>
    <x:t xml:space="preserve">Busqueda con alternativas suficientes</x:t>
  </x:si>
  <x:si>
    <x:t xml:space="preserve">Se registraron dos adicionales por cada categoria exigida; no corresponde declarar ausencia.</x:t>
  </x:si>
  <x:si>
    <x:t xml:space="preserve">Ver hoja Alternativas.</x:t>
  </x:si>
</x:sst>
</file>

<file path=xl/styles.xml><?xml version="1.0" encoding="utf-8"?>
<x:styleSheet xmlns:x="http://schemas.openxmlformats.org/spreadsheetml/2006/main">
  <x:numFmts count="2">
    <x:numFmt numFmtId="164" formatCode="yyyy-mm-dd"/>
    <x:numFmt numFmtId="165" formatCode="0.000000"/>
  </x:numFmts>
  <x:fonts count="22">
    <x:font>
      <x:sz val="11"/>
      <x:color theme="1"/>
      <x:name val="Calibri"/>
    </x:font>
    <x:font>
      <x:b/>
      <x:sz val="14"/>
      <x:color rgb="FF1F3864"/>
      <x:name val="Arial"/>
    </x:font>
    <x:font>
      <x:i/>
      <x:sz val="9"/>
      <x:color rgb="FF595959"/>
      <x:name val="Arial"/>
    </x:font>
    <x:font>
      <x:sz val="11"/>
      <x:color theme="1"/>
      <x:name val="Calibri"/>
    </x:font>
    <x:font>
      <x:b/>
      <x:sz val="10"/>
      <x:color rgb="FFFFFFFF"/>
      <x:name val="Arial"/>
    </x:font>
    <x:font>
      <x:b/>
      <x:sz val="11"/>
      <x:color rgb="FF1F3864"/>
      <x:name val="Arial"/>
    </x:font>
    <x:font>
      <x:sz val="9"/>
      <x:color theme="1"/>
      <x:name val="Arial"/>
    </x:font>
    <x:font>
      <x:i/>
      <x:sz val="9"/>
      <x:color rgb="FF808080"/>
      <x:name val="Arial"/>
    </x:font>
    <x:font>
      <x:sz val="9"/>
      <x:color theme="1"/>
      <x:name val="Consolas"/>
    </x:font>
    <x:font>
      <x:b/>
      <x:sz val="10"/>
      <x:color theme="1"/>
      <x:name val="Arial"/>
    </x:font>
    <x:font>
      <x:b/>
      <x:sz val="12"/>
      <x:color rgb="FF1F3864"/>
      <x:name val="Arial"/>
    </x:font>
    <x:font>
      <x:sz val="10"/>
      <x:color theme="1"/>
      <x:name val="Arial"/>
    </x:font>
    <x:font>
      <x:sz val="10"/>
      <x:color rgb="FF1F3864"/>
      <x:name val="Arial"/>
    </x:font>
    <x:font>
      <x:b/>
      <x:sz val="10"/>
      <x:color rgb="FFC00000"/>
      <x:name val="Arial"/>
    </x:font>
    <x:font>
      <x:b/>
      <x:sz val="11"/>
      <x:color rgb="FFFFFFFF"/>
      <x:name val="Calibri"/>
    </x:font>
    <x:font/>
    <x:font>
      <x:b/>
      <x:sz val="11"/>
      <x:color rgb="FF7F6000"/>
      <x:name val="Calibri"/>
    </x:font>
    <x:font>
      <x:sz val="11"/>
      <x:color rgb="FF7F6000"/>
      <x:name val="Calibri"/>
    </x:font>
    <x:font>
      <x:sz val="11"/>
      <x:color rgb="FF0000FF"/>
      <x:name val="Calibri"/>
    </x:font>
    <x:font>
      <x:b/>
      <x:sz val="16"/>
      <x:color rgb="FFFFFFFF"/>
      <x:name val="Calibri"/>
    </x:font>
    <x:font>
      <x:i/>
      <x:sz val="11"/>
      <x:color rgb="FF1F1F1F"/>
      <x:name val="Calibri"/>
    </x:font>
    <x:font>
      <x:b/>
      <x:sz val="12"/>
      <x:color rgb="FF1F4E78"/>
      <x:name val="Calibri"/>
    </x:font>
  </x:fonts>
  <x:fills count="14">
    <x:fill>
      <x:patternFill patternType="none"/>
    </x:fill>
    <x:fill>
      <x:patternFill patternType="lightGray"/>
    </x:fill>
    <x:fill>
      <x:patternFill patternType="solid">
        <x:fgColor rgb="FF2F5597"/>
      </x:patternFill>
    </x:fill>
    <x:fill>
      <x:patternFill patternType="solid">
        <x:fgColor rgb="FFF2F2F2"/>
      </x:patternFill>
    </x:fill>
    <x:fill>
      <x:patternFill patternType="solid">
        <x:fgColor rgb="FFFFC7CE"/>
      </x:patternFill>
    </x:fill>
    <x:fill>
      <x:patternFill patternType="solid">
        <x:fgColor rgb="FFFCE4D6"/>
      </x:patternFill>
    </x:fill>
    <x:fill>
      <x:patternFill patternType="solid">
        <x:fgColor rgb="FFC6EFCE"/>
      </x:patternFill>
    </x:fill>
    <x:fill>
      <x:patternFill patternType="solid">
        <x:fgColor rgb="FFFFF2CC"/>
      </x:patternFill>
    </x:fill>
    <x:fill>
      <x:patternFill patternType="solid">
        <x:fgColor rgb="FFFFFFFF"/>
      </x:patternFill>
    </x:fill>
    <x:fill>
      <x:patternFill patternType="solid">
        <x:fgColor rgb="FF1F4E78"/>
      </x:patternFill>
    </x:fill>
    <x:fill>
      <x:patternFill patternType="solid">
        <x:fgColor rgb="FFF4CCCC"/>
      </x:patternFill>
    </x:fill>
    <x:fill>
      <x:patternFill patternType="solid">
        <x:fgColor rgb="FF1F4E78"/>
      </x:patternFill>
    </x:fill>
    <x:fill>
      <x:patternFill patternType="solid">
        <x:fgColor rgb="FFD9EAF7"/>
      </x:patternFill>
    </x:fill>
    <x:fill>
      <x:patternFill patternType="solid">
        <x:fgColor rgb="FF4472C4"/>
      </x:patternFill>
    </x:fill>
  </x:fills>
  <x:borders count="11">
    <x:border/>
    <x:border>
      <x:left style="thin">
        <x:color rgb="FFBFBFBF"/>
      </x:left>
      <x:right style="thin">
        <x:color rgb="FFBFBFBF"/>
      </x:right>
      <x:top style="thin">
        <x:color rgb="FFBFBFBF"/>
      </x:top>
      <x:bottom style="thin">
        <x:color rgb="FFBFBFBF"/>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left style="thin">
        <x:color rgb="FFD6B656"/>
      </x:left>
      <x:right style="thin">
        <x:color rgb="FFD6B656"/>
      </x:right>
      <x:top style="thin">
        <x:color rgb="FFD6B656"/>
      </x:top>
      <x:bottom style="thin">
        <x:color rgb="FFD6B656"/>
      </x:bottom>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
      <x:left style="thin">
        <x:color rgb="FF000000"/>
      </x:left>
      <x:right style="thin">
        <x:color rgb="FF000000"/>
      </x:right>
      <x:top style="thin">
        <x:color rgb="FF000000"/>
      </x:top>
      <x:bottom style="thin">
        <x:color rgb="FF000000"/>
      </x:bottom>
    </x:border>
  </x:borders>
  <x:cellStyleXfs count="1">
    <x:xf numFmtId="0" fontId="0" fillId="0" borderId="0" applyFont="1" applyAlignment="1"/>
  </x:cellStyleXfs>
  <x:cellXfs count="84">
    <x:xf numFmtId="0" fontId="0" fillId="0" borderId="0" xfId="0" applyFont="1" applyAlignment="1">
      <x:alignment vertical="bottom" wrapText="0"/>
    </x:xf>
    <x:xf numFmtId="0" fontId="1" fillId="0" borderId="0" xfId="0" applyFont="1" applyAlignment="1">
      <x:alignment vertical="bottom"/>
    </x:xf>
    <x:xf numFmtId="0" fontId="2" fillId="0" borderId="0" xfId="0" applyFont="1" applyAlignment="1">
      <x:alignment vertical="bottom"/>
    </x:xf>
    <x:xf numFmtId="0" fontId="3" fillId="0" borderId="0" xfId="0" applyFont="1" applyAlignment="1">
      <x:alignment vertical="bottom"/>
    </x:xf>
    <x:xf numFmtId="0" fontId="3" fillId="0" borderId="0" xfId="0" applyFont="1" applyAlignment="1">
      <x:alignment vertical="bottom" wrapText="1"/>
    </x:xf>
    <x:xf numFmtId="0" fontId="4" fillId="2" borderId="1" xfId="0" applyFont="1" applyFill="1" applyBorder="1" applyAlignment="1">
      <x:alignment horizontal="center" vertical="center" wrapText="1"/>
    </x:xf>
    <x:xf numFmtId="0" fontId="5" fillId="0" borderId="0" xfId="0" applyFont="1" applyAlignment="1">
      <x:alignment vertical="center"/>
    </x:xf>
    <x:xf numFmtId="0" fontId="3" fillId="0" borderId="0" xfId="0" applyFont="1" applyAlignment="1">
      <x:alignment vertical="center"/>
    </x:xf>
    <x:xf numFmtId="0" fontId="3" fillId="0" borderId="0" xfId="0" applyFont="1" applyAlignment="1">
      <x:alignment vertical="center" wrapText="1"/>
    </x:xf>
    <x:xf numFmtId="0" fontId="5" fillId="0" borderId="1" xfId="0" applyFont="1" applyBorder="1" applyAlignment="1">
      <x:alignment vertical="top" wrapText="1"/>
    </x:xf>
    <x:xf numFmtId="0" fontId="6" fillId="0" borderId="1" xfId="0" applyFont="1" applyBorder="1" applyAlignment="1">
      <x:alignment vertical="top" wrapText="1"/>
    </x:xf>
    <x:xf numFmtId="0" fontId="4" fillId="2" borderId="1" xfId="0" applyFont="1" applyFill="1" applyBorder="1" applyAlignment="1">
      <x:alignment vertical="center"/>
    </x:xf>
    <x:xf numFmtId="0" fontId="4" fillId="2" borderId="1" xfId="0" applyFont="1" applyFill="1" applyBorder="1" applyAlignment="1">
      <x:alignment vertical="center" wrapText="1"/>
    </x:xf>
    <x:xf numFmtId="0" fontId="6" fillId="0" borderId="1" xfId="0" applyFont="1" applyBorder="1" applyAlignment="1">
      <x:alignment vertical="center"/>
    </x:xf>
    <x:xf numFmtId="0" fontId="7" fillId="0" borderId="1" xfId="0" applyFont="1" applyBorder="1" applyAlignment="1">
      <x:alignment vertical="top" wrapText="1"/>
    </x:xf>
    <x:xf numFmtId="0" fontId="8" fillId="0" borderId="1" xfId="0" applyFont="1" applyBorder="1" applyAlignment="1">
      <x:alignment vertical="center" wrapText="1"/>
    </x:xf>
    <x:xf numFmtId="164" fontId="6" fillId="0" borderId="1" xfId="0" applyNumberFormat="1" applyFont="1" applyBorder="1" applyAlignment="1">
      <x:alignment vertical="center"/>
    </x:xf>
    <x:xf numFmtId="0" fontId="9" fillId="0" borderId="1" xfId="0" applyFont="1" applyBorder="1" applyAlignment="1">
      <x:alignment vertical="center"/>
    </x:xf>
    <x:xf numFmtId="0" fontId="10" fillId="0" borderId="0" xfId="0" applyFont="1" applyAlignment="1">
      <x:alignment vertical="bottom"/>
    </x:xf>
    <x:xf numFmtId="0" fontId="9" fillId="0" borderId="0" xfId="0" applyFont="1" applyAlignment="1">
      <x:alignment vertical="bottom"/>
    </x:xf>
    <x:xf numFmtId="0" fontId="11" fillId="0" borderId="0" xfId="0" applyFont="1" applyAlignment="1">
      <x:alignment vertical="top" wrapText="1"/>
    </x:xf>
    <x:xf numFmtId="0" fontId="11" fillId="0" borderId="1" xfId="0" applyFont="1" applyBorder="1" applyAlignment="1">
      <x:alignment vertical="center"/>
    </x:xf>
    <x:xf numFmtId="0" fontId="6" fillId="3" borderId="1" xfId="0" applyFont="1" applyFill="1" applyBorder="1" applyAlignment="1">
      <x:alignment vertical="top" wrapText="1"/>
    </x:xf>
    <x:xf numFmtId="0" fontId="11" fillId="0" borderId="1" xfId="0" applyFont="1" applyBorder="1" applyAlignment="1">
      <x:alignment vertical="center" wrapText="1"/>
    </x:xf>
    <x:xf numFmtId="0" fontId="9" fillId="4" borderId="1" xfId="0" applyFont="1" applyFill="1" applyBorder="1" applyAlignment="1">
      <x:alignment horizontal="center" vertical="center"/>
    </x:xf>
    <x:xf numFmtId="0" fontId="6" fillId="0" borderId="0" xfId="0" applyFont="1" applyAlignment="1">
      <x:alignment vertical="top" wrapText="1"/>
    </x:xf>
    <x:xf numFmtId="0" fontId="9" fillId="5" borderId="1" xfId="0" applyFont="1" applyFill="1" applyBorder="1" applyAlignment="1">
      <x:alignment horizontal="center" vertical="center"/>
    </x:xf>
    <x:xf numFmtId="0" fontId="9" fillId="6" borderId="1" xfId="0" applyFont="1" applyFill="1" applyBorder="1" applyAlignment="1">
      <x:alignment horizontal="center" vertical="center"/>
    </x:xf>
    <x:xf numFmtId="0" fontId="9" fillId="3" borderId="1" xfId="0" applyFont="1" applyFill="1" applyBorder="1" applyAlignment="1">
      <x:alignment horizontal="center" vertical="center"/>
    </x:xf>
    <x:xf numFmtId="0" fontId="9" fillId="7" borderId="1" xfId="0" applyFont="1" applyFill="1" applyBorder="1" applyAlignment="1">
      <x:alignment horizontal="center" vertical="center"/>
    </x:xf>
    <x:xf numFmtId="0" fontId="9" fillId="8" borderId="1" xfId="0" applyFont="1" applyFill="1" applyBorder="1" applyAlignment="1">
      <x:alignment horizontal="center" vertical="center"/>
    </x:xf>
    <x:xf numFmtId="0" fontId="10" fillId="0" borderId="0" xfId="0" applyFont="1"/>
    <x:xf numFmtId="0" fontId="12" fillId="0" borderId="0" xfId="0" applyFont="1" applyAlignment="1">
      <x:alignment horizontal="center"/>
    </x:xf>
    <x:xf numFmtId="0" fontId="13" fillId="0" borderId="0" xfId="0" applyFont="1" applyAlignment="1">
      <x:alignment vertical="bottom"/>
    </x:xf>
    <x:xf numFmtId="0" fontId="14" fillId="9" borderId="2" xfId="0" applyFont="1" applyFill="1" applyBorder="1" applyAlignment="1">
      <x:alignment horizontal="center" vertical="center" wrapText="1"/>
    </x:xf>
    <x:xf numFmtId="0" fontId="2" fillId="0" borderId="1" xfId="0" applyFont="1" applyBorder="1" applyAlignment="1">
      <x:alignment vertical="center" wrapText="1"/>
    </x:xf>
    <x:xf numFmtId="0" fontId="3" fillId="0" borderId="1" xfId="0" applyFont="1" applyBorder="1" applyAlignment="1">
      <x:alignment vertical="center"/>
    </x:xf>
    <x:xf numFmtId="0" fontId="3" fillId="0" borderId="1" xfId="0" applyFont="1" applyBorder="1" applyAlignment="1">
      <x:alignment vertical="center" wrapText="1"/>
    </x:xf>
    <x:xf numFmtId="0" fontId="14" fillId="9" borderId="3" xfId="0" applyFont="1" applyFill="1" applyBorder="1" applyAlignment="1">
      <x:alignment horizontal="center" vertical="center" wrapText="1"/>
    </x:xf>
    <x:xf numFmtId="0" fontId="15" fillId="0" borderId="4" xfId="0" applyFont="1" applyBorder="1"/>
    <x:xf numFmtId="0" fontId="15" fillId="0" borderId="5" xfId="0" applyFont="1" applyBorder="1"/>
    <x:xf numFmtId="0" fontId="16" fillId="7" borderId="6" xfId="0" applyFont="1" applyFill="1" applyBorder="1" applyAlignment="1">
      <x:alignment vertical="bottom" wrapText="1"/>
    </x:xf>
    <x:xf numFmtId="0" fontId="17" fillId="7" borderId="6" xfId="0" applyFont="1" applyFill="1" applyBorder="1" applyAlignment="1">
      <x:alignment vertical="bottom" wrapText="1"/>
    </x:xf>
    <x:xf numFmtId="0" fontId="17" fillId="7" borderId="7" xfId="0" applyFont="1" applyFill="1" applyBorder="1" applyAlignment="1">
      <x:alignment vertical="bottom" wrapText="1"/>
    </x:xf>
    <x:xf numFmtId="0" fontId="15" fillId="0" borderId="8" xfId="0" applyFont="1" applyBorder="1"/>
    <x:xf numFmtId="0" fontId="15" fillId="0" borderId="9" xfId="0" applyFont="1" applyBorder="1"/>
    <x:xf numFmtId="0" fontId="6" fillId="0" borderId="1" xfId="0" applyFont="1" applyBorder="1" applyAlignment="1">
      <x:alignment vertical="center" wrapText="1"/>
    </x:xf>
    <x:xf numFmtId="164" fontId="6" fillId="0" borderId="1" xfId="0" applyNumberFormat="1" applyFont="1" applyBorder="1" applyAlignment="1">
      <x:alignment vertical="center" wrapText="1"/>
    </x:xf>
    <x:xf numFmtId="0" fontId="18" fillId="0" borderId="0" xfId="0" applyFont="1" applyAlignment="1">
      <x:alignment vertical="bottom" wrapText="1"/>
    </x:xf>
    <x:xf numFmtId="164" fontId="3" fillId="0" borderId="0" xfId="0" applyNumberFormat="1" applyFont="1" applyAlignment="1">
      <x:alignment vertical="bottom" wrapText="1"/>
    </x:xf>
    <x:xf numFmtId="0" fontId="3" fillId="10" borderId="0" xfId="0" applyFont="1" applyFill="1" applyAlignment="1">
      <x:alignment vertical="bottom" wrapText="1"/>
    </x:xf>
    <x:xf numFmtId="0" fontId="14" fillId="9" borderId="10" xfId="0" applyFont="1" applyFill="1" applyBorder="1" applyAlignment="1">
      <x:alignment horizontal="center" vertical="center" wrapText="1"/>
    </x:xf>
    <x:xf numFmtId="0" fontId="3" fillId="0" borderId="10" xfId="0" applyFont="1" applyBorder="1" applyAlignment="1">
      <x:alignment vertical="bottom" wrapText="1"/>
    </x:xf>
    <x:xf numFmtId="164" fontId="3" fillId="0" borderId="10" xfId="0" applyNumberFormat="1" applyFont="1" applyBorder="1" applyAlignment="1">
      <x:alignment vertical="bottom" wrapText="1"/>
    </x:xf>
    <x:xf numFmtId="165" fontId="3" fillId="0" borderId="10" xfId="0" applyNumberFormat="1" applyFont="1" applyBorder="1" applyAlignment="1">
      <x:alignment vertical="bottom" wrapText="1"/>
    </x:xf>
    <x:xf numFmtId="164" fontId="0" fillId="0" borderId="10" xfId="0" applyNumberFormat="1" applyFont="1" applyFill="1" applyBorder="1" applyAlignment="1">
      <x:alignment vertical="bottom" wrapText="1"/>
    </x:xf>
    <x:xf numFmtId="164" fontId="0" fillId="0" borderId="0" xfId="0" applyNumberFormat="1" applyFont="1" applyFill="1" applyBorder="1" applyAlignment="1">
      <x:alignment vertical="bottom" wrapText="1"/>
    </x:xf>
    <x:xf numFmtId="165" fontId="0" fillId="0" borderId="10" xfId="0" applyNumberFormat="1" applyFont="1" applyFill="1" applyBorder="1" applyAlignment="1">
      <x:alignment vertical="bottom" wrapText="1"/>
    </x:xf>
    <x:xf numFmtId="165" fontId="0" fillId="0" borderId="0" xfId="0" applyNumberFormat="1" applyFont="1" applyFill="1" applyBorder="1" applyAlignment="1">
      <x:alignment vertical="bottom" wrapText="1"/>
    </x:xf>
    <x:xf numFmtId="165" fontId="0" fillId="0" borderId="0" xfId="0" applyNumberFormat="1" applyFont="1" applyFill="1" applyBorder="1" applyAlignment="1">
      <x:alignment vertical="bottom" wrapText="0"/>
    </x:xf>
    <x:xf numFmtId="0" fontId="0" fillId="0" borderId="10" xfId="0" applyNumberFormat="1" applyFont="1" applyFill="1" applyBorder="1" applyAlignment="1">
      <x:alignment vertical="bottom" wrapText="1"/>
    </x:xf>
    <x:xf numFmtId="0" fontId="0" fillId="0" borderId="0" xfId="0" applyNumberFormat="1" applyFont="1" applyFill="1" applyBorder="1" applyAlignment="1">
      <x:alignment vertical="bottom" wrapText="1"/>
    </x:xf>
    <x:xf numFmtId="0" fontId="0" fillId="0" borderId="10" xfId="0" applyNumberFormat="1" applyFont="1" applyFill="1" applyBorder="1" applyAlignment="1">
      <x:alignment vertical="top" wrapText="1"/>
    </x:xf>
    <x:xf numFmtId="164" fontId="0" fillId="0" borderId="10" xfId="0" applyNumberFormat="1" applyFont="1" applyFill="1" applyBorder="1" applyAlignment="1">
      <x:alignment vertical="top" wrapText="1"/>
    </x:xf>
    <x:xf numFmtId="165" fontId="0" fillId="0" borderId="1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164" fontId="0" fillId="0" borderId="0" xfId="0" applyNumberFormat="1" applyFont="1" applyFill="1" applyBorder="1" applyAlignment="1">
      <x:alignment vertical="top" wrapText="1"/>
    </x:xf>
    <x:xf numFmtId="165" fontId="0" fillId="0" borderId="0" xfId="0" applyNumberFormat="1" applyFont="1" applyFill="1" applyBorder="1" applyAlignment="1">
      <x:alignment vertical="top" wrapText="1"/>
    </x:xf>
    <x:xf numFmtId="0" fontId="0" fillId="11" borderId="0" xfId="0" applyNumberFormat="1" applyFont="1" applyFill="1" applyBorder="1" applyAlignment="1">
      <x:alignment vertical="bottom" wrapText="0"/>
    </x:xf>
    <x:xf numFmtId="0" fontId="19" fillId="11" borderId="0" xfId="0" applyNumberFormat="1" applyFont="1" applyFill="1" applyBorder="1" applyAlignment="1">
      <x:alignment vertical="bottom" wrapText="0"/>
    </x:xf>
    <x:xf numFmtId="0" fontId="19" fillId="11" borderId="0" xfId="0" applyNumberFormat="1" applyFont="1" applyFill="1" applyBorder="1" applyAlignment="1">
      <x:alignment horizontal="left" vertical="bottom" wrapText="0"/>
    </x:xf>
    <x:xf numFmtId="0" fontId="19" fillId="11" borderId="0" xfId="0" applyNumberFormat="1" applyFont="1" applyFill="1" applyBorder="1" applyAlignment="1">
      <x:alignment horizontal="left" vertical="center" wrapText="0"/>
    </x:xf>
    <x:xf numFmtId="0" fontId="0" fillId="12" borderId="0" xfId="0" applyNumberFormat="1" applyFont="1" applyFill="1" applyBorder="1" applyAlignment="1">
      <x:alignment vertical="bottom" wrapText="0"/>
    </x:xf>
    <x:xf numFmtId="0" fontId="20" fillId="12" borderId="0" xfId="0" applyNumberFormat="1" applyFont="1" applyFill="1" applyBorder="1" applyAlignment="1">
      <x:alignment vertical="bottom" wrapText="0"/>
    </x:xf>
    <x:xf numFmtId="0" fontId="20" fillId="12" borderId="0" xfId="0" applyNumberFormat="1" applyFont="1" applyFill="1" applyBorder="1" applyAlignment="1">
      <x:alignment vertical="bottom" wrapText="1"/>
    </x:xf>
    <x:xf numFmtId="164" fontId="0" fillId="0" borderId="0" xfId="0" applyNumberFormat="1" applyFont="1" applyFill="1" applyBorder="1" applyAlignment="1">
      <x:alignment vertical="bottom" wrapText="0"/>
    </x:xf>
    <x:xf numFmtId="0" fontId="0" fillId="13" borderId="0" xfId="0" applyNumberFormat="1" applyFont="1" applyFill="1" applyBorder="1" applyAlignment="1">
      <x:alignment vertical="bottom" wrapText="0"/>
    </x:xf>
    <x:xf numFmtId="0" fontId="14" fillId="13" borderId="0" xfId="0" applyNumberFormat="1" applyFont="1" applyFill="1" applyBorder="1" applyAlignment="1">
      <x:alignment vertical="bottom" wrapText="0"/>
    </x:xf>
    <x:xf numFmtId="0" fontId="14" fillId="13" borderId="0" xfId="0" applyNumberFormat="1" applyFont="1" applyFill="1" applyBorder="1" applyAlignment="1">
      <x:alignment vertical="bottom" wrapText="1"/>
    </x:xf>
    <x:xf numFmtId="0" fontId="14" fillId="13" borderId="0" xfId="0" applyNumberFormat="1" applyFont="1" applyFill="1" applyBorder="1" applyAlignment="1">
      <x:alignment vertical="center" wrapText="1"/>
    </x:xf>
    <x:xf numFmtId="0" fontId="21" fillId="12" borderId="0" xfId="0" applyNumberFormat="1" applyFont="1" applyFill="1" applyBorder="1" applyAlignment="1">
      <x:alignment vertical="bottom" wrapText="0"/>
    </x:xf>
    <x:xf numFmtId="0" fontId="21" fillId="12" borderId="0" xfId="0" applyNumberFormat="1" applyFont="1" applyFill="1" applyBorder="1" applyAlignment="1">
      <x:alignment vertical="bottom" wrapText="1"/>
    </x:xf>
    <x:xf numFmtId="0" fontId="14" fillId="13" borderId="0" xfId="0" applyNumberFormat="1" applyFont="1" applyFill="1" applyBorder="1" applyAlignment="1">
      <x:alignment vertical="top" wrapText="1"/>
    </x:xf>
    <x:xf numFmtId="0" fontId="21" fillId="12" borderId="0" xfId="0" applyNumberFormat="1" applyFont="1" applyFill="1" applyBorder="1" applyAlignment="1">
      <x:alignment vertical="top" wrapText="1"/>
    </x:xf>
  </x:cellXfs>
  <x:cellStyles count="1">
    <x:cellStyle name="Normal" xfId="0"/>
  </x:cellStyles>
  <x:dxfs count="5">
    <x:dxf>
      <x:fill>
        <x:patternFill>
          <x:bgColor rgb="FFFFC7CE"/>
        </x:patternFill>
      </x:fill>
      <x:border/>
    </x:dxf>
    <x:dxf>
      <x:fill>
        <x:patternFill>
          <x:bgColor rgb="FFC6EFCE"/>
        </x:patternFill>
      </x:fill>
      <x:border/>
    </x:dxf>
    <x:dxf>
      <x:fill>
        <x:patternFill>
          <x:bgColor rgb="FFFFF2CC"/>
        </x:patternFill>
      </x:fill>
      <x:border/>
    </x:dxf>
    <x:dxf>
      <x:fill>
        <x:patternFill>
          <x:bgColor rgb="FFFCE4D6"/>
        </x:patternFill>
      </x:fill>
      <x:border/>
    </x:dxf>
    <x:dxf>
      <x:font>
        <x:b/>
        <x:sz val="9"/>
        <x:color rgb="FF1F6F3D"/>
        <x:name val="Arial"/>
      </x:font>
      <x:fill>
        <x:patternFill patternType="none"/>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28d1d62c06e4472e" /><Relationship Type="http://schemas.openxmlformats.org/officeDocument/2006/relationships/theme" Target="/xl/theme/theme1.xml" Id="Reb5ce4da248649eb" /><Relationship Type="http://schemas.openxmlformats.org/officeDocument/2006/relationships/sharedStrings" Target="/xl/sharedStrings.xml" Id="R93b7f9c4523a4a85" /><Relationship Type="http://schemas.openxmlformats.org/officeDocument/2006/relationships/worksheet" Target="/xl/worksheets/sheet1.xml" Id="R6b03467af85446f9" /><Relationship Type="http://schemas.openxmlformats.org/officeDocument/2006/relationships/worksheet" Target="/xl/worksheets/sheet2.xml" Id="Ref34ddd0c4d24d3b" /><Relationship Type="http://schemas.openxmlformats.org/officeDocument/2006/relationships/worksheet" Target="/xl/worksheets/sheet3.xml" Id="Ra6b43875244b4b21" /><Relationship Type="http://schemas.openxmlformats.org/officeDocument/2006/relationships/worksheet" Target="/xl/worksheets/sheet4.xml" Id="R4182998738634ce0" /><Relationship Type="http://schemas.openxmlformats.org/officeDocument/2006/relationships/worksheet" Target="/xl/worksheets/sheet5.xml" Id="R89a975d6989c485c" /><Relationship Type="http://schemas.openxmlformats.org/officeDocument/2006/relationships/worksheet" Target="/xl/worksheets/sheet6.xml" Id="Rae410fccf4214b79" /><Relationship Type="http://schemas.openxmlformats.org/officeDocument/2006/relationships/worksheet" Target="/xl/worksheets/sheet7.xml" Id="R8797abfeadd249ea" /><Relationship Type="http://schemas.openxmlformats.org/officeDocument/2006/relationships/worksheet" Target="/xl/worksheets/sheet8.xml" Id="Rb3b7d1e5a21f44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hyperlink" Target="https://doi.org/10.1109/TSC.2015.2453980" TargetMode="External" Id="R03d9331f54684527" /><Relationship Type="http://schemas.openxmlformats.org/officeDocument/2006/relationships/hyperlink" Target="https://doi.org/10.3390/app16073302" TargetMode="External" Id="R01b6172f4401487c" /></Relationships>
</file>

<file path=xl/worksheets/sheet1.xml><?xml version="1.0" encoding="utf-8"?>
<x:worksheet xmlns:x="http://schemas.openxmlformats.org/spreadsheetml/2006/main">
  <x:sheetFormatPr defaultColWidth="14.430000305175781" defaultRowHeight="15"/>
  <x:cols>
    <x:col min="1" max="1" width="8" customWidth="1"/>
    <x:col min="2" max="2" width="46" customWidth="1"/>
    <x:col min="3" max="4" width="52" customWidth="1"/>
    <x:col min="5" max="6" width="8.710000038146973" customWidth="1"/>
  </x:cols>
  <x:sheetData>
    <x:row r="1" ht="17.25" customHeight="1">
      <x:c r="A1" s="1" t="s">
        <x:v>0</x:v>
      </x:c>
    </x:row>
    <x:row r="2" ht="15" customHeight="1">
      <x:c r="A2" s="2" t="s">
        <x:v>1</x:v>
      </x:c>
    </x:row>
    <x:row r="3">
      <x:c r="A3" s="3"/>
      <x:c r="B3" s="3"/>
      <x:c r="C3" s="3"/>
      <x:c r="D3" s="3"/>
    </x:row>
    <x:row r="4" ht="15" customHeight="1">
      <x:c r="A4" s="5"/>
      <x:c r="B4" s="5" t="s">
        <x:v>2</x:v>
      </x:c>
      <x:c r="C4" s="5" t="s">
        <x:v>3</x:v>
      </x:c>
      <x:c r="D4" s="5" t="s">
        <x:v>4</x:v>
      </x:c>
    </x:row>
    <x:row r="5" ht="57.75" customHeight="1">
      <x:c r="A5" s="9" t="s">
        <x:v>5</x:v>
      </x:c>
      <x:c r="B5" s="10" t="s">
        <x:v>6</x:v>
      </x:c>
      <x:c r="C5" s="10" t="s">
        <x:v>7</x:v>
      </x:c>
      <x:c r="D5" s="10" t="s">
        <x:v>8</x:v>
      </x:c>
    </x:row>
    <x:row r="6" ht="57.75" customHeight="1">
      <x:c r="A6" s="9" t="s">
        <x:v>9</x:v>
      </x:c>
      <x:c r="B6" s="10" t="s">
        <x:v>10</x:v>
      </x:c>
      <x:c r="C6" s="10" t="s">
        <x:v>11</x:v>
      </x:c>
      <x:c r="D6" s="10" t="s">
        <x:v>12</x:v>
      </x:c>
    </x:row>
    <x:row r="7" ht="57.75" customHeight="1">
      <x:c r="A7" s="9" t="s">
        <x:v>13</x:v>
      </x:c>
      <x:c r="B7" s="10" t="s">
        <x:v>14</x:v>
      </x:c>
      <x:c r="C7" s="10" t="s">
        <x:v>15</x:v>
      </x:c>
      <x:c r="D7" s="10" t="s">
        <x:v>16</x:v>
      </x:c>
    </x:row>
    <x:row r="8">
      <x:c r="A8" s="3"/>
      <x:c r="B8" s="3"/>
      <x:c r="C8" s="3"/>
      <x:c r="D8" s="3"/>
    </x:row>
    <x:row r="9">
      <x:c r="A9" s="3"/>
      <x:c r="B9" s="3"/>
      <x:c r="C9" s="3"/>
      <x:c r="D9" s="3"/>
    </x:row>
    <x:row r="10" ht="15" customHeight="1">
      <x:c r="A10" s="18" t="s">
        <x:v>17</x:v>
      </x:c>
      <x:c r="B10" s="3"/>
      <x:c r="C10" s="3"/>
      <x:c r="D10" s="3"/>
    </x:row>
    <x:row r="11" ht="30" customHeight="1">
      <x:c r="A11" s="19" t="s">
        <x:v>18</x:v>
      </x:c>
      <x:c r="B11" s="20" t="s">
        <x:v>19</x:v>
      </x:c>
    </x:row>
    <x:row r="12" ht="30" customHeight="1">
      <x:c r="A12" s="19" t="s">
        <x:v>20</x:v>
      </x:c>
      <x:c r="B12" s="20" t="s">
        <x:v>21</x:v>
      </x:c>
    </x:row>
    <x:row r="13" ht="30" customHeight="1">
      <x:c r="A13" s="19" t="s">
        <x:v>22</x:v>
      </x:c>
      <x:c r="B13" s="20" t="s">
        <x:v>23</x:v>
      </x:c>
    </x:row>
    <x:row r="14" ht="30" customHeight="1">
      <x:c r="A14" s="19" t="s">
        <x:v>24</x:v>
      </x:c>
      <x:c r="B14" s="20" t="s">
        <x:v>25</x:v>
      </x:c>
    </x:row>
    <x:row r="15" ht="30" customHeight="1">
      <x:c r="A15" s="19" t="s">
        <x:v>26</x:v>
      </x:c>
      <x:c r="B15" s="20" t="s">
        <x:v>27</x:v>
      </x:c>
    </x:row>
    <x:row r="16" ht="30" customHeight="1">
      <x:c r="A16" s="19" t="s">
        <x:v>28</x:v>
      </x:c>
      <x:c r="B16" s="20" t="s">
        <x:v>29</x:v>
      </x:c>
    </x:row>
    <x:row r="17" ht="30" customHeight="1">
      <x:c r="A17" s="19" t="s">
        <x:v>30</x:v>
      </x:c>
      <x:c r="B17" s="20" t="s">
        <x:v>31</x:v>
      </x:c>
    </x:row>
    <x:row r="18">
      <x:c r="A18" s="3"/>
      <x:c r="B18" s="3"/>
      <x:c r="C18" s="3"/>
      <x:c r="D18" s="3"/>
    </x:row>
    <x:row r="19" ht="15" customHeight="1">
      <x:c r="A19" s="18" t="s">
        <x:v>32</x:v>
      </x:c>
      <x:c r="B19" s="3"/>
      <x:c r="C19" s="3"/>
      <x:c r="D19" s="3"/>
    </x:row>
    <x:row r="20" ht="30" customHeight="1">
      <x:c r="A20" s="24" t="s">
        <x:v>33</x:v>
      </x:c>
      <x:c r="B20" s="25" t="s">
        <x:v>34</x:v>
      </x:c>
    </x:row>
    <x:row r="21" ht="30" customHeight="1">
      <x:c r="A21" s="26" t="s">
        <x:v>35</x:v>
      </x:c>
      <x:c r="B21" s="25" t="s">
        <x:v>36</x:v>
      </x:c>
    </x:row>
    <x:row r="22" ht="30" customHeight="1">
      <x:c r="A22" s="27" t="s">
        <x:v>37</x:v>
      </x:c>
      <x:c r="B22" s="25" t="s">
        <x:v>38</x:v>
      </x:c>
    </x:row>
    <x:row r="23" ht="30" customHeight="1">
      <x:c r="A23" s="28" t="s">
        <x:v>39</x:v>
      </x:c>
      <x:c r="B23" s="25" t="s">
        <x:v>40</x:v>
      </x:c>
    </x:row>
    <x:row r="24" ht="30" customHeight="1">
      <x:c r="A24" s="29" t="s">
        <x:v>41</x:v>
      </x:c>
      <x:c r="B24" s="25" t="s">
        <x:v>42</x:v>
      </x:c>
    </x:row>
    <x:row r="25" ht="30" customHeight="1">
      <x:c r="A25" s="30" t="s">
        <x:v>43</x:v>
      </x:c>
      <x:c r="B25" s="25" t="s">
        <x:v>44</x:v>
      </x:c>
    </x:row>
    <x:row r="26" ht="15" customHeight="1">
      <x:c r="A26" s="31" t="s">
        <x:v>45</x:v>
      </x:c>
      <x:c r="B26" s="3"/>
      <x:c r="C26" s="3"/>
      <x:c r="D26" s="3"/>
    </x:row>
    <x:row r="27" ht="30" customHeight="1">
      <x:c r="A27" s="32" t="s">
        <x:v>46</x:v>
      </x:c>
      <x:c r="B27" s="25" t="s">
        <x:v>47</x:v>
      </x:c>
    </x:row>
    <x:row r="28" ht="30" customHeight="1">
      <x:c r="A28" s="32" t="s">
        <x:v>46</x:v>
      </x:c>
      <x:c r="B28" s="25" t="s">
        <x:v>48</x:v>
      </x:c>
    </x:row>
    <x:row r="29" ht="30" customHeight="1">
      <x:c r="A29" s="32" t="s">
        <x:v>46</x:v>
      </x:c>
      <x:c r="B29" s="25" t="s">
        <x:v>49</x:v>
      </x:c>
    </x:row>
    <x:row r="30" ht="30" customHeight="1">
      <x:c r="A30" s="32" t="s">
        <x:v>46</x:v>
      </x:c>
      <x:c r="B30" s="25" t="s">
        <x:v>50</x:v>
      </x:c>
    </x:row>
    <x:row r="31" ht="30" customHeight="1">
      <x:c r="A31" s="32" t="s">
        <x:v>46</x:v>
      </x:c>
      <x:c r="B31" s="25" t="s">
        <x:v>51</x:v>
      </x:c>
    </x:row>
    <x:row r="32" ht="15.75" customHeight="1">
      <x:c r="A32" s="3"/>
      <x:c r="B32" s="3"/>
      <x:c r="C32" s="3"/>
      <x:c r="D32" s="3"/>
    </x:row>
    <x:row r="33" ht="15.75" customHeight="1">
      <x:c r="A33" s="18" t="s">
        <x:v>52</x:v>
      </x:c>
      <x:c r="B33" s="3"/>
      <x:c r="C33" s="3"/>
      <x:c r="D33" s="3"/>
    </x:row>
    <x:row r="34" ht="42" customHeight="1">
      <x:c r="A34" s="33" t="s">
        <x:v>53</x:v>
      </x:c>
      <x:c r="B34" s="25" t="s">
        <x:v>54</x:v>
      </x:c>
      <x:c r="C34" s="3"/>
      <x:c r="D34" s="3"/>
    </x:row>
    <x:row r="35" ht="42" customHeight="1">
      <x:c r="A35" s="33" t="s">
        <x:v>53</x:v>
      </x:c>
      <x:c r="B35" s="25" t="s">
        <x:v>55</x:v>
      </x:c>
      <x:c r="C35" s="3"/>
      <x:c r="D35" s="3"/>
    </x:row>
    <x:row r="36" ht="42" customHeight="1">
      <x:c r="A36" s="33" t="s">
        <x:v>53</x:v>
      </x:c>
      <x:c r="B36" s="25" t="s">
        <x:v>56</x:v>
      </x:c>
      <x:c r="C36" s="3"/>
      <x:c r="D36" s="3"/>
    </x:row>
    <x:row r="37" ht="42" customHeight="1">
      <x:c r="A37" s="33" t="s">
        <x:v>53</x:v>
      </x:c>
      <x:c r="B37" s="25" t="s">
        <x:v>57</x:v>
      </x:c>
      <x:c r="C37" s="3"/>
      <x:c r="D37" s="3"/>
    </x:row>
    <x:row r="38" ht="42" customHeight="1">
      <x:c r="A38" s="3"/>
      <x:c r="B38" s="3"/>
      <x:c r="C38" s="3"/>
      <x:c r="D38" s="3"/>
    </x:row>
    <x:row r="39" ht="15.75" customHeight="1">
      <x:c r="A39" s="34" t="s">
        <x:v>58</x:v>
      </x:c>
      <x:c r="B39" s="34"/>
      <x:c r="C39" s="34"/>
      <x:c r="D39" s="34"/>
    </x:row>
    <x:row r="40" ht="15.75" customHeight="1">
      <x:c r="A40" s="4" t="s">
        <x:v>53</x:v>
      </x:c>
      <x:c r="B40" s="4" t="s">
        <x:v>59</x:v>
      </x:c>
      <x:c r="C40" s="4"/>
      <x:c r="D40" s="4"/>
    </x:row>
    <x:row r="41" ht="15.75" customHeight="1">
      <x:c r="A41" s="4" t="s">
        <x:v>53</x:v>
      </x:c>
      <x:c r="B41" s="4" t="s">
        <x:v>60</x:v>
      </x:c>
      <x:c r="C41" s="4"/>
      <x:c r="D41" s="4"/>
    </x:row>
    <x:row r="42" ht="15.75" customHeight="1">
      <x:c r="A42" s="4" t="s">
        <x:v>53</x:v>
      </x:c>
      <x:c r="B42" s="4" t="s">
        <x:v>61</x:v>
      </x:c>
      <x:c r="C42" s="4"/>
      <x:c r="D42" s="4"/>
    </x:row>
    <x:row r="43" ht="15.75" customHeight="1">
      <x:c r="A43" s="3"/>
      <x:c r="B43" s="3"/>
      <x:c r="C43" s="3"/>
      <x:c r="D43" s="3"/>
    </x:row>
    <x:row r="44" ht="15.75" customHeight="1">
      <x:c r="A44" s="3"/>
      <x:c r="B44" s="3"/>
      <x:c r="C44" s="3"/>
      <x:c r="D44" s="3"/>
    </x:row>
    <x:row r="45" ht="15.75" customHeight="1">
      <x:c r="A45" s="3"/>
      <x:c r="B45" s="3"/>
      <x:c r="C45" s="3"/>
      <x:c r="D45" s="3"/>
    </x:row>
    <x:row r="46" ht="15.75" customHeight="1">
      <x:c r="A46" s="3"/>
      <x:c r="B46" s="3"/>
      <x:c r="C46" s="3"/>
      <x:c r="D46" s="3"/>
    </x:row>
    <x:row r="47" ht="15.75" customHeight="1">
      <x:c r="A47" s="3"/>
      <x:c r="B47" s="3"/>
      <x:c r="C47" s="3"/>
      <x:c r="D47" s="3"/>
    </x:row>
    <x:row r="48" ht="15.75" customHeight="1">
      <x:c r="A48" s="3"/>
      <x:c r="B48" s="3"/>
      <x:c r="C48" s="3"/>
      <x:c r="D48" s="3"/>
    </x:row>
    <x:row r="49" ht="15.75" customHeight="1">
      <x:c r="A49" s="3"/>
      <x:c r="B49" s="3"/>
      <x:c r="C49" s="3"/>
      <x:c r="D49" s="3"/>
    </x:row>
    <x:row r="50" ht="15.75" customHeight="1">
      <x:c r="A50" s="3"/>
      <x:c r="B50" s="3"/>
      <x:c r="C50" s="3"/>
      <x:c r="D50" s="3"/>
    </x:row>
    <x:row r="51" ht="15.75" customHeight="1">
      <x:c r="A51" s="3"/>
      <x:c r="B51" s="3"/>
      <x:c r="C51" s="3"/>
      <x:c r="D51" s="3"/>
    </x:row>
    <x:row r="52" ht="15.75" customHeight="1">
      <x:c r="A52" s="3"/>
      <x:c r="B52" s="3"/>
      <x:c r="C52" s="3"/>
      <x:c r="D52" s="3"/>
    </x:row>
    <x:row r="53" ht="15.75" customHeight="1">
      <x:c r="A53" s="3"/>
      <x:c r="B53" s="3"/>
      <x:c r="C53" s="3"/>
      <x:c r="D53" s="3"/>
    </x:row>
    <x:row r="54" ht="15.75" customHeight="1">
      <x:c r="A54" s="3"/>
      <x:c r="B54" s="3"/>
      <x:c r="C54" s="3"/>
      <x:c r="D54" s="3"/>
    </x:row>
    <x:row r="55" ht="15.75" customHeight="1">
      <x:c r="A55" s="3"/>
      <x:c r="B55" s="3"/>
      <x:c r="C55" s="3"/>
      <x:c r="D55" s="3"/>
    </x:row>
    <x:row r="56" ht="15.75" customHeight="1">
      <x:c r="A56" s="3"/>
      <x:c r="B56" s="3"/>
      <x:c r="C56" s="3"/>
      <x:c r="D56" s="3"/>
    </x:row>
    <x:row r="57" ht="15.75" customHeight="1">
      <x:c r="A57" s="3"/>
      <x:c r="B57" s="3"/>
      <x:c r="C57" s="3"/>
      <x:c r="D57" s="3"/>
    </x:row>
    <x:row r="58" ht="15.75" customHeight="1">
      <x:c r="A58" s="3"/>
      <x:c r="B58" s="3"/>
      <x:c r="C58" s="3"/>
      <x:c r="D58" s="3"/>
    </x:row>
    <x:row r="59" ht="15.75" customHeight="1">
      <x:c r="A59" s="3"/>
      <x:c r="B59" s="3"/>
      <x:c r="C59" s="3"/>
      <x:c r="D59" s="3"/>
    </x:row>
    <x:row r="60" ht="15.75" customHeight="1">
      <x:c r="A60" s="3"/>
      <x:c r="B60" s="3"/>
      <x:c r="C60" s="3"/>
      <x:c r="D60" s="3"/>
    </x:row>
    <x:row r="61" ht="15.75" customHeight="1">
      <x:c r="A61" s="3"/>
      <x:c r="B61" s="3"/>
      <x:c r="C61" s="3"/>
      <x:c r="D61" s="3"/>
    </x:row>
    <x:row r="62" ht="15.75" customHeight="1">
      <x:c r="A62" s="3"/>
      <x:c r="B62" s="3"/>
      <x:c r="C62" s="3"/>
      <x:c r="D62" s="3"/>
    </x:row>
    <x:row r="63" ht="15.75" customHeight="1">
      <x:c r="A63" s="3"/>
      <x:c r="B63" s="3"/>
      <x:c r="C63" s="3"/>
      <x:c r="D63" s="3"/>
    </x:row>
    <x:row r="64" ht="15.75" customHeight="1">
      <x:c r="A64" s="3"/>
      <x:c r="B64" s="3"/>
      <x:c r="C64" s="3"/>
      <x:c r="D64" s="3"/>
    </x:row>
    <x:row r="65" ht="15.75" customHeight="1">
      <x:c r="A65" s="3"/>
      <x:c r="B65" s="3"/>
      <x:c r="C65" s="3"/>
      <x:c r="D65" s="3"/>
    </x:row>
    <x:row r="66" ht="15.75" customHeight="1">
      <x:c r="A66" s="3"/>
      <x:c r="B66" s="3"/>
      <x:c r="C66" s="3"/>
      <x:c r="D66" s="3"/>
    </x:row>
    <x:row r="67" ht="15.75" customHeight="1">
      <x:c r="A67" s="3"/>
      <x:c r="B67" s="3"/>
      <x:c r="C67" s="3"/>
      <x:c r="D67" s="3"/>
    </x:row>
    <x:row r="68" ht="15.75" customHeight="1">
      <x:c r="A68" s="3"/>
      <x:c r="B68" s="3"/>
      <x:c r="C68" s="3"/>
      <x:c r="D68" s="3"/>
    </x:row>
    <x:row r="69" ht="15.75" customHeight="1">
      <x:c r="A69" s="3"/>
      <x:c r="B69" s="3"/>
      <x:c r="C69" s="3"/>
      <x:c r="D69" s="3"/>
    </x:row>
    <x:row r="70" ht="15.75" customHeight="1">
      <x:c r="A70" s="3"/>
      <x:c r="B70" s="3"/>
      <x:c r="C70" s="3"/>
      <x:c r="D70" s="3"/>
    </x:row>
    <x:row r="71" ht="15.75" customHeight="1">
      <x:c r="A71" s="3"/>
      <x:c r="B71" s="3"/>
      <x:c r="C71" s="3"/>
      <x:c r="D71" s="3"/>
    </x:row>
    <x:row r="72" ht="15.75" customHeight="1">
      <x:c r="A72" s="3"/>
      <x:c r="B72" s="3"/>
      <x:c r="C72" s="3"/>
      <x:c r="D72" s="3"/>
    </x:row>
    <x:row r="73" ht="15.75" customHeight="1">
      <x:c r="A73" s="3"/>
      <x:c r="B73" s="3"/>
      <x:c r="C73" s="3"/>
      <x:c r="D73" s="3"/>
    </x:row>
    <x:row r="74" ht="15.75" customHeight="1">
      <x:c r="A74" s="3"/>
      <x:c r="B74" s="3"/>
      <x:c r="C74" s="3"/>
      <x:c r="D74" s="3"/>
    </x:row>
    <x:row r="75" ht="15.75" customHeight="1">
      <x:c r="A75" s="3"/>
      <x:c r="B75" s="3"/>
      <x:c r="C75" s="3"/>
      <x:c r="D75" s="3"/>
    </x:row>
    <x:row r="76" ht="15.75" customHeight="1">
      <x:c r="A76" s="3"/>
      <x:c r="B76" s="3"/>
      <x:c r="C76" s="3"/>
      <x:c r="D76" s="3"/>
    </x:row>
    <x:row r="77" ht="15.75" customHeight="1">
      <x:c r="A77" s="3"/>
      <x:c r="B77" s="3"/>
      <x:c r="C77" s="3"/>
      <x:c r="D77" s="3"/>
    </x:row>
    <x:row r="78" ht="15.75" customHeight="1">
      <x:c r="A78" s="3"/>
      <x:c r="B78" s="3"/>
      <x:c r="C78" s="3"/>
      <x:c r="D78" s="3"/>
    </x:row>
    <x:row r="79" ht="15.75" customHeight="1">
      <x:c r="A79" s="3"/>
      <x:c r="B79" s="3"/>
      <x:c r="C79" s="3"/>
      <x:c r="D79" s="3"/>
    </x:row>
    <x:row r="80" ht="15.75" customHeight="1">
      <x:c r="A80" s="3"/>
      <x:c r="B80" s="3"/>
      <x:c r="C80" s="3"/>
      <x:c r="D80" s="3"/>
    </x:row>
    <x:row r="81" ht="15.75" customHeight="1">
      <x:c r="A81" s="3"/>
      <x:c r="B81" s="3"/>
      <x:c r="C81" s="3"/>
      <x:c r="D81" s="3"/>
    </x:row>
    <x:row r="82" ht="15.75" customHeight="1">
      <x:c r="A82" s="3"/>
      <x:c r="B82" s="3"/>
      <x:c r="C82" s="3"/>
      <x:c r="D82" s="3"/>
    </x:row>
    <x:row r="83" ht="15.75" customHeight="1">
      <x:c r="A83" s="3"/>
      <x:c r="B83" s="3"/>
      <x:c r="C83" s="3"/>
      <x:c r="D83" s="3"/>
    </x:row>
    <x:row r="84" ht="15.75" customHeight="1">
      <x:c r="A84" s="3"/>
      <x:c r="B84" s="3"/>
      <x:c r="C84" s="3"/>
      <x:c r="D84" s="3"/>
    </x:row>
    <x:row r="85" ht="15.75" customHeight="1">
      <x:c r="A85" s="3"/>
      <x:c r="B85" s="3"/>
      <x:c r="C85" s="3"/>
      <x:c r="D85" s="3"/>
    </x:row>
    <x:row r="86" ht="15.75" customHeight="1">
      <x:c r="A86" s="3"/>
      <x:c r="B86" s="3"/>
      <x:c r="C86" s="3"/>
      <x:c r="D86" s="3"/>
    </x:row>
    <x:row r="87" ht="15.75" customHeight="1">
      <x:c r="A87" s="3"/>
      <x:c r="B87" s="3"/>
      <x:c r="C87" s="3"/>
      <x:c r="D87" s="3"/>
    </x:row>
    <x:row r="88" ht="15.75" customHeight="1">
      <x:c r="A88" s="3"/>
      <x:c r="B88" s="3"/>
      <x:c r="C88" s="3"/>
      <x:c r="D88" s="3"/>
    </x:row>
    <x:row r="89" ht="15.75" customHeight="1">
      <x:c r="A89" s="3"/>
      <x:c r="B89" s="3"/>
      <x:c r="C89" s="3"/>
      <x:c r="D89" s="3"/>
    </x:row>
    <x:row r="90" ht="15.75" customHeight="1">
      <x:c r="A90" s="3"/>
      <x:c r="B90" s="3"/>
      <x:c r="C90" s="3"/>
      <x:c r="D90" s="3"/>
    </x:row>
    <x:row r="91" ht="15.75" customHeight="1">
      <x:c r="A91" s="3"/>
      <x:c r="B91" s="3"/>
      <x:c r="C91" s="3"/>
      <x:c r="D91" s="3"/>
    </x:row>
    <x:row r="92" ht="15.75" customHeight="1">
      <x:c r="A92" s="3"/>
      <x:c r="B92" s="3"/>
      <x:c r="C92" s="3"/>
      <x:c r="D92" s="3"/>
    </x:row>
    <x:row r="93" ht="15.75" customHeight="1">
      <x:c r="A93" s="3"/>
      <x:c r="B93" s="3"/>
      <x:c r="C93" s="3"/>
      <x:c r="D93" s="3"/>
    </x:row>
    <x:row r="94" ht="15.75" customHeight="1">
      <x:c r="A94" s="3"/>
      <x:c r="B94" s="3"/>
      <x:c r="C94" s="3"/>
      <x:c r="D94" s="3"/>
    </x:row>
    <x:row r="95" ht="15.75" customHeight="1">
      <x:c r="A95" s="3"/>
      <x:c r="B95" s="3"/>
      <x:c r="C95" s="3"/>
      <x:c r="D95" s="3"/>
    </x:row>
    <x:row r="96" ht="15.75" customHeight="1">
      <x:c r="A96" s="3"/>
      <x:c r="B96" s="3"/>
      <x:c r="C96" s="3"/>
      <x:c r="D96" s="3"/>
    </x:row>
    <x:row r="97" ht="15.75" customHeight="1">
      <x:c r="A97" s="3"/>
      <x:c r="B97" s="3"/>
      <x:c r="C97" s="3"/>
      <x:c r="D97" s="3"/>
    </x:row>
    <x:row r="98" ht="15.75" customHeight="1">
      <x:c r="A98" s="3"/>
      <x:c r="B98" s="3"/>
      <x:c r="C98" s="3"/>
      <x:c r="D98" s="3"/>
    </x:row>
    <x:row r="99" ht="15.75" customHeight="1">
      <x:c r="A99" s="3"/>
      <x:c r="B99" s="3"/>
      <x:c r="C99" s="3"/>
      <x:c r="D99" s="3"/>
    </x:row>
    <x:row r="100" ht="15.75" customHeight="1">
      <x:c r="A100" s="3"/>
      <x:c r="B100" s="3"/>
      <x:c r="C100" s="3"/>
      <x:c r="D100" s="3"/>
    </x:row>
    <x:row r="101" ht="15.75" customHeight="1">
      <x:c r="A101" s="3"/>
      <x:c r="B101" s="3"/>
      <x:c r="C101" s="3"/>
      <x:c r="D101" s="3"/>
    </x:row>
    <x:row r="102" ht="15.75" customHeight="1">
      <x:c r="A102" s="3"/>
      <x:c r="B102" s="3"/>
      <x:c r="C102" s="3"/>
      <x:c r="D102" s="3"/>
    </x:row>
    <x:row r="103" ht="15.75" customHeight="1">
      <x:c r="A103" s="3"/>
      <x:c r="B103" s="3"/>
      <x:c r="C103" s="3"/>
      <x:c r="D103" s="3"/>
    </x:row>
    <x:row r="104" ht="15.75" customHeight="1">
      <x:c r="A104" s="3"/>
      <x:c r="B104" s="3"/>
      <x:c r="C104" s="3"/>
      <x:c r="D104" s="3"/>
    </x:row>
    <x:row r="105" ht="15.75" customHeight="1">
      <x:c r="A105" s="3"/>
      <x:c r="B105" s="3"/>
      <x:c r="C105" s="3"/>
      <x:c r="D105" s="3"/>
    </x:row>
    <x:row r="106" ht="15.75" customHeight="1">
      <x:c r="A106" s="3"/>
      <x:c r="B106" s="3"/>
      <x:c r="C106" s="3"/>
      <x:c r="D106" s="3"/>
    </x:row>
    <x:row r="107" ht="15.75" customHeight="1">
      <x:c r="A107" s="3"/>
      <x:c r="B107" s="3"/>
      <x:c r="C107" s="3"/>
      <x:c r="D107" s="3"/>
    </x:row>
    <x:row r="108" ht="15.75" customHeight="1">
      <x:c r="A108" s="3"/>
      <x:c r="B108" s="3"/>
      <x:c r="C108" s="3"/>
      <x:c r="D108" s="3"/>
    </x:row>
    <x:row r="109" ht="15.75" customHeight="1">
      <x:c r="A109" s="3"/>
      <x:c r="B109" s="3"/>
      <x:c r="C109" s="3"/>
      <x:c r="D109" s="3"/>
    </x:row>
    <x:row r="110" ht="15.75" customHeight="1">
      <x:c r="A110" s="3"/>
      <x:c r="B110" s="3"/>
      <x:c r="C110" s="3"/>
      <x:c r="D110" s="3"/>
    </x:row>
    <x:row r="111" ht="15.75" customHeight="1">
      <x:c r="A111" s="3"/>
      <x:c r="B111" s="3"/>
      <x:c r="C111" s="3"/>
      <x:c r="D111" s="3"/>
    </x:row>
    <x:row r="112" ht="15.75" customHeight="1">
      <x:c r="A112" s="3"/>
      <x:c r="B112" s="3"/>
      <x:c r="C112" s="3"/>
      <x:c r="D112" s="3"/>
    </x:row>
    <x:row r="113" ht="15.75" customHeight="1">
      <x:c r="A113" s="3"/>
      <x:c r="B113" s="3"/>
      <x:c r="C113" s="3"/>
      <x:c r="D113" s="3"/>
    </x:row>
    <x:row r="114" ht="15.75" customHeight="1">
      <x:c r="A114" s="3"/>
      <x:c r="B114" s="3"/>
      <x:c r="C114" s="3"/>
      <x:c r="D114" s="3"/>
    </x:row>
    <x:row r="115" ht="15.75" customHeight="1">
      <x:c r="A115" s="3"/>
      <x:c r="B115" s="3"/>
      <x:c r="C115" s="3"/>
      <x:c r="D115" s="3"/>
    </x:row>
    <x:row r="116" ht="15.75" customHeight="1">
      <x:c r="A116" s="3"/>
      <x:c r="B116" s="3"/>
      <x:c r="C116" s="3"/>
      <x:c r="D116" s="3"/>
    </x:row>
    <x:row r="117" ht="15.75" customHeight="1">
      <x:c r="A117" s="3"/>
      <x:c r="B117" s="3"/>
      <x:c r="C117" s="3"/>
      <x:c r="D117" s="3"/>
    </x:row>
    <x:row r="118" ht="15.75" customHeight="1">
      <x:c r="A118" s="3"/>
      <x:c r="B118" s="3"/>
      <x:c r="C118" s="3"/>
      <x:c r="D118" s="3"/>
    </x:row>
    <x:row r="119" ht="15.75" customHeight="1">
      <x:c r="A119" s="3"/>
      <x:c r="B119" s="3"/>
      <x:c r="C119" s="3"/>
      <x:c r="D119" s="3"/>
    </x:row>
    <x:row r="120" ht="15.75" customHeight="1">
      <x:c r="A120" s="3"/>
      <x:c r="B120" s="3"/>
      <x:c r="C120" s="3"/>
      <x:c r="D120" s="3"/>
    </x:row>
    <x:row r="121" ht="15.75" customHeight="1">
      <x:c r="A121" s="3"/>
      <x:c r="B121" s="3"/>
      <x:c r="C121" s="3"/>
      <x:c r="D121" s="3"/>
    </x:row>
    <x:row r="122" ht="15.75" customHeight="1">
      <x:c r="A122" s="3"/>
      <x:c r="B122" s="3"/>
      <x:c r="C122" s="3"/>
      <x:c r="D122" s="3"/>
    </x:row>
    <x:row r="123" ht="15.75" customHeight="1">
      <x:c r="A123" s="3"/>
      <x:c r="B123" s="3"/>
      <x:c r="C123" s="3"/>
      <x:c r="D123" s="3"/>
    </x:row>
    <x:row r="124" ht="15.75" customHeight="1">
      <x:c r="A124" s="3"/>
      <x:c r="B124" s="3"/>
      <x:c r="C124" s="3"/>
      <x:c r="D124" s="3"/>
    </x:row>
    <x:row r="125" ht="15.75" customHeight="1">
      <x:c r="A125" s="3"/>
      <x:c r="B125" s="3"/>
      <x:c r="C125" s="3"/>
      <x:c r="D125" s="3"/>
    </x:row>
    <x:row r="126" ht="15.75" customHeight="1">
      <x:c r="A126" s="3"/>
      <x:c r="B126" s="3"/>
      <x:c r="C126" s="3"/>
      <x:c r="D126" s="3"/>
    </x:row>
    <x:row r="127" ht="15.75" customHeight="1">
      <x:c r="A127" s="3"/>
      <x:c r="B127" s="3"/>
      <x:c r="C127" s="3"/>
      <x:c r="D127" s="3"/>
    </x:row>
    <x:row r="128" ht="15.75" customHeight="1">
      <x:c r="A128" s="3"/>
      <x:c r="B128" s="3"/>
      <x:c r="C128" s="3"/>
      <x:c r="D128" s="3"/>
    </x:row>
    <x:row r="129" ht="15.75" customHeight="1">
      <x:c r="A129" s="3"/>
      <x:c r="B129" s="3"/>
      <x:c r="C129" s="3"/>
      <x:c r="D129" s="3"/>
    </x:row>
    <x:row r="130" ht="15.75" customHeight="1">
      <x:c r="A130" s="3"/>
      <x:c r="B130" s="3"/>
      <x:c r="C130" s="3"/>
      <x:c r="D130" s="3"/>
    </x:row>
    <x:row r="131" ht="15.75" customHeight="1">
      <x:c r="A131" s="3"/>
      <x:c r="B131" s="3"/>
      <x:c r="C131" s="3"/>
      <x:c r="D131" s="3"/>
    </x:row>
    <x:row r="132" ht="15.75" customHeight="1">
      <x:c r="A132" s="3"/>
      <x:c r="B132" s="3"/>
      <x:c r="C132" s="3"/>
      <x:c r="D132" s="3"/>
    </x:row>
    <x:row r="133" ht="15.75" customHeight="1">
      <x:c r="A133" s="3"/>
      <x:c r="B133" s="3"/>
      <x:c r="C133" s="3"/>
      <x:c r="D133" s="3"/>
    </x:row>
    <x:row r="134" ht="15.75" customHeight="1">
      <x:c r="A134" s="3"/>
      <x:c r="B134" s="3"/>
      <x:c r="C134" s="3"/>
      <x:c r="D134" s="3"/>
    </x:row>
    <x:row r="135" ht="15.75" customHeight="1">
      <x:c r="A135" s="3"/>
      <x:c r="B135" s="3"/>
      <x:c r="C135" s="3"/>
      <x:c r="D135" s="3"/>
    </x:row>
    <x:row r="136" ht="15.75" customHeight="1">
      <x:c r="A136" s="3"/>
      <x:c r="B136" s="3"/>
      <x:c r="C136" s="3"/>
      <x:c r="D136" s="3"/>
    </x:row>
    <x:row r="137" ht="15.75" customHeight="1">
      <x:c r="A137" s="3"/>
      <x:c r="B137" s="3"/>
      <x:c r="C137" s="3"/>
      <x:c r="D137" s="3"/>
    </x:row>
    <x:row r="138" ht="15.75" customHeight="1">
      <x:c r="A138" s="3"/>
      <x:c r="B138" s="3"/>
      <x:c r="C138" s="3"/>
      <x:c r="D138" s="3"/>
    </x:row>
    <x:row r="139" ht="15.75" customHeight="1">
      <x:c r="A139" s="3"/>
      <x:c r="B139" s="3"/>
      <x:c r="C139" s="3"/>
      <x:c r="D139" s="3"/>
    </x:row>
    <x:row r="140" ht="15.75" customHeight="1">
      <x:c r="A140" s="3"/>
      <x:c r="B140" s="3"/>
      <x:c r="C140" s="3"/>
      <x:c r="D140" s="3"/>
    </x:row>
    <x:row r="141" ht="15.75" customHeight="1">
      <x:c r="A141" s="3"/>
      <x:c r="B141" s="3"/>
      <x:c r="C141" s="3"/>
      <x:c r="D141" s="3"/>
    </x:row>
    <x:row r="142" ht="15.75" customHeight="1">
      <x:c r="A142" s="3"/>
      <x:c r="B142" s="3"/>
      <x:c r="C142" s="3"/>
      <x:c r="D142" s="3"/>
    </x:row>
    <x:row r="143" ht="15.75" customHeight="1">
      <x:c r="A143" s="3"/>
      <x:c r="B143" s="3"/>
      <x:c r="C143" s="3"/>
      <x:c r="D143" s="3"/>
    </x:row>
    <x:row r="144" ht="15.75" customHeight="1">
      <x:c r="A144" s="3"/>
      <x:c r="B144" s="3"/>
      <x:c r="C144" s="3"/>
      <x:c r="D144" s="3"/>
    </x:row>
    <x:row r="145" ht="15.75" customHeight="1">
      <x:c r="A145" s="3"/>
      <x:c r="B145" s="3"/>
      <x:c r="C145" s="3"/>
      <x:c r="D145" s="3"/>
    </x:row>
    <x:row r="146" ht="15.75" customHeight="1">
      <x:c r="A146" s="3"/>
      <x:c r="B146" s="3"/>
      <x:c r="C146" s="3"/>
      <x:c r="D146" s="3"/>
    </x:row>
    <x:row r="147" ht="15.75" customHeight="1">
      <x:c r="A147" s="3"/>
      <x:c r="B147" s="3"/>
      <x:c r="C147" s="3"/>
      <x:c r="D147" s="3"/>
    </x:row>
    <x:row r="148" ht="15.75" customHeight="1">
      <x:c r="A148" s="3"/>
      <x:c r="B148" s="3"/>
      <x:c r="C148" s="3"/>
      <x:c r="D148" s="3"/>
    </x:row>
    <x:row r="149" ht="15.75" customHeight="1">
      <x:c r="A149" s="3"/>
      <x:c r="B149" s="3"/>
      <x:c r="C149" s="3"/>
      <x:c r="D149" s="3"/>
    </x:row>
    <x:row r="150" ht="15.75" customHeight="1">
      <x:c r="A150" s="3"/>
      <x:c r="B150" s="3"/>
      <x:c r="C150" s="3"/>
      <x:c r="D150" s="3"/>
    </x:row>
    <x:row r="151" ht="15.75" customHeight="1">
      <x:c r="A151" s="3"/>
      <x:c r="B151" s="3"/>
      <x:c r="C151" s="3"/>
      <x:c r="D151" s="3"/>
    </x:row>
    <x:row r="152" ht="15.75" customHeight="1">
      <x:c r="A152" s="3"/>
      <x:c r="B152" s="3"/>
      <x:c r="C152" s="3"/>
      <x:c r="D152" s="3"/>
    </x:row>
    <x:row r="153" ht="15.75" customHeight="1">
      <x:c r="A153" s="3"/>
      <x:c r="B153" s="3"/>
      <x:c r="C153" s="3"/>
      <x:c r="D153" s="3"/>
    </x:row>
    <x:row r="154" ht="15.75" customHeight="1">
      <x:c r="A154" s="3"/>
      <x:c r="B154" s="3"/>
      <x:c r="C154" s="3"/>
      <x:c r="D154" s="3"/>
    </x:row>
    <x:row r="155" ht="15.75" customHeight="1">
      <x:c r="A155" s="3"/>
      <x:c r="B155" s="3"/>
      <x:c r="C155" s="3"/>
      <x:c r="D155" s="3"/>
    </x:row>
    <x:row r="156" ht="15.75" customHeight="1">
      <x:c r="A156" s="3"/>
      <x:c r="B156" s="3"/>
      <x:c r="C156" s="3"/>
      <x:c r="D156" s="3"/>
    </x:row>
    <x:row r="157" ht="15.75" customHeight="1">
      <x:c r="A157" s="3"/>
      <x:c r="B157" s="3"/>
      <x:c r="C157" s="3"/>
      <x:c r="D157" s="3"/>
    </x:row>
    <x:row r="158" ht="15.75" customHeight="1">
      <x:c r="A158" s="3"/>
      <x:c r="B158" s="3"/>
      <x:c r="C158" s="3"/>
      <x:c r="D158" s="3"/>
    </x:row>
    <x:row r="159" ht="15.75" customHeight="1">
      <x:c r="A159" s="3"/>
      <x:c r="B159" s="3"/>
      <x:c r="C159" s="3"/>
      <x:c r="D159" s="3"/>
    </x:row>
    <x:row r="160" ht="15.75" customHeight="1">
      <x:c r="A160" s="3"/>
      <x:c r="B160" s="3"/>
      <x:c r="C160" s="3"/>
      <x:c r="D160" s="3"/>
    </x:row>
    <x:row r="161" ht="15.75" customHeight="1">
      <x:c r="A161" s="3"/>
      <x:c r="B161" s="3"/>
      <x:c r="C161" s="3"/>
      <x:c r="D161" s="3"/>
    </x:row>
    <x:row r="162" ht="15.75" customHeight="1">
      <x:c r="A162" s="3"/>
      <x:c r="B162" s="3"/>
      <x:c r="C162" s="3"/>
      <x:c r="D162" s="3"/>
    </x:row>
    <x:row r="163" ht="15.75" customHeight="1">
      <x:c r="A163" s="3"/>
      <x:c r="B163" s="3"/>
      <x:c r="C163" s="3"/>
      <x:c r="D163" s="3"/>
    </x:row>
    <x:row r="164" ht="15.75" customHeight="1">
      <x:c r="A164" s="3"/>
      <x:c r="B164" s="3"/>
      <x:c r="C164" s="3"/>
      <x:c r="D164" s="3"/>
    </x:row>
    <x:row r="165" ht="15.75" customHeight="1">
      <x:c r="A165" s="3"/>
      <x:c r="B165" s="3"/>
      <x:c r="C165" s="3"/>
      <x:c r="D165" s="3"/>
    </x:row>
    <x:row r="166" ht="15.75" customHeight="1">
      <x:c r="A166" s="3"/>
      <x:c r="B166" s="3"/>
      <x:c r="C166" s="3"/>
      <x:c r="D166" s="3"/>
    </x:row>
    <x:row r="167" ht="15.75" customHeight="1">
      <x:c r="A167" s="3"/>
      <x:c r="B167" s="3"/>
      <x:c r="C167" s="3"/>
      <x:c r="D167" s="3"/>
    </x:row>
    <x:row r="168" ht="15.75" customHeight="1">
      <x:c r="A168" s="3"/>
      <x:c r="B168" s="3"/>
      <x:c r="C168" s="3"/>
      <x:c r="D168" s="3"/>
    </x:row>
    <x:row r="169" ht="15.75" customHeight="1">
      <x:c r="A169" s="3"/>
      <x:c r="B169" s="3"/>
      <x:c r="C169" s="3"/>
      <x:c r="D169" s="3"/>
    </x:row>
    <x:row r="170" ht="15.75" customHeight="1">
      <x:c r="A170" s="3"/>
      <x:c r="B170" s="3"/>
      <x:c r="C170" s="3"/>
      <x:c r="D170" s="3"/>
    </x:row>
    <x:row r="171" ht="15.75" customHeight="1">
      <x:c r="A171" s="3"/>
      <x:c r="B171" s="3"/>
      <x:c r="C171" s="3"/>
      <x:c r="D171" s="3"/>
    </x:row>
    <x:row r="172" ht="15.75" customHeight="1">
      <x:c r="A172" s="3"/>
      <x:c r="B172" s="3"/>
      <x:c r="C172" s="3"/>
      <x:c r="D172" s="3"/>
    </x:row>
    <x:row r="173" ht="15.75" customHeight="1">
      <x:c r="A173" s="3"/>
      <x:c r="B173" s="3"/>
      <x:c r="C173" s="3"/>
      <x:c r="D173" s="3"/>
    </x:row>
    <x:row r="174" ht="15.75" customHeight="1">
      <x:c r="A174" s="3"/>
      <x:c r="B174" s="3"/>
      <x:c r="C174" s="3"/>
      <x:c r="D174" s="3"/>
    </x:row>
    <x:row r="175" ht="15.75" customHeight="1">
      <x:c r="A175" s="3"/>
      <x:c r="B175" s="3"/>
      <x:c r="C175" s="3"/>
      <x:c r="D175" s="3"/>
    </x:row>
    <x:row r="176" ht="15.75" customHeight="1">
      <x:c r="A176" s="3"/>
      <x:c r="B176" s="3"/>
      <x:c r="C176" s="3"/>
      <x:c r="D176" s="3"/>
    </x:row>
    <x:row r="177" ht="15.75" customHeight="1">
      <x:c r="A177" s="3"/>
      <x:c r="B177" s="3"/>
      <x:c r="C177" s="3"/>
      <x:c r="D177" s="3"/>
    </x:row>
    <x:row r="178" ht="15.75" customHeight="1">
      <x:c r="A178" s="3"/>
      <x:c r="B178" s="3"/>
      <x:c r="C178" s="3"/>
      <x:c r="D178" s="3"/>
    </x:row>
    <x:row r="179" ht="15.75" customHeight="1">
      <x:c r="A179" s="3"/>
      <x:c r="B179" s="3"/>
      <x:c r="C179" s="3"/>
      <x:c r="D179" s="3"/>
    </x:row>
    <x:row r="180" ht="15.75" customHeight="1">
      <x:c r="A180" s="3"/>
      <x:c r="B180" s="3"/>
      <x:c r="C180" s="3"/>
      <x:c r="D180" s="3"/>
    </x:row>
    <x:row r="181" ht="15.75" customHeight="1">
      <x:c r="A181" s="3"/>
      <x:c r="B181" s="3"/>
      <x:c r="C181" s="3"/>
      <x:c r="D181" s="3"/>
    </x:row>
    <x:row r="182" ht="15.75" customHeight="1">
      <x:c r="A182" s="3"/>
      <x:c r="B182" s="3"/>
      <x:c r="C182" s="3"/>
      <x:c r="D182" s="3"/>
    </x:row>
    <x:row r="183" ht="15.75" customHeight="1">
      <x:c r="A183" s="3"/>
      <x:c r="B183" s="3"/>
      <x:c r="C183" s="3"/>
      <x:c r="D183" s="3"/>
    </x:row>
    <x:row r="184" ht="15.75" customHeight="1">
      <x:c r="A184" s="3"/>
      <x:c r="B184" s="3"/>
      <x:c r="C184" s="3"/>
      <x:c r="D184" s="3"/>
    </x:row>
    <x:row r="185" ht="15.75" customHeight="1">
      <x:c r="A185" s="3"/>
      <x:c r="B185" s="3"/>
      <x:c r="C185" s="3"/>
      <x:c r="D185" s="3"/>
    </x:row>
    <x:row r="186" ht="15.75" customHeight="1">
      <x:c r="A186" s="3"/>
      <x:c r="B186" s="3"/>
      <x:c r="C186" s="3"/>
      <x:c r="D186" s="3"/>
    </x:row>
    <x:row r="187" ht="15.75" customHeight="1">
      <x:c r="A187" s="3"/>
      <x:c r="B187" s="3"/>
      <x:c r="C187" s="3"/>
      <x:c r="D187" s="3"/>
    </x:row>
    <x:row r="188" ht="15.75" customHeight="1">
      <x:c r="A188" s="3"/>
      <x:c r="B188" s="3"/>
      <x:c r="C188" s="3"/>
      <x:c r="D188" s="3"/>
    </x:row>
    <x:row r="189" ht="15.75" customHeight="1">
      <x:c r="A189" s="3"/>
      <x:c r="B189" s="3"/>
      <x:c r="C189" s="3"/>
      <x:c r="D189" s="3"/>
    </x:row>
    <x:row r="190" ht="15.75" customHeight="1">
      <x:c r="A190" s="3"/>
      <x:c r="B190" s="3"/>
      <x:c r="C190" s="3"/>
      <x:c r="D190" s="3"/>
    </x:row>
    <x:row r="191" ht="15.75" customHeight="1">
      <x:c r="A191" s="3"/>
      <x:c r="B191" s="3"/>
      <x:c r="C191" s="3"/>
      <x:c r="D191" s="3"/>
    </x:row>
    <x:row r="192" ht="15.75" customHeight="1">
      <x:c r="A192" s="3"/>
      <x:c r="B192" s="3"/>
      <x:c r="C192" s="3"/>
      <x:c r="D192" s="3"/>
    </x:row>
    <x:row r="193" ht="15.75" customHeight="1">
      <x:c r="A193" s="3"/>
      <x:c r="B193" s="3"/>
      <x:c r="C193" s="3"/>
      <x:c r="D193" s="3"/>
    </x:row>
    <x:row r="194" ht="15.75" customHeight="1">
      <x:c r="A194" s="3"/>
      <x:c r="B194" s="3"/>
      <x:c r="C194" s="3"/>
      <x:c r="D194" s="3"/>
    </x:row>
    <x:row r="195" ht="15.75" customHeight="1">
      <x:c r="A195" s="3"/>
      <x:c r="B195" s="3"/>
      <x:c r="C195" s="3"/>
      <x:c r="D195" s="3"/>
    </x:row>
    <x:row r="196" ht="15.75" customHeight="1">
      <x:c r="A196" s="3"/>
      <x:c r="B196" s="3"/>
      <x:c r="C196" s="3"/>
      <x:c r="D196" s="3"/>
    </x:row>
    <x:row r="197" ht="15.75" customHeight="1">
      <x:c r="A197" s="3"/>
      <x:c r="B197" s="3"/>
      <x:c r="C197" s="3"/>
      <x:c r="D197" s="3"/>
    </x:row>
    <x:row r="198" ht="15.75" customHeight="1">
      <x:c r="A198" s="3"/>
      <x:c r="B198" s="3"/>
      <x:c r="C198" s="3"/>
      <x:c r="D198" s="3"/>
    </x:row>
    <x:row r="199" ht="15.75" customHeight="1">
      <x:c r="A199" s="3"/>
      <x:c r="B199" s="3"/>
      <x:c r="C199" s="3"/>
      <x:c r="D199" s="3"/>
    </x:row>
    <x:row r="200" ht="15.75" customHeight="1">
      <x:c r="A200" s="3"/>
      <x:c r="B200" s="3"/>
      <x:c r="C200" s="3"/>
      <x:c r="D200" s="3"/>
    </x:row>
    <x:row r="201" ht="15.75" customHeight="1">
      <x:c r="A201" s="3"/>
      <x:c r="B201" s="3"/>
      <x:c r="C201" s="3"/>
      <x:c r="D201" s="3"/>
    </x:row>
    <x:row r="202" ht="15.75" customHeight="1">
      <x:c r="A202" s="3"/>
      <x:c r="B202" s="3"/>
      <x:c r="C202" s="3"/>
      <x:c r="D202" s="3"/>
    </x:row>
    <x:row r="203" ht="15.75" customHeight="1">
      <x:c r="A203" s="3"/>
      <x:c r="B203" s="3"/>
      <x:c r="C203" s="3"/>
      <x:c r="D203" s="3"/>
    </x:row>
    <x:row r="204" ht="15.75" customHeight="1">
      <x:c r="A204" s="3"/>
      <x:c r="B204" s="3"/>
      <x:c r="C204" s="3"/>
      <x:c r="D204" s="3"/>
    </x:row>
    <x:row r="205" ht="15.75" customHeight="1">
      <x:c r="A205" s="3"/>
      <x:c r="B205" s="3"/>
      <x:c r="C205" s="3"/>
      <x:c r="D205" s="3"/>
    </x:row>
    <x:row r="206" ht="15.75" customHeight="1">
      <x:c r="A206" s="3"/>
      <x:c r="B206" s="3"/>
      <x:c r="C206" s="3"/>
      <x:c r="D206" s="3"/>
    </x:row>
    <x:row r="207" ht="15.75" customHeight="1">
      <x:c r="A207" s="3"/>
      <x:c r="B207" s="3"/>
      <x:c r="C207" s="3"/>
      <x:c r="D207" s="3"/>
    </x:row>
    <x:row r="208" ht="15.75" customHeight="1">
      <x:c r="A208" s="3"/>
      <x:c r="B208" s="3"/>
      <x:c r="C208" s="3"/>
      <x:c r="D208" s="3"/>
    </x:row>
    <x:row r="209" ht="15.75" customHeight="1">
      <x:c r="A209" s="3"/>
      <x:c r="B209" s="3"/>
      <x:c r="C209" s="3"/>
      <x:c r="D209" s="3"/>
    </x:row>
    <x:row r="210" ht="15.75" customHeight="1">
      <x:c r="A210" s="3"/>
      <x:c r="B210" s="3"/>
      <x:c r="C210" s="3"/>
      <x:c r="D210" s="3"/>
    </x:row>
    <x:row r="211" ht="15.75" customHeight="1">
      <x:c r="A211" s="3"/>
      <x:c r="B211" s="3"/>
      <x:c r="C211" s="3"/>
      <x:c r="D211" s="3"/>
    </x:row>
    <x:row r="212" ht="15.75" customHeight="1">
      <x:c r="A212" s="3"/>
      <x:c r="B212" s="3"/>
      <x:c r="C212" s="3"/>
      <x:c r="D212" s="3"/>
    </x:row>
    <x:row r="213" ht="15.75" customHeight="1">
      <x:c r="A213" s="3"/>
      <x:c r="B213" s="3"/>
      <x:c r="C213" s="3"/>
      <x:c r="D213" s="3"/>
    </x:row>
    <x:row r="214" ht="15.75" customHeight="1">
      <x:c r="A214" s="3"/>
      <x:c r="B214" s="3"/>
      <x:c r="C214" s="3"/>
      <x:c r="D214" s="3"/>
    </x:row>
    <x:row r="215" ht="15.75" customHeight="1">
      <x:c r="A215" s="3"/>
      <x:c r="B215" s="3"/>
      <x:c r="C215" s="3"/>
      <x:c r="D215" s="3"/>
    </x:row>
    <x:row r="216" ht="15.75" customHeight="1">
      <x:c r="A216" s="3"/>
      <x:c r="B216" s="3"/>
      <x:c r="C216" s="3"/>
      <x:c r="D216" s="3"/>
    </x:row>
    <x:row r="217" ht="15.75" customHeight="1">
      <x:c r="A217" s="3"/>
      <x:c r="B217" s="3"/>
      <x:c r="C217" s="3"/>
      <x:c r="D217" s="3"/>
    </x:row>
    <x:row r="218" ht="15.75" customHeight="1">
      <x:c r="A218" s="3"/>
      <x:c r="B218" s="3"/>
      <x:c r="C218" s="3"/>
      <x:c r="D218" s="3"/>
    </x:row>
    <x:row r="219" ht="15.75" customHeight="1">
      <x:c r="A219" s="3"/>
      <x:c r="B219" s="3"/>
      <x:c r="C219" s="3"/>
      <x:c r="D219" s="3"/>
    </x:row>
    <x:row r="220" ht="15.75" customHeight="1">
      <x:c r="A220" s="3"/>
      <x:c r="B220" s="3"/>
      <x:c r="C220" s="3"/>
      <x:c r="D220" s="3"/>
    </x:row>
    <x:row r="221" ht="15.75" customHeight="1">
      <x:c r="A221" s="3"/>
      <x:c r="B221" s="3"/>
      <x:c r="C221" s="3"/>
      <x:c r="D221" s="3"/>
    </x:row>
    <x:row r="222" ht="15.75" customHeight="1">
      <x:c r="A222" s="3"/>
      <x:c r="B222" s="3"/>
      <x:c r="C222" s="3"/>
      <x:c r="D222" s="3"/>
    </x:row>
    <x:row r="223" ht="15.75" customHeight="1">
      <x:c r="A223" s="3"/>
      <x:c r="B223" s="3"/>
      <x:c r="C223" s="3"/>
      <x:c r="D223" s="3"/>
    </x:row>
    <x:row r="224" ht="15.75" customHeight="1">
      <x:c r="A224" s="3"/>
      <x:c r="B224" s="3"/>
      <x:c r="C224" s="3"/>
      <x:c r="D224" s="3"/>
    </x:row>
    <x:row r="225" ht="15.75" customHeight="1">
      <x:c r="A225" s="3"/>
      <x:c r="B225" s="3"/>
      <x:c r="C225" s="3"/>
      <x:c r="D225" s="3"/>
    </x:row>
    <x:row r="226" ht="15.75" customHeight="1">
      <x:c r="A226" s="3"/>
      <x:c r="B226" s="3"/>
      <x:c r="C226" s="3"/>
      <x:c r="D226" s="3"/>
    </x:row>
    <x:row r="227" ht="15.75" customHeight="1">
      <x:c r="A227" s="3"/>
      <x:c r="B227" s="3"/>
      <x:c r="C227" s="3"/>
      <x:c r="D227" s="3"/>
    </x:row>
    <x:row r="228" ht="15.75" customHeight="1">
      <x:c r="A228" s="3"/>
      <x:c r="B228" s="3"/>
      <x:c r="C228" s="3"/>
      <x:c r="D228" s="3"/>
    </x:row>
    <x:row r="229" ht="15.75" customHeight="1">
      <x:c r="A229" s="3"/>
      <x:c r="B229" s="3"/>
      <x:c r="C229" s="3"/>
      <x:c r="D229" s="3"/>
    </x:row>
    <x:row r="230" ht="15.75" customHeight="1">
      <x:c r="A230" s="3"/>
      <x:c r="B230" s="3"/>
      <x:c r="C230" s="3"/>
      <x:c r="D230" s="3"/>
    </x:row>
    <x:row r="231" ht="15.75" customHeight="1">
      <x:c r="A231" s="3"/>
      <x:c r="B231" s="3"/>
      <x:c r="C231" s="3"/>
      <x:c r="D231" s="3"/>
    </x:row>
    <x:row r="232" ht="15.75" customHeight="1">
      <x:c r="A232" s="3"/>
      <x:c r="B232" s="3"/>
      <x:c r="C232" s="3"/>
      <x:c r="D232" s="3"/>
    </x:row>
    <x:row r="233" ht="15.75" customHeight="1">
      <x:c r="A233" s="3"/>
      <x:c r="B233" s="3"/>
      <x:c r="C233" s="3"/>
      <x:c r="D233" s="3"/>
    </x:row>
    <x:row r="234" ht="15.75" customHeight="1">
      <x:c r="A234" s="3"/>
      <x:c r="B234" s="3"/>
      <x:c r="C234" s="3"/>
      <x:c r="D234" s="3"/>
    </x:row>
    <x:row r="235" ht="15.75" customHeight="1">
      <x:c r="A235" s="3"/>
      <x:c r="B235" s="3"/>
      <x:c r="C235" s="3"/>
      <x:c r="D235" s="3"/>
    </x:row>
    <x:row r="236" ht="15.75" customHeight="1">
      <x:c r="A236" s="3"/>
      <x:c r="B236" s="3"/>
      <x:c r="C236" s="3"/>
      <x:c r="D236" s="3"/>
    </x:row>
    <x:row r="237" ht="15.75" customHeight="1">
      <x:c r="A237" s="3"/>
      <x:c r="B237" s="3"/>
      <x:c r="C237" s="3"/>
      <x:c r="D237" s="3"/>
    </x:row>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D1"/>
    <x:mergeCell ref="A2:D2"/>
    <x:mergeCell ref="B11:D11"/>
    <x:mergeCell ref="B12:D12"/>
    <x:mergeCell ref="B13:D13"/>
    <x:mergeCell ref="B14:D14"/>
    <x:mergeCell ref="B15:D15"/>
    <x:mergeCell ref="B25:D25"/>
    <x:mergeCell ref="B27:D27"/>
    <x:mergeCell ref="B28:D28"/>
    <x:mergeCell ref="B29:D29"/>
    <x:mergeCell ref="B30:D30"/>
    <x:mergeCell ref="B31:D31"/>
    <x:mergeCell ref="B16:D16"/>
    <x:mergeCell ref="B17:D17"/>
    <x:mergeCell ref="B20:D20"/>
    <x:mergeCell ref="B21:D21"/>
    <x:mergeCell ref="B22:D22"/>
    <x:mergeCell ref="B23:D23"/>
    <x:mergeCell ref="B24:D24"/>
  </x:mergeCells>
  <x:pageMargins left="0.7" right="0.7" top="0.75" bottom="0.75" header="0.3" footer="0.3"/>
</x:worksheet>
</file>

<file path=xl/worksheets/sheet2.xml><?xml version="1.0" encoding="utf-8"?>
<x:worksheet xmlns:x="http://schemas.openxmlformats.org/spreadsheetml/2006/main">
  <x:sheetViews>
    <x:sheetView workbookViewId="0">
      <x:pane xSplit="2" ySplit="4" topLeftCell="C5" activePane="bottomRight" state="frozen"/>
    </x:sheetView>
  </x:sheetViews>
  <x:sheetFormatPr defaultColWidth="14.430000305175781" defaultRowHeight="15"/>
  <x:cols>
    <x:col min="1" max="1" width="8" customWidth="1"/>
    <x:col min="2" max="2" width="14" customWidth="1"/>
    <x:col min="3" max="3" width="30" customWidth="1"/>
    <x:col min="4" max="4" width="7" customWidth="1"/>
    <x:col min="5" max="5" width="26" customWidth="1"/>
    <x:col min="6" max="6" width="42" customWidth="1"/>
    <x:col min="7" max="7" width="46" customWidth="1"/>
    <x:col min="8" max="8" width="26" customWidth="1"/>
    <x:col min="9" max="9" width="30" customWidth="1"/>
    <x:col min="10" max="10" width="15" customWidth="1"/>
    <x:col min="11" max="11" width="13" customWidth="1"/>
    <x:col min="12" max="13" width="22" customWidth="1"/>
    <x:col min="14" max="14" width="15" customWidth="1"/>
    <x:col min="15" max="15" width="13" customWidth="1"/>
    <x:col min="16" max="16" width="34" customWidth="1"/>
    <x:col min="17" max="17" width="15" customWidth="1"/>
  </x:cols>
  <x:sheetData>
    <x:row r="1" ht="17.25" customHeight="1">
      <x:c r="A1" s="1" t="s">
        <x:v>62</x:v>
      </x:c>
    </x:row>
    <x:row r="2" ht="15" customHeight="1">
      <x:c r="A2" s="2" t="s">
        <x:v>63</x:v>
      </x:c>
    </x:row>
    <x:row r="3">
      <x:c r="A3" s="3"/>
      <x:c r="B3" s="3"/>
      <x:c r="C3" s="3"/>
      <x:c r="D3" s="3"/>
      <x:c r="E3" s="3"/>
      <x:c r="F3" s="3"/>
      <x:c r="G3" s="3"/>
      <x:c r="H3" s="3"/>
      <x:c r="I3" s="3"/>
      <x:c r="J3" s="3"/>
      <x:c r="K3" s="3"/>
      <x:c r="L3" s="3"/>
      <x:c r="M3" s="3"/>
      <x:c r="N3" s="3"/>
      <x:c r="O3" s="3"/>
      <x:c r="P3" s="3"/>
      <x:c r="Q3" s="3"/>
    </x:row>
    <x:row r="4" ht="33.75" customHeight="1">
      <x:c r="A4" s="5" t="s">
        <x:v>64</x:v>
      </x:c>
      <x:c r="B4" s="5" t="s">
        <x:v>65</x:v>
      </x:c>
      <x:c r="C4" s="5" t="s">
        <x:v>66</x:v>
      </x:c>
      <x:c r="D4" s="5" t="s">
        <x:v>67</x:v>
      </x:c>
      <x:c r="E4" s="5" t="s">
        <x:v>68</x:v>
      </x:c>
      <x:c r="F4" s="5" t="s">
        <x:v>69</x:v>
      </x:c>
      <x:c r="G4" s="5" t="s">
        <x:v>70</x:v>
      </x:c>
      <x:c r="H4" s="5" t="s">
        <x:v>71</x:v>
      </x:c>
      <x:c r="I4" s="5" t="s">
        <x:v>72</x:v>
      </x:c>
      <x:c r="J4" s="5" t="s">
        <x:v>73</x:v>
      </x:c>
      <x:c r="K4" s="5" t="s">
        <x:v>74</x:v>
      </x:c>
      <x:c r="L4" s="5" t="s">
        <x:v>75</x:v>
      </x:c>
      <x:c r="M4" s="5" t="s">
        <x:v>76</x:v>
      </x:c>
      <x:c r="N4" s="5" t="s">
        <x:v>77</x:v>
      </x:c>
      <x:c r="O4" s="5" t="s">
        <x:v>78</x:v>
      </x:c>
      <x:c r="P4" s="5" t="s">
        <x:v>79</x:v>
      </x:c>
      <x:c r="Q4" s="5" t="s">
        <x:v>80</x:v>
      </x:c>
    </x:row>
    <x:row r="5" ht="52.5" customHeight="1">
      <x:c r="A5" s="14" t="s">
        <x:v>81</x:v>
      </x:c>
      <x:c r="B5" s="14" t="s">
        <x:v>82</x:v>
      </x:c>
      <x:c r="C5" s="14" t="s">
        <x:v>83</x:v>
      </x:c>
      <x:c r="D5" s="14">
        <x:v>2019.0</x:v>
      </x:c>
      <x:c r="E5" s="14" t="s">
        <x:v>84</x:v>
      </x:c>
      <x:c r="F5" s="14" t="s">
        <x:v>85</x:v>
      </x:c>
      <x:c r="G5" s="14" t="s">
        <x:v>86</x:v>
      </x:c>
      <x:c r="H5" s="14" t="s">
        <x:v>87</x:v>
      </x:c>
      <x:c r="I5" s="14" t="s">
        <x:v>88</x:v>
      </x:c>
      <x:c r="J5" s="14" t="s">
        <x:v>89</x:v>
      </x:c>
      <x:c r="K5" s="14" t="s">
        <x:v>5</x:v>
      </x:c>
      <x:c r="L5" s="14" t="s">
        <x:v>90</x:v>
      </x:c>
      <x:c r="M5" s="14"/>
      <x:c r="N5" s="14" t="s">
        <x:v>91</x:v>
      </x:c>
      <x:c r="O5" s="14" t="s">
        <x:v>92</x:v>
      </x:c>
      <x:c r="P5" s="14" t="s">
        <x:v>93</x:v>
      </x:c>
      <x:c r="Q5" s="14" t="s">
        <x:v>94</x:v>
      </x:c>
    </x:row>
    <x:row r="6" ht="133.5" customHeight="1">
      <x:c r="A6" s="22" t="str">
        <x:f t="shared" ref="A6:A31" si="1">IF(F6="","",TEXT(ROW()-4-1,"000"))</x:f>
        <x:v>001</x:v>
      </x:c>
      <x:c r="B6" s="10" t="s">
        <x:v>95</x:v>
      </x:c>
      <x:c r="C6" s="10" t="s">
        <x:v>96</x:v>
      </x:c>
      <x:c r="D6" s="10">
        <x:v>2026.0</x:v>
      </x:c>
      <x:c r="E6" s="10" t="s">
        <x:v>97</x:v>
      </x:c>
      <x:c r="F6" s="10" t="s">
        <x:v>98</x:v>
      </x:c>
      <x:c r="G6" s="10" t="s">
        <x:v>99</x:v>
      </x:c>
      <x:c r="H6" s="10" t="s">
        <x:v>100</x:v>
      </x:c>
      <x:c r="I6" s="10" t="s">
        <x:v>101</x:v>
      </x:c>
      <x:c r="J6" s="10" t="s">
        <x:v>102</x:v>
      </x:c>
      <x:c r="K6" s="10" t="s">
        <x:v>5</x:v>
      </x:c>
      <x:c r="L6" s="10" t="s">
        <x:v>90</x:v>
      </x:c>
      <x:c r="M6" s="22" t="str">
        <x:f t="shared" ref="M6:M31" si="2">IF(I6="","",IF(COUNTIFS($I$6:$I$110,I6)&gt;1,IF(COUNTIFS($I$6:$I$110,I6,$K$6:$K$110,"&lt;&gt;"&amp;K6)&gt;0,"SOLAPAMIENTO: otro pilar","Duplicada en el mismo pilar"),""))</x:f>
      </x:c>
      <x:c r="N6" s="10" t="s">
        <x:v>103</x:v>
      </x:c>
      <x:c r="O6" s="10" t="s">
        <x:v>104</x:v>
      </x:c>
      <x:c r="P6" s="10" t="s">
        <x:v>105</x:v>
      </x:c>
      <x:c r="Q6" s="10" t="s">
        <x:v>106</x:v>
      </x:c>
    </x:row>
    <x:row r="7" ht="133.5" customHeight="1">
      <x:c r="A7" s="22" t="str">
        <x:f t="shared" si="1"/>
        <x:v>002</x:v>
      </x:c>
      <x:c r="B7" s="10" t="s">
        <x:v>95</x:v>
      </x:c>
      <x:c r="C7" s="10" t="s">
        <x:v>107</x:v>
      </x:c>
      <x:c r="D7" s="10">
        <x:v>2026.0</x:v>
      </x:c>
      <x:c r="E7" s="10" t="s">
        <x:v>97</x:v>
      </x:c>
      <x:c r="F7" s="10" t="s">
        <x:v>108</x:v>
      </x:c>
      <x:c r="G7" s="10" t="s">
        <x:v>109</x:v>
      </x:c>
      <x:c r="H7" s="10" t="s">
        <x:v>110</x:v>
      </x:c>
      <x:c r="I7" s="10" t="s">
        <x:v>111</x:v>
      </x:c>
      <x:c r="J7" s="10" t="s">
        <x:v>102</x:v>
      </x:c>
      <x:c r="K7" s="10" t="s">
        <x:v>5</x:v>
      </x:c>
      <x:c r="L7" s="10" t="s">
        <x:v>112</x:v>
      </x:c>
      <x:c r="M7" s="22" t="str">
        <x:f t="shared" si="2"/>
      </x:c>
      <x:c r="N7" s="10" t="s">
        <x:v>113</x:v>
      </x:c>
      <x:c r="O7" s="10" t="s">
        <x:v>104</x:v>
      </x:c>
      <x:c r="P7" s="10" t="s">
        <x:v>114</x:v>
      </x:c>
      <x:c r="Q7" s="10" t="s">
        <x:v>106</x:v>
      </x:c>
    </x:row>
    <x:row r="8" ht="133.5" customHeight="1">
      <x:c r="A8" s="22" t="str">
        <x:f t="shared" si="1"/>
        <x:v>003</x:v>
      </x:c>
      <x:c r="B8" s="10" t="s">
        <x:v>95</x:v>
      </x:c>
      <x:c r="C8" s="10" t="s">
        <x:v>115</x:v>
      </x:c>
      <x:c r="D8" s="10">
        <x:v>2026.0</x:v>
      </x:c>
      <x:c r="E8" s="10" t="s">
        <x:v>97</x:v>
      </x:c>
      <x:c r="F8" s="10" t="s">
        <x:v>116</x:v>
      </x:c>
      <x:c r="G8" s="10" t="s">
        <x:v>117</x:v>
      </x:c>
      <x:c r="H8" s="10" t="s">
        <x:v>118</x:v>
      </x:c>
      <x:c r="I8" s="10" t="s">
        <x:v>119</x:v>
      </x:c>
      <x:c r="J8" s="10" t="s">
        <x:v>102</x:v>
      </x:c>
      <x:c r="K8" s="10" t="s">
        <x:v>5</x:v>
      </x:c>
      <x:c r="L8" s="10" t="s">
        <x:v>112</x:v>
      </x:c>
      <x:c r="M8" s="22" t="str">
        <x:f t="shared" si="2"/>
      </x:c>
      <x:c r="N8" s="10" t="s">
        <x:v>103</x:v>
      </x:c>
      <x:c r="O8" s="10" t="s">
        <x:v>104</x:v>
      </x:c>
      <x:c r="P8" s="10" t="s">
        <x:v>120</x:v>
      </x:c>
      <x:c r="Q8" s="10" t="s">
        <x:v>106</x:v>
      </x:c>
    </x:row>
    <x:row r="9" ht="133.5" customHeight="1">
      <x:c r="A9" s="22" t="str">
        <x:f t="shared" si="1"/>
        <x:v>004</x:v>
      </x:c>
      <x:c r="B9" s="10" t="s">
        <x:v>95</x:v>
      </x:c>
      <x:c r="C9" s="10" t="s">
        <x:v>121</x:v>
      </x:c>
      <x:c r="D9" s="10">
        <x:v>2026.0</x:v>
      </x:c>
      <x:c r="E9" s="10" t="s">
        <x:v>97</x:v>
      </x:c>
      <x:c r="F9" s="10" t="s">
        <x:v>122</x:v>
      </x:c>
      <x:c r="G9" s="10" t="s">
        <x:v>123</x:v>
      </x:c>
      <x:c r="H9" s="10" t="s">
        <x:v>124</x:v>
      </x:c>
      <x:c r="I9" s="10" t="s">
        <x:v>125</x:v>
      </x:c>
      <x:c r="J9" s="10" t="s">
        <x:v>102</x:v>
      </x:c>
      <x:c r="K9" s="10" t="s">
        <x:v>9</x:v>
      </x:c>
      <x:c r="L9" s="10" t="s">
        <x:v>112</x:v>
      </x:c>
      <x:c r="M9" s="22" t="str">
        <x:f t="shared" si="2"/>
      </x:c>
      <x:c r="N9" s="10" t="s">
        <x:v>113</x:v>
      </x:c>
      <x:c r="O9" s="10" t="s">
        <x:v>104</x:v>
      </x:c>
      <x:c r="P9" s="10" t="s">
        <x:v>126</x:v>
      </x:c>
      <x:c r="Q9" s="10" t="s">
        <x:v>106</x:v>
      </x:c>
    </x:row>
    <x:row r="10" ht="133.5" customHeight="1">
      <x:c r="A10" s="22" t="str">
        <x:f t="shared" si="1"/>
        <x:v>005</x:v>
      </x:c>
      <x:c r="B10" s="10" t="s">
        <x:v>95</x:v>
      </x:c>
      <x:c r="C10" s="10" t="s">
        <x:v>127</x:v>
      </x:c>
      <x:c r="D10" s="10">
        <x:v>2026.0</x:v>
      </x:c>
      <x:c r="E10" s="10" t="s">
        <x:v>97</x:v>
      </x:c>
      <x:c r="F10" s="10" t="s">
        <x:v>128</x:v>
      </x:c>
      <x:c r="G10" s="10" t="s">
        <x:v>129</x:v>
      </x:c>
      <x:c r="H10" s="10" t="s">
        <x:v>130</x:v>
      </x:c>
      <x:c r="I10" s="10" t="s">
        <x:v>131</x:v>
      </x:c>
      <x:c r="J10" s="10" t="s">
        <x:v>102</x:v>
      </x:c>
      <x:c r="K10" s="10" t="s">
        <x:v>5</x:v>
      </x:c>
      <x:c r="L10" s="10" t="s">
        <x:v>112</x:v>
      </x:c>
      <x:c r="M10" s="22" t="str">
        <x:f t="shared" si="2"/>
      </x:c>
      <x:c r="N10" s="10" t="s">
        <x:v>103</x:v>
      </x:c>
      <x:c r="O10" s="10" t="s">
        <x:v>104</x:v>
      </x:c>
      <x:c r="P10" s="10" t="s">
        <x:v>132</x:v>
      </x:c>
      <x:c r="Q10" s="10" t="s">
        <x:v>106</x:v>
      </x:c>
    </x:row>
    <x:row r="11" ht="133.5" customHeight="1">
      <x:c r="A11" s="22" t="str">
        <x:f t="shared" si="1"/>
        <x:v>006</x:v>
      </x:c>
      <x:c r="B11" s="10" t="s">
        <x:v>95</x:v>
      </x:c>
      <x:c r="C11" s="10" t="s">
        <x:v>133</x:v>
      </x:c>
      <x:c r="D11" s="10">
        <x:v>2026.0</x:v>
      </x:c>
      <x:c r="E11" s="10" t="s">
        <x:v>134</x:v>
      </x:c>
      <x:c r="F11" s="10" t="s">
        <x:v>135</x:v>
      </x:c>
      <x:c r="G11" s="10" t="s">
        <x:v>136</x:v>
      </x:c>
      <x:c r="H11" s="10" t="s">
        <x:v>137</x:v>
      </x:c>
      <x:c r="I11" s="10" t="s">
        <x:v>138</x:v>
      </x:c>
      <x:c r="J11" s="10" t="s">
        <x:v>139</x:v>
      </x:c>
      <x:c r="K11" s="10" t="s">
        <x:v>9</x:v>
      </x:c>
      <x:c r="L11" s="10" t="s">
        <x:v>112</x:v>
      </x:c>
      <x:c r="M11" s="22" t="str">
        <x:f t="shared" si="2"/>
      </x:c>
      <x:c r="N11" s="10" t="s">
        <x:v>113</x:v>
      </x:c>
      <x:c r="O11" s="10" t="s">
        <x:v>104</x:v>
      </x:c>
      <x:c r="P11" s="10" t="s">
        <x:v>140</x:v>
      </x:c>
      <x:c r="Q11" s="10" t="s">
        <x:v>106</x:v>
      </x:c>
    </x:row>
    <x:row r="12" ht="133.5" customHeight="1">
      <x:c r="A12" s="22" t="str">
        <x:f t="shared" si="1"/>
        <x:v>007</x:v>
      </x:c>
      <x:c r="B12" s="10" t="s">
        <x:v>95</x:v>
      </x:c>
      <x:c r="C12" s="10" t="s">
        <x:v>141</x:v>
      </x:c>
      <x:c r="D12" s="10">
        <x:v>2026.0</x:v>
      </x:c>
      <x:c r="E12" s="10" t="s">
        <x:v>142</x:v>
      </x:c>
      <x:c r="F12" s="10" t="s">
        <x:v>143</x:v>
      </x:c>
      <x:c r="G12" s="10" t="s">
        <x:v>144</x:v>
      </x:c>
      <x:c r="H12" s="10" t="s">
        <x:v>145</x:v>
      </x:c>
      <x:c r="I12" s="10" t="s">
        <x:v>146</x:v>
      </x:c>
      <x:c r="J12" s="10" t="s">
        <x:v>139</x:v>
      </x:c>
      <x:c r="K12" s="10" t="s">
        <x:v>5</x:v>
      </x:c>
      <x:c r="L12" s="10" t="s">
        <x:v>112</x:v>
      </x:c>
      <x:c r="M12" s="22" t="str">
        <x:f t="shared" si="2"/>
      </x:c>
      <x:c r="N12" s="10" t="s">
        <x:v>103</x:v>
      </x:c>
      <x:c r="O12" s="10" t="s">
        <x:v>104</x:v>
      </x:c>
      <x:c r="P12" s="10" t="s">
        <x:v>147</x:v>
      </x:c>
      <x:c r="Q12" s="10" t="s">
        <x:v>106</x:v>
      </x:c>
    </x:row>
    <x:row r="13" ht="133.5" customHeight="1">
      <x:c r="A13" s="22" t="str">
        <x:f t="shared" si="1"/>
        <x:v>008</x:v>
      </x:c>
      <x:c r="B13" s="10" t="s">
        <x:v>95</x:v>
      </x:c>
      <x:c r="C13" s="10" t="s">
        <x:v>148</x:v>
      </x:c>
      <x:c r="D13" s="10">
        <x:v>2026.0</x:v>
      </x:c>
      <x:c r="E13" s="10" t="s">
        <x:v>134</x:v>
      </x:c>
      <x:c r="F13" s="10" t="s">
        <x:v>149</x:v>
      </x:c>
      <x:c r="G13" s="10" t="s">
        <x:v>150</x:v>
      </x:c>
      <x:c r="H13" s="10" t="s">
        <x:v>151</x:v>
      </x:c>
      <x:c r="I13" s="10" t="s">
        <x:v>152</x:v>
      </x:c>
      <x:c r="J13" s="10" t="s">
        <x:v>139</x:v>
      </x:c>
      <x:c r="K13" s="10" t="s">
        <x:v>9</x:v>
      </x:c>
      <x:c r="L13" s="10" t="s">
        <x:v>153</x:v>
      </x:c>
      <x:c r="M13" s="22" t="str">
        <x:f t="shared" si="2"/>
      </x:c>
      <x:c r="N13" s="10" t="s">
        <x:v>113</x:v>
      </x:c>
      <x:c r="O13" s="10" t="s">
        <x:v>104</x:v>
      </x:c>
      <x:c r="P13" s="10" t="s">
        <x:v>154</x:v>
      </x:c>
      <x:c r="Q13" s="10" t="s">
        <x:v>106</x:v>
      </x:c>
    </x:row>
    <x:row r="14" ht="133.5" customHeight="1">
      <x:c r="A14" s="22" t="str">
        <x:f t="shared" si="1"/>
        <x:v>009</x:v>
      </x:c>
      <x:c r="B14" s="10" t="s">
        <x:v>95</x:v>
      </x:c>
      <x:c r="C14" s="10" t="s">
        <x:v>155</x:v>
      </x:c>
      <x:c r="D14" s="10">
        <x:v>2026.0</x:v>
      </x:c>
      <x:c r="E14" s="10" t="s">
        <x:v>142</x:v>
      </x:c>
      <x:c r="F14" s="10" t="s">
        <x:v>156</x:v>
      </x:c>
      <x:c r="G14" s="10" t="s">
        <x:v>157</x:v>
      </x:c>
      <x:c r="H14" s="10" t="s">
        <x:v>158</x:v>
      </x:c>
      <x:c r="I14" s="10" t="s">
        <x:v>159</x:v>
      </x:c>
      <x:c r="J14" s="10" t="s">
        <x:v>139</x:v>
      </x:c>
      <x:c r="K14" s="10" t="s">
        <x:v>9</x:v>
      </x:c>
      <x:c r="L14" s="10" t="s">
        <x:v>153</x:v>
      </x:c>
      <x:c r="M14" s="22" t="str">
        <x:f t="shared" si="2"/>
      </x:c>
      <x:c r="N14" s="10" t="s">
        <x:v>103</x:v>
      </x:c>
      <x:c r="O14" s="10" t="s">
        <x:v>104</x:v>
      </x:c>
      <x:c r="P14" s="10" t="s">
        <x:v>160</x:v>
      </x:c>
      <x:c r="Q14" s="10" t="s">
        <x:v>106</x:v>
      </x:c>
    </x:row>
    <x:row r="15" ht="133.5" customHeight="1">
      <x:c r="A15" s="22" t="str">
        <x:f t="shared" si="1"/>
        <x:v>010</x:v>
      </x:c>
      <x:c r="B15" s="10" t="s">
        <x:v>95</x:v>
      </x:c>
      <x:c r="C15" s="10" t="s">
        <x:v>161</x:v>
      </x:c>
      <x:c r="D15" s="10">
        <x:v>2026.0</x:v>
      </x:c>
      <x:c r="E15" s="10" t="s">
        <x:v>162</x:v>
      </x:c>
      <x:c r="F15" s="10" t="s">
        <x:v>163</x:v>
      </x:c>
      <x:c r="G15" s="10" t="s">
        <x:v>164</x:v>
      </x:c>
      <x:c r="H15" s="10" t="s">
        <x:v>165</x:v>
      </x:c>
      <x:c r="I15" s="10" t="s">
        <x:v>166</x:v>
      </x:c>
      <x:c r="J15" s="10" t="s">
        <x:v>139</x:v>
      </x:c>
      <x:c r="K15" s="10" t="s">
        <x:v>9</x:v>
      </x:c>
      <x:c r="L15" s="10" t="s">
        <x:v>153</x:v>
      </x:c>
      <x:c r="M15" s="22" t="str">
        <x:f t="shared" si="2"/>
      </x:c>
      <x:c r="N15" s="10" t="s">
        <x:v>113</x:v>
      </x:c>
      <x:c r="O15" s="10" t="s">
        <x:v>104</x:v>
      </x:c>
      <x:c r="P15" s="10" t="s">
        <x:v>167</x:v>
      </x:c>
      <x:c r="Q15" s="10" t="s">
        <x:v>106</x:v>
      </x:c>
    </x:row>
    <x:row r="16" ht="133.5" customHeight="1">
      <x:c r="A16" s="22" t="str">
        <x:f t="shared" si="1"/>
        <x:v>011</x:v>
      </x:c>
      <x:c r="B16" s="10" t="s">
        <x:v>95</x:v>
      </x:c>
      <x:c r="C16" s="10" t="s">
        <x:v>168</x:v>
      </x:c>
      <x:c r="D16" s="10">
        <x:v>2012.0</x:v>
      </x:c>
      <x:c r="E16" s="10" t="s">
        <x:v>169</x:v>
      </x:c>
      <x:c r="F16" s="10" t="s">
        <x:v>170</x:v>
      </x:c>
      <x:c r="G16" s="10" t="s">
        <x:v>171</x:v>
      </x:c>
      <x:c r="H16" s="10" t="s">
        <x:v>172</x:v>
      </x:c>
      <x:c r="I16" s="10" t="s">
        <x:v>173</x:v>
      </x:c>
      <x:c r="J16" s="10" t="s">
        <x:v>102</x:v>
      </x:c>
      <x:c r="K16" s="10" t="s">
        <x:v>13</x:v>
      </x:c>
      <x:c r="L16" s="10" t="s">
        <x:v>112</x:v>
      </x:c>
      <x:c r="M16" s="22" t="str">
        <x:f t="shared" si="2"/>
      </x:c>
      <x:c r="N16" s="10" t="s">
        <x:v>103</x:v>
      </x:c>
      <x:c r="O16" s="10" t="s">
        <x:v>104</x:v>
      </x:c>
      <x:c r="P16" s="10" t="s">
        <x:v>174</x:v>
      </x:c>
      <x:c r="Q16" s="10" t="s">
        <x:v>106</x:v>
      </x:c>
    </x:row>
    <x:row r="17" ht="133.5" customHeight="1">
      <x:c r="A17" s="22" t="str">
        <x:f t="shared" si="1"/>
        <x:v>012</x:v>
      </x:c>
      <x:c r="B17" s="10" t="s">
        <x:v>95</x:v>
      </x:c>
      <x:c r="C17" s="10" t="s">
        <x:v>175</x:v>
      </x:c>
      <x:c r="D17" s="10">
        <x:v>2023.0</x:v>
      </x:c>
      <x:c r="E17" s="10" t="s">
        <x:v>176</x:v>
      </x:c>
      <x:c r="F17" s="10" t="s">
        <x:v>177</x:v>
      </x:c>
      <x:c r="G17" s="10" t="s">
        <x:v>178</x:v>
      </x:c>
      <x:c r="H17" s="10" t="s">
        <x:v>179</x:v>
      </x:c>
      <x:c r="I17" s="10" t="s">
        <x:v>180</x:v>
      </x:c>
      <x:c r="J17" s="10" t="s">
        <x:v>102</x:v>
      </x:c>
      <x:c r="K17" s="10" t="s">
        <x:v>5</x:v>
      </x:c>
      <x:c r="L17" s="10" t="s">
        <x:v>90</x:v>
      </x:c>
      <x:c r="M17" s="22" t="str">
        <x:f t="shared" si="2"/>
      </x:c>
      <x:c r="N17" s="10" t="s">
        <x:v>113</x:v>
      </x:c>
      <x:c r="O17" s="10" t="s">
        <x:v>104</x:v>
      </x:c>
      <x:c r="P17" s="10" t="s">
        <x:v>181</x:v>
      </x:c>
      <x:c r="Q17" s="10" t="s">
        <x:v>106</x:v>
      </x:c>
    </x:row>
    <x:row r="18" ht="133.5" customHeight="1">
      <x:c r="A18" s="22" t="str">
        <x:f t="shared" si="1"/>
        <x:v>013</x:v>
      </x:c>
      <x:c r="B18" s="10" t="s">
        <x:v>95</x:v>
      </x:c>
      <x:c r="C18" s="10" t="s">
        <x:v>182</x:v>
      </x:c>
      <x:c r="D18" s="10">
        <x:v>2016.0</x:v>
      </x:c>
      <x:c r="E18" s="10" t="s">
        <x:v>176</x:v>
      </x:c>
      <x:c r="F18" s="10" t="s">
        <x:v>183</x:v>
      </x:c>
      <x:c r="G18" s="10" t="s">
        <x:v>184</x:v>
      </x:c>
      <x:c r="H18" s="10" t="s">
        <x:v>185</x:v>
      </x:c>
      <x:c r="I18" s="10" t="s">
        <x:v>186</x:v>
      </x:c>
      <x:c r="J18" s="10" t="s">
        <x:v>102</x:v>
      </x:c>
      <x:c r="K18" s="10" t="s">
        <x:v>13</x:v>
      </x:c>
      <x:c r="L18" s="10" t="s">
        <x:v>112</x:v>
      </x:c>
      <x:c r="M18" s="22" t="str">
        <x:f t="shared" si="2"/>
      </x:c>
      <x:c r="N18" s="10" t="s">
        <x:v>103</x:v>
      </x:c>
      <x:c r="O18" s="10" t="s">
        <x:v>104</x:v>
      </x:c>
      <x:c r="P18" s="10" t="s">
        <x:v>187</x:v>
      </x:c>
      <x:c r="Q18" s="10" t="s">
        <x:v>106</x:v>
      </x:c>
    </x:row>
    <x:row r="19" ht="133.5" customHeight="1">
      <x:c r="A19" s="22" t="str">
        <x:f t="shared" si="1"/>
        <x:v>014</x:v>
      </x:c>
      <x:c r="B19" s="10" t="s">
        <x:v>95</x:v>
      </x:c>
      <x:c r="C19" s="10" t="s">
        <x:v>188</x:v>
      </x:c>
      <x:c r="D19" s="10">
        <x:v>2026.0</x:v>
      </x:c>
      <x:c r="E19" s="10" t="s">
        <x:v>189</x:v>
      </x:c>
      <x:c r="F19" s="10" t="s">
        <x:v>190</x:v>
      </x:c>
      <x:c r="G19" s="10" t="s">
        <x:v>191</x:v>
      </x:c>
      <x:c r="H19" s="10" t="s">
        <x:v>192</x:v>
      </x:c>
      <x:c r="I19" s="10" t="s">
        <x:v>193</x:v>
      </x:c>
      <x:c r="J19" s="10" t="s">
        <x:v>194</x:v>
      </x:c>
      <x:c r="K19" s="10" t="s">
        <x:v>5</x:v>
      </x:c>
      <x:c r="L19" s="10" t="s">
        <x:v>112</x:v>
      </x:c>
      <x:c r="M19" s="22" t="str">
        <x:f t="shared" si="2"/>
      </x:c>
      <x:c r="N19" s="10" t="s">
        <x:v>113</x:v>
      </x:c>
      <x:c r="O19" s="10" t="s">
        <x:v>104</x:v>
      </x:c>
      <x:c r="P19" s="10" t="s">
        <x:v>195</x:v>
      </x:c>
      <x:c r="Q19" s="10" t="s">
        <x:v>106</x:v>
      </x:c>
    </x:row>
    <x:row r="20" ht="133.5" customHeight="1">
      <x:c r="A20" s="22" t="str">
        <x:f t="shared" si="1"/>
        <x:v>015</x:v>
      </x:c>
      <x:c r="B20" s="10" t="s">
        <x:v>95</x:v>
      </x:c>
      <x:c r="C20" s="10" t="s">
        <x:v>196</x:v>
      </x:c>
      <x:c r="D20" s="10">
        <x:v>2026.0</x:v>
      </x:c>
      <x:c r="E20" s="10" t="s">
        <x:v>197</x:v>
      </x:c>
      <x:c r="F20" s="10" t="s">
        <x:v>198</x:v>
      </x:c>
      <x:c r="G20" s="10" t="s">
        <x:v>199</x:v>
      </x:c>
      <x:c r="H20" s="10" t="s">
        <x:v>200</x:v>
      </x:c>
      <x:c r="I20" s="10" t="s">
        <x:v>201</x:v>
      </x:c>
      <x:c r="J20" s="10" t="s">
        <x:v>194</x:v>
      </x:c>
      <x:c r="K20" s="10" t="s">
        <x:v>9</x:v>
      </x:c>
      <x:c r="L20" s="10" t="s">
        <x:v>112</x:v>
      </x:c>
      <x:c r="M20" s="22" t="str">
        <x:f t="shared" si="2"/>
      </x:c>
      <x:c r="N20" s="10" t="s">
        <x:v>103</x:v>
      </x:c>
      <x:c r="O20" s="10" t="s">
        <x:v>104</x:v>
      </x:c>
      <x:c r="P20" s="10" t="s">
        <x:v>202</x:v>
      </x:c>
      <x:c r="Q20" s="10" t="s">
        <x:v>106</x:v>
      </x:c>
    </x:row>
    <x:row r="21" ht="133.5" customHeight="1">
      <x:c r="A21" s="22" t="str">
        <x:f t="shared" si="1"/>
        <x:v>016</x:v>
      </x:c>
      <x:c r="B21" s="10" t="s">
        <x:v>95</x:v>
      </x:c>
      <x:c r="C21" s="10" t="s">
        <x:v>203</x:v>
      </x:c>
      <x:c r="D21" s="10">
        <x:v>2026.0</x:v>
      </x:c>
      <x:c r="E21" s="10" t="s">
        <x:v>97</x:v>
      </x:c>
      <x:c r="F21" s="10" t="s">
        <x:v>204</x:v>
      </x:c>
      <x:c r="G21" s="10" t="s">
        <x:v>205</x:v>
      </x:c>
      <x:c r="H21" s="10" t="s">
        <x:v>206</x:v>
      </x:c>
      <x:c r="I21" s="10" t="s">
        <x:v>207</x:v>
      </x:c>
      <x:c r="J21" s="10" t="s">
        <x:v>102</x:v>
      </x:c>
      <x:c r="K21" s="10" t="s">
        <x:v>5</x:v>
      </x:c>
      <x:c r="L21" s="10" t="s">
        <x:v>208</x:v>
      </x:c>
      <x:c r="M21" s="22" t="str">
        <x:f t="shared" si="2"/>
      </x:c>
      <x:c r="N21" s="10" t="s">
        <x:v>103</x:v>
      </x:c>
      <x:c r="O21" s="10" t="s">
        <x:v>104</x:v>
      </x:c>
      <x:c r="P21" s="10" t="s">
        <x:v>209</x:v>
      </x:c>
      <x:c r="Q21" s="10" t="s">
        <x:v>106</x:v>
      </x:c>
    </x:row>
    <x:row r="22" ht="133.5" customHeight="1">
      <x:c r="A22" s="22" t="str">
        <x:f t="shared" si="1"/>
        <x:v>017</x:v>
      </x:c>
      <x:c r="B22" s="10" t="s">
        <x:v>95</x:v>
      </x:c>
      <x:c r="C22" s="10" t="s">
        <x:v>210</x:v>
      </x:c>
      <x:c r="D22" s="10">
        <x:v>2026.0</x:v>
      </x:c>
      <x:c r="E22" s="10" t="s">
        <x:v>97</x:v>
      </x:c>
      <x:c r="F22" s="10" t="s">
        <x:v>211</x:v>
      </x:c>
      <x:c r="G22" s="10" t="s">
        <x:v>212</x:v>
      </x:c>
      <x:c r="H22" s="10" t="s">
        <x:v>213</x:v>
      </x:c>
      <x:c r="I22" s="10" t="s">
        <x:v>214</x:v>
      </x:c>
      <x:c r="J22" s="10" t="s">
        <x:v>102</x:v>
      </x:c>
      <x:c r="K22" s="10" t="s">
        <x:v>13</x:v>
      </x:c>
      <x:c r="L22" s="10" t="s">
        <x:v>215</x:v>
      </x:c>
      <x:c r="M22" s="22" t="str">
        <x:f t="shared" si="2"/>
      </x:c>
      <x:c r="N22" s="10" t="s">
        <x:v>113</x:v>
      </x:c>
      <x:c r="O22" s="10" t="s">
        <x:v>104</x:v>
      </x:c>
      <x:c r="P22" s="10" t="s">
        <x:v>216</x:v>
      </x:c>
      <x:c r="Q22" s="10" t="s">
        <x:v>106</x:v>
      </x:c>
    </x:row>
    <x:row r="23" ht="133.5" customHeight="1">
      <x:c r="A23" s="22" t="str">
        <x:f t="shared" si="1"/>
        <x:v>018</x:v>
      </x:c>
      <x:c r="B23" s="10" t="s">
        <x:v>95</x:v>
      </x:c>
      <x:c r="C23" s="10" t="s">
        <x:v>217</x:v>
      </x:c>
      <x:c r="D23" s="10">
        <x:v>2026.0</x:v>
      </x:c>
      <x:c r="E23" s="10" t="s">
        <x:v>97</x:v>
      </x:c>
      <x:c r="F23" s="10" t="s">
        <x:v>218</x:v>
      </x:c>
      <x:c r="G23" s="10" t="s">
        <x:v>219</x:v>
      </x:c>
      <x:c r="H23" s="10" t="s">
        <x:v>220</x:v>
      </x:c>
      <x:c r="I23" s="10" t="s">
        <x:v>221</x:v>
      </x:c>
      <x:c r="J23" s="10" t="s">
        <x:v>102</x:v>
      </x:c>
      <x:c r="K23" s="10" t="s">
        <x:v>13</x:v>
      </x:c>
      <x:c r="L23" s="10" t="s">
        <x:v>215</x:v>
      </x:c>
      <x:c r="M23" s="22" t="str">
        <x:f t="shared" si="2"/>
      </x:c>
      <x:c r="N23" s="10" t="s">
        <x:v>103</x:v>
      </x:c>
      <x:c r="O23" s="10" t="s">
        <x:v>104</x:v>
      </x:c>
      <x:c r="P23" s="10" t="s">
        <x:v>222</x:v>
      </x:c>
      <x:c r="Q23" s="10" t="s">
        <x:v>106</x:v>
      </x:c>
    </x:row>
    <x:row r="24" ht="133.5" customHeight="1">
      <x:c r="A24" s="22" t="str">
        <x:f t="shared" si="1"/>
        <x:v>019</x:v>
      </x:c>
      <x:c r="B24" s="10" t="s">
        <x:v>95</x:v>
      </x:c>
      <x:c r="C24" s="10" t="s">
        <x:v>223</x:v>
      </x:c>
      <x:c r="D24" s="10">
        <x:v>2026.0</x:v>
      </x:c>
      <x:c r="E24" s="10" t="s">
        <x:v>97</x:v>
      </x:c>
      <x:c r="F24" s="10" t="s">
        <x:v>224</x:v>
      </x:c>
      <x:c r="G24" s="10" t="s">
        <x:v>225</x:v>
      </x:c>
      <x:c r="H24" s="10" t="s">
        <x:v>226</x:v>
      </x:c>
      <x:c r="I24" s="10" t="s">
        <x:v>227</x:v>
      </x:c>
      <x:c r="J24" s="10" t="s">
        <x:v>102</x:v>
      </x:c>
      <x:c r="K24" s="10" t="s">
        <x:v>9</x:v>
      </x:c>
      <x:c r="L24" s="10" t="s">
        <x:v>112</x:v>
      </x:c>
      <x:c r="M24" s="22" t="str">
        <x:f t="shared" si="2"/>
      </x:c>
      <x:c r="N24" s="10" t="s">
        <x:v>113</x:v>
      </x:c>
      <x:c r="O24" s="10" t="s">
        <x:v>104</x:v>
      </x:c>
      <x:c r="P24" s="10" t="s">
        <x:v>228</x:v>
      </x:c>
      <x:c r="Q24" s="10" t="s">
        <x:v>106</x:v>
      </x:c>
    </x:row>
    <x:row r="25" ht="133.5" customHeight="1">
      <x:c r="A25" s="22" t="str">
        <x:f t="shared" si="1"/>
        <x:v>020</x:v>
      </x:c>
      <x:c r="B25" s="10" t="s">
        <x:v>95</x:v>
      </x:c>
      <x:c r="C25" s="10" t="s">
        <x:v>229</x:v>
      </x:c>
      <x:c r="D25" s="10">
        <x:v>2026.0</x:v>
      </x:c>
      <x:c r="E25" s="10" t="s">
        <x:v>97</x:v>
      </x:c>
      <x:c r="F25" s="10" t="s">
        <x:v>230</x:v>
      </x:c>
      <x:c r="G25" s="10" t="s">
        <x:v>231</x:v>
      </x:c>
      <x:c r="H25" s="10" t="s">
        <x:v>232</x:v>
      </x:c>
      <x:c r="I25" s="10" t="s">
        <x:v>233</x:v>
      </x:c>
      <x:c r="J25" s="10" t="s">
        <x:v>102</x:v>
      </x:c>
      <x:c r="K25" s="10" t="s">
        <x:v>9</x:v>
      </x:c>
      <x:c r="L25" s="10" t="s">
        <x:v>112</x:v>
      </x:c>
      <x:c r="M25" s="22" t="str">
        <x:f t="shared" si="2"/>
      </x:c>
      <x:c r="N25" s="10" t="s">
        <x:v>103</x:v>
      </x:c>
      <x:c r="O25" s="10" t="s">
        <x:v>104</x:v>
      </x:c>
      <x:c r="P25" s="10" t="s">
        <x:v>234</x:v>
      </x:c>
      <x:c r="Q25" s="10" t="s">
        <x:v>106</x:v>
      </x:c>
    </x:row>
    <x:row r="26" ht="133.5" customHeight="1">
      <x:c r="A26" s="22" t="str">
        <x:f t="shared" si="1"/>
        <x:v>021</x:v>
      </x:c>
      <x:c r="B26" s="10" t="s">
        <x:v>95</x:v>
      </x:c>
      <x:c r="C26" s="10" t="s">
        <x:v>235</x:v>
      </x:c>
      <x:c r="D26" s="10">
        <x:v>2026.0</x:v>
      </x:c>
      <x:c r="E26" s="10" t="s">
        <x:v>97</x:v>
      </x:c>
      <x:c r="F26" s="10" t="s">
        <x:v>236</x:v>
      </x:c>
      <x:c r="G26" s="10" t="s">
        <x:v>237</x:v>
      </x:c>
      <x:c r="H26" s="10" t="s">
        <x:v>238</x:v>
      </x:c>
      <x:c r="I26" s="10" t="s">
        <x:v>239</x:v>
      </x:c>
      <x:c r="J26" s="10" t="s">
        <x:v>102</x:v>
      </x:c>
      <x:c r="K26" s="10" t="s">
        <x:v>13</x:v>
      </x:c>
      <x:c r="L26" s="10" t="s">
        <x:v>112</x:v>
      </x:c>
      <x:c r="M26" s="22" t="str">
        <x:f t="shared" si="2"/>
      </x:c>
      <x:c r="N26" s="10" t="s">
        <x:v>113</x:v>
      </x:c>
      <x:c r="O26" s="10" t="s">
        <x:v>104</x:v>
      </x:c>
      <x:c r="P26" s="10" t="s">
        <x:v>240</x:v>
      </x:c>
      <x:c r="Q26" s="10" t="s">
        <x:v>106</x:v>
      </x:c>
    </x:row>
    <x:row r="27" ht="133.5" customHeight="1">
      <x:c r="A27" s="22" t="str">
        <x:f t="shared" si="1"/>
        <x:v>022</x:v>
      </x:c>
      <x:c r="B27" s="10" t="s">
        <x:v>95</x:v>
      </x:c>
      <x:c r="C27" s="10" t="s">
        <x:v>241</x:v>
      </x:c>
      <x:c r="D27" s="10">
        <x:v>2026.0</x:v>
      </x:c>
      <x:c r="E27" s="10" t="s">
        <x:v>97</x:v>
      </x:c>
      <x:c r="F27" s="10" t="s">
        <x:v>242</x:v>
      </x:c>
      <x:c r="G27" s="10" t="s">
        <x:v>243</x:v>
      </x:c>
      <x:c r="H27" s="10" t="s">
        <x:v>244</x:v>
      </x:c>
      <x:c r="I27" s="10" t="s">
        <x:v>245</x:v>
      </x:c>
      <x:c r="J27" s="10" t="s">
        <x:v>102</x:v>
      </x:c>
      <x:c r="K27" s="10" t="s">
        <x:v>13</x:v>
      </x:c>
      <x:c r="L27" s="10" t="s">
        <x:v>153</x:v>
      </x:c>
      <x:c r="M27" s="22" t="str">
        <x:f t="shared" si="2"/>
      </x:c>
      <x:c r="N27" s="10" t="s">
        <x:v>103</x:v>
      </x:c>
      <x:c r="O27" s="10" t="s">
        <x:v>104</x:v>
      </x:c>
      <x:c r="P27" s="10" t="s">
        <x:v>246</x:v>
      </x:c>
      <x:c r="Q27" s="10" t="s">
        <x:v>106</x:v>
      </x:c>
    </x:row>
    <x:row r="28" ht="133.5" customHeight="1">
      <x:c r="A28" s="22" t="str">
        <x:f t="shared" si="1"/>
        <x:v>023</x:v>
      </x:c>
      <x:c r="B28" s="10" t="s">
        <x:v>95</x:v>
      </x:c>
      <x:c r="C28" s="10" t="s">
        <x:v>247</x:v>
      </x:c>
      <x:c r="D28" s="10">
        <x:v>2026.0</x:v>
      </x:c>
      <x:c r="E28" s="10" t="s">
        <x:v>134</x:v>
      </x:c>
      <x:c r="F28" s="10" t="s">
        <x:v>248</x:v>
      </x:c>
      <x:c r="G28" s="10" t="s">
        <x:v>249</x:v>
      </x:c>
      <x:c r="H28" s="10" t="s">
        <x:v>250</x:v>
      </x:c>
      <x:c r="I28" s="10" t="s">
        <x:v>251</x:v>
      </x:c>
      <x:c r="J28" s="10" t="s">
        <x:v>139</x:v>
      </x:c>
      <x:c r="K28" s="10" t="s">
        <x:v>9</x:v>
      </x:c>
      <x:c r="L28" s="10" t="s">
        <x:v>153</x:v>
      </x:c>
      <x:c r="M28" s="22" t="str">
        <x:f t="shared" si="2"/>
      </x:c>
      <x:c r="N28" s="10" t="s">
        <x:v>113</x:v>
      </x:c>
      <x:c r="O28" s="10" t="s">
        <x:v>104</x:v>
      </x:c>
      <x:c r="P28" s="10" t="s">
        <x:v>252</x:v>
      </x:c>
      <x:c r="Q28" s="10" t="s">
        <x:v>106</x:v>
      </x:c>
    </x:row>
    <x:row r="29" ht="133.5" customHeight="1">
      <x:c r="A29" s="22" t="str">
        <x:f t="shared" si="1"/>
        <x:v>024</x:v>
      </x:c>
      <x:c r="B29" s="10" t="s">
        <x:v>95</x:v>
      </x:c>
      <x:c r="C29" s="10" t="s">
        <x:v>253</x:v>
      </x:c>
      <x:c r="D29" s="10">
        <x:v>2026.0</x:v>
      </x:c>
      <x:c r="E29" s="10" t="s">
        <x:v>134</x:v>
      </x:c>
      <x:c r="F29" s="10" t="s">
        <x:v>254</x:v>
      </x:c>
      <x:c r="G29" s="10" t="s">
        <x:v>255</x:v>
      </x:c>
      <x:c r="H29" s="10" t="s">
        <x:v>256</x:v>
      </x:c>
      <x:c r="I29" s="10" t="s">
        <x:v>257</x:v>
      </x:c>
      <x:c r="J29" s="10" t="s">
        <x:v>139</x:v>
      </x:c>
      <x:c r="K29" s="10" t="s">
        <x:v>9</x:v>
      </x:c>
      <x:c r="L29" s="10" t="s">
        <x:v>258</x:v>
      </x:c>
      <x:c r="M29" s="22" t="str">
        <x:f t="shared" si="2"/>
      </x:c>
      <x:c r="N29" s="10" t="s">
        <x:v>103</x:v>
      </x:c>
      <x:c r="O29" s="10" t="s">
        <x:v>104</x:v>
      </x:c>
      <x:c r="P29" s="10" t="s">
        <x:v>259</x:v>
      </x:c>
      <x:c r="Q29" s="10" t="s">
        <x:v>106</x:v>
      </x:c>
    </x:row>
    <x:row r="30" ht="133.5" customHeight="1">
      <x:c r="A30" s="22" t="str">
        <x:f t="shared" si="1"/>
        <x:v>025</x:v>
      </x:c>
      <x:c r="B30" s="10" t="s">
        <x:v>95</x:v>
      </x:c>
      <x:c r="C30" s="10" t="s">
        <x:v>260</x:v>
      </x:c>
      <x:c r="D30" s="10">
        <x:v>2026.0</x:v>
      </x:c>
      <x:c r="E30" s="10" t="s">
        <x:v>134</x:v>
      </x:c>
      <x:c r="F30" s="10" t="s">
        <x:v>261</x:v>
      </x:c>
      <x:c r="G30" s="10" t="s">
        <x:v>262</x:v>
      </x:c>
      <x:c r="H30" s="10" t="s">
        <x:v>263</x:v>
      </x:c>
      <x:c r="I30" s="10" t="s">
        <x:v>264</x:v>
      </x:c>
      <x:c r="J30" s="10" t="s">
        <x:v>139</x:v>
      </x:c>
      <x:c r="K30" s="10" t="s">
        <x:v>13</x:v>
      </x:c>
      <x:c r="L30" s="10" t="s">
        <x:v>153</x:v>
      </x:c>
      <x:c r="M30" s="22" t="str">
        <x:f t="shared" si="2"/>
      </x:c>
      <x:c r="N30" s="10" t="s">
        <x:v>113</x:v>
      </x:c>
      <x:c r="O30" s="10" t="s">
        <x:v>104</x:v>
      </x:c>
      <x:c r="P30" s="10" t="s">
        <x:v>265</x:v>
      </x:c>
      <x:c r="Q30" s="10" t="s">
        <x:v>106</x:v>
      </x:c>
    </x:row>
    <x:row r="31" ht="133.5" customHeight="1">
      <x:c r="A31" s="22" t="str">
        <x:f t="shared" si="1"/>
        <x:v>026</x:v>
      </x:c>
      <x:c r="B31" s="10" t="s">
        <x:v>95</x:v>
      </x:c>
      <x:c r="C31" s="10" t="s">
        <x:v>266</x:v>
      </x:c>
      <x:c r="D31" s="10">
        <x:v>2026.0</x:v>
      </x:c>
      <x:c r="E31" s="10" t="s">
        <x:v>162</x:v>
      </x:c>
      <x:c r="F31" s="10" t="s">
        <x:v>267</x:v>
      </x:c>
      <x:c r="G31" s="10" t="s">
        <x:v>268</x:v>
      </x:c>
      <x:c r="H31" s="10" t="s">
        <x:v>269</x:v>
      </x:c>
      <x:c r="I31" s="10" t="s">
        <x:v>270</x:v>
      </x:c>
      <x:c r="J31" s="10" t="s">
        <x:v>139</x:v>
      </x:c>
      <x:c r="K31" s="10" t="s">
        <x:v>9</x:v>
      </x:c>
      <x:c r="L31" s="10" t="s">
        <x:v>112</x:v>
      </x:c>
      <x:c r="M31" s="22" t="str">
        <x:f t="shared" si="2"/>
      </x:c>
      <x:c r="N31" s="10" t="s">
        <x:v>103</x:v>
      </x:c>
      <x:c r="O31" s="10" t="s">
        <x:v>104</x:v>
      </x:c>
      <x:c r="P31" s="10" t="s">
        <x:v>271</x:v>
      </x:c>
      <x:c r="Q31" s="10" t="s">
        <x:v>106</x:v>
      </x:c>
    </x:row>
    <x:row r="32" ht="85.5" customHeight="1">
      <x:c r="A32" s="22"/>
      <x:c r="B32" s="10" t="s">
        <x:v>272</x:v>
      </x:c>
      <x:c r="C32" s="10"/>
      <x:c r="D32" s="10">
        <x:v>2025.0</x:v>
      </x:c>
      <x:c r="E32" s="10" t="s">
        <x:v>273</x:v>
      </x:c>
      <x:c r="F32" s="10" t="s">
        <x:v>274</x:v>
      </x:c>
      <x:c r="G32" s="10" t="s">
        <x:v>275</x:v>
      </x:c>
      <x:c r="H32" s="10" t="s">
        <x:v>276</x:v>
      </x:c>
      <x:c r="I32" s="10" t="s">
        <x:v>277</x:v>
      </x:c>
      <x:c r="J32" s="10" t="s">
        <x:v>89</x:v>
      </x:c>
      <x:c r="K32" s="10" t="s">
        <x:v>5</x:v>
      </x:c>
      <x:c r="L32" s="10"/>
      <x:c r="M32" s="22"/>
      <x:c r="N32" s="10"/>
      <x:c r="O32" s="10"/>
      <x:c r="P32" s="10" t="s">
        <x:v>278</x:v>
      </x:c>
      <x:c r="Q32" s="10" t="s">
        <x:v>94</x:v>
      </x:c>
    </x:row>
    <x:row r="33" ht="85.5" customHeight="1">
      <x:c r="A33" s="22"/>
      <x:c r="B33" s="10" t="s">
        <x:v>272</x:v>
      </x:c>
      <x:c r="C33" s="10"/>
      <x:c r="D33" s="10">
        <x:v>2026.0</x:v>
      </x:c>
      <x:c r="E33" s="10" t="s">
        <x:v>279</x:v>
      </x:c>
      <x:c r="F33" s="10" t="s">
        <x:v>280</x:v>
      </x:c>
      <x:c r="G33" s="10" t="s">
        <x:v>281</x:v>
      </x:c>
      <x:c r="H33" s="10" t="s">
        <x:v>282</x:v>
      </x:c>
      <x:c r="I33" s="10" t="s">
        <x:v>283</x:v>
      </x:c>
      <x:c r="J33" s="10" t="s">
        <x:v>89</x:v>
      </x:c>
      <x:c r="K33" s="10" t="s">
        <x:v>5</x:v>
      </x:c>
      <x:c r="L33" s="10"/>
      <x:c r="M33" s="22"/>
      <x:c r="N33" s="10"/>
      <x:c r="O33" s="10"/>
      <x:c r="P33" s="10" t="s">
        <x:v>284</x:v>
      </x:c>
      <x:c r="Q33" s="10" t="s">
        <x:v>94</x:v>
      </x:c>
    </x:row>
    <x:row r="34" ht="85.5" customHeight="1">
      <x:c r="A34" s="22"/>
      <x:c r="B34" s="10" t="s">
        <x:v>272</x:v>
      </x:c>
      <x:c r="C34" s="10"/>
      <x:c r="D34" s="10">
        <x:v>2017.0</x:v>
      </x:c>
      <x:c r="E34" s="10" t="s">
        <x:v>285</x:v>
      </x:c>
      <x:c r="F34" s="10" t="s">
        <x:v>286</x:v>
      </x:c>
      <x:c r="G34" s="10" t="s">
        <x:v>287</x:v>
      </x:c>
      <x:c r="H34" s="10" t="s">
        <x:v>288</x:v>
      </x:c>
      <x:c r="I34" s="10" t="s">
        <x:v>289</x:v>
      </x:c>
      <x:c r="J34" s="10" t="s">
        <x:v>89</x:v>
      </x:c>
      <x:c r="K34" s="10" t="s">
        <x:v>5</x:v>
      </x:c>
      <x:c r="L34" s="10"/>
      <x:c r="M34" s="22"/>
      <x:c r="N34" s="10"/>
      <x:c r="O34" s="10"/>
      <x:c r="P34" s="10" t="s">
        <x:v>290</x:v>
      </x:c>
      <x:c r="Q34" s="10" t="s">
        <x:v>94</x:v>
      </x:c>
    </x:row>
    <x:row r="35" ht="85.5" customHeight="1">
      <x:c r="A35" s="22"/>
      <x:c r="B35" s="10" t="s">
        <x:v>272</x:v>
      </x:c>
      <x:c r="C35" s="10"/>
      <x:c r="D35" s="10">
        <x:v>2012.0</x:v>
      </x:c>
      <x:c r="E35" s="10" t="s">
        <x:v>291</x:v>
      </x:c>
      <x:c r="F35" s="10" t="s">
        <x:v>292</x:v>
      </x:c>
      <x:c r="G35" s="10" t="s">
        <x:v>293</x:v>
      </x:c>
      <x:c r="H35" s="10" t="s">
        <x:v>294</x:v>
      </x:c>
      <x:c r="I35" s="10" t="s">
        <x:v>295</x:v>
      </x:c>
      <x:c r="J35" s="10" t="s">
        <x:v>89</x:v>
      </x:c>
      <x:c r="K35" s="10" t="s">
        <x:v>9</x:v>
      </x:c>
      <x:c r="L35" s="10"/>
      <x:c r="M35" s="22"/>
      <x:c r="N35" s="10"/>
      <x:c r="O35" s="10"/>
      <x:c r="P35" s="10" t="s">
        <x:v>296</x:v>
      </x:c>
      <x:c r="Q35" s="10" t="s">
        <x:v>94</x:v>
      </x:c>
    </x:row>
    <x:row r="36" ht="85.5" customHeight="1">
      <x:c r="A36" s="22"/>
      <x:c r="B36" s="10" t="s">
        <x:v>272</x:v>
      </x:c>
      <x:c r="C36" s="10"/>
      <x:c r="D36" s="10">
        <x:v>2024.0</x:v>
      </x:c>
      <x:c r="E36" s="10" t="s">
        <x:v>297</x:v>
      </x:c>
      <x:c r="F36" s="10" t="s">
        <x:v>298</x:v>
      </x:c>
      <x:c r="G36" s="10" t="s">
        <x:v>299</x:v>
      </x:c>
      <x:c r="H36" s="10" t="s">
        <x:v>300</x:v>
      </x:c>
      <x:c r="I36" s="10" t="s">
        <x:v>301</x:v>
      </x:c>
      <x:c r="J36" s="10" t="s">
        <x:v>89</x:v>
      </x:c>
      <x:c r="K36" s="10" t="s">
        <x:v>9</x:v>
      </x:c>
      <x:c r="L36" s="10"/>
      <x:c r="M36" s="22"/>
      <x:c r="N36" s="10"/>
      <x:c r="O36" s="10"/>
      <x:c r="P36" s="10" t="s">
        <x:v>302</x:v>
      </x:c>
      <x:c r="Q36" s="10" t="s">
        <x:v>94</x:v>
      </x:c>
    </x:row>
    <x:row r="37" ht="85.5" customHeight="1">
      <x:c r="A37" s="22"/>
      <x:c r="B37" s="10" t="s">
        <x:v>272</x:v>
      </x:c>
      <x:c r="C37" s="10"/>
      <x:c r="D37" s="10">
        <x:v>2025.0</x:v>
      </x:c>
      <x:c r="E37" s="10" t="s">
        <x:v>303</x:v>
      </x:c>
      <x:c r="F37" s="10" t="s">
        <x:v>304</x:v>
      </x:c>
      <x:c r="G37" s="10" t="s">
        <x:v>305</x:v>
      </x:c>
      <x:c r="H37" s="10" t="s">
        <x:v>306</x:v>
      </x:c>
      <x:c r="I37" s="10" t="s">
        <x:v>307</x:v>
      </x:c>
      <x:c r="J37" s="10" t="s">
        <x:v>89</x:v>
      </x:c>
      <x:c r="K37" s="10" t="s">
        <x:v>9</x:v>
      </x:c>
      <x:c r="L37" s="10"/>
      <x:c r="M37" s="22"/>
      <x:c r="N37" s="10"/>
      <x:c r="O37" s="10"/>
      <x:c r="P37" s="10" t="s">
        <x:v>308</x:v>
      </x:c>
      <x:c r="Q37" s="10" t="s">
        <x:v>94</x:v>
      </x:c>
    </x:row>
    <x:row r="38" ht="85.5" customHeight="1">
      <x:c r="A38" s="22"/>
      <x:c r="B38" s="10" t="s">
        <x:v>272</x:v>
      </x:c>
      <x:c r="C38" s="10"/>
      <x:c r="D38" s="10">
        <x:v>2024.0</x:v>
      </x:c>
      <x:c r="E38" s="10" t="s">
        <x:v>309</x:v>
      </x:c>
      <x:c r="F38" s="10" t="s">
        <x:v>310</x:v>
      </x:c>
      <x:c r="G38" s="10" t="s">
        <x:v>311</x:v>
      </x:c>
      <x:c r="H38" s="10" t="s">
        <x:v>312</x:v>
      </x:c>
      <x:c r="I38" s="10" t="s">
        <x:v>313</x:v>
      </x:c>
      <x:c r="J38" s="10" t="s">
        <x:v>89</x:v>
      </x:c>
      <x:c r="K38" s="10" t="s">
        <x:v>9</x:v>
      </x:c>
      <x:c r="L38" s="10"/>
      <x:c r="M38" s="22"/>
      <x:c r="N38" s="10"/>
      <x:c r="O38" s="10"/>
      <x:c r="P38" s="10" t="s">
        <x:v>314</x:v>
      </x:c>
      <x:c r="Q38" s="10" t="s">
        <x:v>94</x:v>
      </x:c>
    </x:row>
    <x:row r="39" ht="85.5" customHeight="1">
      <x:c r="A39" s="22"/>
      <x:c r="B39" s="10" t="s">
        <x:v>272</x:v>
      </x:c>
      <x:c r="C39" s="10"/>
      <x:c r="D39" s="10">
        <x:v>2026.0</x:v>
      </x:c>
      <x:c r="E39" s="10" t="s">
        <x:v>315</x:v>
      </x:c>
      <x:c r="F39" s="10" t="s">
        <x:v>316</x:v>
      </x:c>
      <x:c r="G39" s="10" t="s">
        <x:v>317</x:v>
      </x:c>
      <x:c r="H39" s="10" t="s">
        <x:v>318</x:v>
      </x:c>
      <x:c r="I39" s="10" t="s">
        <x:v>319</x:v>
      </x:c>
      <x:c r="J39" s="10" t="s">
        <x:v>89</x:v>
      </x:c>
      <x:c r="K39" s="10" t="s">
        <x:v>9</x:v>
      </x:c>
      <x:c r="L39" s="10"/>
      <x:c r="M39" s="22"/>
      <x:c r="N39" s="10"/>
      <x:c r="O39" s="10"/>
      <x:c r="P39" s="10" t="s">
        <x:v>320</x:v>
      </x:c>
      <x:c r="Q39" s="10" t="s">
        <x:v>94</x:v>
      </x:c>
    </x:row>
    <x:row r="40" ht="85.5" customHeight="1">
      <x:c r="A40" s="22"/>
      <x:c r="B40" s="10" t="s">
        <x:v>272</x:v>
      </x:c>
      <x:c r="C40" s="10"/>
      <x:c r="D40" s="10">
        <x:v>2018.0</x:v>
      </x:c>
      <x:c r="E40" s="10" t="s">
        <x:v>321</x:v>
      </x:c>
      <x:c r="F40" s="10" t="s">
        <x:v>322</x:v>
      </x:c>
      <x:c r="G40" s="10" t="s">
        <x:v>323</x:v>
      </x:c>
      <x:c r="H40" s="10" t="s">
        <x:v>324</x:v>
      </x:c>
      <x:c r="I40" s="10" t="s">
        <x:v>325</x:v>
      </x:c>
      <x:c r="J40" s="10" t="s">
        <x:v>89</x:v>
      </x:c>
      <x:c r="K40" s="10" t="s">
        <x:v>9</x:v>
      </x:c>
      <x:c r="L40" s="10"/>
      <x:c r="M40" s="22"/>
      <x:c r="N40" s="10"/>
      <x:c r="O40" s="10"/>
      <x:c r="P40" s="10" t="s">
        <x:v>326</x:v>
      </x:c>
      <x:c r="Q40" s="10" t="s">
        <x:v>94</x:v>
      </x:c>
    </x:row>
    <x:row r="41" ht="85.5" customHeight="1">
      <x:c r="A41" s="22"/>
      <x:c r="B41" s="10" t="s">
        <x:v>272</x:v>
      </x:c>
      <x:c r="C41" s="10"/>
      <x:c r="D41" s="10">
        <x:v>2011.0</x:v>
      </x:c>
      <x:c r="E41" s="10" t="s">
        <x:v>327</x:v>
      </x:c>
      <x:c r="F41" s="10" t="s">
        <x:v>328</x:v>
      </x:c>
      <x:c r="G41" s="10" t="s">
        <x:v>329</x:v>
      </x:c>
      <x:c r="H41" s="10" t="s">
        <x:v>330</x:v>
      </x:c>
      <x:c r="I41" s="10" t="s">
        <x:v>331</x:v>
      </x:c>
      <x:c r="J41" s="10" t="s">
        <x:v>89</x:v>
      </x:c>
      <x:c r="K41" s="10" t="s">
        <x:v>13</x:v>
      </x:c>
      <x:c r="L41" s="10"/>
      <x:c r="M41" s="22"/>
      <x:c r="N41" s="10"/>
      <x:c r="O41" s="10"/>
      <x:c r="P41" s="10" t="s">
        <x:v>332</x:v>
      </x:c>
      <x:c r="Q41" s="10" t="s">
        <x:v>94</x:v>
      </x:c>
    </x:row>
    <x:row r="42" ht="85.5" customHeight="1">
      <x:c r="A42" s="22"/>
      <x:c r="B42" s="10" t="s">
        <x:v>272</x:v>
      </x:c>
      <x:c r="C42" s="10"/>
      <x:c r="D42" s="10">
        <x:v>2017.0</x:v>
      </x:c>
      <x:c r="E42" s="10" t="s">
        <x:v>333</x:v>
      </x:c>
      <x:c r="F42" s="10" t="s">
        <x:v>334</x:v>
      </x:c>
      <x:c r="G42" s="10" t="s">
        <x:v>335</x:v>
      </x:c>
      <x:c r="H42" s="10" t="s">
        <x:v>336</x:v>
      </x:c>
      <x:c r="I42" s="10" t="s">
        <x:v>337</x:v>
      </x:c>
      <x:c r="J42" s="10" t="s">
        <x:v>89</x:v>
      </x:c>
      <x:c r="K42" s="10" t="s">
        <x:v>13</x:v>
      </x:c>
      <x:c r="L42" s="10"/>
      <x:c r="M42" s="22"/>
      <x:c r="N42" s="10"/>
      <x:c r="O42" s="10"/>
      <x:c r="P42" s="10" t="s">
        <x:v>338</x:v>
      </x:c>
      <x:c r="Q42" s="10" t="s">
        <x:v>94</x:v>
      </x:c>
    </x:row>
    <x:row r="43" ht="85.5" customHeight="1">
      <x:c r="A43" s="22"/>
      <x:c r="B43" s="10" t="s">
        <x:v>272</x:v>
      </x:c>
      <x:c r="C43" s="10"/>
      <x:c r="D43" s="10">
        <x:v>2016.0</x:v>
      </x:c>
      <x:c r="E43" s="10" t="s">
        <x:v>339</x:v>
      </x:c>
      <x:c r="F43" s="10" t="s">
        <x:v>340</x:v>
      </x:c>
      <x:c r="G43" s="10" t="s">
        <x:v>341</x:v>
      </x:c>
      <x:c r="H43" s="10" t="s">
        <x:v>342</x:v>
      </x:c>
      <x:c r="I43" s="10" t="s">
        <x:v>343</x:v>
      </x:c>
      <x:c r="J43" s="10" t="s">
        <x:v>89</x:v>
      </x:c>
      <x:c r="K43" s="10" t="s">
        <x:v>13</x:v>
      </x:c>
      <x:c r="L43" s="10"/>
      <x:c r="M43" s="22"/>
      <x:c r="N43" s="10"/>
      <x:c r="O43" s="10"/>
      <x:c r="P43" s="10" t="s">
        <x:v>344</x:v>
      </x:c>
      <x:c r="Q43" s="10" t="s">
        <x:v>94</x:v>
      </x:c>
    </x:row>
    <x:row r="44" ht="85.5" customHeight="1">
      <x:c r="A44" s="22"/>
      <x:c r="B44" s="10" t="s">
        <x:v>272</x:v>
      </x:c>
      <x:c r="C44" s="10"/>
      <x:c r="D44" s="10">
        <x:v>2025.0</x:v>
      </x:c>
      <x:c r="E44" s="10" t="s">
        <x:v>345</x:v>
      </x:c>
      <x:c r="F44" s="10" t="s">
        <x:v>346</x:v>
      </x:c>
      <x:c r="G44" s="10" t="s">
        <x:v>347</x:v>
      </x:c>
      <x:c r="H44" s="10" t="s">
        <x:v>282</x:v>
      </x:c>
      <x:c r="I44" s="10" t="s">
        <x:v>348</x:v>
      </x:c>
      <x:c r="J44" s="10" t="s">
        <x:v>89</x:v>
      </x:c>
      <x:c r="K44" s="10" t="s">
        <x:v>13</x:v>
      </x:c>
      <x:c r="L44" s="10"/>
      <x:c r="M44" s="22"/>
      <x:c r="N44" s="10"/>
      <x:c r="O44" s="10"/>
      <x:c r="P44" s="10" t="s">
        <x:v>349</x:v>
      </x:c>
      <x:c r="Q44" s="10" t="s">
        <x:v>94</x:v>
      </x:c>
    </x:row>
    <x:row r="45" ht="15" customHeight="1">
      <x:c r="A45" s="22" t="str">
        <x:f t="shared" ref="A45:A110" si="3">IF(F45="","",TEXT(ROW()-4-1,"000"))</x:f>
      </x:c>
      <x:c r="B45" s="10"/>
      <x:c r="C45" s="10"/>
      <x:c r="D45" s="10"/>
      <x:c r="E45" s="10"/>
      <x:c r="F45" s="10"/>
      <x:c r="G45" s="10"/>
      <x:c r="H45" s="10"/>
      <x:c r="I45" s="10"/>
      <x:c r="J45" s="10"/>
      <x:c r="K45" s="10"/>
      <x:c r="L45" s="10"/>
      <x:c r="M45" s="22" t="str">
        <x:f t="shared" ref="M45:M110" si="4">IF(I45="","",IF(COUNTIFS($I$6:$I$110,I45)&gt;1,IF(COUNTIFS($I$6:$I$110,I45,$K$6:$K$110,"&lt;&gt;"&amp;K45)&gt;0,"SOLAPAMIENTO: otro pilar","Duplicada en el mismo pilar"),""))</x:f>
      </x:c>
      <x:c r="N45" s="10"/>
      <x:c r="O45" s="10"/>
      <x:c r="P45" s="10"/>
      <x:c r="Q45" s="10"/>
    </x:row>
    <x:row r="46" ht="15" customHeight="1">
      <x:c r="A46" s="22" t="str">
        <x:f t="shared" si="3"/>
      </x:c>
      <x:c r="B46" s="10"/>
      <x:c r="C46" s="10"/>
      <x:c r="D46" s="10"/>
      <x:c r="E46" s="10"/>
      <x:c r="F46" s="10"/>
      <x:c r="G46" s="10"/>
      <x:c r="H46" s="10"/>
      <x:c r="I46" s="10"/>
      <x:c r="J46" s="10"/>
      <x:c r="K46" s="10"/>
      <x:c r="L46" s="10"/>
      <x:c r="M46" s="22" t="str">
        <x:f t="shared" si="4"/>
      </x:c>
      <x:c r="N46" s="10"/>
      <x:c r="O46" s="10"/>
      <x:c r="P46" s="10"/>
      <x:c r="Q46" s="10"/>
    </x:row>
    <x:row r="47" ht="15" customHeight="1">
      <x:c r="A47" s="22" t="str">
        <x:f t="shared" si="3"/>
      </x:c>
      <x:c r="B47" s="10"/>
      <x:c r="C47" s="10"/>
      <x:c r="D47" s="10"/>
      <x:c r="E47" s="10"/>
      <x:c r="F47" s="10"/>
      <x:c r="G47" s="10"/>
      <x:c r="H47" s="10"/>
      <x:c r="I47" s="10"/>
      <x:c r="J47" s="10"/>
      <x:c r="K47" s="10"/>
      <x:c r="L47" s="10"/>
      <x:c r="M47" s="22" t="str">
        <x:f t="shared" si="4"/>
      </x:c>
      <x:c r="N47" s="10"/>
      <x:c r="O47" s="10"/>
      <x:c r="P47" s="10"/>
      <x:c r="Q47" s="10"/>
    </x:row>
    <x:row r="48" ht="15" customHeight="1">
      <x:c r="A48" s="22" t="str">
        <x:f t="shared" si="3"/>
      </x:c>
      <x:c r="B48" s="10"/>
      <x:c r="C48" s="10"/>
      <x:c r="D48" s="10"/>
      <x:c r="E48" s="10"/>
      <x:c r="F48" s="10"/>
      <x:c r="G48" s="10"/>
      <x:c r="H48" s="10"/>
      <x:c r="I48" s="10"/>
      <x:c r="J48" s="10"/>
      <x:c r="K48" s="10"/>
      <x:c r="L48" s="10"/>
      <x:c r="M48" s="22" t="str">
        <x:f t="shared" si="4"/>
      </x:c>
      <x:c r="N48" s="10"/>
      <x:c r="O48" s="10"/>
      <x:c r="P48" s="10"/>
      <x:c r="Q48" s="10"/>
    </x:row>
    <x:row r="49" ht="15" customHeight="1">
      <x:c r="A49" s="22" t="str">
        <x:f t="shared" si="3"/>
      </x:c>
      <x:c r="B49" s="10"/>
      <x:c r="C49" s="10"/>
      <x:c r="D49" s="10"/>
      <x:c r="E49" s="10"/>
      <x:c r="F49" s="10"/>
      <x:c r="G49" s="10"/>
      <x:c r="H49" s="10"/>
      <x:c r="I49" s="10"/>
      <x:c r="J49" s="10"/>
      <x:c r="K49" s="10"/>
      <x:c r="L49" s="10"/>
      <x:c r="M49" s="22" t="str">
        <x:f t="shared" si="4"/>
      </x:c>
      <x:c r="N49" s="10"/>
      <x:c r="O49" s="10"/>
      <x:c r="P49" s="10"/>
      <x:c r="Q49" s="10"/>
    </x:row>
    <x:row r="50" ht="15" customHeight="1">
      <x:c r="A50" s="22" t="str">
        <x:f t="shared" si="3"/>
      </x:c>
      <x:c r="B50" s="10"/>
      <x:c r="C50" s="10"/>
      <x:c r="D50" s="10"/>
      <x:c r="E50" s="10"/>
      <x:c r="F50" s="10"/>
      <x:c r="G50" s="10"/>
      <x:c r="H50" s="10"/>
      <x:c r="I50" s="10"/>
      <x:c r="J50" s="10"/>
      <x:c r="K50" s="10"/>
      <x:c r="L50" s="10"/>
      <x:c r="M50" s="22" t="str">
        <x:f t="shared" si="4"/>
      </x:c>
      <x:c r="N50" s="10"/>
      <x:c r="O50" s="10"/>
      <x:c r="P50" s="10"/>
      <x:c r="Q50" s="10"/>
    </x:row>
    <x:row r="51" ht="15" customHeight="1">
      <x:c r="A51" s="22" t="str">
        <x:f t="shared" si="3"/>
      </x:c>
      <x:c r="B51" s="10"/>
      <x:c r="C51" s="10"/>
      <x:c r="D51" s="10"/>
      <x:c r="E51" s="10"/>
      <x:c r="F51" s="10"/>
      <x:c r="G51" s="10"/>
      <x:c r="H51" s="10"/>
      <x:c r="I51" s="10"/>
      <x:c r="J51" s="10"/>
      <x:c r="K51" s="10"/>
      <x:c r="L51" s="10"/>
      <x:c r="M51" s="22" t="str">
        <x:f t="shared" si="4"/>
      </x:c>
      <x:c r="N51" s="10"/>
      <x:c r="O51" s="10"/>
      <x:c r="P51" s="10"/>
      <x:c r="Q51" s="10"/>
    </x:row>
    <x:row r="52" ht="15" customHeight="1">
      <x:c r="A52" s="22" t="str">
        <x:f t="shared" si="3"/>
      </x:c>
      <x:c r="B52" s="10"/>
      <x:c r="C52" s="10"/>
      <x:c r="D52" s="10"/>
      <x:c r="E52" s="10"/>
      <x:c r="F52" s="10"/>
      <x:c r="G52" s="10"/>
      <x:c r="H52" s="10"/>
      <x:c r="I52" s="10"/>
      <x:c r="J52" s="10"/>
      <x:c r="K52" s="10"/>
      <x:c r="L52" s="10"/>
      <x:c r="M52" s="22" t="str">
        <x:f t="shared" si="4"/>
      </x:c>
      <x:c r="N52" s="10"/>
      <x:c r="O52" s="10"/>
      <x:c r="P52" s="10"/>
      <x:c r="Q52" s="10"/>
    </x:row>
    <x:row r="53" ht="15" customHeight="1">
      <x:c r="A53" s="22" t="str">
        <x:f t="shared" si="3"/>
      </x:c>
      <x:c r="B53" s="10"/>
      <x:c r="C53" s="10"/>
      <x:c r="D53" s="10"/>
      <x:c r="E53" s="10"/>
      <x:c r="F53" s="10"/>
      <x:c r="G53" s="10"/>
      <x:c r="H53" s="10"/>
      <x:c r="I53" s="10"/>
      <x:c r="J53" s="10"/>
      <x:c r="K53" s="10"/>
      <x:c r="L53" s="10"/>
      <x:c r="M53" s="22" t="str">
        <x:f t="shared" si="4"/>
      </x:c>
      <x:c r="N53" s="10"/>
      <x:c r="O53" s="10"/>
      <x:c r="P53" s="10"/>
      <x:c r="Q53" s="10"/>
    </x:row>
    <x:row r="54" ht="15" customHeight="1">
      <x:c r="A54" s="22" t="str">
        <x:f t="shared" si="3"/>
      </x:c>
      <x:c r="B54" s="10"/>
      <x:c r="C54" s="10"/>
      <x:c r="D54" s="10"/>
      <x:c r="E54" s="10"/>
      <x:c r="F54" s="10"/>
      <x:c r="G54" s="10"/>
      <x:c r="H54" s="10"/>
      <x:c r="I54" s="10"/>
      <x:c r="J54" s="10"/>
      <x:c r="K54" s="10"/>
      <x:c r="L54" s="10"/>
      <x:c r="M54" s="22" t="str">
        <x:f t="shared" si="4"/>
      </x:c>
      <x:c r="N54" s="10"/>
      <x:c r="O54" s="10"/>
      <x:c r="P54" s="10"/>
      <x:c r="Q54" s="10"/>
    </x:row>
    <x:row r="55" ht="15" customHeight="1">
      <x:c r="A55" s="22" t="str">
        <x:f t="shared" si="3"/>
      </x:c>
      <x:c r="B55" s="10"/>
      <x:c r="C55" s="10"/>
      <x:c r="D55" s="10"/>
      <x:c r="E55" s="10"/>
      <x:c r="F55" s="10"/>
      <x:c r="G55" s="10"/>
      <x:c r="H55" s="10"/>
      <x:c r="I55" s="10"/>
      <x:c r="J55" s="10"/>
      <x:c r="K55" s="10"/>
      <x:c r="L55" s="10"/>
      <x:c r="M55" s="22" t="str">
        <x:f t="shared" si="4"/>
      </x:c>
      <x:c r="N55" s="10"/>
      <x:c r="O55" s="10"/>
      <x:c r="P55" s="10"/>
      <x:c r="Q55" s="10"/>
    </x:row>
    <x:row r="56" ht="15" customHeight="1">
      <x:c r="A56" s="22" t="str">
        <x:f t="shared" si="3"/>
      </x:c>
      <x:c r="B56" s="10"/>
      <x:c r="C56" s="10"/>
      <x:c r="D56" s="10"/>
      <x:c r="E56" s="10"/>
      <x:c r="F56" s="10"/>
      <x:c r="G56" s="10"/>
      <x:c r="H56" s="10"/>
      <x:c r="I56" s="10"/>
      <x:c r="J56" s="10"/>
      <x:c r="K56" s="10"/>
      <x:c r="L56" s="10"/>
      <x:c r="M56" s="22" t="str">
        <x:f t="shared" si="4"/>
      </x:c>
      <x:c r="N56" s="10"/>
      <x:c r="O56" s="10"/>
      <x:c r="P56" s="10"/>
      <x:c r="Q56" s="10"/>
    </x:row>
    <x:row r="57" ht="15" customHeight="1">
      <x:c r="A57" s="22" t="str">
        <x:f t="shared" si="3"/>
      </x:c>
      <x:c r="B57" s="10"/>
      <x:c r="C57" s="10"/>
      <x:c r="D57" s="10"/>
      <x:c r="E57" s="10"/>
      <x:c r="F57" s="10"/>
      <x:c r="G57" s="10"/>
      <x:c r="H57" s="10"/>
      <x:c r="I57" s="10"/>
      <x:c r="J57" s="10"/>
      <x:c r="K57" s="10"/>
      <x:c r="L57" s="10"/>
      <x:c r="M57" s="22" t="str">
        <x:f t="shared" si="4"/>
      </x:c>
      <x:c r="N57" s="10"/>
      <x:c r="O57" s="10"/>
      <x:c r="P57" s="10"/>
      <x:c r="Q57" s="10"/>
    </x:row>
    <x:row r="58" ht="15" customHeight="1">
      <x:c r="A58" s="22" t="str">
        <x:f t="shared" si="3"/>
      </x:c>
      <x:c r="B58" s="10"/>
      <x:c r="C58" s="10"/>
      <x:c r="D58" s="10"/>
      <x:c r="E58" s="10"/>
      <x:c r="F58" s="10"/>
      <x:c r="G58" s="10"/>
      <x:c r="H58" s="10"/>
      <x:c r="I58" s="10"/>
      <x:c r="J58" s="10"/>
      <x:c r="K58" s="10"/>
      <x:c r="L58" s="10"/>
      <x:c r="M58" s="22" t="str">
        <x:f t="shared" si="4"/>
      </x:c>
      <x:c r="N58" s="10"/>
      <x:c r="O58" s="10"/>
      <x:c r="P58" s="10"/>
      <x:c r="Q58" s="10"/>
    </x:row>
    <x:row r="59" ht="15" customHeight="1">
      <x:c r="A59" s="22" t="str">
        <x:f t="shared" si="3"/>
      </x:c>
      <x:c r="B59" s="10"/>
      <x:c r="C59" s="10"/>
      <x:c r="D59" s="10"/>
      <x:c r="E59" s="10"/>
      <x:c r="F59" s="10"/>
      <x:c r="G59" s="10"/>
      <x:c r="H59" s="10"/>
      <x:c r="I59" s="10"/>
      <x:c r="J59" s="10"/>
      <x:c r="K59" s="10"/>
      <x:c r="L59" s="10"/>
      <x:c r="M59" s="22" t="str">
        <x:f t="shared" si="4"/>
      </x:c>
      <x:c r="N59" s="10"/>
      <x:c r="O59" s="10"/>
      <x:c r="P59" s="10"/>
      <x:c r="Q59" s="10"/>
    </x:row>
    <x:row r="60" ht="15" customHeight="1">
      <x:c r="A60" s="22" t="str">
        <x:f t="shared" si="3"/>
      </x:c>
      <x:c r="B60" s="10"/>
      <x:c r="C60" s="10"/>
      <x:c r="D60" s="10"/>
      <x:c r="E60" s="10"/>
      <x:c r="F60" s="10"/>
      <x:c r="G60" s="10"/>
      <x:c r="H60" s="10"/>
      <x:c r="I60" s="10"/>
      <x:c r="J60" s="10"/>
      <x:c r="K60" s="10"/>
      <x:c r="L60" s="10"/>
      <x:c r="M60" s="22" t="str">
        <x:f t="shared" si="4"/>
      </x:c>
      <x:c r="N60" s="10"/>
      <x:c r="O60" s="10"/>
      <x:c r="P60" s="10"/>
      <x:c r="Q60" s="10"/>
    </x:row>
    <x:row r="61" ht="15" customHeight="1">
      <x:c r="A61" s="22" t="str">
        <x:f t="shared" si="3"/>
      </x:c>
      <x:c r="B61" s="10"/>
      <x:c r="C61" s="10"/>
      <x:c r="D61" s="10"/>
      <x:c r="E61" s="10"/>
      <x:c r="F61" s="10"/>
      <x:c r="G61" s="10"/>
      <x:c r="H61" s="10"/>
      <x:c r="I61" s="10"/>
      <x:c r="J61" s="10"/>
      <x:c r="K61" s="10"/>
      <x:c r="L61" s="10"/>
      <x:c r="M61" s="22" t="str">
        <x:f t="shared" si="4"/>
      </x:c>
      <x:c r="N61" s="10"/>
      <x:c r="O61" s="10"/>
      <x:c r="P61" s="10"/>
      <x:c r="Q61" s="10"/>
    </x:row>
    <x:row r="62" ht="15" customHeight="1">
      <x:c r="A62" s="22" t="str">
        <x:f t="shared" si="3"/>
      </x:c>
      <x:c r="B62" s="10"/>
      <x:c r="C62" s="10"/>
      <x:c r="D62" s="10"/>
      <x:c r="E62" s="10"/>
      <x:c r="F62" s="10"/>
      <x:c r="G62" s="10"/>
      <x:c r="H62" s="10"/>
      <x:c r="I62" s="10"/>
      <x:c r="J62" s="10"/>
      <x:c r="K62" s="10"/>
      <x:c r="L62" s="10"/>
      <x:c r="M62" s="22" t="str">
        <x:f t="shared" si="4"/>
      </x:c>
      <x:c r="N62" s="10"/>
      <x:c r="O62" s="10"/>
      <x:c r="P62" s="10"/>
      <x:c r="Q62" s="10"/>
    </x:row>
    <x:row r="63" ht="15" customHeight="1">
      <x:c r="A63" s="22" t="str">
        <x:f t="shared" si="3"/>
      </x:c>
      <x:c r="B63" s="10"/>
      <x:c r="C63" s="10"/>
      <x:c r="D63" s="10"/>
      <x:c r="E63" s="10"/>
      <x:c r="F63" s="10"/>
      <x:c r="G63" s="10"/>
      <x:c r="H63" s="10"/>
      <x:c r="I63" s="10"/>
      <x:c r="J63" s="10"/>
      <x:c r="K63" s="10"/>
      <x:c r="L63" s="10"/>
      <x:c r="M63" s="22" t="str">
        <x:f t="shared" si="4"/>
      </x:c>
      <x:c r="N63" s="10"/>
      <x:c r="O63" s="10"/>
      <x:c r="P63" s="10"/>
      <x:c r="Q63" s="10"/>
    </x:row>
    <x:row r="64" ht="15" customHeight="1">
      <x:c r="A64" s="22" t="str">
        <x:f t="shared" si="3"/>
      </x:c>
      <x:c r="B64" s="10"/>
      <x:c r="C64" s="10"/>
      <x:c r="D64" s="10"/>
      <x:c r="E64" s="10"/>
      <x:c r="F64" s="10"/>
      <x:c r="G64" s="10"/>
      <x:c r="H64" s="10"/>
      <x:c r="I64" s="10"/>
      <x:c r="J64" s="10"/>
      <x:c r="K64" s="10"/>
      <x:c r="L64" s="10"/>
      <x:c r="M64" s="22" t="str">
        <x:f t="shared" si="4"/>
      </x:c>
      <x:c r="N64" s="10"/>
      <x:c r="O64" s="10"/>
      <x:c r="P64" s="10"/>
      <x:c r="Q64" s="10"/>
    </x:row>
    <x:row r="65" ht="15" customHeight="1">
      <x:c r="A65" s="22" t="str">
        <x:f t="shared" si="3"/>
      </x:c>
      <x:c r="B65" s="10"/>
      <x:c r="C65" s="10"/>
      <x:c r="D65" s="10"/>
      <x:c r="E65" s="10"/>
      <x:c r="F65" s="10"/>
      <x:c r="G65" s="10"/>
      <x:c r="H65" s="10"/>
      <x:c r="I65" s="10"/>
      <x:c r="J65" s="10"/>
      <x:c r="K65" s="10"/>
      <x:c r="L65" s="10"/>
      <x:c r="M65" s="22" t="str">
        <x:f t="shared" si="4"/>
      </x:c>
      <x:c r="N65" s="10"/>
      <x:c r="O65" s="10"/>
      <x:c r="P65" s="10"/>
      <x:c r="Q65" s="10"/>
    </x:row>
    <x:row r="66" ht="15" customHeight="1">
      <x:c r="A66" s="22" t="str">
        <x:f t="shared" si="3"/>
      </x:c>
      <x:c r="B66" s="10"/>
      <x:c r="C66" s="10"/>
      <x:c r="D66" s="10"/>
      <x:c r="E66" s="10"/>
      <x:c r="F66" s="10"/>
      <x:c r="G66" s="10"/>
      <x:c r="H66" s="10"/>
      <x:c r="I66" s="10"/>
      <x:c r="J66" s="10"/>
      <x:c r="K66" s="10"/>
      <x:c r="L66" s="10"/>
      <x:c r="M66" s="22" t="str">
        <x:f t="shared" si="4"/>
      </x:c>
      <x:c r="N66" s="10"/>
      <x:c r="O66" s="10"/>
      <x:c r="P66" s="10"/>
      <x:c r="Q66" s="10"/>
    </x:row>
    <x:row r="67" ht="15" customHeight="1">
      <x:c r="A67" s="22" t="str">
        <x:f t="shared" si="3"/>
      </x:c>
      <x:c r="B67" s="10"/>
      <x:c r="C67" s="10"/>
      <x:c r="D67" s="10"/>
      <x:c r="E67" s="10"/>
      <x:c r="F67" s="10"/>
      <x:c r="G67" s="10"/>
      <x:c r="H67" s="10"/>
      <x:c r="I67" s="10"/>
      <x:c r="J67" s="10"/>
      <x:c r="K67" s="10"/>
      <x:c r="L67" s="10"/>
      <x:c r="M67" s="22" t="str">
        <x:f t="shared" si="4"/>
      </x:c>
      <x:c r="N67" s="10"/>
      <x:c r="O67" s="10"/>
      <x:c r="P67" s="10"/>
      <x:c r="Q67" s="10"/>
    </x:row>
    <x:row r="68" ht="15" customHeight="1">
      <x:c r="A68" s="22" t="str">
        <x:f t="shared" si="3"/>
      </x:c>
      <x:c r="B68" s="10"/>
      <x:c r="C68" s="10"/>
      <x:c r="D68" s="10"/>
      <x:c r="E68" s="10"/>
      <x:c r="F68" s="10"/>
      <x:c r="G68" s="10"/>
      <x:c r="H68" s="10"/>
      <x:c r="I68" s="10"/>
      <x:c r="J68" s="10"/>
      <x:c r="K68" s="10"/>
      <x:c r="L68" s="10"/>
      <x:c r="M68" s="22" t="str">
        <x:f t="shared" si="4"/>
      </x:c>
      <x:c r="N68" s="10"/>
      <x:c r="O68" s="10"/>
      <x:c r="P68" s="10"/>
      <x:c r="Q68" s="10"/>
    </x:row>
    <x:row r="69" ht="15" customHeight="1">
      <x:c r="A69" s="22" t="str">
        <x:f t="shared" si="3"/>
      </x:c>
      <x:c r="B69" s="10"/>
      <x:c r="C69" s="10"/>
      <x:c r="D69" s="10"/>
      <x:c r="E69" s="10"/>
      <x:c r="F69" s="10"/>
      <x:c r="G69" s="10"/>
      <x:c r="H69" s="10"/>
      <x:c r="I69" s="10"/>
      <x:c r="J69" s="10"/>
      <x:c r="K69" s="10"/>
      <x:c r="L69" s="10"/>
      <x:c r="M69" s="22" t="str">
        <x:f t="shared" si="4"/>
      </x:c>
      <x:c r="N69" s="10"/>
      <x:c r="O69" s="10"/>
      <x:c r="P69" s="10"/>
      <x:c r="Q69" s="10"/>
    </x:row>
    <x:row r="70" ht="15" customHeight="1">
      <x:c r="A70" s="22" t="str">
        <x:f t="shared" si="3"/>
      </x:c>
      <x:c r="B70" s="10"/>
      <x:c r="C70" s="10"/>
      <x:c r="D70" s="10"/>
      <x:c r="E70" s="10"/>
      <x:c r="F70" s="10"/>
      <x:c r="G70" s="10"/>
      <x:c r="H70" s="10"/>
      <x:c r="I70" s="10"/>
      <x:c r="J70" s="10"/>
      <x:c r="K70" s="10"/>
      <x:c r="L70" s="10"/>
      <x:c r="M70" s="22" t="str">
        <x:f t="shared" si="4"/>
      </x:c>
      <x:c r="N70" s="10"/>
      <x:c r="O70" s="10"/>
      <x:c r="P70" s="10"/>
      <x:c r="Q70" s="10"/>
    </x:row>
    <x:row r="71" ht="15" customHeight="1">
      <x:c r="A71" s="22" t="str">
        <x:f t="shared" si="3"/>
      </x:c>
      <x:c r="B71" s="10"/>
      <x:c r="C71" s="10"/>
      <x:c r="D71" s="10"/>
      <x:c r="E71" s="10"/>
      <x:c r="F71" s="10"/>
      <x:c r="G71" s="10"/>
      <x:c r="H71" s="10"/>
      <x:c r="I71" s="10"/>
      <x:c r="J71" s="10"/>
      <x:c r="K71" s="10"/>
      <x:c r="L71" s="10"/>
      <x:c r="M71" s="22" t="str">
        <x:f t="shared" si="4"/>
      </x:c>
      <x:c r="N71" s="10"/>
      <x:c r="O71" s="10"/>
      <x:c r="P71" s="10"/>
      <x:c r="Q71" s="10"/>
    </x:row>
    <x:row r="72" ht="15" customHeight="1">
      <x:c r="A72" s="22" t="str">
        <x:f t="shared" si="3"/>
      </x:c>
      <x:c r="B72" s="10"/>
      <x:c r="C72" s="10"/>
      <x:c r="D72" s="10"/>
      <x:c r="E72" s="10"/>
      <x:c r="F72" s="10"/>
      <x:c r="G72" s="10"/>
      <x:c r="H72" s="10"/>
      <x:c r="I72" s="10"/>
      <x:c r="J72" s="10"/>
      <x:c r="K72" s="10"/>
      <x:c r="L72" s="10"/>
      <x:c r="M72" s="22" t="str">
        <x:f t="shared" si="4"/>
      </x:c>
      <x:c r="N72" s="10"/>
      <x:c r="O72" s="10"/>
      <x:c r="P72" s="10"/>
      <x:c r="Q72" s="10"/>
    </x:row>
    <x:row r="73" ht="15" customHeight="1">
      <x:c r="A73" s="22" t="str">
        <x:f t="shared" si="3"/>
      </x:c>
      <x:c r="B73" s="10"/>
      <x:c r="C73" s="10"/>
      <x:c r="D73" s="10"/>
      <x:c r="E73" s="10"/>
      <x:c r="F73" s="10"/>
      <x:c r="G73" s="10"/>
      <x:c r="H73" s="10"/>
      <x:c r="I73" s="10"/>
      <x:c r="J73" s="10"/>
      <x:c r="K73" s="10"/>
      <x:c r="L73" s="10"/>
      <x:c r="M73" s="22" t="str">
        <x:f t="shared" si="4"/>
      </x:c>
      <x:c r="N73" s="10"/>
      <x:c r="O73" s="10"/>
      <x:c r="P73" s="10"/>
      <x:c r="Q73" s="10"/>
    </x:row>
    <x:row r="74" ht="15" customHeight="1">
      <x:c r="A74" s="22" t="str">
        <x:f t="shared" si="3"/>
      </x:c>
      <x:c r="B74" s="10"/>
      <x:c r="C74" s="10"/>
      <x:c r="D74" s="10"/>
      <x:c r="E74" s="10"/>
      <x:c r="F74" s="10"/>
      <x:c r="G74" s="10"/>
      <x:c r="H74" s="10"/>
      <x:c r="I74" s="10"/>
      <x:c r="J74" s="10"/>
      <x:c r="K74" s="10"/>
      <x:c r="L74" s="10"/>
      <x:c r="M74" s="22" t="str">
        <x:f t="shared" si="4"/>
      </x:c>
      <x:c r="N74" s="10"/>
      <x:c r="O74" s="10"/>
      <x:c r="P74" s="10"/>
      <x:c r="Q74" s="10"/>
    </x:row>
    <x:row r="75" ht="15" customHeight="1">
      <x:c r="A75" s="22" t="str">
        <x:f t="shared" si="3"/>
      </x:c>
      <x:c r="B75" s="10"/>
      <x:c r="C75" s="10"/>
      <x:c r="D75" s="10"/>
      <x:c r="E75" s="10"/>
      <x:c r="F75" s="10"/>
      <x:c r="G75" s="10"/>
      <x:c r="H75" s="10"/>
      <x:c r="I75" s="10"/>
      <x:c r="J75" s="10"/>
      <x:c r="K75" s="10"/>
      <x:c r="L75" s="10"/>
      <x:c r="M75" s="22" t="str">
        <x:f t="shared" si="4"/>
      </x:c>
      <x:c r="N75" s="10"/>
      <x:c r="O75" s="10"/>
      <x:c r="P75" s="10"/>
      <x:c r="Q75" s="10"/>
    </x:row>
    <x:row r="76" ht="15" customHeight="1">
      <x:c r="A76" s="22" t="str">
        <x:f t="shared" si="3"/>
      </x:c>
      <x:c r="B76" s="10"/>
      <x:c r="C76" s="10"/>
      <x:c r="D76" s="10"/>
      <x:c r="E76" s="10"/>
      <x:c r="F76" s="10"/>
      <x:c r="G76" s="10"/>
      <x:c r="H76" s="10"/>
      <x:c r="I76" s="10"/>
      <x:c r="J76" s="10"/>
      <x:c r="K76" s="10"/>
      <x:c r="L76" s="10"/>
      <x:c r="M76" s="22" t="str">
        <x:f t="shared" si="4"/>
      </x:c>
      <x:c r="N76" s="10"/>
      <x:c r="O76" s="10"/>
      <x:c r="P76" s="10"/>
      <x:c r="Q76" s="10"/>
    </x:row>
    <x:row r="77" ht="15" customHeight="1">
      <x:c r="A77" s="22" t="str">
        <x:f t="shared" si="3"/>
      </x:c>
      <x:c r="B77" s="10"/>
      <x:c r="C77" s="10"/>
      <x:c r="D77" s="10"/>
      <x:c r="E77" s="10"/>
      <x:c r="F77" s="10"/>
      <x:c r="G77" s="10"/>
      <x:c r="H77" s="10"/>
      <x:c r="I77" s="10"/>
      <x:c r="J77" s="10"/>
      <x:c r="K77" s="10"/>
      <x:c r="L77" s="10"/>
      <x:c r="M77" s="22" t="str">
        <x:f t="shared" si="4"/>
      </x:c>
      <x:c r="N77" s="10"/>
      <x:c r="O77" s="10"/>
      <x:c r="P77" s="10"/>
      <x:c r="Q77" s="10"/>
    </x:row>
    <x:row r="78" ht="15" customHeight="1">
      <x:c r="A78" s="22" t="str">
        <x:f t="shared" si="3"/>
      </x:c>
      <x:c r="B78" s="10"/>
      <x:c r="C78" s="10"/>
      <x:c r="D78" s="10"/>
      <x:c r="E78" s="10"/>
      <x:c r="F78" s="10"/>
      <x:c r="G78" s="10"/>
      <x:c r="H78" s="10"/>
      <x:c r="I78" s="10"/>
      <x:c r="J78" s="10"/>
      <x:c r="K78" s="10"/>
      <x:c r="L78" s="10"/>
      <x:c r="M78" s="22" t="str">
        <x:f t="shared" si="4"/>
      </x:c>
      <x:c r="N78" s="10"/>
      <x:c r="O78" s="10"/>
      <x:c r="P78" s="10"/>
      <x:c r="Q78" s="10"/>
    </x:row>
    <x:row r="79" ht="15" customHeight="1">
      <x:c r="A79" s="22" t="str">
        <x:f t="shared" si="3"/>
      </x:c>
      <x:c r="B79" s="10"/>
      <x:c r="C79" s="10"/>
      <x:c r="D79" s="10"/>
      <x:c r="E79" s="10"/>
      <x:c r="F79" s="10"/>
      <x:c r="G79" s="10"/>
      <x:c r="H79" s="10"/>
      <x:c r="I79" s="10"/>
      <x:c r="J79" s="10"/>
      <x:c r="K79" s="10"/>
      <x:c r="L79" s="10"/>
      <x:c r="M79" s="22" t="str">
        <x:f t="shared" si="4"/>
      </x:c>
      <x:c r="N79" s="10"/>
      <x:c r="O79" s="10"/>
      <x:c r="P79" s="10"/>
      <x:c r="Q79" s="10"/>
    </x:row>
    <x:row r="80" ht="15" customHeight="1">
      <x:c r="A80" s="22" t="str">
        <x:f t="shared" si="3"/>
      </x:c>
      <x:c r="B80" s="10"/>
      <x:c r="C80" s="10"/>
      <x:c r="D80" s="10"/>
      <x:c r="E80" s="10"/>
      <x:c r="F80" s="10"/>
      <x:c r="G80" s="10"/>
      <x:c r="H80" s="10"/>
      <x:c r="I80" s="10"/>
      <x:c r="J80" s="10"/>
      <x:c r="K80" s="10"/>
      <x:c r="L80" s="10"/>
      <x:c r="M80" s="22" t="str">
        <x:f t="shared" si="4"/>
      </x:c>
      <x:c r="N80" s="10"/>
      <x:c r="O80" s="10"/>
      <x:c r="P80" s="10"/>
      <x:c r="Q80" s="10"/>
    </x:row>
    <x:row r="81" ht="15" customHeight="1">
      <x:c r="A81" s="22" t="str">
        <x:f t="shared" si="3"/>
      </x:c>
      <x:c r="B81" s="10"/>
      <x:c r="C81" s="10"/>
      <x:c r="D81" s="10"/>
      <x:c r="E81" s="10"/>
      <x:c r="F81" s="10"/>
      <x:c r="G81" s="10"/>
      <x:c r="H81" s="10"/>
      <x:c r="I81" s="10"/>
      <x:c r="J81" s="10"/>
      <x:c r="K81" s="10"/>
      <x:c r="L81" s="10"/>
      <x:c r="M81" s="22" t="str">
        <x:f t="shared" si="4"/>
      </x:c>
      <x:c r="N81" s="10"/>
      <x:c r="O81" s="10"/>
      <x:c r="P81" s="10"/>
      <x:c r="Q81" s="10"/>
    </x:row>
    <x:row r="82" ht="15" customHeight="1">
      <x:c r="A82" s="22" t="str">
        <x:f t="shared" si="3"/>
      </x:c>
      <x:c r="B82" s="10"/>
      <x:c r="C82" s="10"/>
      <x:c r="D82" s="10"/>
      <x:c r="E82" s="10"/>
      <x:c r="F82" s="10"/>
      <x:c r="G82" s="10"/>
      <x:c r="H82" s="10"/>
      <x:c r="I82" s="10"/>
      <x:c r="J82" s="10"/>
      <x:c r="K82" s="10"/>
      <x:c r="L82" s="10"/>
      <x:c r="M82" s="22" t="str">
        <x:f t="shared" si="4"/>
      </x:c>
      <x:c r="N82" s="10"/>
      <x:c r="O82" s="10"/>
      <x:c r="P82" s="10"/>
      <x:c r="Q82" s="10"/>
    </x:row>
    <x:row r="83" ht="15" customHeight="1">
      <x:c r="A83" s="22" t="str">
        <x:f t="shared" si="3"/>
      </x:c>
      <x:c r="B83" s="10"/>
      <x:c r="C83" s="10"/>
      <x:c r="D83" s="10"/>
      <x:c r="E83" s="10"/>
      <x:c r="F83" s="10"/>
      <x:c r="G83" s="10"/>
      <x:c r="H83" s="10"/>
      <x:c r="I83" s="10"/>
      <x:c r="J83" s="10"/>
      <x:c r="K83" s="10"/>
      <x:c r="L83" s="10"/>
      <x:c r="M83" s="22" t="str">
        <x:f t="shared" si="4"/>
      </x:c>
      <x:c r="N83" s="10"/>
      <x:c r="O83" s="10"/>
      <x:c r="P83" s="10"/>
      <x:c r="Q83" s="10"/>
    </x:row>
    <x:row r="84" ht="15" customHeight="1">
      <x:c r="A84" s="22" t="str">
        <x:f t="shared" si="3"/>
      </x:c>
      <x:c r="B84" s="10"/>
      <x:c r="C84" s="10"/>
      <x:c r="D84" s="10"/>
      <x:c r="E84" s="10"/>
      <x:c r="F84" s="10"/>
      <x:c r="G84" s="10"/>
      <x:c r="H84" s="10"/>
      <x:c r="I84" s="10"/>
      <x:c r="J84" s="10"/>
      <x:c r="K84" s="10"/>
      <x:c r="L84" s="10"/>
      <x:c r="M84" s="22" t="str">
        <x:f t="shared" si="4"/>
      </x:c>
      <x:c r="N84" s="10"/>
      <x:c r="O84" s="10"/>
      <x:c r="P84" s="10"/>
      <x:c r="Q84" s="10"/>
    </x:row>
    <x:row r="85" ht="15" customHeight="1">
      <x:c r="A85" s="22" t="str">
        <x:f t="shared" si="3"/>
      </x:c>
      <x:c r="B85" s="10"/>
      <x:c r="C85" s="10"/>
      <x:c r="D85" s="10"/>
      <x:c r="E85" s="10"/>
      <x:c r="F85" s="10"/>
      <x:c r="G85" s="10"/>
      <x:c r="H85" s="10"/>
      <x:c r="I85" s="10"/>
      <x:c r="J85" s="10"/>
      <x:c r="K85" s="10"/>
      <x:c r="L85" s="10"/>
      <x:c r="M85" s="22" t="str">
        <x:f t="shared" si="4"/>
      </x:c>
      <x:c r="N85" s="10"/>
      <x:c r="O85" s="10"/>
      <x:c r="P85" s="10"/>
      <x:c r="Q85" s="10"/>
    </x:row>
    <x:row r="86" ht="15" customHeight="1">
      <x:c r="A86" s="22" t="str">
        <x:f t="shared" si="3"/>
      </x:c>
      <x:c r="B86" s="10"/>
      <x:c r="C86" s="10"/>
      <x:c r="D86" s="10"/>
      <x:c r="E86" s="10"/>
      <x:c r="F86" s="10"/>
      <x:c r="G86" s="10"/>
      <x:c r="H86" s="10"/>
      <x:c r="I86" s="10"/>
      <x:c r="J86" s="10"/>
      <x:c r="K86" s="10"/>
      <x:c r="L86" s="10"/>
      <x:c r="M86" s="22" t="str">
        <x:f t="shared" si="4"/>
      </x:c>
      <x:c r="N86" s="10"/>
      <x:c r="O86" s="10"/>
      <x:c r="P86" s="10"/>
      <x:c r="Q86" s="10"/>
    </x:row>
    <x:row r="87" ht="15" customHeight="1">
      <x:c r="A87" s="22" t="str">
        <x:f t="shared" si="3"/>
      </x:c>
      <x:c r="B87" s="10"/>
      <x:c r="C87" s="10"/>
      <x:c r="D87" s="10"/>
      <x:c r="E87" s="10"/>
      <x:c r="F87" s="10"/>
      <x:c r="G87" s="10"/>
      <x:c r="H87" s="10"/>
      <x:c r="I87" s="10"/>
      <x:c r="J87" s="10"/>
      <x:c r="K87" s="10"/>
      <x:c r="L87" s="10"/>
      <x:c r="M87" s="22" t="str">
        <x:f t="shared" si="4"/>
      </x:c>
      <x:c r="N87" s="10"/>
      <x:c r="O87" s="10"/>
      <x:c r="P87" s="10"/>
      <x:c r="Q87" s="10"/>
    </x:row>
    <x:row r="88" ht="15" customHeight="1">
      <x:c r="A88" s="22" t="str">
        <x:f t="shared" si="3"/>
      </x:c>
      <x:c r="B88" s="10"/>
      <x:c r="C88" s="10"/>
      <x:c r="D88" s="10"/>
      <x:c r="E88" s="10"/>
      <x:c r="F88" s="10"/>
      <x:c r="G88" s="10"/>
      <x:c r="H88" s="10"/>
      <x:c r="I88" s="10"/>
      <x:c r="J88" s="10"/>
      <x:c r="K88" s="10"/>
      <x:c r="L88" s="10"/>
      <x:c r="M88" s="22" t="str">
        <x:f t="shared" si="4"/>
      </x:c>
      <x:c r="N88" s="10"/>
      <x:c r="O88" s="10"/>
      <x:c r="P88" s="10"/>
      <x:c r="Q88" s="10"/>
    </x:row>
    <x:row r="89" ht="15" customHeight="1">
      <x:c r="A89" s="22" t="str">
        <x:f t="shared" si="3"/>
      </x:c>
      <x:c r="B89" s="10"/>
      <x:c r="C89" s="10"/>
      <x:c r="D89" s="10"/>
      <x:c r="E89" s="10"/>
      <x:c r="F89" s="10"/>
      <x:c r="G89" s="10"/>
      <x:c r="H89" s="10"/>
      <x:c r="I89" s="10"/>
      <x:c r="J89" s="10"/>
      <x:c r="K89" s="10"/>
      <x:c r="L89" s="10"/>
      <x:c r="M89" s="22" t="str">
        <x:f t="shared" si="4"/>
      </x:c>
      <x:c r="N89" s="10"/>
      <x:c r="O89" s="10"/>
      <x:c r="P89" s="10"/>
      <x:c r="Q89" s="10"/>
    </x:row>
    <x:row r="90" ht="15" customHeight="1">
      <x:c r="A90" s="22" t="str">
        <x:f t="shared" si="3"/>
      </x:c>
      <x:c r="B90" s="10"/>
      <x:c r="C90" s="10"/>
      <x:c r="D90" s="10"/>
      <x:c r="E90" s="10"/>
      <x:c r="F90" s="10"/>
      <x:c r="G90" s="10"/>
      <x:c r="H90" s="10"/>
      <x:c r="I90" s="10"/>
      <x:c r="J90" s="10"/>
      <x:c r="K90" s="10"/>
      <x:c r="L90" s="10"/>
      <x:c r="M90" s="22" t="str">
        <x:f t="shared" si="4"/>
      </x:c>
      <x:c r="N90" s="10"/>
      <x:c r="O90" s="10"/>
      <x:c r="P90" s="10"/>
      <x:c r="Q90" s="10"/>
    </x:row>
    <x:row r="91" ht="15" customHeight="1">
      <x:c r="A91" s="22" t="str">
        <x:f t="shared" si="3"/>
      </x:c>
      <x:c r="B91" s="10"/>
      <x:c r="C91" s="10"/>
      <x:c r="D91" s="10"/>
      <x:c r="E91" s="10"/>
      <x:c r="F91" s="10"/>
      <x:c r="G91" s="10"/>
      <x:c r="H91" s="10"/>
      <x:c r="I91" s="10"/>
      <x:c r="J91" s="10"/>
      <x:c r="K91" s="10"/>
      <x:c r="L91" s="10"/>
      <x:c r="M91" s="22" t="str">
        <x:f t="shared" si="4"/>
      </x:c>
      <x:c r="N91" s="10"/>
      <x:c r="O91" s="10"/>
      <x:c r="P91" s="10"/>
      <x:c r="Q91" s="10"/>
    </x:row>
    <x:row r="92" ht="15" customHeight="1">
      <x:c r="A92" s="22" t="str">
        <x:f t="shared" si="3"/>
      </x:c>
      <x:c r="B92" s="10"/>
      <x:c r="C92" s="10"/>
      <x:c r="D92" s="10"/>
      <x:c r="E92" s="10"/>
      <x:c r="F92" s="10"/>
      <x:c r="G92" s="10"/>
      <x:c r="H92" s="10"/>
      <x:c r="I92" s="10"/>
      <x:c r="J92" s="10"/>
      <x:c r="K92" s="10"/>
      <x:c r="L92" s="10"/>
      <x:c r="M92" s="22" t="str">
        <x:f t="shared" si="4"/>
      </x:c>
      <x:c r="N92" s="10"/>
      <x:c r="O92" s="10"/>
      <x:c r="P92" s="10"/>
      <x:c r="Q92" s="10"/>
    </x:row>
    <x:row r="93" ht="15" customHeight="1">
      <x:c r="A93" s="22" t="str">
        <x:f t="shared" si="3"/>
      </x:c>
      <x:c r="B93" s="10"/>
      <x:c r="C93" s="10"/>
      <x:c r="D93" s="10"/>
      <x:c r="E93" s="10"/>
      <x:c r="F93" s="10"/>
      <x:c r="G93" s="10"/>
      <x:c r="H93" s="10"/>
      <x:c r="I93" s="10"/>
      <x:c r="J93" s="10"/>
      <x:c r="K93" s="10"/>
      <x:c r="L93" s="10"/>
      <x:c r="M93" s="22" t="str">
        <x:f t="shared" si="4"/>
      </x:c>
      <x:c r="N93" s="10"/>
      <x:c r="O93" s="10"/>
      <x:c r="P93" s="10"/>
      <x:c r="Q93" s="10"/>
    </x:row>
    <x:row r="94" ht="15" customHeight="1">
      <x:c r="A94" s="22" t="str">
        <x:f t="shared" si="3"/>
      </x:c>
      <x:c r="B94" s="10"/>
      <x:c r="C94" s="10"/>
      <x:c r="D94" s="10"/>
      <x:c r="E94" s="10"/>
      <x:c r="F94" s="10"/>
      <x:c r="G94" s="10"/>
      <x:c r="H94" s="10"/>
      <x:c r="I94" s="10"/>
      <x:c r="J94" s="10"/>
      <x:c r="K94" s="10"/>
      <x:c r="L94" s="10"/>
      <x:c r="M94" s="22" t="str">
        <x:f t="shared" si="4"/>
      </x:c>
      <x:c r="N94" s="10"/>
      <x:c r="O94" s="10"/>
      <x:c r="P94" s="10"/>
      <x:c r="Q94" s="10"/>
    </x:row>
    <x:row r="95" ht="15" customHeight="1">
      <x:c r="A95" s="22" t="str">
        <x:f t="shared" si="3"/>
      </x:c>
      <x:c r="B95" s="10"/>
      <x:c r="C95" s="10"/>
      <x:c r="D95" s="10"/>
      <x:c r="E95" s="10"/>
      <x:c r="F95" s="10"/>
      <x:c r="G95" s="10"/>
      <x:c r="H95" s="10"/>
      <x:c r="I95" s="10"/>
      <x:c r="J95" s="10"/>
      <x:c r="K95" s="10"/>
      <x:c r="L95" s="10"/>
      <x:c r="M95" s="22" t="str">
        <x:f t="shared" si="4"/>
      </x:c>
      <x:c r="N95" s="10"/>
      <x:c r="O95" s="10"/>
      <x:c r="P95" s="10"/>
      <x:c r="Q95" s="10"/>
    </x:row>
    <x:row r="96" ht="15" customHeight="1">
      <x:c r="A96" s="22" t="str">
        <x:f t="shared" si="3"/>
      </x:c>
      <x:c r="B96" s="10"/>
      <x:c r="C96" s="10"/>
      <x:c r="D96" s="10"/>
      <x:c r="E96" s="10"/>
      <x:c r="F96" s="10"/>
      <x:c r="G96" s="10"/>
      <x:c r="H96" s="10"/>
      <x:c r="I96" s="10"/>
      <x:c r="J96" s="10"/>
      <x:c r="K96" s="10"/>
      <x:c r="L96" s="10"/>
      <x:c r="M96" s="22" t="str">
        <x:f t="shared" si="4"/>
      </x:c>
      <x:c r="N96" s="10"/>
      <x:c r="O96" s="10"/>
      <x:c r="P96" s="10"/>
      <x:c r="Q96" s="10"/>
    </x:row>
    <x:row r="97" ht="15" customHeight="1">
      <x:c r="A97" s="22" t="str">
        <x:f t="shared" si="3"/>
      </x:c>
      <x:c r="B97" s="10"/>
      <x:c r="C97" s="10"/>
      <x:c r="D97" s="10"/>
      <x:c r="E97" s="10"/>
      <x:c r="F97" s="10"/>
      <x:c r="G97" s="10"/>
      <x:c r="H97" s="10"/>
      <x:c r="I97" s="10"/>
      <x:c r="J97" s="10"/>
      <x:c r="K97" s="10"/>
      <x:c r="L97" s="10"/>
      <x:c r="M97" s="22" t="str">
        <x:f t="shared" si="4"/>
      </x:c>
      <x:c r="N97" s="10"/>
      <x:c r="O97" s="10"/>
      <x:c r="P97" s="10"/>
      <x:c r="Q97" s="10"/>
    </x:row>
    <x:row r="98" ht="15" customHeight="1">
      <x:c r="A98" s="22" t="str">
        <x:f t="shared" si="3"/>
      </x:c>
      <x:c r="B98" s="10"/>
      <x:c r="C98" s="10"/>
      <x:c r="D98" s="10"/>
      <x:c r="E98" s="10"/>
      <x:c r="F98" s="10"/>
      <x:c r="G98" s="10"/>
      <x:c r="H98" s="10"/>
      <x:c r="I98" s="10"/>
      <x:c r="J98" s="10"/>
      <x:c r="K98" s="10"/>
      <x:c r="L98" s="10"/>
      <x:c r="M98" s="22" t="str">
        <x:f t="shared" si="4"/>
      </x:c>
      <x:c r="N98" s="10"/>
      <x:c r="O98" s="10"/>
      <x:c r="P98" s="10"/>
      <x:c r="Q98" s="10"/>
    </x:row>
    <x:row r="99" ht="15" customHeight="1">
      <x:c r="A99" s="22" t="str">
        <x:f t="shared" si="3"/>
      </x:c>
      <x:c r="B99" s="10"/>
      <x:c r="C99" s="10"/>
      <x:c r="D99" s="10"/>
      <x:c r="E99" s="10"/>
      <x:c r="F99" s="10"/>
      <x:c r="G99" s="10"/>
      <x:c r="H99" s="10"/>
      <x:c r="I99" s="10"/>
      <x:c r="J99" s="10"/>
      <x:c r="K99" s="10"/>
      <x:c r="L99" s="10"/>
      <x:c r="M99" s="22" t="str">
        <x:f t="shared" si="4"/>
      </x:c>
      <x:c r="N99" s="10"/>
      <x:c r="O99" s="10"/>
      <x:c r="P99" s="10"/>
      <x:c r="Q99" s="10"/>
    </x:row>
    <x:row r="100" ht="15" customHeight="1">
      <x:c r="A100" s="22" t="str">
        <x:f t="shared" si="3"/>
      </x:c>
      <x:c r="B100" s="10"/>
      <x:c r="C100" s="10"/>
      <x:c r="D100" s="10"/>
      <x:c r="E100" s="10"/>
      <x:c r="F100" s="10"/>
      <x:c r="G100" s="10"/>
      <x:c r="H100" s="10"/>
      <x:c r="I100" s="10"/>
      <x:c r="J100" s="10"/>
      <x:c r="K100" s="10"/>
      <x:c r="L100" s="10"/>
      <x:c r="M100" s="22" t="str">
        <x:f t="shared" si="4"/>
      </x:c>
      <x:c r="N100" s="10"/>
      <x:c r="O100" s="10"/>
      <x:c r="P100" s="10"/>
      <x:c r="Q100" s="10"/>
    </x:row>
    <x:row r="101" ht="15" customHeight="1">
      <x:c r="A101" s="22" t="str">
        <x:f t="shared" si="3"/>
      </x:c>
      <x:c r="B101" s="10"/>
      <x:c r="C101" s="10"/>
      <x:c r="D101" s="10"/>
      <x:c r="E101" s="10"/>
      <x:c r="F101" s="10"/>
      <x:c r="G101" s="10"/>
      <x:c r="H101" s="10"/>
      <x:c r="I101" s="10"/>
      <x:c r="J101" s="10"/>
      <x:c r="K101" s="10"/>
      <x:c r="L101" s="10"/>
      <x:c r="M101" s="22" t="str">
        <x:f t="shared" si="4"/>
      </x:c>
      <x:c r="N101" s="10"/>
      <x:c r="O101" s="10"/>
      <x:c r="P101" s="10"/>
      <x:c r="Q101" s="10"/>
    </x:row>
    <x:row r="102" ht="15" customHeight="1">
      <x:c r="A102" s="22" t="str">
        <x:f t="shared" si="3"/>
      </x:c>
      <x:c r="B102" s="10"/>
      <x:c r="C102" s="10"/>
      <x:c r="D102" s="10"/>
      <x:c r="E102" s="10"/>
      <x:c r="F102" s="10"/>
      <x:c r="G102" s="10"/>
      <x:c r="H102" s="10"/>
      <x:c r="I102" s="10"/>
      <x:c r="J102" s="10"/>
      <x:c r="K102" s="10"/>
      <x:c r="L102" s="10"/>
      <x:c r="M102" s="22" t="str">
        <x:f t="shared" si="4"/>
      </x:c>
      <x:c r="N102" s="10"/>
      <x:c r="O102" s="10"/>
      <x:c r="P102" s="10"/>
      <x:c r="Q102" s="10"/>
    </x:row>
    <x:row r="103" ht="15" customHeight="1">
      <x:c r="A103" s="22" t="str">
        <x:f t="shared" si="3"/>
      </x:c>
      <x:c r="B103" s="10"/>
      <x:c r="C103" s="10"/>
      <x:c r="D103" s="10"/>
      <x:c r="E103" s="10"/>
      <x:c r="F103" s="10"/>
      <x:c r="G103" s="10"/>
      <x:c r="H103" s="10"/>
      <x:c r="I103" s="10"/>
      <x:c r="J103" s="10"/>
      <x:c r="K103" s="10"/>
      <x:c r="L103" s="10"/>
      <x:c r="M103" s="22" t="str">
        <x:f t="shared" si="4"/>
      </x:c>
      <x:c r="N103" s="10"/>
      <x:c r="O103" s="10"/>
      <x:c r="P103" s="10"/>
      <x:c r="Q103" s="10"/>
    </x:row>
    <x:row r="104" ht="15" customHeight="1">
      <x:c r="A104" s="22" t="str">
        <x:f t="shared" si="3"/>
      </x:c>
      <x:c r="B104" s="10"/>
      <x:c r="C104" s="10"/>
      <x:c r="D104" s="10"/>
      <x:c r="E104" s="10"/>
      <x:c r="F104" s="10"/>
      <x:c r="G104" s="10"/>
      <x:c r="H104" s="10"/>
      <x:c r="I104" s="10"/>
      <x:c r="J104" s="10"/>
      <x:c r="K104" s="10"/>
      <x:c r="L104" s="10"/>
      <x:c r="M104" s="22" t="str">
        <x:f t="shared" si="4"/>
      </x:c>
      <x:c r="N104" s="10"/>
      <x:c r="O104" s="10"/>
      <x:c r="P104" s="10"/>
      <x:c r="Q104" s="10"/>
    </x:row>
    <x:row r="105" ht="15" customHeight="1">
      <x:c r="A105" s="22" t="str">
        <x:f t="shared" si="3"/>
      </x:c>
      <x:c r="B105" s="10"/>
      <x:c r="C105" s="10"/>
      <x:c r="D105" s="10"/>
      <x:c r="E105" s="10"/>
      <x:c r="F105" s="10"/>
      <x:c r="G105" s="10"/>
      <x:c r="H105" s="10"/>
      <x:c r="I105" s="10"/>
      <x:c r="J105" s="10"/>
      <x:c r="K105" s="10"/>
      <x:c r="L105" s="10"/>
      <x:c r="M105" s="22" t="str">
        <x:f t="shared" si="4"/>
      </x:c>
      <x:c r="N105" s="10"/>
      <x:c r="O105" s="10"/>
      <x:c r="P105" s="10"/>
      <x:c r="Q105" s="10"/>
    </x:row>
    <x:row r="106" ht="15" customHeight="1">
      <x:c r="A106" s="22" t="str">
        <x:f t="shared" si="3"/>
      </x:c>
      <x:c r="B106" s="10"/>
      <x:c r="C106" s="10"/>
      <x:c r="D106" s="10"/>
      <x:c r="E106" s="10"/>
      <x:c r="F106" s="10"/>
      <x:c r="G106" s="10"/>
      <x:c r="H106" s="10"/>
      <x:c r="I106" s="10"/>
      <x:c r="J106" s="10"/>
      <x:c r="K106" s="10"/>
      <x:c r="L106" s="10"/>
      <x:c r="M106" s="22" t="str">
        <x:f t="shared" si="4"/>
      </x:c>
      <x:c r="N106" s="10"/>
      <x:c r="O106" s="10"/>
      <x:c r="P106" s="10"/>
      <x:c r="Q106" s="10"/>
    </x:row>
    <x:row r="107" ht="15" customHeight="1">
      <x:c r="A107" s="22" t="str">
        <x:f t="shared" si="3"/>
      </x:c>
      <x:c r="B107" s="10"/>
      <x:c r="C107" s="10"/>
      <x:c r="D107" s="10"/>
      <x:c r="E107" s="10"/>
      <x:c r="F107" s="10"/>
      <x:c r="G107" s="10"/>
      <x:c r="H107" s="10"/>
      <x:c r="I107" s="10"/>
      <x:c r="J107" s="10"/>
      <x:c r="K107" s="10"/>
      <x:c r="L107" s="10"/>
      <x:c r="M107" s="22" t="str">
        <x:f t="shared" si="4"/>
      </x:c>
      <x:c r="N107" s="10"/>
      <x:c r="O107" s="10"/>
      <x:c r="P107" s="10"/>
      <x:c r="Q107" s="10"/>
    </x:row>
    <x:row r="108" ht="15" customHeight="1">
      <x:c r="A108" s="22" t="str">
        <x:f t="shared" si="3"/>
      </x:c>
      <x:c r="B108" s="10"/>
      <x:c r="C108" s="10"/>
      <x:c r="D108" s="10"/>
      <x:c r="E108" s="10"/>
      <x:c r="F108" s="10"/>
      <x:c r="G108" s="10"/>
      <x:c r="H108" s="10"/>
      <x:c r="I108" s="10"/>
      <x:c r="J108" s="10"/>
      <x:c r="K108" s="10"/>
      <x:c r="L108" s="10"/>
      <x:c r="M108" s="22" t="str">
        <x:f t="shared" si="4"/>
      </x:c>
      <x:c r="N108" s="10"/>
      <x:c r="O108" s="10"/>
      <x:c r="P108" s="10"/>
      <x:c r="Q108" s="10"/>
    </x:row>
    <x:row r="109" ht="15" customHeight="1">
      <x:c r="A109" s="22" t="str">
        <x:f t="shared" si="3"/>
      </x:c>
      <x:c r="B109" s="10"/>
      <x:c r="C109" s="10"/>
      <x:c r="D109" s="10"/>
      <x:c r="E109" s="10"/>
      <x:c r="F109" s="10"/>
      <x:c r="G109" s="10"/>
      <x:c r="H109" s="10"/>
      <x:c r="I109" s="10"/>
      <x:c r="J109" s="10"/>
      <x:c r="K109" s="10"/>
      <x:c r="L109" s="10"/>
      <x:c r="M109" s="22" t="str">
        <x:f t="shared" si="4"/>
      </x:c>
      <x:c r="N109" s="10"/>
      <x:c r="O109" s="10"/>
      <x:c r="P109" s="10"/>
      <x:c r="Q109" s="10"/>
    </x:row>
    <x:row r="110" ht="15" customHeight="1">
      <x:c r="A110" s="22" t="str">
        <x:f t="shared" si="3"/>
      </x:c>
      <x:c r="B110" s="10"/>
      <x:c r="C110" s="10"/>
      <x:c r="D110" s="10"/>
      <x:c r="E110" s="10"/>
      <x:c r="F110" s="10"/>
      <x:c r="G110" s="10"/>
      <x:c r="H110" s="10"/>
      <x:c r="I110" s="10"/>
      <x:c r="J110" s="10"/>
      <x:c r="K110" s="10"/>
      <x:c r="L110" s="10"/>
      <x:c r="M110" s="22" t="str">
        <x:f t="shared" si="4"/>
      </x:c>
      <x:c r="N110" s="10"/>
      <x:c r="O110" s="10"/>
      <x:c r="P110" s="10"/>
      <x:c r="Q110" s="10"/>
    </x:row>
    <x:row r="111" ht="15.75" customHeight="1">
      <x:c r="A111" s="3"/>
      <x:c r="B111" s="3"/>
      <x:c r="C111" s="3"/>
      <x:c r="D111" s="3"/>
      <x:c r="E111" s="3"/>
      <x:c r="F111" s="3"/>
      <x:c r="G111" s="3"/>
      <x:c r="H111" s="3"/>
      <x:c r="I111" s="3"/>
      <x:c r="J111" s="3"/>
      <x:c r="K111" s="3"/>
      <x:c r="L111" s="3"/>
      <x:c r="M111" s="3"/>
      <x:c r="N111" s="3"/>
      <x:c r="O111" s="3"/>
      <x:c r="P111" s="3"/>
      <x:c r="Q111" s="3"/>
    </x:row>
    <x:row r="112" ht="15.75" customHeight="1">
      <x:c r="A112" s="3"/>
      <x:c r="B112" s="3"/>
      <x:c r="C112" s="3"/>
      <x:c r="D112" s="3"/>
      <x:c r="E112" s="3"/>
      <x:c r="F112" s="3"/>
      <x:c r="G112" s="3"/>
      <x:c r="H112" s="3"/>
      <x:c r="I112" s="3"/>
      <x:c r="J112" s="3"/>
      <x:c r="K112" s="3"/>
      <x:c r="L112" s="3"/>
      <x:c r="M112" s="3"/>
      <x:c r="N112" s="3"/>
      <x:c r="O112" s="3"/>
      <x:c r="P112" s="3"/>
      <x:c r="Q112" s="3"/>
    </x:row>
    <x:row r="113" ht="15.75" customHeight="1">
      <x:c r="A113" s="3"/>
      <x:c r="B113" s="3"/>
      <x:c r="C113" s="3"/>
      <x:c r="D113" s="3"/>
      <x:c r="E113" s="3"/>
      <x:c r="F113" s="3"/>
      <x:c r="G113" s="3"/>
      <x:c r="H113" s="3"/>
      <x:c r="I113" s="3"/>
      <x:c r="J113" s="3"/>
      <x:c r="K113" s="3"/>
      <x:c r="L113" s="3"/>
      <x:c r="M113" s="3"/>
      <x:c r="N113" s="3"/>
      <x:c r="O113" s="3"/>
      <x:c r="P113" s="3"/>
      <x:c r="Q113" s="3"/>
    </x:row>
    <x:row r="114" ht="15.75" customHeight="1">
      <x:c r="A114" s="3"/>
      <x:c r="B114" s="3"/>
      <x:c r="C114" s="3"/>
      <x:c r="D114" s="3"/>
      <x:c r="E114" s="3"/>
      <x:c r="F114" s="3"/>
      <x:c r="G114" s="3"/>
      <x:c r="H114" s="3"/>
      <x:c r="I114" s="3"/>
      <x:c r="J114" s="3"/>
      <x:c r="K114" s="3"/>
      <x:c r="L114" s="3"/>
      <x:c r="M114" s="3"/>
      <x:c r="N114" s="3"/>
      <x:c r="O114" s="3"/>
      <x:c r="P114" s="3"/>
      <x:c r="Q114" s="3"/>
    </x:row>
    <x:row r="115" ht="15.75" customHeight="1">
      <x:c r="A115" s="3"/>
      <x:c r="B115" s="3"/>
      <x:c r="C115" s="3"/>
      <x:c r="D115" s="3"/>
      <x:c r="E115" s="3"/>
      <x:c r="F115" s="3"/>
      <x:c r="G115" s="3"/>
      <x:c r="H115" s="3"/>
      <x:c r="I115" s="3"/>
      <x:c r="J115" s="3"/>
      <x:c r="K115" s="3"/>
      <x:c r="L115" s="3"/>
      <x:c r="M115" s="3"/>
      <x:c r="N115" s="3"/>
      <x:c r="O115" s="3"/>
      <x:c r="P115" s="3"/>
      <x:c r="Q115" s="3"/>
    </x:row>
    <x:row r="116" ht="15.75" customHeight="1">
      <x:c r="A116" s="3"/>
      <x:c r="B116" s="3"/>
      <x:c r="C116" s="3"/>
      <x:c r="D116" s="3"/>
      <x:c r="E116" s="3"/>
      <x:c r="F116" s="3"/>
      <x:c r="G116" s="3"/>
      <x:c r="H116" s="3"/>
      <x:c r="I116" s="3"/>
      <x:c r="J116" s="3"/>
      <x:c r="K116" s="3"/>
      <x:c r="L116" s="3"/>
      <x:c r="M116" s="3"/>
      <x:c r="N116" s="3"/>
      <x:c r="O116" s="3"/>
      <x:c r="P116" s="3"/>
      <x:c r="Q116" s="3"/>
    </x:row>
    <x:row r="117" ht="15.75" customHeight="1">
      <x:c r="A117" s="3"/>
      <x:c r="B117" s="3"/>
      <x:c r="C117" s="3"/>
      <x:c r="D117" s="3"/>
      <x:c r="E117" s="3"/>
      <x:c r="F117" s="3"/>
      <x:c r="G117" s="3"/>
      <x:c r="H117" s="3"/>
      <x:c r="I117" s="3"/>
      <x:c r="J117" s="3"/>
      <x:c r="K117" s="3"/>
      <x:c r="L117" s="3"/>
      <x:c r="M117" s="3"/>
      <x:c r="N117" s="3"/>
      <x:c r="O117" s="3"/>
      <x:c r="P117" s="3"/>
      <x:c r="Q117" s="3"/>
    </x:row>
    <x:row r="118" ht="15.75" customHeight="1">
      <x:c r="A118" s="3"/>
      <x:c r="B118" s="3"/>
      <x:c r="C118" s="3"/>
      <x:c r="D118" s="3"/>
      <x:c r="E118" s="3"/>
      <x:c r="F118" s="3"/>
      <x:c r="G118" s="3"/>
      <x:c r="H118" s="3"/>
      <x:c r="I118" s="3"/>
      <x:c r="J118" s="3"/>
      <x:c r="K118" s="3"/>
      <x:c r="L118" s="3"/>
      <x:c r="M118" s="3"/>
      <x:c r="N118" s="3"/>
      <x:c r="O118" s="3"/>
      <x:c r="P118" s="3"/>
      <x:c r="Q118" s="3"/>
    </x:row>
    <x:row r="119" ht="15.75" customHeight="1">
      <x:c r="A119" s="3"/>
      <x:c r="B119" s="3"/>
      <x:c r="C119" s="3"/>
      <x:c r="D119" s="3"/>
      <x:c r="E119" s="3"/>
      <x:c r="F119" s="3"/>
      <x:c r="G119" s="3"/>
      <x:c r="H119" s="3"/>
      <x:c r="I119" s="3"/>
      <x:c r="J119" s="3"/>
      <x:c r="K119" s="3"/>
      <x:c r="L119" s="3"/>
      <x:c r="M119" s="3"/>
      <x:c r="N119" s="3"/>
      <x:c r="O119" s="3"/>
      <x:c r="P119" s="3"/>
      <x:c r="Q119" s="3"/>
    </x:row>
    <x:row r="120" ht="15.75" customHeight="1">
      <x:c r="A120" s="3"/>
      <x:c r="B120" s="3"/>
      <x:c r="C120" s="3"/>
      <x:c r="D120" s="3"/>
      <x:c r="E120" s="3"/>
      <x:c r="F120" s="3"/>
      <x:c r="G120" s="3"/>
      <x:c r="H120" s="3"/>
      <x:c r="I120" s="3"/>
      <x:c r="J120" s="3"/>
      <x:c r="K120" s="3"/>
      <x:c r="L120" s="3"/>
      <x:c r="M120" s="3"/>
      <x:c r="N120" s="3"/>
      <x:c r="O120" s="3"/>
      <x:c r="P120" s="3"/>
      <x:c r="Q120" s="3"/>
    </x:row>
    <x:row r="121" ht="15.75" customHeight="1">
      <x:c r="A121" s="3"/>
      <x:c r="B121" s="3"/>
      <x:c r="C121" s="3"/>
      <x:c r="D121" s="3"/>
      <x:c r="E121" s="3"/>
      <x:c r="F121" s="3"/>
      <x:c r="G121" s="3"/>
      <x:c r="H121" s="3"/>
      <x:c r="I121" s="3"/>
      <x:c r="J121" s="3"/>
      <x:c r="K121" s="3"/>
      <x:c r="L121" s="3"/>
      <x:c r="M121" s="3"/>
      <x:c r="N121" s="3"/>
      <x:c r="O121" s="3"/>
      <x:c r="P121" s="3"/>
      <x:c r="Q121" s="3"/>
    </x:row>
    <x:row r="122" ht="15.75" customHeight="1">
      <x:c r="A122" s="3"/>
      <x:c r="B122" s="3"/>
      <x:c r="C122" s="3"/>
      <x:c r="D122" s="3"/>
      <x:c r="E122" s="3"/>
      <x:c r="F122" s="3"/>
      <x:c r="G122" s="3"/>
      <x:c r="H122" s="3"/>
      <x:c r="I122" s="3"/>
      <x:c r="J122" s="3"/>
      <x:c r="K122" s="3"/>
      <x:c r="L122" s="3"/>
      <x:c r="M122" s="3"/>
      <x:c r="N122" s="3"/>
      <x:c r="O122" s="3"/>
      <x:c r="P122" s="3"/>
      <x:c r="Q122" s="3"/>
    </x:row>
    <x:row r="123" ht="15.75" customHeight="1">
      <x:c r="A123" s="3"/>
      <x:c r="B123" s="3"/>
      <x:c r="C123" s="3"/>
      <x:c r="D123" s="3"/>
      <x:c r="E123" s="3"/>
      <x:c r="F123" s="3"/>
      <x:c r="G123" s="3"/>
      <x:c r="H123" s="3"/>
      <x:c r="I123" s="3"/>
      <x:c r="J123" s="3"/>
      <x:c r="K123" s="3"/>
      <x:c r="L123" s="3"/>
      <x:c r="M123" s="3"/>
      <x:c r="N123" s="3"/>
      <x:c r="O123" s="3"/>
      <x:c r="P123" s="3"/>
      <x:c r="Q123" s="3"/>
    </x:row>
    <x:row r="124" ht="15.75" customHeight="1">
      <x:c r="A124" s="3"/>
      <x:c r="B124" s="3"/>
      <x:c r="C124" s="3"/>
      <x:c r="D124" s="3"/>
      <x:c r="E124" s="3"/>
      <x:c r="F124" s="3"/>
      <x:c r="G124" s="3"/>
      <x:c r="H124" s="3"/>
      <x:c r="I124" s="3"/>
      <x:c r="J124" s="3"/>
      <x:c r="K124" s="3"/>
      <x:c r="L124" s="3"/>
      <x:c r="M124" s="3"/>
      <x:c r="N124" s="3"/>
      <x:c r="O124" s="3"/>
      <x:c r="P124" s="3"/>
      <x:c r="Q124" s="3"/>
    </x:row>
    <x:row r="125" ht="15.75" customHeight="1">
      <x:c r="A125" s="3"/>
      <x:c r="B125" s="3"/>
      <x:c r="C125" s="3"/>
      <x:c r="D125" s="3"/>
      <x:c r="E125" s="3"/>
      <x:c r="F125" s="3"/>
      <x:c r="G125" s="3"/>
      <x:c r="H125" s="3"/>
      <x:c r="I125" s="3"/>
      <x:c r="J125" s="3"/>
      <x:c r="K125" s="3"/>
      <x:c r="L125" s="3"/>
      <x:c r="M125" s="3"/>
      <x:c r="N125" s="3"/>
      <x:c r="O125" s="3"/>
      <x:c r="P125" s="3"/>
      <x:c r="Q125" s="3"/>
    </x:row>
    <x:row r="126" ht="15.75" customHeight="1">
      <x:c r="A126" s="3"/>
      <x:c r="B126" s="3"/>
      <x:c r="C126" s="3"/>
      <x:c r="D126" s="3"/>
      <x:c r="E126" s="3"/>
      <x:c r="F126" s="3"/>
      <x:c r="G126" s="3"/>
      <x:c r="H126" s="3"/>
      <x:c r="I126" s="3"/>
      <x:c r="J126" s="3"/>
      <x:c r="K126" s="3"/>
      <x:c r="L126" s="3"/>
      <x:c r="M126" s="3"/>
      <x:c r="N126" s="3"/>
      <x:c r="O126" s="3"/>
      <x:c r="P126" s="3"/>
      <x:c r="Q126" s="3"/>
    </x:row>
    <x:row r="127" ht="15.75" customHeight="1">
      <x:c r="A127" s="3"/>
      <x:c r="B127" s="3"/>
      <x:c r="C127" s="3"/>
      <x:c r="D127" s="3"/>
      <x:c r="E127" s="3"/>
      <x:c r="F127" s="3"/>
      <x:c r="G127" s="3"/>
      <x:c r="H127" s="3"/>
      <x:c r="I127" s="3"/>
      <x:c r="J127" s="3"/>
      <x:c r="K127" s="3"/>
      <x:c r="L127" s="3"/>
      <x:c r="M127" s="3"/>
      <x:c r="N127" s="3"/>
      <x:c r="O127" s="3"/>
      <x:c r="P127" s="3"/>
      <x:c r="Q127" s="3"/>
    </x:row>
    <x:row r="128" ht="15.75" customHeight="1">
      <x:c r="A128" s="3"/>
      <x:c r="B128" s="3"/>
      <x:c r="C128" s="3"/>
      <x:c r="D128" s="3"/>
      <x:c r="E128" s="3"/>
      <x:c r="F128" s="3"/>
      <x:c r="G128" s="3"/>
      <x:c r="H128" s="3"/>
      <x:c r="I128" s="3"/>
      <x:c r="J128" s="3"/>
      <x:c r="K128" s="3"/>
      <x:c r="L128" s="3"/>
      <x:c r="M128" s="3"/>
      <x:c r="N128" s="3"/>
      <x:c r="O128" s="3"/>
      <x:c r="P128" s="3"/>
      <x:c r="Q128" s="3"/>
    </x:row>
    <x:row r="129" ht="15.75" customHeight="1">
      <x:c r="A129" s="3"/>
      <x:c r="B129" s="3"/>
      <x:c r="C129" s="3"/>
      <x:c r="D129" s="3"/>
      <x:c r="E129" s="3"/>
      <x:c r="F129" s="3"/>
      <x:c r="G129" s="3"/>
      <x:c r="H129" s="3"/>
      <x:c r="I129" s="3"/>
      <x:c r="J129" s="3"/>
      <x:c r="K129" s="3"/>
      <x:c r="L129" s="3"/>
      <x:c r="M129" s="3"/>
      <x:c r="N129" s="3"/>
      <x:c r="O129" s="3"/>
      <x:c r="P129" s="3"/>
      <x:c r="Q129" s="3"/>
    </x:row>
    <x:row r="130" ht="15.75" customHeight="1">
      <x:c r="A130" s="3"/>
      <x:c r="B130" s="3"/>
      <x:c r="C130" s="3"/>
      <x:c r="D130" s="3"/>
      <x:c r="E130" s="3"/>
      <x:c r="F130" s="3"/>
      <x:c r="G130" s="3"/>
      <x:c r="H130" s="3"/>
      <x:c r="I130" s="3"/>
      <x:c r="J130" s="3"/>
      <x:c r="K130" s="3"/>
      <x:c r="L130" s="3"/>
      <x:c r="M130" s="3"/>
      <x:c r="N130" s="3"/>
      <x:c r="O130" s="3"/>
      <x:c r="P130" s="3"/>
      <x:c r="Q130" s="3"/>
    </x:row>
    <x:row r="131" ht="15.75" customHeight="1">
      <x:c r="A131" s="3"/>
      <x:c r="B131" s="3"/>
      <x:c r="C131" s="3"/>
      <x:c r="D131" s="3"/>
      <x:c r="E131" s="3"/>
      <x:c r="F131" s="3"/>
      <x:c r="G131" s="3"/>
      <x:c r="H131" s="3"/>
      <x:c r="I131" s="3"/>
      <x:c r="J131" s="3"/>
      <x:c r="K131" s="3"/>
      <x:c r="L131" s="3"/>
      <x:c r="M131" s="3"/>
      <x:c r="N131" s="3"/>
      <x:c r="O131" s="3"/>
      <x:c r="P131" s="3"/>
      <x:c r="Q131" s="3"/>
    </x:row>
    <x:row r="132" ht="15.75" customHeight="1">
      <x:c r="A132" s="3"/>
      <x:c r="B132" s="3"/>
      <x:c r="C132" s="3"/>
      <x:c r="D132" s="3"/>
      <x:c r="E132" s="3"/>
      <x:c r="F132" s="3"/>
      <x:c r="G132" s="3"/>
      <x:c r="H132" s="3"/>
      <x:c r="I132" s="3"/>
      <x:c r="J132" s="3"/>
      <x:c r="K132" s="3"/>
      <x:c r="L132" s="3"/>
      <x:c r="M132" s="3"/>
      <x:c r="N132" s="3"/>
      <x:c r="O132" s="3"/>
      <x:c r="P132" s="3"/>
      <x:c r="Q132" s="3"/>
    </x:row>
    <x:row r="133" ht="15.75" customHeight="1">
      <x:c r="A133" s="3"/>
      <x:c r="B133" s="3"/>
      <x:c r="C133" s="3"/>
      <x:c r="D133" s="3"/>
      <x:c r="E133" s="3"/>
      <x:c r="F133" s="3"/>
      <x:c r="G133" s="3"/>
      <x:c r="H133" s="3"/>
      <x:c r="I133" s="3"/>
      <x:c r="J133" s="3"/>
      <x:c r="K133" s="3"/>
      <x:c r="L133" s="3"/>
      <x:c r="M133" s="3"/>
      <x:c r="N133" s="3"/>
      <x:c r="O133" s="3"/>
      <x:c r="P133" s="3"/>
      <x:c r="Q133" s="3"/>
    </x:row>
    <x:row r="134" ht="15.75" customHeight="1">
      <x:c r="A134" s="3"/>
      <x:c r="B134" s="3"/>
      <x:c r="C134" s="3"/>
      <x:c r="D134" s="3"/>
      <x:c r="E134" s="3"/>
      <x:c r="F134" s="3"/>
      <x:c r="G134" s="3"/>
      <x:c r="H134" s="3"/>
      <x:c r="I134" s="3"/>
      <x:c r="J134" s="3"/>
      <x:c r="K134" s="3"/>
      <x:c r="L134" s="3"/>
      <x:c r="M134" s="3"/>
      <x:c r="N134" s="3"/>
      <x:c r="O134" s="3"/>
      <x:c r="P134" s="3"/>
      <x:c r="Q134" s="3"/>
    </x:row>
    <x:row r="135" ht="15.75" customHeight="1">
      <x:c r="A135" s="3"/>
      <x:c r="B135" s="3"/>
      <x:c r="C135" s="3"/>
      <x:c r="D135" s="3"/>
      <x:c r="E135" s="3"/>
      <x:c r="F135" s="3"/>
      <x:c r="G135" s="3"/>
      <x:c r="H135" s="3"/>
      <x:c r="I135" s="3"/>
      <x:c r="J135" s="3"/>
      <x:c r="K135" s="3"/>
      <x:c r="L135" s="3"/>
      <x:c r="M135" s="3"/>
      <x:c r="N135" s="3"/>
      <x:c r="O135" s="3"/>
      <x:c r="P135" s="3"/>
      <x:c r="Q135" s="3"/>
    </x:row>
    <x:row r="136" ht="15.75" customHeight="1">
      <x:c r="A136" s="3"/>
      <x:c r="B136" s="3"/>
      <x:c r="C136" s="3"/>
      <x:c r="D136" s="3"/>
      <x:c r="E136" s="3"/>
      <x:c r="F136" s="3"/>
      <x:c r="G136" s="3"/>
      <x:c r="H136" s="3"/>
      <x:c r="I136" s="3"/>
      <x:c r="J136" s="3"/>
      <x:c r="K136" s="3"/>
      <x:c r="L136" s="3"/>
      <x:c r="M136" s="3"/>
      <x:c r="N136" s="3"/>
      <x:c r="O136" s="3"/>
      <x:c r="P136" s="3"/>
      <x:c r="Q136" s="3"/>
    </x:row>
    <x:row r="137" ht="15.75" customHeight="1">
      <x:c r="A137" s="3"/>
      <x:c r="B137" s="3"/>
      <x:c r="C137" s="3"/>
      <x:c r="D137" s="3"/>
      <x:c r="E137" s="3"/>
      <x:c r="F137" s="3"/>
      <x:c r="G137" s="3"/>
      <x:c r="H137" s="3"/>
      <x:c r="I137" s="3"/>
      <x:c r="J137" s="3"/>
      <x:c r="K137" s="3"/>
      <x:c r="L137" s="3"/>
      <x:c r="M137" s="3"/>
      <x:c r="N137" s="3"/>
      <x:c r="O137" s="3"/>
      <x:c r="P137" s="3"/>
      <x:c r="Q137" s="3"/>
    </x:row>
    <x:row r="138" ht="15.75" customHeight="1">
      <x:c r="A138" s="3"/>
      <x:c r="B138" s="3"/>
      <x:c r="C138" s="3"/>
      <x:c r="D138" s="3"/>
      <x:c r="E138" s="3"/>
      <x:c r="F138" s="3"/>
      <x:c r="G138" s="3"/>
      <x:c r="H138" s="3"/>
      <x:c r="I138" s="3"/>
      <x:c r="J138" s="3"/>
      <x:c r="K138" s="3"/>
      <x:c r="L138" s="3"/>
      <x:c r="M138" s="3"/>
      <x:c r="N138" s="3"/>
      <x:c r="O138" s="3"/>
      <x:c r="P138" s="3"/>
      <x:c r="Q138" s="3"/>
    </x:row>
    <x:row r="139" ht="15.75" customHeight="1">
      <x:c r="A139" s="3"/>
      <x:c r="B139" s="3"/>
      <x:c r="C139" s="3"/>
      <x:c r="D139" s="3"/>
      <x:c r="E139" s="3"/>
      <x:c r="F139" s="3"/>
      <x:c r="G139" s="3"/>
      <x:c r="H139" s="3"/>
      <x:c r="I139" s="3"/>
      <x:c r="J139" s="3"/>
      <x:c r="K139" s="3"/>
      <x:c r="L139" s="3"/>
      <x:c r="M139" s="3"/>
      <x:c r="N139" s="3"/>
      <x:c r="O139" s="3"/>
      <x:c r="P139" s="3"/>
      <x:c r="Q139" s="3"/>
    </x:row>
    <x:row r="140" ht="15.75" customHeight="1">
      <x:c r="A140" s="3"/>
      <x:c r="B140" s="3"/>
      <x:c r="C140" s="3"/>
      <x:c r="D140" s="3"/>
      <x:c r="E140" s="3"/>
      <x:c r="F140" s="3"/>
      <x:c r="G140" s="3"/>
      <x:c r="H140" s="3"/>
      <x:c r="I140" s="3"/>
      <x:c r="J140" s="3"/>
      <x:c r="K140" s="3"/>
      <x:c r="L140" s="3"/>
      <x:c r="M140" s="3"/>
      <x:c r="N140" s="3"/>
      <x:c r="O140" s="3"/>
      <x:c r="P140" s="3"/>
      <x:c r="Q140" s="3"/>
    </x:row>
    <x:row r="141" ht="15.75" customHeight="1">
      <x:c r="A141" s="3"/>
      <x:c r="B141" s="3"/>
      <x:c r="C141" s="3"/>
      <x:c r="D141" s="3"/>
      <x:c r="E141" s="3"/>
      <x:c r="F141" s="3"/>
      <x:c r="G141" s="3"/>
      <x:c r="H141" s="3"/>
      <x:c r="I141" s="3"/>
      <x:c r="J141" s="3"/>
      <x:c r="K141" s="3"/>
      <x:c r="L141" s="3"/>
      <x:c r="M141" s="3"/>
      <x:c r="N141" s="3"/>
      <x:c r="O141" s="3"/>
      <x:c r="P141" s="3"/>
      <x:c r="Q141" s="3"/>
    </x:row>
    <x:row r="142" ht="15.75" customHeight="1">
      <x:c r="A142" s="3"/>
      <x:c r="B142" s="3"/>
      <x:c r="C142" s="3"/>
      <x:c r="D142" s="3"/>
      <x:c r="E142" s="3"/>
      <x:c r="F142" s="3"/>
      <x:c r="G142" s="3"/>
      <x:c r="H142" s="3"/>
      <x:c r="I142" s="3"/>
      <x:c r="J142" s="3"/>
      <x:c r="K142" s="3"/>
      <x:c r="L142" s="3"/>
      <x:c r="M142" s="3"/>
      <x:c r="N142" s="3"/>
      <x:c r="O142" s="3"/>
      <x:c r="P142" s="3"/>
      <x:c r="Q142" s="3"/>
    </x:row>
    <x:row r="143" ht="15.75" customHeight="1">
      <x:c r="A143" s="3"/>
      <x:c r="B143" s="3"/>
      <x:c r="C143" s="3"/>
      <x:c r="D143" s="3"/>
      <x:c r="E143" s="3"/>
      <x:c r="F143" s="3"/>
      <x:c r="G143" s="3"/>
      <x:c r="H143" s="3"/>
      <x:c r="I143" s="3"/>
      <x:c r="J143" s="3"/>
      <x:c r="K143" s="3"/>
      <x:c r="L143" s="3"/>
      <x:c r="M143" s="3"/>
      <x:c r="N143" s="3"/>
      <x:c r="O143" s="3"/>
      <x:c r="P143" s="3"/>
      <x:c r="Q143" s="3"/>
    </x:row>
    <x:row r="144" ht="15.75" customHeight="1">
      <x:c r="A144" s="3"/>
      <x:c r="B144" s="3"/>
      <x:c r="C144" s="3"/>
      <x:c r="D144" s="3"/>
      <x:c r="E144" s="3"/>
      <x:c r="F144" s="3"/>
      <x:c r="G144" s="3"/>
      <x:c r="H144" s="3"/>
      <x:c r="I144" s="3"/>
      <x:c r="J144" s="3"/>
      <x:c r="K144" s="3"/>
      <x:c r="L144" s="3"/>
      <x:c r="M144" s="3"/>
      <x:c r="N144" s="3"/>
      <x:c r="O144" s="3"/>
      <x:c r="P144" s="3"/>
      <x:c r="Q144" s="3"/>
    </x:row>
    <x:row r="145" ht="15.75" customHeight="1">
      <x:c r="A145" s="3"/>
      <x:c r="B145" s="3"/>
      <x:c r="C145" s="3"/>
      <x:c r="D145" s="3"/>
      <x:c r="E145" s="3"/>
      <x:c r="F145" s="3"/>
      <x:c r="G145" s="3"/>
      <x:c r="H145" s="3"/>
      <x:c r="I145" s="3"/>
      <x:c r="J145" s="3"/>
      <x:c r="K145" s="3"/>
      <x:c r="L145" s="3"/>
      <x:c r="M145" s="3"/>
      <x:c r="N145" s="3"/>
      <x:c r="O145" s="3"/>
      <x:c r="P145" s="3"/>
      <x:c r="Q145" s="3"/>
    </x:row>
    <x:row r="146" ht="15.75" customHeight="1">
      <x:c r="A146" s="3"/>
      <x:c r="B146" s="3"/>
      <x:c r="C146" s="3"/>
      <x:c r="D146" s="3"/>
      <x:c r="E146" s="3"/>
      <x:c r="F146" s="3"/>
      <x:c r="G146" s="3"/>
      <x:c r="H146" s="3"/>
      <x:c r="I146" s="3"/>
      <x:c r="J146" s="3"/>
      <x:c r="K146" s="3"/>
      <x:c r="L146" s="3"/>
      <x:c r="M146" s="3"/>
      <x:c r="N146" s="3"/>
      <x:c r="O146" s="3"/>
      <x:c r="P146" s="3"/>
      <x:c r="Q146" s="3"/>
    </x:row>
    <x:row r="147" ht="15.75" customHeight="1">
      <x:c r="A147" s="3"/>
      <x:c r="B147" s="3"/>
      <x:c r="C147" s="3"/>
      <x:c r="D147" s="3"/>
      <x:c r="E147" s="3"/>
      <x:c r="F147" s="3"/>
      <x:c r="G147" s="3"/>
      <x:c r="H147" s="3"/>
      <x:c r="I147" s="3"/>
      <x:c r="J147" s="3"/>
      <x:c r="K147" s="3"/>
      <x:c r="L147" s="3"/>
      <x:c r="M147" s="3"/>
      <x:c r="N147" s="3"/>
      <x:c r="O147" s="3"/>
      <x:c r="P147" s="3"/>
      <x:c r="Q147" s="3"/>
    </x:row>
    <x:row r="148" ht="15.75" customHeight="1">
      <x:c r="A148" s="3"/>
      <x:c r="B148" s="3"/>
      <x:c r="C148" s="3"/>
      <x:c r="D148" s="3"/>
      <x:c r="E148" s="3"/>
      <x:c r="F148" s="3"/>
      <x:c r="G148" s="3"/>
      <x:c r="H148" s="3"/>
      <x:c r="I148" s="3"/>
      <x:c r="J148" s="3"/>
      <x:c r="K148" s="3"/>
      <x:c r="L148" s="3"/>
      <x:c r="M148" s="3"/>
      <x:c r="N148" s="3"/>
      <x:c r="O148" s="3"/>
      <x:c r="P148" s="3"/>
      <x:c r="Q148" s="3"/>
    </x:row>
    <x:row r="149" ht="15.75" customHeight="1">
      <x:c r="A149" s="3"/>
      <x:c r="B149" s="3"/>
      <x:c r="C149" s="3"/>
      <x:c r="D149" s="3"/>
      <x:c r="E149" s="3"/>
      <x:c r="F149" s="3"/>
      <x:c r="G149" s="3"/>
      <x:c r="H149" s="3"/>
      <x:c r="I149" s="3"/>
      <x:c r="J149" s="3"/>
      <x:c r="K149" s="3"/>
      <x:c r="L149" s="3"/>
      <x:c r="M149" s="3"/>
      <x:c r="N149" s="3"/>
      <x:c r="O149" s="3"/>
      <x:c r="P149" s="3"/>
      <x:c r="Q149" s="3"/>
    </x:row>
    <x:row r="150" ht="15.75" customHeight="1">
      <x:c r="A150" s="3"/>
      <x:c r="B150" s="3"/>
      <x:c r="C150" s="3"/>
      <x:c r="D150" s="3"/>
      <x:c r="E150" s="3"/>
      <x:c r="F150" s="3"/>
      <x:c r="G150" s="3"/>
      <x:c r="H150" s="3"/>
      <x:c r="I150" s="3"/>
      <x:c r="J150" s="3"/>
      <x:c r="K150" s="3"/>
      <x:c r="L150" s="3"/>
      <x:c r="M150" s="3"/>
      <x:c r="N150" s="3"/>
      <x:c r="O150" s="3"/>
      <x:c r="P150" s="3"/>
      <x:c r="Q150" s="3"/>
    </x:row>
    <x:row r="151" ht="15.75" customHeight="1">
      <x:c r="A151" s="3"/>
      <x:c r="B151" s="3"/>
      <x:c r="C151" s="3"/>
      <x:c r="D151" s="3"/>
      <x:c r="E151" s="3"/>
      <x:c r="F151" s="3"/>
      <x:c r="G151" s="3"/>
      <x:c r="H151" s="3"/>
      <x:c r="I151" s="3"/>
      <x:c r="J151" s="3"/>
      <x:c r="K151" s="3"/>
      <x:c r="L151" s="3"/>
      <x:c r="M151" s="3"/>
      <x:c r="N151" s="3"/>
      <x:c r="O151" s="3"/>
      <x:c r="P151" s="3"/>
      <x:c r="Q151" s="3"/>
    </x:row>
    <x:row r="152" ht="15.75" customHeight="1">
      <x:c r="A152" s="3"/>
      <x:c r="B152" s="3"/>
      <x:c r="C152" s="3"/>
      <x:c r="D152" s="3"/>
      <x:c r="E152" s="3"/>
      <x:c r="F152" s="3"/>
      <x:c r="G152" s="3"/>
      <x:c r="H152" s="3"/>
      <x:c r="I152" s="3"/>
      <x:c r="J152" s="3"/>
      <x:c r="K152" s="3"/>
      <x:c r="L152" s="3"/>
      <x:c r="M152" s="3"/>
      <x:c r="N152" s="3"/>
      <x:c r="O152" s="3"/>
      <x:c r="P152" s="3"/>
      <x:c r="Q152" s="3"/>
    </x:row>
    <x:row r="153" ht="15.75" customHeight="1">
      <x:c r="A153" s="3"/>
      <x:c r="B153" s="3"/>
      <x:c r="C153" s="3"/>
      <x:c r="D153" s="3"/>
      <x:c r="E153" s="3"/>
      <x:c r="F153" s="3"/>
      <x:c r="G153" s="3"/>
      <x:c r="H153" s="3"/>
      <x:c r="I153" s="3"/>
      <x:c r="J153" s="3"/>
      <x:c r="K153" s="3"/>
      <x:c r="L153" s="3"/>
      <x:c r="M153" s="3"/>
      <x:c r="N153" s="3"/>
      <x:c r="O153" s="3"/>
      <x:c r="P153" s="3"/>
      <x:c r="Q153" s="3"/>
    </x:row>
    <x:row r="154" ht="15.75" customHeight="1">
      <x:c r="A154" s="3"/>
      <x:c r="B154" s="3"/>
      <x:c r="C154" s="3"/>
      <x:c r="D154" s="3"/>
      <x:c r="E154" s="3"/>
      <x:c r="F154" s="3"/>
      <x:c r="G154" s="3"/>
      <x:c r="H154" s="3"/>
      <x:c r="I154" s="3"/>
      <x:c r="J154" s="3"/>
      <x:c r="K154" s="3"/>
      <x:c r="L154" s="3"/>
      <x:c r="M154" s="3"/>
      <x:c r="N154" s="3"/>
      <x:c r="O154" s="3"/>
      <x:c r="P154" s="3"/>
      <x:c r="Q154" s="3"/>
    </x:row>
    <x:row r="155" ht="15.75" customHeight="1">
      <x:c r="A155" s="3"/>
      <x:c r="B155" s="3"/>
      <x:c r="C155" s="3"/>
      <x:c r="D155" s="3"/>
      <x:c r="E155" s="3"/>
      <x:c r="F155" s="3"/>
      <x:c r="G155" s="3"/>
      <x:c r="H155" s="3"/>
      <x:c r="I155" s="3"/>
      <x:c r="J155" s="3"/>
      <x:c r="K155" s="3"/>
      <x:c r="L155" s="3"/>
      <x:c r="M155" s="3"/>
      <x:c r="N155" s="3"/>
      <x:c r="O155" s="3"/>
      <x:c r="P155" s="3"/>
      <x:c r="Q155" s="3"/>
    </x:row>
    <x:row r="156" ht="15.75" customHeight="1">
      <x:c r="A156" s="3"/>
      <x:c r="B156" s="3"/>
      <x:c r="C156" s="3"/>
      <x:c r="D156" s="3"/>
      <x:c r="E156" s="3"/>
      <x:c r="F156" s="3"/>
      <x:c r="G156" s="3"/>
      <x:c r="H156" s="3"/>
      <x:c r="I156" s="3"/>
      <x:c r="J156" s="3"/>
      <x:c r="K156" s="3"/>
      <x:c r="L156" s="3"/>
      <x:c r="M156" s="3"/>
      <x:c r="N156" s="3"/>
      <x:c r="O156" s="3"/>
      <x:c r="P156" s="3"/>
      <x:c r="Q156" s="3"/>
    </x:row>
    <x:row r="157" ht="15.75" customHeight="1">
      <x:c r="A157" s="3"/>
      <x:c r="B157" s="3"/>
      <x:c r="C157" s="3"/>
      <x:c r="D157" s="3"/>
      <x:c r="E157" s="3"/>
      <x:c r="F157" s="3"/>
      <x:c r="G157" s="3"/>
      <x:c r="H157" s="3"/>
      <x:c r="I157" s="3"/>
      <x:c r="J157" s="3"/>
      <x:c r="K157" s="3"/>
      <x:c r="L157" s="3"/>
      <x:c r="M157" s="3"/>
      <x:c r="N157" s="3"/>
      <x:c r="O157" s="3"/>
      <x:c r="P157" s="3"/>
      <x:c r="Q157" s="3"/>
    </x:row>
    <x:row r="158" ht="15.75" customHeight="1">
      <x:c r="A158" s="3"/>
      <x:c r="B158" s="3"/>
      <x:c r="C158" s="3"/>
      <x:c r="D158" s="3"/>
      <x:c r="E158" s="3"/>
      <x:c r="F158" s="3"/>
      <x:c r="G158" s="3"/>
      <x:c r="H158" s="3"/>
      <x:c r="I158" s="3"/>
      <x:c r="J158" s="3"/>
      <x:c r="K158" s="3"/>
      <x:c r="L158" s="3"/>
      <x:c r="M158" s="3"/>
      <x:c r="N158" s="3"/>
      <x:c r="O158" s="3"/>
      <x:c r="P158" s="3"/>
      <x:c r="Q158" s="3"/>
    </x:row>
    <x:row r="159" ht="15.75" customHeight="1">
      <x:c r="A159" s="3"/>
      <x:c r="B159" s="3"/>
      <x:c r="C159" s="3"/>
      <x:c r="D159" s="3"/>
      <x:c r="E159" s="3"/>
      <x:c r="F159" s="3"/>
      <x:c r="G159" s="3"/>
      <x:c r="H159" s="3"/>
      <x:c r="I159" s="3"/>
      <x:c r="J159" s="3"/>
      <x:c r="K159" s="3"/>
      <x:c r="L159" s="3"/>
      <x:c r="M159" s="3"/>
      <x:c r="N159" s="3"/>
      <x:c r="O159" s="3"/>
      <x:c r="P159" s="3"/>
      <x:c r="Q159" s="3"/>
    </x:row>
    <x:row r="160" ht="15.75" customHeight="1">
      <x:c r="A160" s="3"/>
      <x:c r="B160" s="3"/>
      <x:c r="C160" s="3"/>
      <x:c r="D160" s="3"/>
      <x:c r="E160" s="3"/>
      <x:c r="F160" s="3"/>
      <x:c r="G160" s="3"/>
      <x:c r="H160" s="3"/>
      <x:c r="I160" s="3"/>
      <x:c r="J160" s="3"/>
      <x:c r="K160" s="3"/>
      <x:c r="L160" s="3"/>
      <x:c r="M160" s="3"/>
      <x:c r="N160" s="3"/>
      <x:c r="O160" s="3"/>
      <x:c r="P160" s="3"/>
      <x:c r="Q160" s="3"/>
    </x:row>
    <x:row r="161" ht="15.75" customHeight="1">
      <x:c r="A161" s="3"/>
      <x:c r="B161" s="3"/>
      <x:c r="C161" s="3"/>
      <x:c r="D161" s="3"/>
      <x:c r="E161" s="3"/>
      <x:c r="F161" s="3"/>
      <x:c r="G161" s="3"/>
      <x:c r="H161" s="3"/>
      <x:c r="I161" s="3"/>
      <x:c r="J161" s="3"/>
      <x:c r="K161" s="3"/>
      <x:c r="L161" s="3"/>
      <x:c r="M161" s="3"/>
      <x:c r="N161" s="3"/>
      <x:c r="O161" s="3"/>
      <x:c r="P161" s="3"/>
      <x:c r="Q161" s="3"/>
    </x:row>
    <x:row r="162" ht="15.75" customHeight="1">
      <x:c r="A162" s="3"/>
      <x:c r="B162" s="3"/>
      <x:c r="C162" s="3"/>
      <x:c r="D162" s="3"/>
      <x:c r="E162" s="3"/>
      <x:c r="F162" s="3"/>
      <x:c r="G162" s="3"/>
      <x:c r="H162" s="3"/>
      <x:c r="I162" s="3"/>
      <x:c r="J162" s="3"/>
      <x:c r="K162" s="3"/>
      <x:c r="L162" s="3"/>
      <x:c r="M162" s="3"/>
      <x:c r="N162" s="3"/>
      <x:c r="O162" s="3"/>
      <x:c r="P162" s="3"/>
      <x:c r="Q162" s="3"/>
    </x:row>
    <x:row r="163" ht="15.75" customHeight="1">
      <x:c r="A163" s="3"/>
      <x:c r="B163" s="3"/>
      <x:c r="C163" s="3"/>
      <x:c r="D163" s="3"/>
      <x:c r="E163" s="3"/>
      <x:c r="F163" s="3"/>
      <x:c r="G163" s="3"/>
      <x:c r="H163" s="3"/>
      <x:c r="I163" s="3"/>
      <x:c r="J163" s="3"/>
      <x:c r="K163" s="3"/>
      <x:c r="L163" s="3"/>
      <x:c r="M163" s="3"/>
      <x:c r="N163" s="3"/>
      <x:c r="O163" s="3"/>
      <x:c r="P163" s="3"/>
      <x:c r="Q163" s="3"/>
    </x:row>
    <x:row r="164" ht="15.75" customHeight="1">
      <x:c r="A164" s="3"/>
      <x:c r="B164" s="3"/>
      <x:c r="C164" s="3"/>
      <x:c r="D164" s="3"/>
      <x:c r="E164" s="3"/>
      <x:c r="F164" s="3"/>
      <x:c r="G164" s="3"/>
      <x:c r="H164" s="3"/>
      <x:c r="I164" s="3"/>
      <x:c r="J164" s="3"/>
      <x:c r="K164" s="3"/>
      <x:c r="L164" s="3"/>
      <x:c r="M164" s="3"/>
      <x:c r="N164" s="3"/>
      <x:c r="O164" s="3"/>
      <x:c r="P164" s="3"/>
      <x:c r="Q164" s="3"/>
    </x:row>
    <x:row r="165" ht="15.75" customHeight="1">
      <x:c r="A165" s="3"/>
      <x:c r="B165" s="3"/>
      <x:c r="C165" s="3"/>
      <x:c r="D165" s="3"/>
      <x:c r="E165" s="3"/>
      <x:c r="F165" s="3"/>
      <x:c r="G165" s="3"/>
      <x:c r="H165" s="3"/>
      <x:c r="I165" s="3"/>
      <x:c r="J165" s="3"/>
      <x:c r="K165" s="3"/>
      <x:c r="L165" s="3"/>
      <x:c r="M165" s="3"/>
      <x:c r="N165" s="3"/>
      <x:c r="O165" s="3"/>
      <x:c r="P165" s="3"/>
      <x:c r="Q165" s="3"/>
    </x:row>
    <x:row r="166" ht="15.75" customHeight="1">
      <x:c r="A166" s="3"/>
      <x:c r="B166" s="3"/>
      <x:c r="C166" s="3"/>
      <x:c r="D166" s="3"/>
      <x:c r="E166" s="3"/>
      <x:c r="F166" s="3"/>
      <x:c r="G166" s="3"/>
      <x:c r="H166" s="3"/>
      <x:c r="I166" s="3"/>
      <x:c r="J166" s="3"/>
      <x:c r="K166" s="3"/>
      <x:c r="L166" s="3"/>
      <x:c r="M166" s="3"/>
      <x:c r="N166" s="3"/>
      <x:c r="O166" s="3"/>
      <x:c r="P166" s="3"/>
      <x:c r="Q166" s="3"/>
    </x:row>
    <x:row r="167" ht="15.75" customHeight="1">
      <x:c r="A167" s="3"/>
      <x:c r="B167" s="3"/>
      <x:c r="C167" s="3"/>
      <x:c r="D167" s="3"/>
      <x:c r="E167" s="3"/>
      <x:c r="F167" s="3"/>
      <x:c r="G167" s="3"/>
      <x:c r="H167" s="3"/>
      <x:c r="I167" s="3"/>
      <x:c r="J167" s="3"/>
      <x:c r="K167" s="3"/>
      <x:c r="L167" s="3"/>
      <x:c r="M167" s="3"/>
      <x:c r="N167" s="3"/>
      <x:c r="O167" s="3"/>
      <x:c r="P167" s="3"/>
      <x:c r="Q167" s="3"/>
    </x:row>
    <x:row r="168" ht="15.75" customHeight="1">
      <x:c r="A168" s="3"/>
      <x:c r="B168" s="3"/>
      <x:c r="C168" s="3"/>
      <x:c r="D168" s="3"/>
      <x:c r="E168" s="3"/>
      <x:c r="F168" s="3"/>
      <x:c r="G168" s="3"/>
      <x:c r="H168" s="3"/>
      <x:c r="I168" s="3"/>
      <x:c r="J168" s="3"/>
      <x:c r="K168" s="3"/>
      <x:c r="L168" s="3"/>
      <x:c r="M168" s="3"/>
      <x:c r="N168" s="3"/>
      <x:c r="O168" s="3"/>
      <x:c r="P168" s="3"/>
      <x:c r="Q168" s="3"/>
    </x:row>
    <x:row r="169" ht="15.75" customHeight="1">
      <x:c r="A169" s="3"/>
      <x:c r="B169" s="3"/>
      <x:c r="C169" s="3"/>
      <x:c r="D169" s="3"/>
      <x:c r="E169" s="3"/>
      <x:c r="F169" s="3"/>
      <x:c r="G169" s="3"/>
      <x:c r="H169" s="3"/>
      <x:c r="I169" s="3"/>
      <x:c r="J169" s="3"/>
      <x:c r="K169" s="3"/>
      <x:c r="L169" s="3"/>
      <x:c r="M169" s="3"/>
      <x:c r="N169" s="3"/>
      <x:c r="O169" s="3"/>
      <x:c r="P169" s="3"/>
      <x:c r="Q169" s="3"/>
    </x:row>
    <x:row r="170" ht="15.75" customHeight="1">
      <x:c r="A170" s="3"/>
      <x:c r="B170" s="3"/>
      <x:c r="C170" s="3"/>
      <x:c r="D170" s="3"/>
      <x:c r="E170" s="3"/>
      <x:c r="F170" s="3"/>
      <x:c r="G170" s="3"/>
      <x:c r="H170" s="3"/>
      <x:c r="I170" s="3"/>
      <x:c r="J170" s="3"/>
      <x:c r="K170" s="3"/>
      <x:c r="L170" s="3"/>
      <x:c r="M170" s="3"/>
      <x:c r="N170" s="3"/>
      <x:c r="O170" s="3"/>
      <x:c r="P170" s="3"/>
      <x:c r="Q170" s="3"/>
    </x:row>
    <x:row r="171" ht="15.75" customHeight="1">
      <x:c r="A171" s="3"/>
      <x:c r="B171" s="3"/>
      <x:c r="C171" s="3"/>
      <x:c r="D171" s="3"/>
      <x:c r="E171" s="3"/>
      <x:c r="F171" s="3"/>
      <x:c r="G171" s="3"/>
      <x:c r="H171" s="3"/>
      <x:c r="I171" s="3"/>
      <x:c r="J171" s="3"/>
      <x:c r="K171" s="3"/>
      <x:c r="L171" s="3"/>
      <x:c r="M171" s="3"/>
      <x:c r="N171" s="3"/>
      <x:c r="O171" s="3"/>
      <x:c r="P171" s="3"/>
      <x:c r="Q171" s="3"/>
    </x:row>
    <x:row r="172" ht="15.75" customHeight="1">
      <x:c r="A172" s="3"/>
      <x:c r="B172" s="3"/>
      <x:c r="C172" s="3"/>
      <x:c r="D172" s="3"/>
      <x:c r="E172" s="3"/>
      <x:c r="F172" s="3"/>
      <x:c r="G172" s="3"/>
      <x:c r="H172" s="3"/>
      <x:c r="I172" s="3"/>
      <x:c r="J172" s="3"/>
      <x:c r="K172" s="3"/>
      <x:c r="L172" s="3"/>
      <x:c r="M172" s="3"/>
      <x:c r="N172" s="3"/>
      <x:c r="O172" s="3"/>
      <x:c r="P172" s="3"/>
      <x:c r="Q172" s="3"/>
    </x:row>
    <x:row r="173" ht="15.75" customHeight="1">
      <x:c r="A173" s="3"/>
      <x:c r="B173" s="3"/>
      <x:c r="C173" s="3"/>
      <x:c r="D173" s="3"/>
      <x:c r="E173" s="3"/>
      <x:c r="F173" s="3"/>
      <x:c r="G173" s="3"/>
      <x:c r="H173" s="3"/>
      <x:c r="I173" s="3"/>
      <x:c r="J173" s="3"/>
      <x:c r="K173" s="3"/>
      <x:c r="L173" s="3"/>
      <x:c r="M173" s="3"/>
      <x:c r="N173" s="3"/>
      <x:c r="O173" s="3"/>
      <x:c r="P173" s="3"/>
      <x:c r="Q173" s="3"/>
    </x:row>
    <x:row r="174" ht="15.75" customHeight="1">
      <x:c r="A174" s="3"/>
      <x:c r="B174" s="3"/>
      <x:c r="C174" s="3"/>
      <x:c r="D174" s="3"/>
      <x:c r="E174" s="3"/>
      <x:c r="F174" s="3"/>
      <x:c r="G174" s="3"/>
      <x:c r="H174" s="3"/>
      <x:c r="I174" s="3"/>
      <x:c r="J174" s="3"/>
      <x:c r="K174" s="3"/>
      <x:c r="L174" s="3"/>
      <x:c r="M174" s="3"/>
      <x:c r="N174" s="3"/>
      <x:c r="O174" s="3"/>
      <x:c r="P174" s="3"/>
      <x:c r="Q174" s="3"/>
    </x:row>
    <x:row r="175" ht="15.75" customHeight="1">
      <x:c r="A175" s="3"/>
      <x:c r="B175" s="3"/>
      <x:c r="C175" s="3"/>
      <x:c r="D175" s="3"/>
      <x:c r="E175" s="3"/>
      <x:c r="F175" s="3"/>
      <x:c r="G175" s="3"/>
      <x:c r="H175" s="3"/>
      <x:c r="I175" s="3"/>
      <x:c r="J175" s="3"/>
      <x:c r="K175" s="3"/>
      <x:c r="L175" s="3"/>
      <x:c r="M175" s="3"/>
      <x:c r="N175" s="3"/>
      <x:c r="O175" s="3"/>
      <x:c r="P175" s="3"/>
      <x:c r="Q175" s="3"/>
    </x:row>
    <x:row r="176" ht="15.75" customHeight="1">
      <x:c r="A176" s="3"/>
      <x:c r="B176" s="3"/>
      <x:c r="C176" s="3"/>
      <x:c r="D176" s="3"/>
      <x:c r="E176" s="3"/>
      <x:c r="F176" s="3"/>
      <x:c r="G176" s="3"/>
      <x:c r="H176" s="3"/>
      <x:c r="I176" s="3"/>
      <x:c r="J176" s="3"/>
      <x:c r="K176" s="3"/>
      <x:c r="L176" s="3"/>
      <x:c r="M176" s="3"/>
      <x:c r="N176" s="3"/>
      <x:c r="O176" s="3"/>
      <x:c r="P176" s="3"/>
      <x:c r="Q176" s="3"/>
    </x:row>
    <x:row r="177" ht="15.75" customHeight="1">
      <x:c r="A177" s="3"/>
      <x:c r="B177" s="3"/>
      <x:c r="C177" s="3"/>
      <x:c r="D177" s="3"/>
      <x:c r="E177" s="3"/>
      <x:c r="F177" s="3"/>
      <x:c r="G177" s="3"/>
      <x:c r="H177" s="3"/>
      <x:c r="I177" s="3"/>
      <x:c r="J177" s="3"/>
      <x:c r="K177" s="3"/>
      <x:c r="L177" s="3"/>
      <x:c r="M177" s="3"/>
      <x:c r="N177" s="3"/>
      <x:c r="O177" s="3"/>
      <x:c r="P177" s="3"/>
      <x:c r="Q177" s="3"/>
    </x:row>
    <x:row r="178" ht="15.75" customHeight="1">
      <x:c r="A178" s="3"/>
      <x:c r="B178" s="3"/>
      <x:c r="C178" s="3"/>
      <x:c r="D178" s="3"/>
      <x:c r="E178" s="3"/>
      <x:c r="F178" s="3"/>
      <x:c r="G178" s="3"/>
      <x:c r="H178" s="3"/>
      <x:c r="I178" s="3"/>
      <x:c r="J178" s="3"/>
      <x:c r="K178" s="3"/>
      <x:c r="L178" s="3"/>
      <x:c r="M178" s="3"/>
      <x:c r="N178" s="3"/>
      <x:c r="O178" s="3"/>
      <x:c r="P178" s="3"/>
      <x:c r="Q178" s="3"/>
    </x:row>
    <x:row r="179" ht="15.75" customHeight="1">
      <x:c r="A179" s="3"/>
      <x:c r="B179" s="3"/>
      <x:c r="C179" s="3"/>
      <x:c r="D179" s="3"/>
      <x:c r="E179" s="3"/>
      <x:c r="F179" s="3"/>
      <x:c r="G179" s="3"/>
      <x:c r="H179" s="3"/>
      <x:c r="I179" s="3"/>
      <x:c r="J179" s="3"/>
      <x:c r="K179" s="3"/>
      <x:c r="L179" s="3"/>
      <x:c r="M179" s="3"/>
      <x:c r="N179" s="3"/>
      <x:c r="O179" s="3"/>
      <x:c r="P179" s="3"/>
      <x:c r="Q179" s="3"/>
    </x:row>
    <x:row r="180" ht="15.75" customHeight="1">
      <x:c r="A180" s="3"/>
      <x:c r="B180" s="3"/>
      <x:c r="C180" s="3"/>
      <x:c r="D180" s="3"/>
      <x:c r="E180" s="3"/>
      <x:c r="F180" s="3"/>
      <x:c r="G180" s="3"/>
      <x:c r="H180" s="3"/>
      <x:c r="I180" s="3"/>
      <x:c r="J180" s="3"/>
      <x:c r="K180" s="3"/>
      <x:c r="L180" s="3"/>
      <x:c r="M180" s="3"/>
      <x:c r="N180" s="3"/>
      <x:c r="O180" s="3"/>
      <x:c r="P180" s="3"/>
      <x:c r="Q180" s="3"/>
    </x:row>
    <x:row r="181" ht="15.75" customHeight="1">
      <x:c r="A181" s="3"/>
      <x:c r="B181" s="3"/>
      <x:c r="C181" s="3"/>
      <x:c r="D181" s="3"/>
      <x:c r="E181" s="3"/>
      <x:c r="F181" s="3"/>
      <x:c r="G181" s="3"/>
      <x:c r="H181" s="3"/>
      <x:c r="I181" s="3"/>
      <x:c r="J181" s="3"/>
      <x:c r="K181" s="3"/>
      <x:c r="L181" s="3"/>
      <x:c r="M181" s="3"/>
      <x:c r="N181" s="3"/>
      <x:c r="O181" s="3"/>
      <x:c r="P181" s="3"/>
      <x:c r="Q181" s="3"/>
    </x:row>
    <x:row r="182" ht="15.75" customHeight="1">
      <x:c r="A182" s="3"/>
      <x:c r="B182" s="3"/>
      <x:c r="C182" s="3"/>
      <x:c r="D182" s="3"/>
      <x:c r="E182" s="3"/>
      <x:c r="F182" s="3"/>
      <x:c r="G182" s="3"/>
      <x:c r="H182" s="3"/>
      <x:c r="I182" s="3"/>
      <x:c r="J182" s="3"/>
      <x:c r="K182" s="3"/>
      <x:c r="L182" s="3"/>
      <x:c r="M182" s="3"/>
      <x:c r="N182" s="3"/>
      <x:c r="O182" s="3"/>
      <x:c r="P182" s="3"/>
      <x:c r="Q182" s="3"/>
    </x:row>
    <x:row r="183" ht="15.75" customHeight="1">
      <x:c r="A183" s="3"/>
      <x:c r="B183" s="3"/>
      <x:c r="C183" s="3"/>
      <x:c r="D183" s="3"/>
      <x:c r="E183" s="3"/>
      <x:c r="F183" s="3"/>
      <x:c r="G183" s="3"/>
      <x:c r="H183" s="3"/>
      <x:c r="I183" s="3"/>
      <x:c r="J183" s="3"/>
      <x:c r="K183" s="3"/>
      <x:c r="L183" s="3"/>
      <x:c r="M183" s="3"/>
      <x:c r="N183" s="3"/>
      <x:c r="O183" s="3"/>
      <x:c r="P183" s="3"/>
      <x:c r="Q183" s="3"/>
    </x:row>
    <x:row r="184" ht="15.75" customHeight="1">
      <x:c r="A184" s="3"/>
      <x:c r="B184" s="3"/>
      <x:c r="C184" s="3"/>
      <x:c r="D184" s="3"/>
      <x:c r="E184" s="3"/>
      <x:c r="F184" s="3"/>
      <x:c r="G184" s="3"/>
      <x:c r="H184" s="3"/>
      <x:c r="I184" s="3"/>
      <x:c r="J184" s="3"/>
      <x:c r="K184" s="3"/>
      <x:c r="L184" s="3"/>
      <x:c r="M184" s="3"/>
      <x:c r="N184" s="3"/>
      <x:c r="O184" s="3"/>
      <x:c r="P184" s="3"/>
      <x:c r="Q184" s="3"/>
    </x:row>
    <x:row r="185" ht="15.75" customHeight="1">
      <x:c r="A185" s="3"/>
      <x:c r="B185" s="3"/>
      <x:c r="C185" s="3"/>
      <x:c r="D185" s="3"/>
      <x:c r="E185" s="3"/>
      <x:c r="F185" s="3"/>
      <x:c r="G185" s="3"/>
      <x:c r="H185" s="3"/>
      <x:c r="I185" s="3"/>
      <x:c r="J185" s="3"/>
      <x:c r="K185" s="3"/>
      <x:c r="L185" s="3"/>
      <x:c r="M185" s="3"/>
      <x:c r="N185" s="3"/>
      <x:c r="O185" s="3"/>
      <x:c r="P185" s="3"/>
      <x:c r="Q185" s="3"/>
    </x:row>
    <x:row r="186" ht="15.75" customHeight="1">
      <x:c r="A186" s="3"/>
      <x:c r="B186" s="3"/>
      <x:c r="C186" s="3"/>
      <x:c r="D186" s="3"/>
      <x:c r="E186" s="3"/>
      <x:c r="F186" s="3"/>
      <x:c r="G186" s="3"/>
      <x:c r="H186" s="3"/>
      <x:c r="I186" s="3"/>
      <x:c r="J186" s="3"/>
      <x:c r="K186" s="3"/>
      <x:c r="L186" s="3"/>
      <x:c r="M186" s="3"/>
      <x:c r="N186" s="3"/>
      <x:c r="O186" s="3"/>
      <x:c r="P186" s="3"/>
      <x:c r="Q186" s="3"/>
    </x:row>
    <x:row r="187" ht="15.75" customHeight="1">
      <x:c r="A187" s="3"/>
      <x:c r="B187" s="3"/>
      <x:c r="C187" s="3"/>
      <x:c r="D187" s="3"/>
      <x:c r="E187" s="3"/>
      <x:c r="F187" s="3"/>
      <x:c r="G187" s="3"/>
      <x:c r="H187" s="3"/>
      <x:c r="I187" s="3"/>
      <x:c r="J187" s="3"/>
      <x:c r="K187" s="3"/>
      <x:c r="L187" s="3"/>
      <x:c r="M187" s="3"/>
      <x:c r="N187" s="3"/>
      <x:c r="O187" s="3"/>
      <x:c r="P187" s="3"/>
      <x:c r="Q187" s="3"/>
    </x:row>
    <x:row r="188" ht="15.75" customHeight="1">
      <x:c r="A188" s="3"/>
      <x:c r="B188" s="3"/>
      <x:c r="C188" s="3"/>
      <x:c r="D188" s="3"/>
      <x:c r="E188" s="3"/>
      <x:c r="F188" s="3"/>
      <x:c r="G188" s="3"/>
      <x:c r="H188" s="3"/>
      <x:c r="I188" s="3"/>
      <x:c r="J188" s="3"/>
      <x:c r="K188" s="3"/>
      <x:c r="L188" s="3"/>
      <x:c r="M188" s="3"/>
      <x:c r="N188" s="3"/>
      <x:c r="O188" s="3"/>
      <x:c r="P188" s="3"/>
      <x:c r="Q188" s="3"/>
    </x:row>
    <x:row r="189" ht="15.75" customHeight="1">
      <x:c r="A189" s="3"/>
      <x:c r="B189" s="3"/>
      <x:c r="C189" s="3"/>
      <x:c r="D189" s="3"/>
      <x:c r="E189" s="3"/>
      <x:c r="F189" s="3"/>
      <x:c r="G189" s="3"/>
      <x:c r="H189" s="3"/>
      <x:c r="I189" s="3"/>
      <x:c r="J189" s="3"/>
      <x:c r="K189" s="3"/>
      <x:c r="L189" s="3"/>
      <x:c r="M189" s="3"/>
      <x:c r="N189" s="3"/>
      <x:c r="O189" s="3"/>
      <x:c r="P189" s="3"/>
      <x:c r="Q189" s="3"/>
    </x:row>
    <x:row r="190" ht="15.75" customHeight="1">
      <x:c r="A190" s="3"/>
      <x:c r="B190" s="3"/>
      <x:c r="C190" s="3"/>
      <x:c r="D190" s="3"/>
      <x:c r="E190" s="3"/>
      <x:c r="F190" s="3"/>
      <x:c r="G190" s="3"/>
      <x:c r="H190" s="3"/>
      <x:c r="I190" s="3"/>
      <x:c r="J190" s="3"/>
      <x:c r="K190" s="3"/>
      <x:c r="L190" s="3"/>
      <x:c r="M190" s="3"/>
      <x:c r="N190" s="3"/>
      <x:c r="O190" s="3"/>
      <x:c r="P190" s="3"/>
      <x:c r="Q190" s="3"/>
    </x:row>
    <x:row r="191" ht="15.75" customHeight="1">
      <x:c r="A191" s="3"/>
      <x:c r="B191" s="3"/>
      <x:c r="C191" s="3"/>
      <x:c r="D191" s="3"/>
      <x:c r="E191" s="3"/>
      <x:c r="F191" s="3"/>
      <x:c r="G191" s="3"/>
      <x:c r="H191" s="3"/>
      <x:c r="I191" s="3"/>
      <x:c r="J191" s="3"/>
      <x:c r="K191" s="3"/>
      <x:c r="L191" s="3"/>
      <x:c r="M191" s="3"/>
      <x:c r="N191" s="3"/>
      <x:c r="O191" s="3"/>
      <x:c r="P191" s="3"/>
      <x:c r="Q191" s="3"/>
    </x:row>
    <x:row r="192" ht="15.75" customHeight="1">
      <x:c r="A192" s="3"/>
      <x:c r="B192" s="3"/>
      <x:c r="C192" s="3"/>
      <x:c r="D192" s="3"/>
      <x:c r="E192" s="3"/>
      <x:c r="F192" s="3"/>
      <x:c r="G192" s="3"/>
      <x:c r="H192" s="3"/>
      <x:c r="I192" s="3"/>
      <x:c r="J192" s="3"/>
      <x:c r="K192" s="3"/>
      <x:c r="L192" s="3"/>
      <x:c r="M192" s="3"/>
      <x:c r="N192" s="3"/>
      <x:c r="O192" s="3"/>
      <x:c r="P192" s="3"/>
      <x:c r="Q192" s="3"/>
    </x:row>
    <x:row r="193" ht="15.75" customHeight="1">
      <x:c r="A193" s="3"/>
      <x:c r="B193" s="3"/>
      <x:c r="C193" s="3"/>
      <x:c r="D193" s="3"/>
      <x:c r="E193" s="3"/>
      <x:c r="F193" s="3"/>
      <x:c r="G193" s="3"/>
      <x:c r="H193" s="3"/>
      <x:c r="I193" s="3"/>
      <x:c r="J193" s="3"/>
      <x:c r="K193" s="3"/>
      <x:c r="L193" s="3"/>
      <x:c r="M193" s="3"/>
      <x:c r="N193" s="3"/>
      <x:c r="O193" s="3"/>
      <x:c r="P193" s="3"/>
      <x:c r="Q193" s="3"/>
    </x:row>
    <x:row r="194" ht="15.75" customHeight="1">
      <x:c r="A194" s="3"/>
      <x:c r="B194" s="3"/>
      <x:c r="C194" s="3"/>
      <x:c r="D194" s="3"/>
      <x:c r="E194" s="3"/>
      <x:c r="F194" s="3"/>
      <x:c r="G194" s="3"/>
      <x:c r="H194" s="3"/>
      <x:c r="I194" s="3"/>
      <x:c r="J194" s="3"/>
      <x:c r="K194" s="3"/>
      <x:c r="L194" s="3"/>
      <x:c r="M194" s="3"/>
      <x:c r="N194" s="3"/>
      <x:c r="O194" s="3"/>
      <x:c r="P194" s="3"/>
      <x:c r="Q194" s="3"/>
    </x:row>
    <x:row r="195" ht="15.75" customHeight="1">
      <x:c r="A195" s="3"/>
      <x:c r="B195" s="3"/>
      <x:c r="C195" s="3"/>
      <x:c r="D195" s="3"/>
      <x:c r="E195" s="3"/>
      <x:c r="F195" s="3"/>
      <x:c r="G195" s="3"/>
      <x:c r="H195" s="3"/>
      <x:c r="I195" s="3"/>
      <x:c r="J195" s="3"/>
      <x:c r="K195" s="3"/>
      <x:c r="L195" s="3"/>
      <x:c r="M195" s="3"/>
      <x:c r="N195" s="3"/>
      <x:c r="O195" s="3"/>
      <x:c r="P195" s="3"/>
      <x:c r="Q195" s="3"/>
    </x:row>
    <x:row r="196" ht="15.75" customHeight="1">
      <x:c r="A196" s="3"/>
      <x:c r="B196" s="3"/>
      <x:c r="C196" s="3"/>
      <x:c r="D196" s="3"/>
      <x:c r="E196" s="3"/>
      <x:c r="F196" s="3"/>
      <x:c r="G196" s="3"/>
      <x:c r="H196" s="3"/>
      <x:c r="I196" s="3"/>
      <x:c r="J196" s="3"/>
      <x:c r="K196" s="3"/>
      <x:c r="L196" s="3"/>
      <x:c r="M196" s="3"/>
      <x:c r="N196" s="3"/>
      <x:c r="O196" s="3"/>
      <x:c r="P196" s="3"/>
      <x:c r="Q196" s="3"/>
    </x:row>
    <x:row r="197" ht="15.75" customHeight="1">
      <x:c r="A197" s="3"/>
      <x:c r="B197" s="3"/>
      <x:c r="C197" s="3"/>
      <x:c r="D197" s="3"/>
      <x:c r="E197" s="3"/>
      <x:c r="F197" s="3"/>
      <x:c r="G197" s="3"/>
      <x:c r="H197" s="3"/>
      <x:c r="I197" s="3"/>
      <x:c r="J197" s="3"/>
      <x:c r="K197" s="3"/>
      <x:c r="L197" s="3"/>
      <x:c r="M197" s="3"/>
      <x:c r="N197" s="3"/>
      <x:c r="O197" s="3"/>
      <x:c r="P197" s="3"/>
      <x:c r="Q197" s="3"/>
    </x:row>
    <x:row r="198" ht="15.75" customHeight="1">
      <x:c r="A198" s="3"/>
      <x:c r="B198" s="3"/>
      <x:c r="C198" s="3"/>
      <x:c r="D198" s="3"/>
      <x:c r="E198" s="3"/>
      <x:c r="F198" s="3"/>
      <x:c r="G198" s="3"/>
      <x:c r="H198" s="3"/>
      <x:c r="I198" s="3"/>
      <x:c r="J198" s="3"/>
      <x:c r="K198" s="3"/>
      <x:c r="L198" s="3"/>
      <x:c r="M198" s="3"/>
      <x:c r="N198" s="3"/>
      <x:c r="O198" s="3"/>
      <x:c r="P198" s="3"/>
      <x:c r="Q198" s="3"/>
    </x:row>
    <x:row r="199" ht="15.75" customHeight="1">
      <x:c r="A199" s="3"/>
      <x:c r="B199" s="3"/>
      <x:c r="C199" s="3"/>
      <x:c r="D199" s="3"/>
      <x:c r="E199" s="3"/>
      <x:c r="F199" s="3"/>
      <x:c r="G199" s="3"/>
      <x:c r="H199" s="3"/>
      <x:c r="I199" s="3"/>
      <x:c r="J199" s="3"/>
      <x:c r="K199" s="3"/>
      <x:c r="L199" s="3"/>
      <x:c r="M199" s="3"/>
      <x:c r="N199" s="3"/>
      <x:c r="O199" s="3"/>
      <x:c r="P199" s="3"/>
      <x:c r="Q199" s="3"/>
    </x:row>
    <x:row r="200" ht="15.75" customHeight="1">
      <x:c r="A200" s="3"/>
      <x:c r="B200" s="3"/>
      <x:c r="C200" s="3"/>
      <x:c r="D200" s="3"/>
      <x:c r="E200" s="3"/>
      <x:c r="F200" s="3"/>
      <x:c r="G200" s="3"/>
      <x:c r="H200" s="3"/>
      <x:c r="I200" s="3"/>
      <x:c r="J200" s="3"/>
      <x:c r="K200" s="3"/>
      <x:c r="L200" s="3"/>
      <x:c r="M200" s="3"/>
      <x:c r="N200" s="3"/>
      <x:c r="O200" s="3"/>
      <x:c r="P200" s="3"/>
      <x:c r="Q200" s="3"/>
    </x:row>
    <x:row r="201" ht="15.75" customHeight="1">
      <x:c r="A201" s="3"/>
      <x:c r="B201" s="3"/>
      <x:c r="C201" s="3"/>
      <x:c r="D201" s="3"/>
      <x:c r="E201" s="3"/>
      <x:c r="F201" s="3"/>
      <x:c r="G201" s="3"/>
      <x:c r="H201" s="3"/>
      <x:c r="I201" s="3"/>
      <x:c r="J201" s="3"/>
      <x:c r="K201" s="3"/>
      <x:c r="L201" s="3"/>
      <x:c r="M201" s="3"/>
      <x:c r="N201" s="3"/>
      <x:c r="O201" s="3"/>
      <x:c r="P201" s="3"/>
      <x:c r="Q201" s="3"/>
    </x:row>
    <x:row r="202" ht="15.75" customHeight="1">
      <x:c r="A202" s="3"/>
      <x:c r="B202" s="3"/>
      <x:c r="C202" s="3"/>
      <x:c r="D202" s="3"/>
      <x:c r="E202" s="3"/>
      <x:c r="F202" s="3"/>
      <x:c r="G202" s="3"/>
      <x:c r="H202" s="3"/>
      <x:c r="I202" s="3"/>
      <x:c r="J202" s="3"/>
      <x:c r="K202" s="3"/>
      <x:c r="L202" s="3"/>
      <x:c r="M202" s="3"/>
      <x:c r="N202" s="3"/>
      <x:c r="O202" s="3"/>
      <x:c r="P202" s="3"/>
      <x:c r="Q202" s="3"/>
    </x:row>
    <x:row r="203" ht="15.75" customHeight="1">
      <x:c r="A203" s="3"/>
      <x:c r="B203" s="3"/>
      <x:c r="C203" s="3"/>
      <x:c r="D203" s="3"/>
      <x:c r="E203" s="3"/>
      <x:c r="F203" s="3"/>
      <x:c r="G203" s="3"/>
      <x:c r="H203" s="3"/>
      <x:c r="I203" s="3"/>
      <x:c r="J203" s="3"/>
      <x:c r="K203" s="3"/>
      <x:c r="L203" s="3"/>
      <x:c r="M203" s="3"/>
      <x:c r="N203" s="3"/>
      <x:c r="O203" s="3"/>
      <x:c r="P203" s="3"/>
      <x:c r="Q203" s="3"/>
    </x:row>
    <x:row r="204" ht="15.75" customHeight="1">
      <x:c r="A204" s="3"/>
      <x:c r="B204" s="3"/>
      <x:c r="C204" s="3"/>
      <x:c r="D204" s="3"/>
      <x:c r="E204" s="3"/>
      <x:c r="F204" s="3"/>
      <x:c r="G204" s="3"/>
      <x:c r="H204" s="3"/>
      <x:c r="I204" s="3"/>
      <x:c r="J204" s="3"/>
      <x:c r="K204" s="3"/>
      <x:c r="L204" s="3"/>
      <x:c r="M204" s="3"/>
      <x:c r="N204" s="3"/>
      <x:c r="O204" s="3"/>
      <x:c r="P204" s="3"/>
      <x:c r="Q204" s="3"/>
    </x:row>
    <x:row r="205" ht="15.75" customHeight="1">
      <x:c r="A205" s="3"/>
      <x:c r="B205" s="3"/>
      <x:c r="C205" s="3"/>
      <x:c r="D205" s="3"/>
      <x:c r="E205" s="3"/>
      <x:c r="F205" s="3"/>
      <x:c r="G205" s="3"/>
      <x:c r="H205" s="3"/>
      <x:c r="I205" s="3"/>
      <x:c r="J205" s="3"/>
      <x:c r="K205" s="3"/>
      <x:c r="L205" s="3"/>
      <x:c r="M205" s="3"/>
      <x:c r="N205" s="3"/>
      <x:c r="O205" s="3"/>
      <x:c r="P205" s="3"/>
      <x:c r="Q205" s="3"/>
    </x:row>
    <x:row r="206" ht="15.75" customHeight="1">
      <x:c r="A206" s="3"/>
      <x:c r="B206" s="3"/>
      <x:c r="C206" s="3"/>
      <x:c r="D206" s="3"/>
      <x:c r="E206" s="3"/>
      <x:c r="F206" s="3"/>
      <x:c r="G206" s="3"/>
      <x:c r="H206" s="3"/>
      <x:c r="I206" s="3"/>
      <x:c r="J206" s="3"/>
      <x:c r="K206" s="3"/>
      <x:c r="L206" s="3"/>
      <x:c r="M206" s="3"/>
      <x:c r="N206" s="3"/>
      <x:c r="O206" s="3"/>
      <x:c r="P206" s="3"/>
      <x:c r="Q206" s="3"/>
    </x:row>
    <x:row r="207" ht="15.75" customHeight="1">
      <x:c r="A207" s="3"/>
      <x:c r="B207" s="3"/>
      <x:c r="C207" s="3"/>
      <x:c r="D207" s="3"/>
      <x:c r="E207" s="3"/>
      <x:c r="F207" s="3"/>
      <x:c r="G207" s="3"/>
      <x:c r="H207" s="3"/>
      <x:c r="I207" s="3"/>
      <x:c r="J207" s="3"/>
      <x:c r="K207" s="3"/>
      <x:c r="L207" s="3"/>
      <x:c r="M207" s="3"/>
      <x:c r="N207" s="3"/>
      <x:c r="O207" s="3"/>
      <x:c r="P207" s="3"/>
      <x:c r="Q207" s="3"/>
    </x:row>
    <x:row r="208" ht="15.75" customHeight="1">
      <x:c r="A208" s="3"/>
      <x:c r="B208" s="3"/>
      <x:c r="C208" s="3"/>
      <x:c r="D208" s="3"/>
      <x:c r="E208" s="3"/>
      <x:c r="F208" s="3"/>
      <x:c r="G208" s="3"/>
      <x:c r="H208" s="3"/>
      <x:c r="I208" s="3"/>
      <x:c r="J208" s="3"/>
      <x:c r="K208" s="3"/>
      <x:c r="L208" s="3"/>
      <x:c r="M208" s="3"/>
      <x:c r="N208" s="3"/>
      <x:c r="O208" s="3"/>
      <x:c r="P208" s="3"/>
      <x:c r="Q208" s="3"/>
    </x:row>
    <x:row r="209" ht="15.75" customHeight="1">
      <x:c r="A209" s="3"/>
      <x:c r="B209" s="3"/>
      <x:c r="C209" s="3"/>
      <x:c r="D209" s="3"/>
      <x:c r="E209" s="3"/>
      <x:c r="F209" s="3"/>
      <x:c r="G209" s="3"/>
      <x:c r="H209" s="3"/>
      <x:c r="I209" s="3"/>
      <x:c r="J209" s="3"/>
      <x:c r="K209" s="3"/>
      <x:c r="L209" s="3"/>
      <x:c r="M209" s="3"/>
      <x:c r="N209" s="3"/>
      <x:c r="O209" s="3"/>
      <x:c r="P209" s="3"/>
      <x:c r="Q209" s="3"/>
    </x:row>
    <x:row r="210" ht="15.75" customHeight="1">
      <x:c r="A210" s="3"/>
      <x:c r="B210" s="3"/>
      <x:c r="C210" s="3"/>
      <x:c r="D210" s="3"/>
      <x:c r="E210" s="3"/>
      <x:c r="F210" s="3"/>
      <x:c r="G210" s="3"/>
      <x:c r="H210" s="3"/>
      <x:c r="I210" s="3"/>
      <x:c r="J210" s="3"/>
      <x:c r="K210" s="3"/>
      <x:c r="L210" s="3"/>
      <x:c r="M210" s="3"/>
      <x:c r="N210" s="3"/>
      <x:c r="O210" s="3"/>
      <x:c r="P210" s="3"/>
      <x:c r="Q210" s="3"/>
    </x:row>
    <x:row r="211" ht="15.75" customHeight="1">
      <x:c r="A211" s="3"/>
      <x:c r="B211" s="3"/>
      <x:c r="C211" s="3"/>
      <x:c r="D211" s="3"/>
      <x:c r="E211" s="3"/>
      <x:c r="F211" s="3"/>
      <x:c r="G211" s="3"/>
      <x:c r="H211" s="3"/>
      <x:c r="I211" s="3"/>
      <x:c r="J211" s="3"/>
      <x:c r="K211" s="3"/>
      <x:c r="L211" s="3"/>
      <x:c r="M211" s="3"/>
      <x:c r="N211" s="3"/>
      <x:c r="O211" s="3"/>
      <x:c r="P211" s="3"/>
      <x:c r="Q211" s="3"/>
    </x:row>
    <x:row r="212" ht="15.75" customHeight="1">
      <x:c r="A212" s="3"/>
      <x:c r="B212" s="3"/>
      <x:c r="C212" s="3"/>
      <x:c r="D212" s="3"/>
      <x:c r="E212" s="3"/>
      <x:c r="F212" s="3"/>
      <x:c r="G212" s="3"/>
      <x:c r="H212" s="3"/>
      <x:c r="I212" s="3"/>
      <x:c r="J212" s="3"/>
      <x:c r="K212" s="3"/>
      <x:c r="L212" s="3"/>
      <x:c r="M212" s="3"/>
      <x:c r="N212" s="3"/>
      <x:c r="O212" s="3"/>
      <x:c r="P212" s="3"/>
      <x:c r="Q212" s="3"/>
    </x:row>
    <x:row r="213" ht="15.75" customHeight="1">
      <x:c r="A213" s="3"/>
      <x:c r="B213" s="3"/>
      <x:c r="C213" s="3"/>
      <x:c r="D213" s="3"/>
      <x:c r="E213" s="3"/>
      <x:c r="F213" s="3"/>
      <x:c r="G213" s="3"/>
      <x:c r="H213" s="3"/>
      <x:c r="I213" s="3"/>
      <x:c r="J213" s="3"/>
      <x:c r="K213" s="3"/>
      <x:c r="L213" s="3"/>
      <x:c r="M213" s="3"/>
      <x:c r="N213" s="3"/>
      <x:c r="O213" s="3"/>
      <x:c r="P213" s="3"/>
      <x:c r="Q213" s="3"/>
    </x:row>
    <x:row r="214" ht="15.75" customHeight="1">
      <x:c r="A214" s="3"/>
      <x:c r="B214" s="3"/>
      <x:c r="C214" s="3"/>
      <x:c r="D214" s="3"/>
      <x:c r="E214" s="3"/>
      <x:c r="F214" s="3"/>
      <x:c r="G214" s="3"/>
      <x:c r="H214" s="3"/>
      <x:c r="I214" s="3"/>
      <x:c r="J214" s="3"/>
      <x:c r="K214" s="3"/>
      <x:c r="L214" s="3"/>
      <x:c r="M214" s="3"/>
      <x:c r="N214" s="3"/>
      <x:c r="O214" s="3"/>
      <x:c r="P214" s="3"/>
      <x:c r="Q214" s="3"/>
    </x:row>
    <x:row r="215" ht="15.75" customHeight="1">
      <x:c r="A215" s="3"/>
      <x:c r="B215" s="3"/>
      <x:c r="C215" s="3"/>
      <x:c r="D215" s="3"/>
      <x:c r="E215" s="3"/>
      <x:c r="F215" s="3"/>
      <x:c r="G215" s="3"/>
      <x:c r="H215" s="3"/>
      <x:c r="I215" s="3"/>
      <x:c r="J215" s="3"/>
      <x:c r="K215" s="3"/>
      <x:c r="L215" s="3"/>
      <x:c r="M215" s="3"/>
      <x:c r="N215" s="3"/>
      <x:c r="O215" s="3"/>
      <x:c r="P215" s="3"/>
      <x:c r="Q215" s="3"/>
    </x:row>
    <x:row r="216" ht="15.75" customHeight="1">
      <x:c r="A216" s="3"/>
      <x:c r="B216" s="3"/>
      <x:c r="C216" s="3"/>
      <x:c r="D216" s="3"/>
      <x:c r="E216" s="3"/>
      <x:c r="F216" s="3"/>
      <x:c r="G216" s="3"/>
      <x:c r="H216" s="3"/>
      <x:c r="I216" s="3"/>
      <x:c r="J216" s="3"/>
      <x:c r="K216" s="3"/>
      <x:c r="L216" s="3"/>
      <x:c r="M216" s="3"/>
      <x:c r="N216" s="3"/>
      <x:c r="O216" s="3"/>
      <x:c r="P216" s="3"/>
      <x:c r="Q216" s="3"/>
    </x:row>
    <x:row r="217" ht="15.75" customHeight="1">
      <x:c r="A217" s="3"/>
      <x:c r="B217" s="3"/>
      <x:c r="C217" s="3"/>
      <x:c r="D217" s="3"/>
      <x:c r="E217" s="3"/>
      <x:c r="F217" s="3"/>
      <x:c r="G217" s="3"/>
      <x:c r="H217" s="3"/>
      <x:c r="I217" s="3"/>
      <x:c r="J217" s="3"/>
      <x:c r="K217" s="3"/>
      <x:c r="L217" s="3"/>
      <x:c r="M217" s="3"/>
      <x:c r="N217" s="3"/>
      <x:c r="O217" s="3"/>
      <x:c r="P217" s="3"/>
      <x:c r="Q217" s="3"/>
    </x:row>
    <x:row r="218" ht="15.75" customHeight="1">
      <x:c r="A218" s="3"/>
      <x:c r="B218" s="3"/>
      <x:c r="C218" s="3"/>
      <x:c r="D218" s="3"/>
      <x:c r="E218" s="3"/>
      <x:c r="F218" s="3"/>
      <x:c r="G218" s="3"/>
      <x:c r="H218" s="3"/>
      <x:c r="I218" s="3"/>
      <x:c r="J218" s="3"/>
      <x:c r="K218" s="3"/>
      <x:c r="L218" s="3"/>
      <x:c r="M218" s="3"/>
      <x:c r="N218" s="3"/>
      <x:c r="O218" s="3"/>
      <x:c r="P218" s="3"/>
      <x:c r="Q218" s="3"/>
    </x:row>
    <x:row r="219" ht="15.75" customHeight="1">
      <x:c r="A219" s="3"/>
      <x:c r="B219" s="3"/>
      <x:c r="C219" s="3"/>
      <x:c r="D219" s="3"/>
      <x:c r="E219" s="3"/>
      <x:c r="F219" s="3"/>
      <x:c r="G219" s="3"/>
      <x:c r="H219" s="3"/>
      <x:c r="I219" s="3"/>
      <x:c r="J219" s="3"/>
      <x:c r="K219" s="3"/>
      <x:c r="L219" s="3"/>
      <x:c r="M219" s="3"/>
      <x:c r="N219" s="3"/>
      <x:c r="O219" s="3"/>
      <x:c r="P219" s="3"/>
      <x:c r="Q219" s="3"/>
    </x:row>
    <x:row r="220" ht="15.75" customHeight="1">
      <x:c r="A220" s="3"/>
      <x:c r="B220" s="3"/>
      <x:c r="C220" s="3"/>
      <x:c r="D220" s="3"/>
      <x:c r="E220" s="3"/>
      <x:c r="F220" s="3"/>
      <x:c r="G220" s="3"/>
      <x:c r="H220" s="3"/>
      <x:c r="I220" s="3"/>
      <x:c r="J220" s="3"/>
      <x:c r="K220" s="3"/>
      <x:c r="L220" s="3"/>
      <x:c r="M220" s="3"/>
      <x:c r="N220" s="3"/>
      <x:c r="O220" s="3"/>
      <x:c r="P220" s="3"/>
      <x:c r="Q220" s="3"/>
    </x:row>
    <x:row r="221" ht="15.75" customHeight="1">
      <x:c r="A221" s="3"/>
      <x:c r="B221" s="3"/>
      <x:c r="C221" s="3"/>
      <x:c r="D221" s="3"/>
      <x:c r="E221" s="3"/>
      <x:c r="F221" s="3"/>
      <x:c r="G221" s="3"/>
      <x:c r="H221" s="3"/>
      <x:c r="I221" s="3"/>
      <x:c r="J221" s="3"/>
      <x:c r="K221" s="3"/>
      <x:c r="L221" s="3"/>
      <x:c r="M221" s="3"/>
      <x:c r="N221" s="3"/>
      <x:c r="O221" s="3"/>
      <x:c r="P221" s="3"/>
      <x:c r="Q221" s="3"/>
    </x:row>
    <x:row r="222" ht="15.75" customHeight="1">
      <x:c r="A222" s="3"/>
      <x:c r="B222" s="3"/>
      <x:c r="C222" s="3"/>
      <x:c r="D222" s="3"/>
      <x:c r="E222" s="3"/>
      <x:c r="F222" s="3"/>
      <x:c r="G222" s="3"/>
      <x:c r="H222" s="3"/>
      <x:c r="I222" s="3"/>
      <x:c r="J222" s="3"/>
      <x:c r="K222" s="3"/>
      <x:c r="L222" s="3"/>
      <x:c r="M222" s="3"/>
      <x:c r="N222" s="3"/>
      <x:c r="O222" s="3"/>
      <x:c r="P222" s="3"/>
      <x:c r="Q222" s="3"/>
    </x:row>
    <x:row r="223" ht="15.75" customHeight="1">
      <x:c r="A223" s="3"/>
      <x:c r="B223" s="3"/>
      <x:c r="C223" s="3"/>
      <x:c r="D223" s="3"/>
      <x:c r="E223" s="3"/>
      <x:c r="F223" s="3"/>
      <x:c r="G223" s="3"/>
      <x:c r="H223" s="3"/>
      <x:c r="I223" s="3"/>
      <x:c r="J223" s="3"/>
      <x:c r="K223" s="3"/>
      <x:c r="L223" s="3"/>
      <x:c r="M223" s="3"/>
      <x:c r="N223" s="3"/>
      <x:c r="O223" s="3"/>
      <x:c r="P223" s="3"/>
      <x:c r="Q223" s="3"/>
    </x:row>
    <x:row r="224" ht="15.75" customHeight="1">
      <x:c r="A224" s="3"/>
      <x:c r="B224" s="3"/>
      <x:c r="C224" s="3"/>
      <x:c r="D224" s="3"/>
      <x:c r="E224" s="3"/>
      <x:c r="F224" s="3"/>
      <x:c r="G224" s="3"/>
      <x:c r="H224" s="3"/>
      <x:c r="I224" s="3"/>
      <x:c r="J224" s="3"/>
      <x:c r="K224" s="3"/>
      <x:c r="L224" s="3"/>
      <x:c r="M224" s="3"/>
      <x:c r="N224" s="3"/>
      <x:c r="O224" s="3"/>
      <x:c r="P224" s="3"/>
      <x:c r="Q224" s="3"/>
    </x:row>
    <x:row r="225" ht="15.75" customHeight="1">
      <x:c r="A225" s="3"/>
      <x:c r="B225" s="3"/>
      <x:c r="C225" s="3"/>
      <x:c r="D225" s="3"/>
      <x:c r="E225" s="3"/>
      <x:c r="F225" s="3"/>
      <x:c r="G225" s="3"/>
      <x:c r="H225" s="3"/>
      <x:c r="I225" s="3"/>
      <x:c r="J225" s="3"/>
      <x:c r="K225" s="3"/>
      <x:c r="L225" s="3"/>
      <x:c r="M225" s="3"/>
      <x:c r="N225" s="3"/>
      <x:c r="O225" s="3"/>
      <x:c r="P225" s="3"/>
      <x:c r="Q225" s="3"/>
    </x:row>
    <x:row r="226" ht="15.75" customHeight="1">
      <x:c r="A226" s="3"/>
      <x:c r="B226" s="3"/>
      <x:c r="C226" s="3"/>
      <x:c r="D226" s="3"/>
      <x:c r="E226" s="3"/>
      <x:c r="F226" s="3"/>
      <x:c r="G226" s="3"/>
      <x:c r="H226" s="3"/>
      <x:c r="I226" s="3"/>
      <x:c r="J226" s="3"/>
      <x:c r="K226" s="3"/>
      <x:c r="L226" s="3"/>
      <x:c r="M226" s="3"/>
      <x:c r="N226" s="3"/>
      <x:c r="O226" s="3"/>
      <x:c r="P226" s="3"/>
      <x:c r="Q226" s="3"/>
    </x:row>
    <x:row r="227" ht="15.75" customHeight="1">
      <x:c r="A227" s="3"/>
      <x:c r="B227" s="3"/>
      <x:c r="C227" s="3"/>
      <x:c r="D227" s="3"/>
      <x:c r="E227" s="3"/>
      <x:c r="F227" s="3"/>
      <x:c r="G227" s="3"/>
      <x:c r="H227" s="3"/>
      <x:c r="I227" s="3"/>
      <x:c r="J227" s="3"/>
      <x:c r="K227" s="3"/>
      <x:c r="L227" s="3"/>
      <x:c r="M227" s="3"/>
      <x:c r="N227" s="3"/>
      <x:c r="O227" s="3"/>
      <x:c r="P227" s="3"/>
      <x:c r="Q227" s="3"/>
    </x:row>
    <x:row r="228" ht="15.75" customHeight="1">
      <x:c r="A228" s="3"/>
      <x:c r="B228" s="3"/>
      <x:c r="C228" s="3"/>
      <x:c r="D228" s="3"/>
      <x:c r="E228" s="3"/>
      <x:c r="F228" s="3"/>
      <x:c r="G228" s="3"/>
      <x:c r="H228" s="3"/>
      <x:c r="I228" s="3"/>
      <x:c r="J228" s="3"/>
      <x:c r="K228" s="3"/>
      <x:c r="L228" s="3"/>
      <x:c r="M228" s="3"/>
      <x:c r="N228" s="3"/>
      <x:c r="O228" s="3"/>
      <x:c r="P228" s="3"/>
      <x:c r="Q228" s="3"/>
    </x:row>
    <x:row r="229" ht="15.75" customHeight="1">
      <x:c r="A229" s="3"/>
      <x:c r="B229" s="3"/>
      <x:c r="C229" s="3"/>
      <x:c r="D229" s="3"/>
      <x:c r="E229" s="3"/>
      <x:c r="F229" s="3"/>
      <x:c r="G229" s="3"/>
      <x:c r="H229" s="3"/>
      <x:c r="I229" s="3"/>
      <x:c r="J229" s="3"/>
      <x:c r="K229" s="3"/>
      <x:c r="L229" s="3"/>
      <x:c r="M229" s="3"/>
      <x:c r="N229" s="3"/>
      <x:c r="O229" s="3"/>
      <x:c r="P229" s="3"/>
      <x:c r="Q229" s="3"/>
    </x:row>
    <x:row r="230" ht="15.75" customHeight="1">
      <x:c r="A230" s="3"/>
      <x:c r="B230" s="3"/>
      <x:c r="C230" s="3"/>
      <x:c r="D230" s="3"/>
      <x:c r="E230" s="3"/>
      <x:c r="F230" s="3"/>
      <x:c r="G230" s="3"/>
      <x:c r="H230" s="3"/>
      <x:c r="I230" s="3"/>
      <x:c r="J230" s="3"/>
      <x:c r="K230" s="3"/>
      <x:c r="L230" s="3"/>
      <x:c r="M230" s="3"/>
      <x:c r="N230" s="3"/>
      <x:c r="O230" s="3"/>
      <x:c r="P230" s="3"/>
      <x:c r="Q230" s="3"/>
    </x:row>
    <x:row r="231" ht="15.75" customHeight="1">
      <x:c r="A231" s="3"/>
      <x:c r="B231" s="3"/>
      <x:c r="C231" s="3"/>
      <x:c r="D231" s="3"/>
      <x:c r="E231" s="3"/>
      <x:c r="F231" s="3"/>
      <x:c r="G231" s="3"/>
      <x:c r="H231" s="3"/>
      <x:c r="I231" s="3"/>
      <x:c r="J231" s="3"/>
      <x:c r="K231" s="3"/>
      <x:c r="L231" s="3"/>
      <x:c r="M231" s="3"/>
      <x:c r="N231" s="3"/>
      <x:c r="O231" s="3"/>
      <x:c r="P231" s="3"/>
      <x:c r="Q231" s="3"/>
    </x:row>
    <x:row r="232" ht="15.75" customHeight="1">
      <x:c r="A232" s="3"/>
      <x:c r="B232" s="3"/>
      <x:c r="C232" s="3"/>
      <x:c r="D232" s="3"/>
      <x:c r="E232" s="3"/>
      <x:c r="F232" s="3"/>
      <x:c r="G232" s="3"/>
      <x:c r="H232" s="3"/>
      <x:c r="I232" s="3"/>
      <x:c r="J232" s="3"/>
      <x:c r="K232" s="3"/>
      <x:c r="L232" s="3"/>
      <x:c r="M232" s="3"/>
      <x:c r="N232" s="3"/>
      <x:c r="O232" s="3"/>
      <x:c r="P232" s="3"/>
      <x:c r="Q232" s="3"/>
    </x:row>
    <x:row r="233" ht="15.75" customHeight="1">
      <x:c r="A233" s="3"/>
      <x:c r="B233" s="3"/>
      <x:c r="C233" s="3"/>
      <x:c r="D233" s="3"/>
      <x:c r="E233" s="3"/>
      <x:c r="F233" s="3"/>
      <x:c r="G233" s="3"/>
      <x:c r="H233" s="3"/>
      <x:c r="I233" s="3"/>
      <x:c r="J233" s="3"/>
      <x:c r="K233" s="3"/>
      <x:c r="L233" s="3"/>
      <x:c r="M233" s="3"/>
      <x:c r="N233" s="3"/>
      <x:c r="O233" s="3"/>
      <x:c r="P233" s="3"/>
      <x:c r="Q233" s="3"/>
    </x:row>
    <x:row r="234" ht="15.75" customHeight="1">
      <x:c r="A234" s="3"/>
      <x:c r="B234" s="3"/>
      <x:c r="C234" s="3"/>
      <x:c r="D234" s="3"/>
      <x:c r="E234" s="3"/>
      <x:c r="F234" s="3"/>
      <x:c r="G234" s="3"/>
      <x:c r="H234" s="3"/>
      <x:c r="I234" s="3"/>
      <x:c r="J234" s="3"/>
      <x:c r="K234" s="3"/>
      <x:c r="L234" s="3"/>
      <x:c r="M234" s="3"/>
      <x:c r="N234" s="3"/>
      <x:c r="O234" s="3"/>
      <x:c r="P234" s="3"/>
      <x:c r="Q234" s="3"/>
    </x:row>
    <x:row r="235" ht="15.75" customHeight="1">
      <x:c r="A235" s="3"/>
      <x:c r="B235" s="3"/>
      <x:c r="C235" s="3"/>
      <x:c r="D235" s="3"/>
      <x:c r="E235" s="3"/>
      <x:c r="F235" s="3"/>
      <x:c r="G235" s="3"/>
      <x:c r="H235" s="3"/>
      <x:c r="I235" s="3"/>
      <x:c r="J235" s="3"/>
      <x:c r="K235" s="3"/>
      <x:c r="L235" s="3"/>
      <x:c r="M235" s="3"/>
      <x:c r="N235" s="3"/>
      <x:c r="O235" s="3"/>
      <x:c r="P235" s="3"/>
      <x:c r="Q235" s="3"/>
    </x:row>
    <x:row r="236" ht="15.75" customHeight="1">
      <x:c r="A236" s="3"/>
      <x:c r="B236" s="3"/>
      <x:c r="C236" s="3"/>
      <x:c r="D236" s="3"/>
      <x:c r="E236" s="3"/>
      <x:c r="F236" s="3"/>
      <x:c r="G236" s="3"/>
      <x:c r="H236" s="3"/>
      <x:c r="I236" s="3"/>
      <x:c r="J236" s="3"/>
      <x:c r="K236" s="3"/>
      <x:c r="L236" s="3"/>
      <x:c r="M236" s="3"/>
      <x:c r="N236" s="3"/>
      <x:c r="O236" s="3"/>
      <x:c r="P236" s="3"/>
      <x:c r="Q236" s="3"/>
    </x:row>
    <x:row r="237" ht="15.75" customHeight="1">
      <x:c r="A237" s="3"/>
      <x:c r="B237" s="3"/>
      <x:c r="C237" s="3"/>
      <x:c r="D237" s="3"/>
      <x:c r="E237" s="3"/>
      <x:c r="F237" s="3"/>
      <x:c r="G237" s="3"/>
      <x:c r="H237" s="3"/>
      <x:c r="I237" s="3"/>
      <x:c r="J237" s="3"/>
      <x:c r="K237" s="3"/>
      <x:c r="L237" s="3"/>
      <x:c r="M237" s="3"/>
      <x:c r="N237" s="3"/>
      <x:c r="O237" s="3"/>
      <x:c r="P237" s="3"/>
      <x:c r="Q237" s="3"/>
    </x:row>
    <x:row r="238" ht="15.75" customHeight="1">
      <x:c r="A238" s="3"/>
      <x:c r="B238" s="3"/>
      <x:c r="C238" s="3"/>
      <x:c r="D238" s="3"/>
      <x:c r="E238" s="3"/>
      <x:c r="F238" s="3"/>
      <x:c r="G238" s="3"/>
      <x:c r="H238" s="3"/>
      <x:c r="I238" s="3"/>
      <x:c r="J238" s="3"/>
      <x:c r="K238" s="3"/>
      <x:c r="L238" s="3"/>
      <x:c r="M238" s="3"/>
      <x:c r="N238" s="3"/>
      <x:c r="O238" s="3"/>
      <x:c r="P238" s="3"/>
      <x:c r="Q238" s="3"/>
    </x:row>
    <x:row r="239" ht="15.75" customHeight="1">
      <x:c r="A239" s="3"/>
      <x:c r="B239" s="3"/>
      <x:c r="C239" s="3"/>
      <x:c r="D239" s="3"/>
      <x:c r="E239" s="3"/>
      <x:c r="F239" s="3"/>
      <x:c r="G239" s="3"/>
      <x:c r="H239" s="3"/>
      <x:c r="I239" s="3"/>
      <x:c r="J239" s="3"/>
      <x:c r="K239" s="3"/>
      <x:c r="L239" s="3"/>
      <x:c r="M239" s="3"/>
      <x:c r="N239" s="3"/>
      <x:c r="O239" s="3"/>
      <x:c r="P239" s="3"/>
      <x:c r="Q239" s="3"/>
    </x:row>
    <x:row r="240" ht="15.75" customHeight="1">
      <x:c r="A240" s="3"/>
      <x:c r="B240" s="3"/>
      <x:c r="C240" s="3"/>
      <x:c r="D240" s="3"/>
      <x:c r="E240" s="3"/>
      <x:c r="F240" s="3"/>
      <x:c r="G240" s="3"/>
      <x:c r="H240" s="3"/>
      <x:c r="I240" s="3"/>
      <x:c r="J240" s="3"/>
      <x:c r="K240" s="3"/>
      <x:c r="L240" s="3"/>
      <x:c r="M240" s="3"/>
      <x:c r="N240" s="3"/>
      <x:c r="O240" s="3"/>
      <x:c r="P240" s="3"/>
      <x:c r="Q240" s="3"/>
    </x:row>
    <x:row r="241" ht="15.75" customHeight="1">
      <x:c r="A241" s="3"/>
      <x:c r="B241" s="3"/>
      <x:c r="C241" s="3"/>
      <x:c r="D241" s="3"/>
      <x:c r="E241" s="3"/>
      <x:c r="F241" s="3"/>
      <x:c r="G241" s="3"/>
      <x:c r="H241" s="3"/>
      <x:c r="I241" s="3"/>
      <x:c r="J241" s="3"/>
      <x:c r="K241" s="3"/>
      <x:c r="L241" s="3"/>
      <x:c r="M241" s="3"/>
      <x:c r="N241" s="3"/>
      <x:c r="O241" s="3"/>
      <x:c r="P241" s="3"/>
      <x:c r="Q241" s="3"/>
    </x:row>
    <x:row r="242" ht="15.75" customHeight="1">
      <x:c r="A242" s="3"/>
      <x:c r="B242" s="3"/>
      <x:c r="C242" s="3"/>
      <x:c r="D242" s="3"/>
      <x:c r="E242" s="3"/>
      <x:c r="F242" s="3"/>
      <x:c r="G242" s="3"/>
      <x:c r="H242" s="3"/>
      <x:c r="I242" s="3"/>
      <x:c r="J242" s="3"/>
      <x:c r="K242" s="3"/>
      <x:c r="L242" s="3"/>
      <x:c r="M242" s="3"/>
      <x:c r="N242" s="3"/>
      <x:c r="O242" s="3"/>
      <x:c r="P242" s="3"/>
      <x:c r="Q242" s="3"/>
    </x:row>
    <x:row r="243" ht="15.75" customHeight="1">
      <x:c r="A243" s="3"/>
      <x:c r="B243" s="3"/>
      <x:c r="C243" s="3"/>
      <x:c r="D243" s="3"/>
      <x:c r="E243" s="3"/>
      <x:c r="F243" s="3"/>
      <x:c r="G243" s="3"/>
      <x:c r="H243" s="3"/>
      <x:c r="I243" s="3"/>
      <x:c r="J243" s="3"/>
      <x:c r="K243" s="3"/>
      <x:c r="L243" s="3"/>
      <x:c r="M243" s="3"/>
      <x:c r="N243" s="3"/>
      <x:c r="O243" s="3"/>
      <x:c r="P243" s="3"/>
      <x:c r="Q243" s="3"/>
    </x:row>
    <x:row r="244" ht="15.75" customHeight="1">
      <x:c r="A244" s="3"/>
      <x:c r="B244" s="3"/>
      <x:c r="C244" s="3"/>
      <x:c r="D244" s="3"/>
      <x:c r="E244" s="3"/>
      <x:c r="F244" s="3"/>
      <x:c r="G244" s="3"/>
      <x:c r="H244" s="3"/>
      <x:c r="I244" s="3"/>
      <x:c r="J244" s="3"/>
      <x:c r="K244" s="3"/>
      <x:c r="L244" s="3"/>
      <x:c r="M244" s="3"/>
      <x:c r="N244" s="3"/>
      <x:c r="O244" s="3"/>
      <x:c r="P244" s="3"/>
      <x:c r="Q244" s="3"/>
    </x:row>
    <x:row r="245" ht="15.75" customHeight="1">
      <x:c r="A245" s="3"/>
      <x:c r="B245" s="3"/>
      <x:c r="C245" s="3"/>
      <x:c r="D245" s="3"/>
      <x:c r="E245" s="3"/>
      <x:c r="F245" s="3"/>
      <x:c r="G245" s="3"/>
      <x:c r="H245" s="3"/>
      <x:c r="I245" s="3"/>
      <x:c r="J245" s="3"/>
      <x:c r="K245" s="3"/>
      <x:c r="L245" s="3"/>
      <x:c r="M245" s="3"/>
      <x:c r="N245" s="3"/>
      <x:c r="O245" s="3"/>
      <x:c r="P245" s="3"/>
      <x:c r="Q245" s="3"/>
    </x:row>
    <x:row r="246" ht="15.75" customHeight="1">
      <x:c r="A246" s="3"/>
      <x:c r="B246" s="3"/>
      <x:c r="C246" s="3"/>
      <x:c r="D246" s="3"/>
      <x:c r="E246" s="3"/>
      <x:c r="F246" s="3"/>
      <x:c r="G246" s="3"/>
      <x:c r="H246" s="3"/>
      <x:c r="I246" s="3"/>
      <x:c r="J246" s="3"/>
      <x:c r="K246" s="3"/>
      <x:c r="L246" s="3"/>
      <x:c r="M246" s="3"/>
      <x:c r="N246" s="3"/>
      <x:c r="O246" s="3"/>
      <x:c r="P246" s="3"/>
      <x:c r="Q246" s="3"/>
    </x:row>
    <x:row r="247" ht="15.75" customHeight="1">
      <x:c r="A247" s="3"/>
      <x:c r="B247" s="3"/>
      <x:c r="C247" s="3"/>
      <x:c r="D247" s="3"/>
      <x:c r="E247" s="3"/>
      <x:c r="F247" s="3"/>
      <x:c r="G247" s="3"/>
      <x:c r="H247" s="3"/>
      <x:c r="I247" s="3"/>
      <x:c r="J247" s="3"/>
      <x:c r="K247" s="3"/>
      <x:c r="L247" s="3"/>
      <x:c r="M247" s="3"/>
      <x:c r="N247" s="3"/>
      <x:c r="O247" s="3"/>
      <x:c r="P247" s="3"/>
      <x:c r="Q247" s="3"/>
    </x:row>
    <x:row r="248" ht="15.75" customHeight="1">
      <x:c r="A248" s="3"/>
      <x:c r="B248" s="3"/>
      <x:c r="C248" s="3"/>
      <x:c r="D248" s="3"/>
      <x:c r="E248" s="3"/>
      <x:c r="F248" s="3"/>
      <x:c r="G248" s="3"/>
      <x:c r="H248" s="3"/>
      <x:c r="I248" s="3"/>
      <x:c r="J248" s="3"/>
      <x:c r="K248" s="3"/>
      <x:c r="L248" s="3"/>
      <x:c r="M248" s="3"/>
      <x:c r="N248" s="3"/>
      <x:c r="O248" s="3"/>
      <x:c r="P248" s="3"/>
      <x:c r="Q248" s="3"/>
    </x:row>
    <x:row r="249" ht="15.75" customHeight="1">
      <x:c r="A249" s="3"/>
      <x:c r="B249" s="3"/>
      <x:c r="C249" s="3"/>
      <x:c r="D249" s="3"/>
      <x:c r="E249" s="3"/>
      <x:c r="F249" s="3"/>
      <x:c r="G249" s="3"/>
      <x:c r="H249" s="3"/>
      <x:c r="I249" s="3"/>
      <x:c r="J249" s="3"/>
      <x:c r="K249" s="3"/>
      <x:c r="L249" s="3"/>
      <x:c r="M249" s="3"/>
      <x:c r="N249" s="3"/>
      <x:c r="O249" s="3"/>
      <x:c r="P249" s="3"/>
      <x:c r="Q249" s="3"/>
    </x:row>
    <x:row r="250" ht="15.75" customHeight="1">
      <x:c r="A250" s="3"/>
      <x:c r="B250" s="3"/>
      <x:c r="C250" s="3"/>
      <x:c r="D250" s="3"/>
      <x:c r="E250" s="3"/>
      <x:c r="F250" s="3"/>
      <x:c r="G250" s="3"/>
      <x:c r="H250" s="3"/>
      <x:c r="I250" s="3"/>
      <x:c r="J250" s="3"/>
      <x:c r="K250" s="3"/>
      <x:c r="L250" s="3"/>
      <x:c r="M250" s="3"/>
      <x:c r="N250" s="3"/>
      <x:c r="O250" s="3"/>
      <x:c r="P250" s="3"/>
      <x:c r="Q250" s="3"/>
    </x:row>
    <x:row r="251" ht="15.75" customHeight="1">
      <x:c r="A251" s="3"/>
      <x:c r="B251" s="3"/>
      <x:c r="C251" s="3"/>
      <x:c r="D251" s="3"/>
      <x:c r="E251" s="3"/>
      <x:c r="F251" s="3"/>
      <x:c r="G251" s="3"/>
      <x:c r="H251" s="3"/>
      <x:c r="I251" s="3"/>
      <x:c r="J251" s="3"/>
      <x:c r="K251" s="3"/>
      <x:c r="L251" s="3"/>
      <x:c r="M251" s="3"/>
      <x:c r="N251" s="3"/>
      <x:c r="O251" s="3"/>
      <x:c r="P251" s="3"/>
      <x:c r="Q251" s="3"/>
    </x:row>
    <x:row r="252" ht="15.75" customHeight="1">
      <x:c r="A252" s="3"/>
      <x:c r="B252" s="3"/>
      <x:c r="C252" s="3"/>
      <x:c r="D252" s="3"/>
      <x:c r="E252" s="3"/>
      <x:c r="F252" s="3"/>
      <x:c r="G252" s="3"/>
      <x:c r="H252" s="3"/>
      <x:c r="I252" s="3"/>
      <x:c r="J252" s="3"/>
      <x:c r="K252" s="3"/>
      <x:c r="L252" s="3"/>
      <x:c r="M252" s="3"/>
      <x:c r="N252" s="3"/>
      <x:c r="O252" s="3"/>
      <x:c r="P252" s="3"/>
      <x:c r="Q252" s="3"/>
    </x:row>
    <x:row r="253" ht="15.75" customHeight="1">
      <x:c r="A253" s="3"/>
      <x:c r="B253" s="3"/>
      <x:c r="C253" s="3"/>
      <x:c r="D253" s="3"/>
      <x:c r="E253" s="3"/>
      <x:c r="F253" s="3"/>
      <x:c r="G253" s="3"/>
      <x:c r="H253" s="3"/>
      <x:c r="I253" s="3"/>
      <x:c r="J253" s="3"/>
      <x:c r="K253" s="3"/>
      <x:c r="L253" s="3"/>
      <x:c r="M253" s="3"/>
      <x:c r="N253" s="3"/>
      <x:c r="O253" s="3"/>
      <x:c r="P253" s="3"/>
      <x:c r="Q253" s="3"/>
    </x:row>
    <x:row r="254" ht="15.75" customHeight="1">
      <x:c r="A254" s="3"/>
      <x:c r="B254" s="3"/>
      <x:c r="C254" s="3"/>
      <x:c r="D254" s="3"/>
      <x:c r="E254" s="3"/>
      <x:c r="F254" s="3"/>
      <x:c r="G254" s="3"/>
      <x:c r="H254" s="3"/>
      <x:c r="I254" s="3"/>
      <x:c r="J254" s="3"/>
      <x:c r="K254" s="3"/>
      <x:c r="L254" s="3"/>
      <x:c r="M254" s="3"/>
      <x:c r="N254" s="3"/>
      <x:c r="O254" s="3"/>
      <x:c r="P254" s="3"/>
      <x:c r="Q254" s="3"/>
    </x:row>
    <x:row r="255" ht="15.75" customHeight="1">
      <x:c r="A255" s="3"/>
      <x:c r="B255" s="3"/>
      <x:c r="C255" s="3"/>
      <x:c r="D255" s="3"/>
      <x:c r="E255" s="3"/>
      <x:c r="F255" s="3"/>
      <x:c r="G255" s="3"/>
      <x:c r="H255" s="3"/>
      <x:c r="I255" s="3"/>
      <x:c r="J255" s="3"/>
      <x:c r="K255" s="3"/>
      <x:c r="L255" s="3"/>
      <x:c r="M255" s="3"/>
      <x:c r="N255" s="3"/>
      <x:c r="O255" s="3"/>
      <x:c r="P255" s="3"/>
      <x:c r="Q255" s="3"/>
    </x:row>
    <x:row r="256" ht="15.75" customHeight="1">
      <x:c r="A256" s="3"/>
      <x:c r="B256" s="3"/>
      <x:c r="C256" s="3"/>
      <x:c r="D256" s="3"/>
      <x:c r="E256" s="3"/>
      <x:c r="F256" s="3"/>
      <x:c r="G256" s="3"/>
      <x:c r="H256" s="3"/>
      <x:c r="I256" s="3"/>
      <x:c r="J256" s="3"/>
      <x:c r="K256" s="3"/>
      <x:c r="L256" s="3"/>
      <x:c r="M256" s="3"/>
      <x:c r="N256" s="3"/>
      <x:c r="O256" s="3"/>
      <x:c r="P256" s="3"/>
      <x:c r="Q256" s="3"/>
    </x:row>
    <x:row r="257" ht="15.75" customHeight="1">
      <x:c r="A257" s="3"/>
      <x:c r="B257" s="3"/>
      <x:c r="C257" s="3"/>
      <x:c r="D257" s="3"/>
      <x:c r="E257" s="3"/>
      <x:c r="F257" s="3"/>
      <x:c r="G257" s="3"/>
      <x:c r="H257" s="3"/>
      <x:c r="I257" s="3"/>
      <x:c r="J257" s="3"/>
      <x:c r="K257" s="3"/>
      <x:c r="L257" s="3"/>
      <x:c r="M257" s="3"/>
      <x:c r="N257" s="3"/>
      <x:c r="O257" s="3"/>
      <x:c r="P257" s="3"/>
      <x:c r="Q257" s="3"/>
    </x:row>
    <x:row r="258" ht="15.75" customHeight="1">
      <x:c r="A258" s="3"/>
      <x:c r="B258" s="3"/>
      <x:c r="C258" s="3"/>
      <x:c r="D258" s="3"/>
      <x:c r="E258" s="3"/>
      <x:c r="F258" s="3"/>
      <x:c r="G258" s="3"/>
      <x:c r="H258" s="3"/>
      <x:c r="I258" s="3"/>
      <x:c r="J258" s="3"/>
      <x:c r="K258" s="3"/>
      <x:c r="L258" s="3"/>
      <x:c r="M258" s="3"/>
      <x:c r="N258" s="3"/>
      <x:c r="O258" s="3"/>
      <x:c r="P258" s="3"/>
      <x:c r="Q258" s="3"/>
    </x:row>
    <x:row r="259" ht="15.75" customHeight="1">
      <x:c r="A259" s="3"/>
      <x:c r="B259" s="3"/>
      <x:c r="C259" s="3"/>
      <x:c r="D259" s="3"/>
      <x:c r="E259" s="3"/>
      <x:c r="F259" s="3"/>
      <x:c r="G259" s="3"/>
      <x:c r="H259" s="3"/>
      <x:c r="I259" s="3"/>
      <x:c r="J259" s="3"/>
      <x:c r="K259" s="3"/>
      <x:c r="L259" s="3"/>
      <x:c r="M259" s="3"/>
      <x:c r="N259" s="3"/>
      <x:c r="O259" s="3"/>
      <x:c r="P259" s="3"/>
      <x:c r="Q259" s="3"/>
    </x:row>
    <x:row r="260" ht="15.75" customHeight="1">
      <x:c r="A260" s="3"/>
      <x:c r="B260" s="3"/>
      <x:c r="C260" s="3"/>
      <x:c r="D260" s="3"/>
      <x:c r="E260" s="3"/>
      <x:c r="F260" s="3"/>
      <x:c r="G260" s="3"/>
      <x:c r="H260" s="3"/>
      <x:c r="I260" s="3"/>
      <x:c r="J260" s="3"/>
      <x:c r="K260" s="3"/>
      <x:c r="L260" s="3"/>
      <x:c r="M260" s="3"/>
      <x:c r="N260" s="3"/>
      <x:c r="O260" s="3"/>
      <x:c r="P260" s="3"/>
      <x:c r="Q260" s="3"/>
    </x:row>
    <x:row r="261" ht="15.75" customHeight="1">
      <x:c r="A261" s="3"/>
      <x:c r="B261" s="3"/>
      <x:c r="C261" s="3"/>
      <x:c r="D261" s="3"/>
      <x:c r="E261" s="3"/>
      <x:c r="F261" s="3"/>
      <x:c r="G261" s="3"/>
      <x:c r="H261" s="3"/>
      <x:c r="I261" s="3"/>
      <x:c r="J261" s="3"/>
      <x:c r="K261" s="3"/>
      <x:c r="L261" s="3"/>
      <x:c r="M261" s="3"/>
      <x:c r="N261" s="3"/>
      <x:c r="O261" s="3"/>
      <x:c r="P261" s="3"/>
      <x:c r="Q261" s="3"/>
    </x:row>
    <x:row r="262" ht="15.75" customHeight="1">
      <x:c r="A262" s="3"/>
      <x:c r="B262" s="3"/>
      <x:c r="C262" s="3"/>
      <x:c r="D262" s="3"/>
      <x:c r="E262" s="3"/>
      <x:c r="F262" s="3"/>
      <x:c r="G262" s="3"/>
      <x:c r="H262" s="3"/>
      <x:c r="I262" s="3"/>
      <x:c r="J262" s="3"/>
      <x:c r="K262" s="3"/>
      <x:c r="L262" s="3"/>
      <x:c r="M262" s="3"/>
      <x:c r="N262" s="3"/>
      <x:c r="O262" s="3"/>
      <x:c r="P262" s="3"/>
      <x:c r="Q262" s="3"/>
    </x:row>
    <x:row r="263" ht="15.75" customHeight="1">
      <x:c r="A263" s="3"/>
      <x:c r="B263" s="3"/>
      <x:c r="C263" s="3"/>
      <x:c r="D263" s="3"/>
      <x:c r="E263" s="3"/>
      <x:c r="F263" s="3"/>
      <x:c r="G263" s="3"/>
      <x:c r="H263" s="3"/>
      <x:c r="I263" s="3"/>
      <x:c r="J263" s="3"/>
      <x:c r="K263" s="3"/>
      <x:c r="L263" s="3"/>
      <x:c r="M263" s="3"/>
      <x:c r="N263" s="3"/>
      <x:c r="O263" s="3"/>
      <x:c r="P263" s="3"/>
      <x:c r="Q263" s="3"/>
    </x:row>
    <x:row r="264" ht="15.75" customHeight="1">
      <x:c r="A264" s="3"/>
      <x:c r="B264" s="3"/>
      <x:c r="C264" s="3"/>
      <x:c r="D264" s="3"/>
      <x:c r="E264" s="3"/>
      <x:c r="F264" s="3"/>
      <x:c r="G264" s="3"/>
      <x:c r="H264" s="3"/>
      <x:c r="I264" s="3"/>
      <x:c r="J264" s="3"/>
      <x:c r="K264" s="3"/>
      <x:c r="L264" s="3"/>
      <x:c r="M264" s="3"/>
      <x:c r="N264" s="3"/>
      <x:c r="O264" s="3"/>
      <x:c r="P264" s="3"/>
      <x:c r="Q264" s="3"/>
    </x:row>
    <x:row r="265" ht="15.75" customHeight="1">
      <x:c r="A265" s="3"/>
      <x:c r="B265" s="3"/>
      <x:c r="C265" s="3"/>
      <x:c r="D265" s="3"/>
      <x:c r="E265" s="3"/>
      <x:c r="F265" s="3"/>
      <x:c r="G265" s="3"/>
      <x:c r="H265" s="3"/>
      <x:c r="I265" s="3"/>
      <x:c r="J265" s="3"/>
      <x:c r="K265" s="3"/>
      <x:c r="L265" s="3"/>
      <x:c r="M265" s="3"/>
      <x:c r="N265" s="3"/>
      <x:c r="O265" s="3"/>
      <x:c r="P265" s="3"/>
      <x:c r="Q265" s="3"/>
    </x:row>
    <x:row r="266" ht="15.75" customHeight="1">
      <x:c r="A266" s="3"/>
      <x:c r="B266" s="3"/>
      <x:c r="C266" s="3"/>
      <x:c r="D266" s="3"/>
      <x:c r="E266" s="3"/>
      <x:c r="F266" s="3"/>
      <x:c r="G266" s="3"/>
      <x:c r="H266" s="3"/>
      <x:c r="I266" s="3"/>
      <x:c r="J266" s="3"/>
      <x:c r="K266" s="3"/>
      <x:c r="L266" s="3"/>
      <x:c r="M266" s="3"/>
      <x:c r="N266" s="3"/>
      <x:c r="O266" s="3"/>
      <x:c r="P266" s="3"/>
      <x:c r="Q266" s="3"/>
    </x:row>
    <x:row r="267" ht="15.75" customHeight="1">
      <x:c r="A267" s="3"/>
      <x:c r="B267" s="3"/>
      <x:c r="C267" s="3"/>
      <x:c r="D267" s="3"/>
      <x:c r="E267" s="3"/>
      <x:c r="F267" s="3"/>
      <x:c r="G267" s="3"/>
      <x:c r="H267" s="3"/>
      <x:c r="I267" s="3"/>
      <x:c r="J267" s="3"/>
      <x:c r="K267" s="3"/>
      <x:c r="L267" s="3"/>
      <x:c r="M267" s="3"/>
      <x:c r="N267" s="3"/>
      <x:c r="O267" s="3"/>
      <x:c r="P267" s="3"/>
      <x:c r="Q267" s="3"/>
    </x:row>
    <x:row r="268" ht="15.75" customHeight="1">
      <x:c r="A268" s="3"/>
      <x:c r="B268" s="3"/>
      <x:c r="C268" s="3"/>
      <x:c r="D268" s="3"/>
      <x:c r="E268" s="3"/>
      <x:c r="F268" s="3"/>
      <x:c r="G268" s="3"/>
      <x:c r="H268" s="3"/>
      <x:c r="I268" s="3"/>
      <x:c r="J268" s="3"/>
      <x:c r="K268" s="3"/>
      <x:c r="L268" s="3"/>
      <x:c r="M268" s="3"/>
      <x:c r="N268" s="3"/>
      <x:c r="O268" s="3"/>
      <x:c r="P268" s="3"/>
      <x:c r="Q268" s="3"/>
    </x:row>
    <x:row r="269" ht="15.75" customHeight="1">
      <x:c r="A269" s="3"/>
      <x:c r="B269" s="3"/>
      <x:c r="C269" s="3"/>
      <x:c r="D269" s="3"/>
      <x:c r="E269" s="3"/>
      <x:c r="F269" s="3"/>
      <x:c r="G269" s="3"/>
      <x:c r="H269" s="3"/>
      <x:c r="I269" s="3"/>
      <x:c r="J269" s="3"/>
      <x:c r="K269" s="3"/>
      <x:c r="L269" s="3"/>
      <x:c r="M269" s="3"/>
      <x:c r="N269" s="3"/>
      <x:c r="O269" s="3"/>
      <x:c r="P269" s="3"/>
      <x:c r="Q269" s="3"/>
    </x:row>
    <x:row r="270" ht="15.75" customHeight="1">
      <x:c r="A270" s="3"/>
      <x:c r="B270" s="3"/>
      <x:c r="C270" s="3"/>
      <x:c r="D270" s="3"/>
      <x:c r="E270" s="3"/>
      <x:c r="F270" s="3"/>
      <x:c r="G270" s="3"/>
      <x:c r="H270" s="3"/>
      <x:c r="I270" s="3"/>
      <x:c r="J270" s="3"/>
      <x:c r="K270" s="3"/>
      <x:c r="L270" s="3"/>
      <x:c r="M270" s="3"/>
      <x:c r="N270" s="3"/>
      <x:c r="O270" s="3"/>
      <x:c r="P270" s="3"/>
      <x:c r="Q270" s="3"/>
    </x:row>
    <x:row r="271" ht="15.75" customHeight="1">
      <x:c r="A271" s="3"/>
      <x:c r="B271" s="3"/>
      <x:c r="C271" s="3"/>
      <x:c r="D271" s="3"/>
      <x:c r="E271" s="3"/>
      <x:c r="F271" s="3"/>
      <x:c r="G271" s="3"/>
      <x:c r="H271" s="3"/>
      <x:c r="I271" s="3"/>
      <x:c r="J271" s="3"/>
      <x:c r="K271" s="3"/>
      <x:c r="L271" s="3"/>
      <x:c r="M271" s="3"/>
      <x:c r="N271" s="3"/>
      <x:c r="O271" s="3"/>
      <x:c r="P271" s="3"/>
      <x:c r="Q271" s="3"/>
    </x:row>
    <x:row r="272" ht="15.75" customHeight="1">
      <x:c r="A272" s="3"/>
      <x:c r="B272" s="3"/>
      <x:c r="C272" s="3"/>
      <x:c r="D272" s="3"/>
      <x:c r="E272" s="3"/>
      <x:c r="F272" s="3"/>
      <x:c r="G272" s="3"/>
      <x:c r="H272" s="3"/>
      <x:c r="I272" s="3"/>
      <x:c r="J272" s="3"/>
      <x:c r="K272" s="3"/>
      <x:c r="L272" s="3"/>
      <x:c r="M272" s="3"/>
      <x:c r="N272" s="3"/>
      <x:c r="O272" s="3"/>
      <x:c r="P272" s="3"/>
      <x:c r="Q272" s="3"/>
    </x:row>
    <x:row r="273" ht="15.75" customHeight="1">
      <x:c r="A273" s="3"/>
      <x:c r="B273" s="3"/>
      <x:c r="C273" s="3"/>
      <x:c r="D273" s="3"/>
      <x:c r="E273" s="3"/>
      <x:c r="F273" s="3"/>
      <x:c r="G273" s="3"/>
      <x:c r="H273" s="3"/>
      <x:c r="I273" s="3"/>
      <x:c r="J273" s="3"/>
      <x:c r="K273" s="3"/>
      <x:c r="L273" s="3"/>
      <x:c r="M273" s="3"/>
      <x:c r="N273" s="3"/>
      <x:c r="O273" s="3"/>
      <x:c r="P273" s="3"/>
      <x:c r="Q273" s="3"/>
    </x:row>
    <x:row r="274" ht="15.75" customHeight="1">
      <x:c r="A274" s="3"/>
      <x:c r="B274" s="3"/>
      <x:c r="C274" s="3"/>
      <x:c r="D274" s="3"/>
      <x:c r="E274" s="3"/>
      <x:c r="F274" s="3"/>
      <x:c r="G274" s="3"/>
      <x:c r="H274" s="3"/>
      <x:c r="I274" s="3"/>
      <x:c r="J274" s="3"/>
      <x:c r="K274" s="3"/>
      <x:c r="L274" s="3"/>
      <x:c r="M274" s="3"/>
      <x:c r="N274" s="3"/>
      <x:c r="O274" s="3"/>
      <x:c r="P274" s="3"/>
      <x:c r="Q274" s="3"/>
    </x:row>
    <x:row r="275" ht="15.75" customHeight="1">
      <x:c r="A275" s="3"/>
      <x:c r="B275" s="3"/>
      <x:c r="C275" s="3"/>
      <x:c r="D275" s="3"/>
      <x:c r="E275" s="3"/>
      <x:c r="F275" s="3"/>
      <x:c r="G275" s="3"/>
      <x:c r="H275" s="3"/>
      <x:c r="I275" s="3"/>
      <x:c r="J275" s="3"/>
      <x:c r="K275" s="3"/>
      <x:c r="L275" s="3"/>
      <x:c r="M275" s="3"/>
      <x:c r="N275" s="3"/>
      <x:c r="O275" s="3"/>
      <x:c r="P275" s="3"/>
      <x:c r="Q275" s="3"/>
    </x:row>
    <x:row r="276" ht="15.75" customHeight="1">
      <x:c r="A276" s="3"/>
      <x:c r="B276" s="3"/>
      <x:c r="C276" s="3"/>
      <x:c r="D276" s="3"/>
      <x:c r="E276" s="3"/>
      <x:c r="F276" s="3"/>
      <x:c r="G276" s="3"/>
      <x:c r="H276" s="3"/>
      <x:c r="I276" s="3"/>
      <x:c r="J276" s="3"/>
      <x:c r="K276" s="3"/>
      <x:c r="L276" s="3"/>
      <x:c r="M276" s="3"/>
      <x:c r="N276" s="3"/>
      <x:c r="O276" s="3"/>
      <x:c r="P276" s="3"/>
      <x:c r="Q276" s="3"/>
    </x:row>
    <x:row r="277" ht="15.75" customHeight="1">
      <x:c r="A277" s="3"/>
      <x:c r="B277" s="3"/>
      <x:c r="C277" s="3"/>
      <x:c r="D277" s="3"/>
      <x:c r="E277" s="3"/>
      <x:c r="F277" s="3"/>
      <x:c r="G277" s="3"/>
      <x:c r="H277" s="3"/>
      <x:c r="I277" s="3"/>
      <x:c r="J277" s="3"/>
      <x:c r="K277" s="3"/>
      <x:c r="L277" s="3"/>
      <x:c r="M277" s="3"/>
      <x:c r="N277" s="3"/>
      <x:c r="O277" s="3"/>
      <x:c r="P277" s="3"/>
      <x:c r="Q277" s="3"/>
    </x:row>
    <x:row r="278" ht="15.75" customHeight="1">
      <x:c r="A278" s="3"/>
      <x:c r="B278" s="3"/>
      <x:c r="C278" s="3"/>
      <x:c r="D278" s="3"/>
      <x:c r="E278" s="3"/>
      <x:c r="F278" s="3"/>
      <x:c r="G278" s="3"/>
      <x:c r="H278" s="3"/>
      <x:c r="I278" s="3"/>
      <x:c r="J278" s="3"/>
      <x:c r="K278" s="3"/>
      <x:c r="L278" s="3"/>
      <x:c r="M278" s="3"/>
      <x:c r="N278" s="3"/>
      <x:c r="O278" s="3"/>
      <x:c r="P278" s="3"/>
      <x:c r="Q278" s="3"/>
    </x:row>
    <x:row r="279" ht="15.75" customHeight="1">
      <x:c r="A279" s="3"/>
      <x:c r="B279" s="3"/>
      <x:c r="C279" s="3"/>
      <x:c r="D279" s="3"/>
      <x:c r="E279" s="3"/>
      <x:c r="F279" s="3"/>
      <x:c r="G279" s="3"/>
      <x:c r="H279" s="3"/>
      <x:c r="I279" s="3"/>
      <x:c r="J279" s="3"/>
      <x:c r="K279" s="3"/>
      <x:c r="L279" s="3"/>
      <x:c r="M279" s="3"/>
      <x:c r="N279" s="3"/>
      <x:c r="O279" s="3"/>
      <x:c r="P279" s="3"/>
      <x:c r="Q279" s="3"/>
    </x:row>
    <x:row r="280" ht="15.75" customHeight="1">
      <x:c r="A280" s="3"/>
      <x:c r="B280" s="3"/>
      <x:c r="C280" s="3"/>
      <x:c r="D280" s="3"/>
      <x:c r="E280" s="3"/>
      <x:c r="F280" s="3"/>
      <x:c r="G280" s="3"/>
      <x:c r="H280" s="3"/>
      <x:c r="I280" s="3"/>
      <x:c r="J280" s="3"/>
      <x:c r="K280" s="3"/>
      <x:c r="L280" s="3"/>
      <x:c r="M280" s="3"/>
      <x:c r="N280" s="3"/>
      <x:c r="O280" s="3"/>
      <x:c r="P280" s="3"/>
      <x:c r="Q280" s="3"/>
    </x:row>
    <x:row r="281" ht="15.75" customHeight="1">
      <x:c r="A281" s="3"/>
      <x:c r="B281" s="3"/>
      <x:c r="C281" s="3"/>
      <x:c r="D281" s="3"/>
      <x:c r="E281" s="3"/>
      <x:c r="F281" s="3"/>
      <x:c r="G281" s="3"/>
      <x:c r="H281" s="3"/>
      <x:c r="I281" s="3"/>
      <x:c r="J281" s="3"/>
      <x:c r="K281" s="3"/>
      <x:c r="L281" s="3"/>
      <x:c r="M281" s="3"/>
      <x:c r="N281" s="3"/>
      <x:c r="O281" s="3"/>
      <x:c r="P281" s="3"/>
      <x:c r="Q281" s="3"/>
    </x:row>
    <x:row r="282" ht="15.75" customHeight="1">
      <x:c r="A282" s="3"/>
      <x:c r="B282" s="3"/>
      <x:c r="C282" s="3"/>
      <x:c r="D282" s="3"/>
      <x:c r="E282" s="3"/>
      <x:c r="F282" s="3"/>
      <x:c r="G282" s="3"/>
      <x:c r="H282" s="3"/>
      <x:c r="I282" s="3"/>
      <x:c r="J282" s="3"/>
      <x:c r="K282" s="3"/>
      <x:c r="L282" s="3"/>
      <x:c r="M282" s="3"/>
      <x:c r="N282" s="3"/>
      <x:c r="O282" s="3"/>
      <x:c r="P282" s="3"/>
      <x:c r="Q282" s="3"/>
    </x:row>
    <x:row r="283" ht="15.75" customHeight="1">
      <x:c r="A283" s="3"/>
      <x:c r="B283" s="3"/>
      <x:c r="C283" s="3"/>
      <x:c r="D283" s="3"/>
      <x:c r="E283" s="3"/>
      <x:c r="F283" s="3"/>
      <x:c r="G283" s="3"/>
      <x:c r="H283" s="3"/>
      <x:c r="I283" s="3"/>
      <x:c r="J283" s="3"/>
      <x:c r="K283" s="3"/>
      <x:c r="L283" s="3"/>
      <x:c r="M283" s="3"/>
      <x:c r="N283" s="3"/>
      <x:c r="O283" s="3"/>
      <x:c r="P283" s="3"/>
      <x:c r="Q283" s="3"/>
    </x:row>
    <x:row r="284" ht="15.75" customHeight="1">
      <x:c r="A284" s="3"/>
      <x:c r="B284" s="3"/>
      <x:c r="C284" s="3"/>
      <x:c r="D284" s="3"/>
      <x:c r="E284" s="3"/>
      <x:c r="F284" s="3"/>
      <x:c r="G284" s="3"/>
      <x:c r="H284" s="3"/>
      <x:c r="I284" s="3"/>
      <x:c r="J284" s="3"/>
      <x:c r="K284" s="3"/>
      <x:c r="L284" s="3"/>
      <x:c r="M284" s="3"/>
      <x:c r="N284" s="3"/>
      <x:c r="O284" s="3"/>
      <x:c r="P284" s="3"/>
      <x:c r="Q284" s="3"/>
    </x:row>
    <x:row r="285" ht="15.75" customHeight="1">
      <x:c r="A285" s="3"/>
      <x:c r="B285" s="3"/>
      <x:c r="C285" s="3"/>
      <x:c r="D285" s="3"/>
      <x:c r="E285" s="3"/>
      <x:c r="F285" s="3"/>
      <x:c r="G285" s="3"/>
      <x:c r="H285" s="3"/>
      <x:c r="I285" s="3"/>
      <x:c r="J285" s="3"/>
      <x:c r="K285" s="3"/>
      <x:c r="L285" s="3"/>
      <x:c r="M285" s="3"/>
      <x:c r="N285" s="3"/>
      <x:c r="O285" s="3"/>
      <x:c r="P285" s="3"/>
      <x:c r="Q285" s="3"/>
    </x:row>
    <x:row r="286" ht="15.75" customHeight="1">
      <x:c r="A286" s="3"/>
      <x:c r="B286" s="3"/>
      <x:c r="C286" s="3"/>
      <x:c r="D286" s="3"/>
      <x:c r="E286" s="3"/>
      <x:c r="F286" s="3"/>
      <x:c r="G286" s="3"/>
      <x:c r="H286" s="3"/>
      <x:c r="I286" s="3"/>
      <x:c r="J286" s="3"/>
      <x:c r="K286" s="3"/>
      <x:c r="L286" s="3"/>
      <x:c r="M286" s="3"/>
      <x:c r="N286" s="3"/>
      <x:c r="O286" s="3"/>
      <x:c r="P286" s="3"/>
      <x:c r="Q286" s="3"/>
    </x:row>
    <x:row r="287" ht="15.75" customHeight="1">
      <x:c r="A287" s="3"/>
      <x:c r="B287" s="3"/>
      <x:c r="C287" s="3"/>
      <x:c r="D287" s="3"/>
      <x:c r="E287" s="3"/>
      <x:c r="F287" s="3"/>
      <x:c r="G287" s="3"/>
      <x:c r="H287" s="3"/>
      <x:c r="I287" s="3"/>
      <x:c r="J287" s="3"/>
      <x:c r="K287" s="3"/>
      <x:c r="L287" s="3"/>
      <x:c r="M287" s="3"/>
      <x:c r="N287" s="3"/>
      <x:c r="O287" s="3"/>
      <x:c r="P287" s="3"/>
      <x:c r="Q287" s="3"/>
    </x:row>
    <x:row r="288" ht="15.75" customHeight="1">
      <x:c r="A288" s="3"/>
      <x:c r="B288" s="3"/>
      <x:c r="C288" s="3"/>
      <x:c r="D288" s="3"/>
      <x:c r="E288" s="3"/>
      <x:c r="F288" s="3"/>
      <x:c r="G288" s="3"/>
      <x:c r="H288" s="3"/>
      <x:c r="I288" s="3"/>
      <x:c r="J288" s="3"/>
      <x:c r="K288" s="3"/>
      <x:c r="L288" s="3"/>
      <x:c r="M288" s="3"/>
      <x:c r="N288" s="3"/>
      <x:c r="O288" s="3"/>
      <x:c r="P288" s="3"/>
      <x:c r="Q288" s="3"/>
    </x:row>
    <x:row r="289" ht="15.75" customHeight="1">
      <x:c r="A289" s="3"/>
      <x:c r="B289" s="3"/>
      <x:c r="C289" s="3"/>
      <x:c r="D289" s="3"/>
      <x:c r="E289" s="3"/>
      <x:c r="F289" s="3"/>
      <x:c r="G289" s="3"/>
      <x:c r="H289" s="3"/>
      <x:c r="I289" s="3"/>
      <x:c r="J289" s="3"/>
      <x:c r="K289" s="3"/>
      <x:c r="L289" s="3"/>
      <x:c r="M289" s="3"/>
      <x:c r="N289" s="3"/>
      <x:c r="O289" s="3"/>
      <x:c r="P289" s="3"/>
      <x:c r="Q289" s="3"/>
    </x:row>
    <x:row r="290" ht="15.75" customHeight="1">
      <x:c r="A290" s="3"/>
      <x:c r="B290" s="3"/>
      <x:c r="C290" s="3"/>
      <x:c r="D290" s="3"/>
      <x:c r="E290" s="3"/>
      <x:c r="F290" s="3"/>
      <x:c r="G290" s="3"/>
      <x:c r="H290" s="3"/>
      <x:c r="I290" s="3"/>
      <x:c r="J290" s="3"/>
      <x:c r="K290" s="3"/>
      <x:c r="L290" s="3"/>
      <x:c r="M290" s="3"/>
      <x:c r="N290" s="3"/>
      <x:c r="O290" s="3"/>
      <x:c r="P290" s="3"/>
      <x:c r="Q290" s="3"/>
    </x:row>
    <x:row r="291" ht="15.75" customHeight="1">
      <x:c r="A291" s="3"/>
      <x:c r="B291" s="3"/>
      <x:c r="C291" s="3"/>
      <x:c r="D291" s="3"/>
      <x:c r="E291" s="3"/>
      <x:c r="F291" s="3"/>
      <x:c r="G291" s="3"/>
      <x:c r="H291" s="3"/>
      <x:c r="I291" s="3"/>
      <x:c r="J291" s="3"/>
      <x:c r="K291" s="3"/>
      <x:c r="L291" s="3"/>
      <x:c r="M291" s="3"/>
      <x:c r="N291" s="3"/>
      <x:c r="O291" s="3"/>
      <x:c r="P291" s="3"/>
      <x:c r="Q291" s="3"/>
    </x:row>
    <x:row r="292" ht="15.75" customHeight="1">
      <x:c r="A292" s="3"/>
      <x:c r="B292" s="3"/>
      <x:c r="C292" s="3"/>
      <x:c r="D292" s="3"/>
      <x:c r="E292" s="3"/>
      <x:c r="F292" s="3"/>
      <x:c r="G292" s="3"/>
      <x:c r="H292" s="3"/>
      <x:c r="I292" s="3"/>
      <x:c r="J292" s="3"/>
      <x:c r="K292" s="3"/>
      <x:c r="L292" s="3"/>
      <x:c r="M292" s="3"/>
      <x:c r="N292" s="3"/>
      <x:c r="O292" s="3"/>
      <x:c r="P292" s="3"/>
      <x:c r="Q292" s="3"/>
    </x:row>
    <x:row r="293" ht="15.75" customHeight="1">
      <x:c r="A293" s="3"/>
      <x:c r="B293" s="3"/>
      <x:c r="C293" s="3"/>
      <x:c r="D293" s="3"/>
      <x:c r="E293" s="3"/>
      <x:c r="F293" s="3"/>
      <x:c r="G293" s="3"/>
      <x:c r="H293" s="3"/>
      <x:c r="I293" s="3"/>
      <x:c r="J293" s="3"/>
      <x:c r="K293" s="3"/>
      <x:c r="L293" s="3"/>
      <x:c r="M293" s="3"/>
      <x:c r="N293" s="3"/>
      <x:c r="O293" s="3"/>
      <x:c r="P293" s="3"/>
      <x:c r="Q293" s="3"/>
    </x:row>
    <x:row r="294" ht="15.75" customHeight="1">
      <x:c r="A294" s="3"/>
      <x:c r="B294" s="3"/>
      <x:c r="C294" s="3"/>
      <x:c r="D294" s="3"/>
      <x:c r="E294" s="3"/>
      <x:c r="F294" s="3"/>
      <x:c r="G294" s="3"/>
      <x:c r="H294" s="3"/>
      <x:c r="I294" s="3"/>
      <x:c r="J294" s="3"/>
      <x:c r="K294" s="3"/>
      <x:c r="L294" s="3"/>
      <x:c r="M294" s="3"/>
      <x:c r="N294" s="3"/>
      <x:c r="O294" s="3"/>
      <x:c r="P294" s="3"/>
      <x:c r="Q294" s="3"/>
    </x:row>
    <x:row r="295" ht="15.75" customHeight="1">
      <x:c r="A295" s="3"/>
      <x:c r="B295" s="3"/>
      <x:c r="C295" s="3"/>
      <x:c r="D295" s="3"/>
      <x:c r="E295" s="3"/>
      <x:c r="F295" s="3"/>
      <x:c r="G295" s="3"/>
      <x:c r="H295" s="3"/>
      <x:c r="I295" s="3"/>
      <x:c r="J295" s="3"/>
      <x:c r="K295" s="3"/>
      <x:c r="L295" s="3"/>
      <x:c r="M295" s="3"/>
      <x:c r="N295" s="3"/>
      <x:c r="O295" s="3"/>
      <x:c r="P295" s="3"/>
      <x:c r="Q295" s="3"/>
    </x:row>
    <x:row r="296" ht="15.75" customHeight="1">
      <x:c r="A296" s="3"/>
      <x:c r="B296" s="3"/>
      <x:c r="C296" s="3"/>
      <x:c r="D296" s="3"/>
      <x:c r="E296" s="3"/>
      <x:c r="F296" s="3"/>
      <x:c r="G296" s="3"/>
      <x:c r="H296" s="3"/>
      <x:c r="I296" s="3"/>
      <x:c r="J296" s="3"/>
      <x:c r="K296" s="3"/>
      <x:c r="L296" s="3"/>
      <x:c r="M296" s="3"/>
      <x:c r="N296" s="3"/>
      <x:c r="O296" s="3"/>
      <x:c r="P296" s="3"/>
      <x:c r="Q296" s="3"/>
    </x:row>
    <x:row r="297" ht="15.75" customHeight="1">
      <x:c r="A297" s="3"/>
      <x:c r="B297" s="3"/>
      <x:c r="C297" s="3"/>
      <x:c r="D297" s="3"/>
      <x:c r="E297" s="3"/>
      <x:c r="F297" s="3"/>
      <x:c r="G297" s="3"/>
      <x:c r="H297" s="3"/>
      <x:c r="I297" s="3"/>
      <x:c r="J297" s="3"/>
      <x:c r="K297" s="3"/>
      <x:c r="L297" s="3"/>
      <x:c r="M297" s="3"/>
      <x:c r="N297" s="3"/>
      <x:c r="O297" s="3"/>
      <x:c r="P297" s="3"/>
      <x:c r="Q297" s="3"/>
    </x:row>
    <x:row r="298" ht="15.75" customHeight="1">
      <x:c r="A298" s="3"/>
      <x:c r="B298" s="3"/>
      <x:c r="C298" s="3"/>
      <x:c r="D298" s="3"/>
      <x:c r="E298" s="3"/>
      <x:c r="F298" s="3"/>
      <x:c r="G298" s="3"/>
      <x:c r="H298" s="3"/>
      <x:c r="I298" s="3"/>
      <x:c r="J298" s="3"/>
      <x:c r="K298" s="3"/>
      <x:c r="L298" s="3"/>
      <x:c r="M298" s="3"/>
      <x:c r="N298" s="3"/>
      <x:c r="O298" s="3"/>
      <x:c r="P298" s="3"/>
      <x:c r="Q298" s="3"/>
    </x:row>
    <x:row r="299" ht="15.75" customHeight="1">
      <x:c r="A299" s="3"/>
      <x:c r="B299" s="3"/>
      <x:c r="C299" s="3"/>
      <x:c r="D299" s="3"/>
      <x:c r="E299" s="3"/>
      <x:c r="F299" s="3"/>
      <x:c r="G299" s="3"/>
      <x:c r="H299" s="3"/>
      <x:c r="I299" s="3"/>
      <x:c r="J299" s="3"/>
      <x:c r="K299" s="3"/>
      <x:c r="L299" s="3"/>
      <x:c r="M299" s="3"/>
      <x:c r="N299" s="3"/>
      <x:c r="O299" s="3"/>
      <x:c r="P299" s="3"/>
      <x:c r="Q299" s="3"/>
    </x:row>
    <x:row r="300" ht="15.75" customHeight="1">
      <x:c r="A300" s="3"/>
      <x:c r="B300" s="3"/>
      <x:c r="C300" s="3"/>
      <x:c r="D300" s="3"/>
      <x:c r="E300" s="3"/>
      <x:c r="F300" s="3"/>
      <x:c r="G300" s="3"/>
      <x:c r="H300" s="3"/>
      <x:c r="I300" s="3"/>
      <x:c r="J300" s="3"/>
      <x:c r="K300" s="3"/>
      <x:c r="L300" s="3"/>
      <x:c r="M300" s="3"/>
      <x:c r="N300" s="3"/>
      <x:c r="O300" s="3"/>
      <x:c r="P300" s="3"/>
      <x:c r="Q300" s="3"/>
    </x:row>
    <x:row r="301" ht="15.75" customHeight="1">
      <x:c r="A301" s="3"/>
      <x:c r="B301" s="3"/>
      <x:c r="C301" s="3"/>
      <x:c r="D301" s="3"/>
      <x:c r="E301" s="3"/>
      <x:c r="F301" s="3"/>
      <x:c r="G301" s="3"/>
      <x:c r="H301" s="3"/>
      <x:c r="I301" s="3"/>
      <x:c r="J301" s="3"/>
      <x:c r="K301" s="3"/>
      <x:c r="L301" s="3"/>
      <x:c r="M301" s="3"/>
      <x:c r="N301" s="3"/>
      <x:c r="O301" s="3"/>
      <x:c r="P301" s="3"/>
      <x:c r="Q301" s="3"/>
    </x:row>
    <x:row r="302" ht="15.75" customHeight="1">
      <x:c r="A302" s="3"/>
      <x:c r="B302" s="3"/>
      <x:c r="C302" s="3"/>
      <x:c r="D302" s="3"/>
      <x:c r="E302" s="3"/>
      <x:c r="F302" s="3"/>
      <x:c r="G302" s="3"/>
      <x:c r="H302" s="3"/>
      <x:c r="I302" s="3"/>
      <x:c r="J302" s="3"/>
      <x:c r="K302" s="3"/>
      <x:c r="L302" s="3"/>
      <x:c r="M302" s="3"/>
      <x:c r="N302" s="3"/>
      <x:c r="O302" s="3"/>
      <x:c r="P302" s="3"/>
      <x:c r="Q302" s="3"/>
    </x:row>
    <x:row r="303" ht="15.75" customHeight="1">
      <x:c r="A303" s="3"/>
      <x:c r="B303" s="3"/>
      <x:c r="C303" s="3"/>
      <x:c r="D303" s="3"/>
      <x:c r="E303" s="3"/>
      <x:c r="F303" s="3"/>
      <x:c r="G303" s="3"/>
      <x:c r="H303" s="3"/>
      <x:c r="I303" s="3"/>
      <x:c r="J303" s="3"/>
      <x:c r="K303" s="3"/>
      <x:c r="L303" s="3"/>
      <x:c r="M303" s="3"/>
      <x:c r="N303" s="3"/>
      <x:c r="O303" s="3"/>
      <x:c r="P303" s="3"/>
      <x:c r="Q303" s="3"/>
    </x:row>
    <x:row r="304" ht="15.75" customHeight="1">
      <x:c r="A304" s="3"/>
      <x:c r="B304" s="3"/>
      <x:c r="C304" s="3"/>
      <x:c r="D304" s="3"/>
      <x:c r="E304" s="3"/>
      <x:c r="F304" s="3"/>
      <x:c r="G304" s="3"/>
      <x:c r="H304" s="3"/>
      <x:c r="I304" s="3"/>
      <x:c r="J304" s="3"/>
      <x:c r="K304" s="3"/>
      <x:c r="L304" s="3"/>
      <x:c r="M304" s="3"/>
      <x:c r="N304" s="3"/>
      <x:c r="O304" s="3"/>
      <x:c r="P304" s="3"/>
      <x:c r="Q304" s="3"/>
    </x:row>
    <x:row r="305" ht="15.75" customHeight="1">
      <x:c r="A305" s="3"/>
      <x:c r="B305" s="3"/>
      <x:c r="C305" s="3"/>
      <x:c r="D305" s="3"/>
      <x:c r="E305" s="3"/>
      <x:c r="F305" s="3"/>
      <x:c r="G305" s="3"/>
      <x:c r="H305" s="3"/>
      <x:c r="I305" s="3"/>
      <x:c r="J305" s="3"/>
      <x:c r="K305" s="3"/>
      <x:c r="L305" s="3"/>
      <x:c r="M305" s="3"/>
      <x:c r="N305" s="3"/>
      <x:c r="O305" s="3"/>
      <x:c r="P305" s="3"/>
      <x:c r="Q305" s="3"/>
    </x:row>
    <x:row r="306" ht="15.75" customHeight="1">
      <x:c r="A306" s="3"/>
      <x:c r="B306" s="3"/>
      <x:c r="C306" s="3"/>
      <x:c r="D306" s="3"/>
      <x:c r="E306" s="3"/>
      <x:c r="F306" s="3"/>
      <x:c r="G306" s="3"/>
      <x:c r="H306" s="3"/>
      <x:c r="I306" s="3"/>
      <x:c r="J306" s="3"/>
      <x:c r="K306" s="3"/>
      <x:c r="L306" s="3"/>
      <x:c r="M306" s="3"/>
      <x:c r="N306" s="3"/>
      <x:c r="O306" s="3"/>
      <x:c r="P306" s="3"/>
      <x:c r="Q306" s="3"/>
    </x:row>
    <x:row r="307" ht="15.75" customHeight="1">
      <x:c r="A307" s="3"/>
      <x:c r="B307" s="3"/>
      <x:c r="C307" s="3"/>
      <x:c r="D307" s="3"/>
      <x:c r="E307" s="3"/>
      <x:c r="F307" s="3"/>
      <x:c r="G307" s="3"/>
      <x:c r="H307" s="3"/>
      <x:c r="I307" s="3"/>
      <x:c r="J307" s="3"/>
      <x:c r="K307" s="3"/>
      <x:c r="L307" s="3"/>
      <x:c r="M307" s="3"/>
      <x:c r="N307" s="3"/>
      <x:c r="O307" s="3"/>
      <x:c r="P307" s="3"/>
      <x:c r="Q307" s="3"/>
    </x:row>
    <x:row r="308" ht="15.75" customHeight="1">
      <x:c r="A308" s="3"/>
      <x:c r="B308" s="3"/>
      <x:c r="C308" s="3"/>
      <x:c r="D308" s="3"/>
      <x:c r="E308" s="3"/>
      <x:c r="F308" s="3"/>
      <x:c r="G308" s="3"/>
      <x:c r="H308" s="3"/>
      <x:c r="I308" s="3"/>
      <x:c r="J308" s="3"/>
      <x:c r="K308" s="3"/>
      <x:c r="L308" s="3"/>
      <x:c r="M308" s="3"/>
      <x:c r="N308" s="3"/>
      <x:c r="O308" s="3"/>
      <x:c r="P308" s="3"/>
      <x:c r="Q308" s="3"/>
    </x:row>
    <x:row r="309" ht="15.75" customHeight="1">
      <x:c r="A309" s="3"/>
      <x:c r="B309" s="3"/>
      <x:c r="C309" s="3"/>
      <x:c r="D309" s="3"/>
      <x:c r="E309" s="3"/>
      <x:c r="F309" s="3"/>
      <x:c r="G309" s="3"/>
      <x:c r="H309" s="3"/>
      <x:c r="I309" s="3"/>
      <x:c r="J309" s="3"/>
      <x:c r="K309" s="3"/>
      <x:c r="L309" s="3"/>
      <x:c r="M309" s="3"/>
      <x:c r="N309" s="3"/>
      <x:c r="O309" s="3"/>
      <x:c r="P309" s="3"/>
      <x:c r="Q309" s="3"/>
    </x:row>
    <x:row r="310" ht="15.75" customHeight="1">
      <x:c r="A310" s="3"/>
      <x:c r="B310" s="3"/>
      <x:c r="C310" s="3"/>
      <x:c r="D310" s="3"/>
      <x:c r="E310" s="3"/>
      <x:c r="F310" s="3"/>
      <x:c r="G310" s="3"/>
      <x:c r="H310" s="3"/>
      <x:c r="I310" s="3"/>
      <x:c r="J310" s="3"/>
      <x:c r="K310" s="3"/>
      <x:c r="L310" s="3"/>
      <x:c r="M310" s="3"/>
      <x:c r="N310" s="3"/>
      <x:c r="O310" s="3"/>
      <x:c r="P310" s="3"/>
      <x:c r="Q310" s="3"/>
    </x:row>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sheetData>
  <x:mergeCells>
    <x:mergeCell ref="A1:Q1"/>
    <x:mergeCell ref="A2:Q2"/>
  </x:mergeCells>
  <x:conditionalFormatting sqref="A6:Q110">
    <x:cfRule type="expression" dxfId="0" priority="1">
      <x:formula>$M6="SOLAPAMIENTO: otro pilar"</x:formula>
    </x:cfRule>
  </x:conditionalFormatting>
  <x:conditionalFormatting sqref="A6:Q110">
    <x:cfRule type="expression" dxfId="3" priority="2">
      <x:formula>$M6="Duplicada en el mismo pilar"</x:formula>
    </x:cfRule>
  </x:conditionalFormatting>
  <x:conditionalFormatting sqref="A6:Q110">
    <x:cfRule type="expression" dxfId="1" priority="3">
      <x:formula>$O6="Citada en el informe"</x:formula>
    </x:cfRule>
  </x:conditionalFormatting>
  <x:conditionalFormatting sqref="J6:J110">
    <x:cfRule type="expression" dxfId="4" priority="4">
      <x:formula>$J6="Academica"</x:formula>
    </x:cfRule>
  </x:conditionalFormatting>
  <x:dataValidations count="8">
    <x:dataValidation type="list" allowBlank="1" sqref="K6:K110">
      <x:formula1>"P1,P2,P3,Transversal,Sin asignar"</x:formula1>
    </x:dataValidation>
    <x:dataValidation type="list" allowBlank="1" sqref="N6:N110">
      <x:formula1>"Jose Villamayor,Danilo Alvarez,Matias Romero,Cristofer Contreras"</x:formula1>
    </x:dataValidation>
    <x:dataValidation type="list" allowBlank="1" sqref="O6:O110">
      <x:formula1>"Por leer,En lectura,Verificada para matriz,Leido,Citada en el informe,Descartada"</x:formula1>
    </x:dataValidation>
    <x:dataValidation type="list" allowBlank="1" sqref="B6:B110">
      <x:formula1>"Web of Science,Scopus,IEEE Xplore,ACM DL,ScienceDirect,SpringerLink,Google Scholar,Sitio del proveedor,Sitio oficial,Biblioteca PUCV,Informe de industria,Otro"</x:formula1>
    </x:dataValidation>
    <x:dataValidation type="list" allowBlank="1" sqref="L6:L110">
      <x:formula1>"1. Portada y resumen,2. Introduccion y contexto,3. Marco teorico,4. Analisis comparativo,5. Caso practico,6. Tendencias,7. Conclusiones,Sin definir"</x:formula1>
    </x:dataValidation>
    <x:dataValidation type="list" allowBlank="1" sqref="J6:J110">
      <x:formula1>"Academica,Oficial/estandar,Informe de industria,Tecnica de terceros,Comercial/proveedor,Descartada"</x:formula1>
    </x:dataValidation>
    <x:dataValidation type="decimal" allowBlank="1" sqref="D6:D110">
      <x:formula1>1990.0</x:formula1>
      <x:formula2>2026.0</x:formula2>
    </x:dataValidation>
    <x:dataValidation type="list" allowBlank="1" sqref="Q6:Q110">
      <x:formula1>"Si,No"</x:formula1>
    </x:dataValidation>
  </x:dataValidations>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1" width="30" customWidth="1"/>
    <x:col min="2" max="4" width="14" customWidth="1"/>
    <x:col min="5" max="5" width="16" customWidth="1"/>
    <x:col min="6" max="6" width="52" customWidth="1"/>
  </x:cols>
  <x:sheetData>
    <x:row r="1" ht="17.25" customHeight="1">
      <x:c r="A1" s="1" t="s">
        <x:v>350</x:v>
      </x:c>
    </x:row>
    <x:row r="2" ht="15" customHeight="1">
      <x:c r="A2" s="2" t="s">
        <x:v>351</x:v>
      </x:c>
    </x:row>
    <x:row r="3">
      <x:c r="A3" s="3"/>
      <x:c r="B3" s="3"/>
      <x:c r="C3" s="3"/>
      <x:c r="D3" s="3"/>
      <x:c r="E3" s="3"/>
      <x:c r="F3" s="3"/>
    </x:row>
    <x:row r="4" ht="15" customHeight="1">
      <x:c r="A4" s="6" t="s">
        <x:v>352</x:v>
      </x:c>
      <x:c r="B4" s="7"/>
      <x:c r="C4" s="8"/>
      <x:c r="D4" s="8"/>
      <x:c r="E4" s="7"/>
      <x:c r="F4" s="8"/>
    </x:row>
    <x:row r="5" ht="15" customHeight="1">
      <x:c r="A5" s="11" t="s">
        <x:v>353</x:v>
      </x:c>
      <x:c r="B5" s="11" t="s">
        <x:v>354</x:v>
      </x:c>
      <x:c r="C5" s="12" t="s">
        <x:v>355</x:v>
      </x:c>
      <x:c r="D5" s="12" t="s">
        <x:v>356</x:v>
      </x:c>
      <x:c r="E5" s="11" t="s">
        <x:v>357</x:v>
      </x:c>
      <x:c r="F5" s="12" t="s">
        <x:v>358</x:v>
      </x:c>
    </x:row>
    <x:row r="6" ht="15" customHeight="1">
      <x:c r="A6" s="17" t="s">
        <x:v>5</x:v>
      </x:c>
      <x:c r="B6" s="21" t="n">
        <x:f>COUNTIFS('Matriz de Fuentes'!$K$6:$K$110,$A6,'Matriz de Fuentes'!$J$6:$J$110,"Academica")</x:f>
        <x:v>3</x:v>
      </x:c>
      <x:c r="C6" s="23" t="n">
        <x:f>COUNTIFS('Matriz de Fuentes'!$K$6:$K$110,$A6,'Matriz de Fuentes'!$J$6:$J$110,"&lt;&gt;Academica",'Matriz de Fuentes'!$J$6:$J$110,"&lt;&gt;")</x:f>
        <x:v>8</x:v>
      </x:c>
      <x:c r="D6" s="23" t="n">
        <x:f t="shared" ref="D6:D9" si="1">B6+C6</x:f>
        <x:v>11</x:v>
      </x:c>
      <x:c r="E6" s="21" t="str">
        <x:f t="shared" ref="E6:E9" si="2">IF($A6="Transversal","-",IF(B6&gt;=4,"OK",IF(B6&gt;=2,"Justo","Falta")))</x:f>
        <x:v>Justo</x:v>
      </x:c>
      <x:c r="F6" s="23" t="str">
        <x:f t="shared" ref="F6:F9" si="3">IF($A6="Transversal","Fuentes que sirven a mas de un pilar; no cuentan para el minimo por pilar.",IF(B6&gt;=4,"Cobertura suficiente para este pilar.",IF(B6&gt;=2,"Alcanza para escribir, no para defender. Buscar mas.","Este pilar no se sostiene todavia.")))</x:f>
        <x:v>Alcanza para escribir, no para defender. Buscar mas.</x:v>
      </x:c>
    </x:row>
    <x:row r="7" ht="15" customHeight="1">
      <x:c r="A7" s="17" t="s">
        <x:v>9</x:v>
      </x:c>
      <x:c r="B7" s="21" t="n">
        <x:f>COUNTIFS('Matriz de Fuentes'!$K$6:$K$110,$A7,'Matriz de Fuentes'!$J$6:$J$110,"Academica")</x:f>
        <x:v>6</x:v>
      </x:c>
      <x:c r="C7" s="23" t="n">
        <x:f>COUNTIFS('Matriz de Fuentes'!$K$6:$K$110,$A7,'Matriz de Fuentes'!$J$6:$J$110,"&lt;&gt;Academica",'Matriz de Fuentes'!$J$6:$J$110,"&lt;&gt;")</x:f>
        <x:v>11</x:v>
      </x:c>
      <x:c r="D7" s="23">
        <x:f t="shared" si="1"/>
        <x:v>17</x:v>
      </x:c>
      <x:c r="E7" s="21" t="str">
        <x:f t="shared" si="2"/>
        <x:v>OK</x:v>
      </x:c>
      <x:c r="F7" s="23" t="str">
        <x:f t="shared" si="3"/>
        <x:v>Cobertura suficiente para este pilar.</x:v>
      </x:c>
    </x:row>
    <x:row r="8" ht="15" customHeight="1">
      <x:c r="A8" s="17" t="s">
        <x:v>13</x:v>
      </x:c>
      <x:c r="B8" s="21" t="n">
        <x:f>COUNTIFS('Matriz de Fuentes'!$K$6:$K$110,$A8,'Matriz de Fuentes'!$J$6:$J$110,"Academica")</x:f>
        <x:v>4</x:v>
      </x:c>
      <x:c r="C8" s="23" t="n">
        <x:f>COUNTIFS('Matriz de Fuentes'!$K$6:$K$110,$A8,'Matriz de Fuentes'!$J$6:$J$110,"&lt;&gt;Academica",'Matriz de Fuentes'!$J$6:$J$110,"&lt;&gt;")</x:f>
        <x:v>7</x:v>
      </x:c>
      <x:c r="D8" s="23">
        <x:f t="shared" si="1"/>
        <x:v>11</x:v>
      </x:c>
      <x:c r="E8" s="21" t="str">
        <x:f t="shared" si="2"/>
        <x:v>OK</x:v>
      </x:c>
      <x:c r="F8" s="23" t="str">
        <x:f t="shared" si="3"/>
        <x:v>Cobertura suficiente para este pilar.</x:v>
      </x:c>
    </x:row>
    <x:row r="9" ht="23.25" customHeight="1">
      <x:c r="A9" s="17" t="s">
        <x:v>359</x:v>
      </x:c>
      <x:c r="B9" s="21" t="n">
        <x:f>COUNTIFS('Matriz de Fuentes'!$K$6:$K$110,$A9,'Matriz de Fuentes'!$J$6:$J$110,"Academica")</x:f>
        <x:v>0</x:v>
      </x:c>
      <x:c r="C9" s="23" t="n">
        <x:f>COUNTIFS('Matriz de Fuentes'!$K$6:$K$110,$A9,'Matriz de Fuentes'!$J$6:$J$110,"&lt;&gt;Academica",'Matriz de Fuentes'!$J$6:$J$110,"&lt;&gt;")</x:f>
        <x:v>0</x:v>
      </x:c>
      <x:c r="D9" s="23">
        <x:f t="shared" si="1"/>
        <x:v>0</x:v>
      </x:c>
      <x:c r="E9" s="21" t="str">
        <x:f t="shared" si="2"/>
        <x:v>-</x:v>
      </x:c>
      <x:c r="F9" s="23" t="str">
        <x:f t="shared" si="3"/>
        <x:v>Fuentes que sirven a mas de un pilar; no cuentan para el minimo por pilar.</x:v>
      </x:c>
    </x:row>
    <x:row r="10" ht="15" customHeight="1">
      <x:c r="A10" s="7"/>
      <x:c r="B10" s="7"/>
      <x:c r="C10" s="8"/>
      <x:c r="D10" s="8"/>
      <x:c r="E10" s="7"/>
      <x:c r="F10" s="8"/>
    </x:row>
    <x:row r="11" ht="15" customHeight="1">
      <x:c r="A11" s="6" t="s">
        <x:v>360</x:v>
      </x:c>
      <x:c r="B11" s="7"/>
      <x:c r="C11" s="8"/>
      <x:c r="D11" s="8"/>
      <x:c r="E11" s="7"/>
      <x:c r="F11" s="8"/>
    </x:row>
    <x:row r="12" ht="15" customHeight="1">
      <x:c r="A12" s="11" t="s">
        <x:v>361</x:v>
      </x:c>
      <x:c r="B12" s="11" t="s">
        <x:v>362</x:v>
      </x:c>
      <x:c r="C12" s="12" t="s">
        <x:v>363</x:v>
      </x:c>
      <x:c r="D12" s="12" t="s">
        <x:v>78</x:v>
      </x:c>
      <x:c r="E12" s="7"/>
      <x:c r="F12" s="8"/>
    </x:row>
    <x:row r="13" ht="23.25" customHeight="1">
      <x:c r="A13" s="21" t="s">
        <x:v>364</x:v>
      </x:c>
      <x:c r="B13" s="21" t="n">
        <x:f>COUNTIFS('Matriz de Fuentes'!$J$6:$J$110,"Academica")</x:f>
        <x:v>13</x:v>
      </x:c>
      <x:c r="C13" s="35" t="s">
        <x:v>365</x:v>
      </x:c>
      <x:c r="D13" s="23" t="str">
        <x:f>IF(B13&gt;=10,"CUMPLE","FALTAN "&amp;TEXT(10-B13,"0")&amp;" academicas")</x:f>
        <x:v>CUMPLE</x:v>
      </x:c>
      <x:c r="E13" s="36"/>
      <x:c r="F13" s="37"/>
    </x:row>
    <x:row r="14" ht="32.25" customHeight="1">
      <x:c r="A14" s="21" t="s">
        <x:v>366</x:v>
      </x:c>
      <x:c r="B14" s="21" t="n">
        <x:f>COUNTIFS('Matriz de Fuentes'!$J$6:$J$110,"&lt;&gt;Academica",'Matriz de Fuentes'!$J$6:$J$110,"&lt;&gt;")</x:f>
        <x:v>26</x:v>
      </x:c>
      <x:c r="C14" s="35" t="s">
        <x:v>367</x:v>
      </x:c>
      <x:c r="D14" s="23" t="str">
        <x:f>IF(B14&gt;=3,"OK","Conviene sumar mas")</x:f>
        <x:v>OK</x:v>
      </x:c>
      <x:c r="E14" s="36"/>
      <x:c r="F14" s="37"/>
    </x:row>
    <x:row r="15" ht="32.25" customHeight="1">
      <x:c r="A15" s="21" t="s">
        <x:v>368</x:v>
      </x:c>
      <x:c r="B15" s="21" t="n">
        <x:f>COUNTIFS('Matriz de Fuentes'!$O$6:$O$110,"Citada en el informe")</x:f>
        <x:v>0</x:v>
      </x:c>
      <x:c r="C15" s="35" t="s">
        <x:v>369</x:v>
      </x:c>
      <x:c r="D15" s="23" t="str">
        <x:f>IF(B15=0,"Aun ninguna","Revisar contra la bibliografia")</x:f>
        <x:v>Aun ninguna</x:v>
      </x:c>
      <x:c r="E15" s="36"/>
      <x:c r="F15" s="37"/>
    </x:row>
    <x:row r="16" ht="32.25" customHeight="1">
      <x:c r="A16" s="21" t="s">
        <x:v>370</x:v>
      </x:c>
      <x:c r="B16" s="21" t="n">
        <x:f>COUNTIFS('Matriz de Fuentes'!$F$6:$F$110,"&lt;&gt;",'Matriz de Fuentes'!$K$6:$K$110,"")+COUNTIFS('Matriz de Fuentes'!$F$6:$F$110,"&lt;&gt;",'Matriz de Fuentes'!$K$6:$K$110,"Sin asignar")</x:f>
        <x:v>0</x:v>
      </x:c>
      <x:c r="C16" s="35" t="s">
        <x:v>371</x:v>
      </x:c>
      <x:c r="D16" s="23" t="str">
        <x:f>IF(B16&lt;=0,"OK","Asignar pilar a "&amp;TEXT(B16,"0")&amp;" fuente(s)")</x:f>
        <x:v>OK</x:v>
      </x:c>
      <x:c r="E16" s="36"/>
      <x:c r="F16" s="37"/>
    </x:row>
    <x:row r="17" ht="32.25" customHeight="1">
      <x:c r="A17" s="21" t="s">
        <x:v>372</x:v>
      </x:c>
      <x:c r="B17" s="21" t="n">
        <x:f>COUNTIFS('Matriz de Fuentes'!$L$6:$L$110,"Sin definir")</x:f>
        <x:v>0</x:v>
      </x:c>
      <x:c r="C17" s="35" t="s">
        <x:v>373</x:v>
      </x:c>
      <x:c r="D17" s="23" t="str">
        <x:f>IF(B17=0,"OK","Definir seccion en "&amp;TEXT(B17,"0"))</x:f>
        <x:v>OK</x:v>
      </x:c>
      <x:c r="E17" s="36"/>
      <x:c r="F17" s="37"/>
    </x:row>
    <x:row r="18" ht="15" customHeight="1">
      <x:c r="A18" s="7"/>
      <x:c r="B18" s="7"/>
      <x:c r="C18" s="8"/>
      <x:c r="D18" s="8"/>
      <x:c r="E18" s="7"/>
      <x:c r="F18" s="8"/>
    </x:row>
    <x:row r="19" ht="15" customHeight="1">
      <x:c r="A19" s="6" t="s">
        <x:v>374</x:v>
      </x:c>
      <x:c r="B19" s="7"/>
      <x:c r="C19" s="8"/>
      <x:c r="D19" s="8"/>
      <x:c r="E19" s="7"/>
      <x:c r="F19" s="8"/>
    </x:row>
    <x:row r="20" ht="23.25" customHeight="1">
      <x:c r="A20" s="21" t="s">
        <x:v>375</x:v>
      </x:c>
      <x:c r="B20" s="21" t="n">
        <x:f>COUNTIFS('Matriz de Fuentes'!$M$6:$M$110,"SOLAPAMIENTO: otro pilar")</x:f>
        <x:v>0</x:v>
      </x:c>
      <x:c r="C20" s="23" t="s">
        <x:v>376</x:v>
      </x:c>
      <x:c r="D20" s="23" t="str">
        <x:f>IF(B20=0,"Sin solapamiento","Resolver "&amp;TEXT(B20,"0")&amp;": asignar a un solo pilar")</x:f>
        <x:v>Sin solapamiento</x:v>
      </x:c>
      <x:c r="E20" s="36"/>
      <x:c r="F20" s="37"/>
    </x:row>
    <x:row r="21" ht="23.25" customHeight="1">
      <x:c r="A21" s="21" t="s">
        <x:v>377</x:v>
      </x:c>
      <x:c r="B21" s="21" t="n">
        <x:f>COUNTIFS('Matriz de Fuentes'!$M$6:$M$110,"Duplicada en el mismo pilar")</x:f>
        <x:v>0</x:v>
      </x:c>
      <x:c r="C21" s="23" t="s">
        <x:v>378</x:v>
      </x:c>
      <x:c r="D21" s="23" t="str">
        <x:f>IF(B21=0,"Sin duplicados","Borrar "&amp;TEXT(B21,"0")&amp;" fila(s) repetida(s)")</x:f>
        <x:v>Sin duplicados</x:v>
      </x:c>
      <x:c r="E21" s="36"/>
      <x:c r="F21" s="37"/>
    </x:row>
    <x:row r="22" ht="15" customHeight="1">
      <x:c r="A22" s="7"/>
      <x:c r="B22" s="7"/>
      <x:c r="C22" s="8"/>
      <x:c r="D22" s="8"/>
      <x:c r="E22" s="7"/>
      <x:c r="F22" s="8"/>
    </x:row>
    <x:row r="23" ht="15" customHeight="1">
      <x:c r="A23" s="6" t="s">
        <x:v>379</x:v>
      </x:c>
      <x:c r="B23" s="7"/>
      <x:c r="C23" s="8"/>
      <x:c r="D23" s="8"/>
      <x:c r="E23" s="7"/>
      <x:c r="F23" s="8"/>
    </x:row>
    <x:row r="24" ht="15" customHeight="1">
      <x:c r="A24" s="11" t="s">
        <x:v>380</x:v>
      </x:c>
      <x:c r="B24" s="11" t="s">
        <x:v>381</x:v>
      </x:c>
      <x:c r="C24" s="12"/>
      <x:c r="D24" s="12" t="s">
        <x:v>78</x:v>
      </x:c>
      <x:c r="E24" s="7"/>
      <x:c r="F24" s="8"/>
    </x:row>
    <x:row r="25" ht="23.25" customHeight="1">
      <x:c r="A25" s="21" t="s">
        <x:v>208</x:v>
      </x:c>
      <x:c r="B25" s="21" t="n">
        <x:f>COUNTIFS('Matriz de Fuentes'!$L$6:$L$110,$A25)</x:f>
        <x:v>1</x:v>
      </x:c>
      <x:c r="C25" s="37"/>
      <x:c r="D25" s="23" t="str">
        <x:f t="shared" ref="D25:D30" si="4">IF(B25=0,"Sin respaldo todavia",IF(B25&lt;2,"Debil","OK"))</x:f>
        <x:v>Debil</x:v>
      </x:c>
      <x:c r="E25" s="36"/>
      <x:c r="F25" s="37"/>
    </x:row>
    <x:row r="26" ht="23.25" customHeight="1">
      <x:c r="A26" s="21" t="s">
        <x:v>90</x:v>
      </x:c>
      <x:c r="B26" s="21" t="n">
        <x:f>COUNTIFS('Matriz de Fuentes'!$L$6:$L$110,$A26)</x:f>
        <x:v>2</x:v>
      </x:c>
      <x:c r="C26" s="37"/>
      <x:c r="D26" s="23" t="str">
        <x:f t="shared" si="4"/>
        <x:v>OK</x:v>
      </x:c>
      <x:c r="E26" s="36"/>
      <x:c r="F26" s="37"/>
    </x:row>
    <x:row r="27" ht="23.25" customHeight="1">
      <x:c r="A27" s="21" t="s">
        <x:v>112</x:v>
      </x:c>
      <x:c r="B27" s="21" t="n">
        <x:f>COUNTIFS('Matriz de Fuentes'!$L$6:$L$110,$A27)</x:f>
        <x:v>14</x:v>
      </x:c>
      <x:c r="C27" s="37"/>
      <x:c r="D27" s="23" t="str">
        <x:f t="shared" si="4"/>
        <x:v>OK</x:v>
      </x:c>
      <x:c r="E27" s="36"/>
      <x:c r="F27" s="37"/>
    </x:row>
    <x:row r="28" ht="23.25" customHeight="1">
      <x:c r="A28" s="21" t="s">
        <x:v>153</x:v>
      </x:c>
      <x:c r="B28" s="21" t="n">
        <x:f>COUNTIFS('Matriz de Fuentes'!$L$6:$L$110,$A28)</x:f>
        <x:v>6</x:v>
      </x:c>
      <x:c r="C28" s="37"/>
      <x:c r="D28" s="23" t="str">
        <x:f t="shared" si="4"/>
        <x:v>OK</x:v>
      </x:c>
      <x:c r="E28" s="36"/>
      <x:c r="F28" s="37"/>
    </x:row>
    <x:row r="29" ht="23.25" customHeight="1">
      <x:c r="A29" s="21" t="s">
        <x:v>258</x:v>
      </x:c>
      <x:c r="B29" s="21" t="n">
        <x:f>COUNTIFS('Matriz de Fuentes'!$L$6:$L$110,$A29)</x:f>
        <x:v>1</x:v>
      </x:c>
      <x:c r="C29" s="37"/>
      <x:c r="D29" s="23" t="str">
        <x:f t="shared" si="4"/>
        <x:v>Debil</x:v>
      </x:c>
      <x:c r="E29" s="36"/>
      <x:c r="F29" s="37"/>
    </x:row>
    <x:row r="30" ht="23.25" customHeight="1">
      <x:c r="A30" s="21" t="s">
        <x:v>215</x:v>
      </x:c>
      <x:c r="B30" s="21" t="n">
        <x:f>COUNTIFS('Matriz de Fuentes'!$L$6:$L$110,$A30)</x:f>
        <x:v>2</x:v>
      </x:c>
      <x:c r="C30" s="37"/>
      <x:c r="D30" s="23" t="str">
        <x:f t="shared" si="4"/>
        <x:v>OK</x:v>
      </x:c>
      <x:c r="E30" s="36"/>
      <x:c r="F30" s="37"/>
    </x:row>
    <x:row r="31" ht="15.75" customHeight="1">
      <x:c r="A31" s="3"/>
      <x:c r="B31" s="3"/>
      <x:c r="C31" s="3"/>
      <x:c r="D31" s="3"/>
      <x:c r="E31" s="3"/>
      <x:c r="F31" s="3"/>
    </x:row>
    <x:row r="32" ht="33.75" customHeight="1">
      <x:c r="A32" s="38" t="s">
        <x:v>382</x:v>
      </x:c>
      <x:c r="B32" s="39"/>
      <x:c r="C32" s="39"/>
      <x:c r="D32" s="39"/>
      <x:c r="E32" s="39"/>
      <x:c r="F32" s="40"/>
    </x:row>
    <x:row r="33" ht="54" customHeight="1">
      <x:c r="A33" s="41" t="s">
        <x:v>383</x:v>
      </x:c>
      <x:c r="B33" s="42" t="s">
        <x:v>384</x:v>
      </x:c>
      <x:c r="C33" s="43" t="s">
        <x:v>385</x:v>
      </x:c>
      <x:c r="D33" s="44"/>
      <x:c r="E33" s="44"/>
      <x:c r="F33" s="45"/>
    </x:row>
    <x:row r="34" ht="54" customHeight="1">
      <x:c r="A34" s="41" t="s">
        <x:v>386</x:v>
      </x:c>
      <x:c r="B34" s="42" t="s">
        <x:v>387</x:v>
      </x:c>
      <x:c r="C34" s="43" t="s">
        <x:v>388</x:v>
      </x:c>
      <x:c r="D34" s="44"/>
      <x:c r="E34" s="44"/>
      <x:c r="F34" s="45"/>
    </x:row>
    <x:row r="35" ht="54" customHeight="1">
      <x:c r="A35" s="41" t="s">
        <x:v>389</x:v>
      </x:c>
      <x:c r="B35" s="42" t="s">
        <x:v>390</x:v>
      </x:c>
      <x:c r="C35" s="43" t="s">
        <x:v>391</x:v>
      </x:c>
      <x:c r="D35" s="44"/>
      <x:c r="E35" s="44"/>
      <x:c r="F35" s="45"/>
    </x:row>
    <x:row r="36" ht="15.75" customHeight="1">
      <x:c r="A36" s="3"/>
      <x:c r="B36" s="3"/>
      <x:c r="C36" s="3"/>
      <x:c r="D36" s="3"/>
      <x:c r="E36" s="3"/>
      <x:c r="F36" s="3"/>
    </x:row>
    <x:row r="37" ht="15.75" customHeight="1">
      <x:c r="A37" s="3"/>
      <x:c r="B37" s="3"/>
      <x:c r="C37" s="3"/>
      <x:c r="D37" s="3"/>
      <x:c r="E37" s="3"/>
      <x:c r="F37" s="3"/>
    </x:row>
    <x:row r="38" ht="15.75" customHeight="1">
      <x:c r="A38" s="3"/>
      <x:c r="B38" s="3"/>
      <x:c r="C38" s="3"/>
      <x:c r="D38" s="3"/>
      <x:c r="E38" s="3"/>
      <x:c r="F38" s="3"/>
    </x:row>
    <x:row r="39" ht="15.75" customHeight="1">
      <x:c r="A39" s="3"/>
      <x:c r="B39" s="3"/>
      <x:c r="C39" s="3"/>
      <x:c r="D39" s="3"/>
      <x:c r="E39" s="3"/>
      <x:c r="F39" s="3"/>
    </x:row>
    <x:row r="40" ht="15.75" customHeight="1">
      <x:c r="A40" s="3"/>
      <x:c r="B40" s="3"/>
      <x:c r="C40" s="3"/>
      <x:c r="D40" s="3"/>
      <x:c r="E40" s="3"/>
      <x:c r="F40" s="3"/>
    </x:row>
    <x:row r="41" ht="15.75" customHeight="1">
      <x:c r="A41" s="3"/>
      <x:c r="B41" s="3"/>
      <x:c r="C41" s="3"/>
      <x:c r="D41" s="3"/>
      <x:c r="E41" s="3"/>
      <x:c r="F41" s="3"/>
    </x:row>
    <x:row r="42" ht="15.75" customHeight="1">
      <x:c r="A42" s="3"/>
      <x:c r="B42" s="3"/>
      <x:c r="C42" s="3"/>
      <x:c r="D42" s="3"/>
      <x:c r="E42" s="3"/>
      <x:c r="F42" s="3"/>
    </x:row>
    <x:row r="43" ht="15.75" customHeight="1">
      <x:c r="A43" s="3"/>
      <x:c r="B43" s="3"/>
      <x:c r="C43" s="3"/>
      <x:c r="D43" s="3"/>
      <x:c r="E43" s="3"/>
      <x:c r="F43" s="3"/>
    </x:row>
    <x:row r="44" ht="15.75" customHeight="1">
      <x:c r="A44" s="3"/>
      <x:c r="B44" s="3"/>
      <x:c r="C44" s="3"/>
      <x:c r="D44" s="3"/>
      <x:c r="E44" s="3"/>
      <x:c r="F44" s="3"/>
    </x:row>
    <x:row r="45" ht="15.75" customHeight="1">
      <x:c r="A45" s="3"/>
      <x:c r="B45" s="3"/>
      <x:c r="C45" s="3"/>
      <x:c r="D45" s="3"/>
      <x:c r="E45" s="3"/>
      <x:c r="F45" s="3"/>
    </x:row>
    <x:row r="46" ht="15.75" customHeight="1">
      <x:c r="A46" s="3"/>
      <x:c r="B46" s="3"/>
      <x:c r="C46" s="3"/>
      <x:c r="D46" s="3"/>
      <x:c r="E46" s="3"/>
      <x:c r="F46" s="3"/>
    </x:row>
    <x:row r="47" ht="15.75" customHeight="1">
      <x:c r="A47" s="3"/>
      <x:c r="B47" s="3"/>
      <x:c r="C47" s="3"/>
      <x:c r="D47" s="3"/>
      <x:c r="E47" s="3"/>
      <x:c r="F47" s="3"/>
    </x:row>
    <x:row r="48" ht="15.75" customHeight="1">
      <x:c r="A48" s="3"/>
      <x:c r="B48" s="3"/>
      <x:c r="C48" s="3"/>
      <x:c r="D48" s="3"/>
      <x:c r="E48" s="3"/>
      <x:c r="F48" s="3"/>
    </x:row>
    <x:row r="49" ht="15.75" customHeight="1">
      <x:c r="A49" s="3"/>
      <x:c r="B49" s="3"/>
      <x:c r="C49" s="3"/>
      <x:c r="D49" s="3"/>
      <x:c r="E49" s="3"/>
      <x:c r="F49" s="3"/>
    </x:row>
    <x:row r="50" ht="15.75" customHeight="1">
      <x:c r="A50" s="3"/>
      <x:c r="B50" s="3"/>
      <x:c r="C50" s="3"/>
      <x:c r="D50" s="3"/>
      <x:c r="E50" s="3"/>
      <x:c r="F50" s="3"/>
    </x:row>
    <x:row r="51" ht="15.75" customHeight="1">
      <x:c r="A51" s="3"/>
      <x:c r="B51" s="3"/>
      <x:c r="C51" s="3"/>
      <x:c r="D51" s="3"/>
      <x:c r="E51" s="3"/>
      <x:c r="F51" s="3"/>
    </x:row>
    <x:row r="52" ht="15.75" customHeight="1">
      <x:c r="A52" s="3"/>
      <x:c r="B52" s="3"/>
      <x:c r="C52" s="3"/>
      <x:c r="D52" s="3"/>
      <x:c r="E52" s="3"/>
      <x:c r="F52" s="3"/>
    </x:row>
    <x:row r="53" ht="15.75" customHeight="1">
      <x:c r="A53" s="3"/>
      <x:c r="B53" s="3"/>
      <x:c r="C53" s="3"/>
      <x:c r="D53" s="3"/>
      <x:c r="E53" s="3"/>
      <x:c r="F53" s="3"/>
    </x:row>
    <x:row r="54" ht="15.75" customHeight="1">
      <x:c r="A54" s="3"/>
      <x:c r="B54" s="3"/>
      <x:c r="C54" s="3"/>
      <x:c r="D54" s="3"/>
      <x:c r="E54" s="3"/>
      <x:c r="F54" s="3"/>
    </x:row>
    <x:row r="55" ht="15.75" customHeight="1">
      <x:c r="A55" s="3"/>
      <x:c r="B55" s="3"/>
      <x:c r="C55" s="3"/>
      <x:c r="D55" s="3"/>
      <x:c r="E55" s="3"/>
      <x:c r="F55" s="3"/>
    </x:row>
    <x:row r="56" ht="15.75" customHeight="1">
      <x:c r="A56" s="3"/>
      <x:c r="B56" s="3"/>
      <x:c r="C56" s="3"/>
      <x:c r="D56" s="3"/>
      <x:c r="E56" s="3"/>
      <x:c r="F56" s="3"/>
    </x:row>
    <x:row r="57" ht="15.75" customHeight="1">
      <x:c r="A57" s="3"/>
      <x:c r="B57" s="3"/>
      <x:c r="C57" s="3"/>
      <x:c r="D57" s="3"/>
      <x:c r="E57" s="3"/>
      <x:c r="F57" s="3"/>
    </x:row>
    <x:row r="58" ht="15.75" customHeight="1">
      <x:c r="A58" s="3"/>
      <x:c r="B58" s="3"/>
      <x:c r="C58" s="3"/>
      <x:c r="D58" s="3"/>
      <x:c r="E58" s="3"/>
      <x:c r="F58" s="3"/>
    </x:row>
    <x:row r="59" ht="15.75" customHeight="1">
      <x:c r="A59" s="3"/>
      <x:c r="B59" s="3"/>
      <x:c r="C59" s="3"/>
      <x:c r="D59" s="3"/>
      <x:c r="E59" s="3"/>
      <x:c r="F59" s="3"/>
    </x:row>
    <x:row r="60" ht="15.75" customHeight="1">
      <x:c r="A60" s="3"/>
      <x:c r="B60" s="3"/>
      <x:c r="C60" s="3"/>
      <x:c r="D60" s="3"/>
      <x:c r="E60" s="3"/>
      <x:c r="F60" s="3"/>
    </x:row>
    <x:row r="61" ht="15.75" customHeight="1">
      <x:c r="A61" s="3"/>
      <x:c r="B61" s="3"/>
      <x:c r="C61" s="3"/>
      <x:c r="D61" s="3"/>
      <x:c r="E61" s="3"/>
      <x:c r="F61" s="3"/>
    </x:row>
    <x:row r="62" ht="15.75" customHeight="1">
      <x:c r="A62" s="3"/>
      <x:c r="B62" s="3"/>
      <x:c r="C62" s="3"/>
      <x:c r="D62" s="3"/>
      <x:c r="E62" s="3"/>
      <x:c r="F62" s="3"/>
    </x:row>
    <x:row r="63" ht="15.75" customHeight="1">
      <x:c r="A63" s="3"/>
      <x:c r="B63" s="3"/>
      <x:c r="C63" s="3"/>
      <x:c r="D63" s="3"/>
      <x:c r="E63" s="3"/>
      <x:c r="F63" s="3"/>
    </x:row>
    <x:row r="64" ht="15.75" customHeight="1">
      <x:c r="A64" s="3"/>
      <x:c r="B64" s="3"/>
      <x:c r="C64" s="3"/>
      <x:c r="D64" s="3"/>
      <x:c r="E64" s="3"/>
      <x:c r="F64" s="3"/>
    </x:row>
    <x:row r="65" ht="15.75" customHeight="1">
      <x:c r="A65" s="3"/>
      <x:c r="B65" s="3"/>
      <x:c r="C65" s="3"/>
      <x:c r="D65" s="3"/>
      <x:c r="E65" s="3"/>
      <x:c r="F65" s="3"/>
    </x:row>
    <x:row r="66" ht="15.75" customHeight="1">
      <x:c r="A66" s="3"/>
      <x:c r="B66" s="3"/>
      <x:c r="C66" s="3"/>
      <x:c r="D66" s="3"/>
      <x:c r="E66" s="3"/>
      <x:c r="F66" s="3"/>
    </x:row>
    <x:row r="67" ht="15.75" customHeight="1">
      <x:c r="A67" s="3"/>
      <x:c r="B67" s="3"/>
      <x:c r="C67" s="3"/>
      <x:c r="D67" s="3"/>
      <x:c r="E67" s="3"/>
      <x:c r="F67" s="3"/>
    </x:row>
    <x:row r="68" ht="15.75" customHeight="1">
      <x:c r="A68" s="3"/>
      <x:c r="B68" s="3"/>
      <x:c r="C68" s="3"/>
      <x:c r="D68" s="3"/>
      <x:c r="E68" s="3"/>
      <x:c r="F68" s="3"/>
    </x:row>
    <x:row r="69" ht="15.75" customHeight="1">
      <x:c r="A69" s="3"/>
      <x:c r="B69" s="3"/>
      <x:c r="C69" s="3"/>
      <x:c r="D69" s="3"/>
      <x:c r="E69" s="3"/>
      <x:c r="F69" s="3"/>
    </x:row>
    <x:row r="70" ht="15.75" customHeight="1">
      <x:c r="A70" s="3"/>
      <x:c r="B70" s="3"/>
      <x:c r="C70" s="3"/>
      <x:c r="D70" s="3"/>
      <x:c r="E70" s="3"/>
      <x:c r="F70" s="3"/>
    </x:row>
    <x:row r="71" ht="15.75" customHeight="1">
      <x:c r="A71" s="3"/>
      <x:c r="B71" s="3"/>
      <x:c r="C71" s="3"/>
      <x:c r="D71" s="3"/>
      <x:c r="E71" s="3"/>
      <x:c r="F71" s="3"/>
    </x:row>
    <x:row r="72" ht="15.75" customHeight="1">
      <x:c r="A72" s="3"/>
      <x:c r="B72" s="3"/>
      <x:c r="C72" s="3"/>
      <x:c r="D72" s="3"/>
      <x:c r="E72" s="3"/>
      <x:c r="F72" s="3"/>
    </x:row>
    <x:row r="73" ht="15.75" customHeight="1">
      <x:c r="A73" s="3"/>
      <x:c r="B73" s="3"/>
      <x:c r="C73" s="3"/>
      <x:c r="D73" s="3"/>
      <x:c r="E73" s="3"/>
      <x:c r="F73" s="3"/>
    </x:row>
    <x:row r="74" ht="15.75" customHeight="1">
      <x:c r="A74" s="3"/>
      <x:c r="B74" s="3"/>
      <x:c r="C74" s="3"/>
      <x:c r="D74" s="3"/>
      <x:c r="E74" s="3"/>
      <x:c r="F74" s="3"/>
    </x:row>
    <x:row r="75" ht="15.75" customHeight="1">
      <x:c r="A75" s="3"/>
      <x:c r="B75" s="3"/>
      <x:c r="C75" s="3"/>
      <x:c r="D75" s="3"/>
      <x:c r="E75" s="3"/>
      <x:c r="F75" s="3"/>
    </x:row>
    <x:row r="76" ht="15.75" customHeight="1">
      <x:c r="A76" s="3"/>
      <x:c r="B76" s="3"/>
      <x:c r="C76" s="3"/>
      <x:c r="D76" s="3"/>
      <x:c r="E76" s="3"/>
      <x:c r="F76" s="3"/>
    </x:row>
    <x:row r="77" ht="15.75" customHeight="1">
      <x:c r="A77" s="3"/>
      <x:c r="B77" s="3"/>
      <x:c r="C77" s="3"/>
      <x:c r="D77" s="3"/>
      <x:c r="E77" s="3"/>
      <x:c r="F77" s="3"/>
    </x:row>
    <x:row r="78" ht="15.75" customHeight="1">
      <x:c r="A78" s="3"/>
      <x:c r="B78" s="3"/>
      <x:c r="C78" s="3"/>
      <x:c r="D78" s="3"/>
      <x:c r="E78" s="3"/>
      <x:c r="F78" s="3"/>
    </x:row>
    <x:row r="79" ht="15.75" customHeight="1">
      <x:c r="A79" s="3"/>
      <x:c r="B79" s="3"/>
      <x:c r="C79" s="3"/>
      <x:c r="D79" s="3"/>
      <x:c r="E79" s="3"/>
      <x:c r="F79" s="3"/>
    </x:row>
    <x:row r="80" ht="15.75" customHeight="1">
      <x:c r="A80" s="3"/>
      <x:c r="B80" s="3"/>
      <x:c r="C80" s="3"/>
      <x:c r="D80" s="3"/>
      <x:c r="E80" s="3"/>
      <x:c r="F80" s="3"/>
    </x:row>
    <x:row r="81" ht="15.75" customHeight="1">
      <x:c r="A81" s="3"/>
      <x:c r="B81" s="3"/>
      <x:c r="C81" s="3"/>
      <x:c r="D81" s="3"/>
      <x:c r="E81" s="3"/>
      <x:c r="F81" s="3"/>
    </x:row>
    <x:row r="82" ht="15.75" customHeight="1">
      <x:c r="A82" s="3"/>
      <x:c r="B82" s="3"/>
      <x:c r="C82" s="3"/>
      <x:c r="D82" s="3"/>
      <x:c r="E82" s="3"/>
      <x:c r="F82" s="3"/>
    </x:row>
    <x:row r="83" ht="15.75" customHeight="1">
      <x:c r="A83" s="3"/>
      <x:c r="B83" s="3"/>
      <x:c r="C83" s="3"/>
      <x:c r="D83" s="3"/>
      <x:c r="E83" s="3"/>
      <x:c r="F83" s="3"/>
    </x:row>
    <x:row r="84" ht="15.75" customHeight="1">
      <x:c r="A84" s="3"/>
      <x:c r="B84" s="3"/>
      <x:c r="C84" s="3"/>
      <x:c r="D84" s="3"/>
      <x:c r="E84" s="3"/>
      <x:c r="F84" s="3"/>
    </x:row>
    <x:row r="85" ht="15.75" customHeight="1">
      <x:c r="A85" s="3"/>
      <x:c r="B85" s="3"/>
      <x:c r="C85" s="3"/>
      <x:c r="D85" s="3"/>
      <x:c r="E85" s="3"/>
      <x:c r="F85" s="3"/>
    </x:row>
    <x:row r="86" ht="15.75" customHeight="1">
      <x:c r="A86" s="3"/>
      <x:c r="B86" s="3"/>
      <x:c r="C86" s="3"/>
      <x:c r="D86" s="3"/>
      <x:c r="E86" s="3"/>
      <x:c r="F86" s="3"/>
    </x:row>
    <x:row r="87" ht="15.75" customHeight="1">
      <x:c r="A87" s="3"/>
      <x:c r="B87" s="3"/>
      <x:c r="C87" s="3"/>
      <x:c r="D87" s="3"/>
      <x:c r="E87" s="3"/>
      <x:c r="F87" s="3"/>
    </x:row>
    <x:row r="88" ht="15.75" customHeight="1">
      <x:c r="A88" s="3"/>
      <x:c r="B88" s="3"/>
      <x:c r="C88" s="3"/>
      <x:c r="D88" s="3"/>
      <x:c r="E88" s="3"/>
      <x:c r="F88" s="3"/>
    </x:row>
    <x:row r="89" ht="15.75" customHeight="1">
      <x:c r="A89" s="3"/>
      <x:c r="B89" s="3"/>
      <x:c r="C89" s="3"/>
      <x:c r="D89" s="3"/>
      <x:c r="E89" s="3"/>
      <x:c r="F89" s="3"/>
    </x:row>
    <x:row r="90" ht="15.75" customHeight="1">
      <x:c r="A90" s="3"/>
      <x:c r="B90" s="3"/>
      <x:c r="C90" s="3"/>
      <x:c r="D90" s="3"/>
      <x:c r="E90" s="3"/>
      <x:c r="F90" s="3"/>
    </x:row>
    <x:row r="91" ht="15.75" customHeight="1">
      <x:c r="A91" s="3"/>
      <x:c r="B91" s="3"/>
      <x:c r="C91" s="3"/>
      <x:c r="D91" s="3"/>
      <x:c r="E91" s="3"/>
      <x:c r="F91" s="3"/>
    </x:row>
    <x:row r="92" ht="15.75" customHeight="1">
      <x:c r="A92" s="3"/>
      <x:c r="B92" s="3"/>
      <x:c r="C92" s="3"/>
      <x:c r="D92" s="3"/>
      <x:c r="E92" s="3"/>
      <x:c r="F92" s="3"/>
    </x:row>
    <x:row r="93" ht="15.75" customHeight="1">
      <x:c r="A93" s="3"/>
      <x:c r="B93" s="3"/>
      <x:c r="C93" s="3"/>
      <x:c r="D93" s="3"/>
      <x:c r="E93" s="3"/>
      <x:c r="F93" s="3"/>
    </x:row>
    <x:row r="94" ht="15.75" customHeight="1">
      <x:c r="A94" s="3"/>
      <x:c r="B94" s="3"/>
      <x:c r="C94" s="3"/>
      <x:c r="D94" s="3"/>
      <x:c r="E94" s="3"/>
      <x:c r="F94" s="3"/>
    </x:row>
    <x:row r="95" ht="15.75" customHeight="1">
      <x:c r="A95" s="3"/>
      <x:c r="B95" s="3"/>
      <x:c r="C95" s="3"/>
      <x:c r="D95" s="3"/>
      <x:c r="E95" s="3"/>
      <x:c r="F95" s="3"/>
    </x:row>
    <x:row r="96" ht="15.75" customHeight="1">
      <x:c r="A96" s="3"/>
      <x:c r="B96" s="3"/>
      <x:c r="C96" s="3"/>
      <x:c r="D96" s="3"/>
      <x:c r="E96" s="3"/>
      <x:c r="F96" s="3"/>
    </x:row>
    <x:row r="97" ht="15.75" customHeight="1">
      <x:c r="A97" s="3"/>
      <x:c r="B97" s="3"/>
      <x:c r="C97" s="3"/>
      <x:c r="D97" s="3"/>
      <x:c r="E97" s="3"/>
      <x:c r="F97" s="3"/>
    </x:row>
    <x:row r="98" ht="15.75" customHeight="1">
      <x:c r="A98" s="3"/>
      <x:c r="B98" s="3"/>
      <x:c r="C98" s="3"/>
      <x:c r="D98" s="3"/>
      <x:c r="E98" s="3"/>
      <x:c r="F98" s="3"/>
    </x:row>
    <x:row r="99" ht="15.75" customHeight="1">
      <x:c r="A99" s="3"/>
      <x:c r="B99" s="3"/>
      <x:c r="C99" s="3"/>
      <x:c r="D99" s="3"/>
      <x:c r="E99" s="3"/>
      <x:c r="F99" s="3"/>
    </x:row>
    <x:row r="100" ht="15.75" customHeight="1">
      <x:c r="A100" s="3"/>
      <x:c r="B100" s="3"/>
      <x:c r="C100" s="3"/>
      <x:c r="D100" s="3"/>
      <x:c r="E100" s="3"/>
      <x:c r="F100" s="3"/>
    </x:row>
    <x:row r="101" ht="15.75" customHeight="1">
      <x:c r="A101" s="3"/>
      <x:c r="B101" s="3"/>
      <x:c r="C101" s="3"/>
      <x:c r="D101" s="3"/>
      <x:c r="E101" s="3"/>
      <x:c r="F101" s="3"/>
    </x:row>
    <x:row r="102" ht="15.75" customHeight="1">
      <x:c r="A102" s="3"/>
      <x:c r="B102" s="3"/>
      <x:c r="C102" s="3"/>
      <x:c r="D102" s="3"/>
      <x:c r="E102" s="3"/>
      <x:c r="F102" s="3"/>
    </x:row>
    <x:row r="103" ht="15.75" customHeight="1">
      <x:c r="A103" s="3"/>
      <x:c r="B103" s="3"/>
      <x:c r="C103" s="3"/>
      <x:c r="D103" s="3"/>
      <x:c r="E103" s="3"/>
      <x:c r="F103" s="3"/>
    </x:row>
    <x:row r="104" ht="15.75" customHeight="1">
      <x:c r="A104" s="3"/>
      <x:c r="B104" s="3"/>
      <x:c r="C104" s="3"/>
      <x:c r="D104" s="3"/>
      <x:c r="E104" s="3"/>
      <x:c r="F104" s="3"/>
    </x:row>
    <x:row r="105" ht="15.75" customHeight="1">
      <x:c r="A105" s="3"/>
      <x:c r="B105" s="3"/>
      <x:c r="C105" s="3"/>
      <x:c r="D105" s="3"/>
      <x:c r="E105" s="3"/>
      <x:c r="F105" s="3"/>
    </x:row>
    <x:row r="106" ht="15.75" customHeight="1">
      <x:c r="A106" s="3"/>
      <x:c r="B106" s="3"/>
      <x:c r="C106" s="3"/>
      <x:c r="D106" s="3"/>
      <x:c r="E106" s="3"/>
      <x:c r="F106" s="3"/>
    </x:row>
    <x:row r="107" ht="15.75" customHeight="1">
      <x:c r="A107" s="3"/>
      <x:c r="B107" s="3"/>
      <x:c r="C107" s="3"/>
      <x:c r="D107" s="3"/>
      <x:c r="E107" s="3"/>
      <x:c r="F107" s="3"/>
    </x:row>
    <x:row r="108" ht="15.75" customHeight="1">
      <x:c r="A108" s="3"/>
      <x:c r="B108" s="3"/>
      <x:c r="C108" s="3"/>
      <x:c r="D108" s="3"/>
      <x:c r="E108" s="3"/>
      <x:c r="F108" s="3"/>
    </x:row>
    <x:row r="109" ht="15.75" customHeight="1">
      <x:c r="A109" s="3"/>
      <x:c r="B109" s="3"/>
      <x:c r="C109" s="3"/>
      <x:c r="D109" s="3"/>
      <x:c r="E109" s="3"/>
      <x:c r="F109" s="3"/>
    </x:row>
    <x:row r="110" ht="15.75" customHeight="1">
      <x:c r="A110" s="3"/>
      <x:c r="B110" s="3"/>
      <x:c r="C110" s="3"/>
      <x:c r="D110" s="3"/>
      <x:c r="E110" s="3"/>
      <x:c r="F110" s="3"/>
    </x:row>
    <x:row r="111" ht="15.75" customHeight="1">
      <x:c r="A111" s="3"/>
      <x:c r="B111" s="3"/>
      <x:c r="C111" s="3"/>
      <x:c r="D111" s="3"/>
      <x:c r="E111" s="3"/>
      <x:c r="F111" s="3"/>
    </x:row>
    <x:row r="112" ht="15.75" customHeight="1">
      <x:c r="A112" s="3"/>
      <x:c r="B112" s="3"/>
      <x:c r="C112" s="3"/>
      <x:c r="D112" s="3"/>
      <x:c r="E112" s="3"/>
      <x:c r="F112" s="3"/>
    </x:row>
    <x:row r="113" ht="15.75" customHeight="1">
      <x:c r="A113" s="3"/>
      <x:c r="B113" s="3"/>
      <x:c r="C113" s="3"/>
      <x:c r="D113" s="3"/>
      <x:c r="E113" s="3"/>
      <x:c r="F113" s="3"/>
    </x:row>
    <x:row r="114" ht="15.75" customHeight="1">
      <x:c r="A114" s="3"/>
      <x:c r="B114" s="3"/>
      <x:c r="C114" s="3"/>
      <x:c r="D114" s="3"/>
      <x:c r="E114" s="3"/>
      <x:c r="F114" s="3"/>
    </x:row>
    <x:row r="115" ht="15.75" customHeight="1">
      <x:c r="A115" s="3"/>
      <x:c r="B115" s="3"/>
      <x:c r="C115" s="3"/>
      <x:c r="D115" s="3"/>
      <x:c r="E115" s="3"/>
      <x:c r="F115" s="3"/>
    </x:row>
    <x:row r="116" ht="15.75" customHeight="1">
      <x:c r="A116" s="3"/>
      <x:c r="B116" s="3"/>
      <x:c r="C116" s="3"/>
      <x:c r="D116" s="3"/>
      <x:c r="E116" s="3"/>
      <x:c r="F116" s="3"/>
    </x:row>
    <x:row r="117" ht="15.75" customHeight="1">
      <x:c r="A117" s="3"/>
      <x:c r="B117" s="3"/>
      <x:c r="C117" s="3"/>
      <x:c r="D117" s="3"/>
      <x:c r="E117" s="3"/>
      <x:c r="F117" s="3"/>
    </x:row>
    <x:row r="118" ht="15.75" customHeight="1">
      <x:c r="A118" s="3"/>
      <x:c r="B118" s="3"/>
      <x:c r="C118" s="3"/>
      <x:c r="D118" s="3"/>
      <x:c r="E118" s="3"/>
      <x:c r="F118" s="3"/>
    </x:row>
    <x:row r="119" ht="15.75" customHeight="1">
      <x:c r="A119" s="3"/>
      <x:c r="B119" s="3"/>
      <x:c r="C119" s="3"/>
      <x:c r="D119" s="3"/>
      <x:c r="E119" s="3"/>
      <x:c r="F119" s="3"/>
    </x:row>
    <x:row r="120" ht="15.75" customHeight="1">
      <x:c r="A120" s="3"/>
      <x:c r="B120" s="3"/>
      <x:c r="C120" s="3"/>
      <x:c r="D120" s="3"/>
      <x:c r="E120" s="3"/>
      <x:c r="F120" s="3"/>
    </x:row>
    <x:row r="121" ht="15.75" customHeight="1">
      <x:c r="A121" s="3"/>
      <x:c r="B121" s="3"/>
      <x:c r="C121" s="3"/>
      <x:c r="D121" s="3"/>
      <x:c r="E121" s="3"/>
      <x:c r="F121" s="3"/>
    </x:row>
    <x:row r="122" ht="15.75" customHeight="1">
      <x:c r="A122" s="3"/>
      <x:c r="B122" s="3"/>
      <x:c r="C122" s="3"/>
      <x:c r="D122" s="3"/>
      <x:c r="E122" s="3"/>
      <x:c r="F122" s="3"/>
    </x:row>
    <x:row r="123" ht="15.75" customHeight="1">
      <x:c r="A123" s="3"/>
      <x:c r="B123" s="3"/>
      <x:c r="C123" s="3"/>
      <x:c r="D123" s="3"/>
      <x:c r="E123" s="3"/>
      <x:c r="F123" s="3"/>
    </x:row>
    <x:row r="124" ht="15.75" customHeight="1">
      <x:c r="A124" s="3"/>
      <x:c r="B124" s="3"/>
      <x:c r="C124" s="3"/>
      <x:c r="D124" s="3"/>
      <x:c r="E124" s="3"/>
      <x:c r="F124" s="3"/>
    </x:row>
    <x:row r="125" ht="15.75" customHeight="1">
      <x:c r="A125" s="3"/>
      <x:c r="B125" s="3"/>
      <x:c r="C125" s="3"/>
      <x:c r="D125" s="3"/>
      <x:c r="E125" s="3"/>
      <x:c r="F125" s="3"/>
    </x:row>
    <x:row r="126" ht="15.75" customHeight="1">
      <x:c r="A126" s="3"/>
      <x:c r="B126" s="3"/>
      <x:c r="C126" s="3"/>
      <x:c r="D126" s="3"/>
      <x:c r="E126" s="3"/>
      <x:c r="F126" s="3"/>
    </x:row>
    <x:row r="127" ht="15.75" customHeight="1">
      <x:c r="A127" s="3"/>
      <x:c r="B127" s="3"/>
      <x:c r="C127" s="3"/>
      <x:c r="D127" s="3"/>
      <x:c r="E127" s="3"/>
      <x:c r="F127" s="3"/>
    </x:row>
    <x:row r="128" ht="15.75" customHeight="1">
      <x:c r="A128" s="3"/>
      <x:c r="B128" s="3"/>
      <x:c r="C128" s="3"/>
      <x:c r="D128" s="3"/>
      <x:c r="E128" s="3"/>
      <x:c r="F128" s="3"/>
    </x:row>
    <x:row r="129" ht="15.75" customHeight="1">
      <x:c r="A129" s="3"/>
      <x:c r="B129" s="3"/>
      <x:c r="C129" s="3"/>
      <x:c r="D129" s="3"/>
      <x:c r="E129" s="3"/>
      <x:c r="F129" s="3"/>
    </x:row>
    <x:row r="130" ht="15.75" customHeight="1">
      <x:c r="A130" s="3"/>
      <x:c r="B130" s="3"/>
      <x:c r="C130" s="3"/>
      <x:c r="D130" s="3"/>
      <x:c r="E130" s="3"/>
      <x:c r="F130" s="3"/>
    </x:row>
    <x:row r="131" ht="15.75" customHeight="1">
      <x:c r="A131" s="3"/>
      <x:c r="B131" s="3"/>
      <x:c r="C131" s="3"/>
      <x:c r="D131" s="3"/>
      <x:c r="E131" s="3"/>
      <x:c r="F131" s="3"/>
    </x:row>
    <x:row r="132" ht="15.75" customHeight="1">
      <x:c r="A132" s="3"/>
      <x:c r="B132" s="3"/>
      <x:c r="C132" s="3"/>
      <x:c r="D132" s="3"/>
      <x:c r="E132" s="3"/>
      <x:c r="F132" s="3"/>
    </x:row>
    <x:row r="133" ht="15.75" customHeight="1">
      <x:c r="A133" s="3"/>
      <x:c r="B133" s="3"/>
      <x:c r="C133" s="3"/>
      <x:c r="D133" s="3"/>
      <x:c r="E133" s="3"/>
      <x:c r="F133" s="3"/>
    </x:row>
    <x:row r="134" ht="15.75" customHeight="1">
      <x:c r="A134" s="3"/>
      <x:c r="B134" s="3"/>
      <x:c r="C134" s="3"/>
      <x:c r="D134" s="3"/>
      <x:c r="E134" s="3"/>
      <x:c r="F134" s="3"/>
    </x:row>
    <x:row r="135" ht="15.75" customHeight="1">
      <x:c r="A135" s="3"/>
      <x:c r="B135" s="3"/>
      <x:c r="C135" s="3"/>
      <x:c r="D135" s="3"/>
      <x:c r="E135" s="3"/>
      <x:c r="F135" s="3"/>
    </x:row>
    <x:row r="136" ht="15.75" customHeight="1">
      <x:c r="A136" s="3"/>
      <x:c r="B136" s="3"/>
      <x:c r="C136" s="3"/>
      <x:c r="D136" s="3"/>
      <x:c r="E136" s="3"/>
      <x:c r="F136" s="3"/>
    </x:row>
    <x:row r="137" ht="15.75" customHeight="1">
      <x:c r="A137" s="3"/>
      <x:c r="B137" s="3"/>
      <x:c r="C137" s="3"/>
      <x:c r="D137" s="3"/>
      <x:c r="E137" s="3"/>
      <x:c r="F137" s="3"/>
    </x:row>
    <x:row r="138" ht="15.75" customHeight="1">
      <x:c r="A138" s="3"/>
      <x:c r="B138" s="3"/>
      <x:c r="C138" s="3"/>
      <x:c r="D138" s="3"/>
      <x:c r="E138" s="3"/>
      <x:c r="F138" s="3"/>
    </x:row>
    <x:row r="139" ht="15.75" customHeight="1">
      <x:c r="A139" s="3"/>
      <x:c r="B139" s="3"/>
      <x:c r="C139" s="3"/>
      <x:c r="D139" s="3"/>
      <x:c r="E139" s="3"/>
      <x:c r="F139" s="3"/>
    </x:row>
    <x:row r="140" ht="15.75" customHeight="1">
      <x:c r="A140" s="3"/>
      <x:c r="B140" s="3"/>
      <x:c r="C140" s="3"/>
      <x:c r="D140" s="3"/>
      <x:c r="E140" s="3"/>
      <x:c r="F140" s="3"/>
    </x:row>
    <x:row r="141" ht="15.75" customHeight="1">
      <x:c r="A141" s="3"/>
      <x:c r="B141" s="3"/>
      <x:c r="C141" s="3"/>
      <x:c r="D141" s="3"/>
      <x:c r="E141" s="3"/>
      <x:c r="F141" s="3"/>
    </x:row>
    <x:row r="142" ht="15.75" customHeight="1">
      <x:c r="A142" s="3"/>
      <x:c r="B142" s="3"/>
      <x:c r="C142" s="3"/>
      <x:c r="D142" s="3"/>
      <x:c r="E142" s="3"/>
      <x:c r="F142" s="3"/>
    </x:row>
    <x:row r="143" ht="15.75" customHeight="1">
      <x:c r="A143" s="3"/>
      <x:c r="B143" s="3"/>
      <x:c r="C143" s="3"/>
      <x:c r="D143" s="3"/>
      <x:c r="E143" s="3"/>
      <x:c r="F143" s="3"/>
    </x:row>
    <x:row r="144" ht="15.75" customHeight="1">
      <x:c r="A144" s="3"/>
      <x:c r="B144" s="3"/>
      <x:c r="C144" s="3"/>
      <x:c r="D144" s="3"/>
      <x:c r="E144" s="3"/>
      <x:c r="F144" s="3"/>
    </x:row>
    <x:row r="145" ht="15.75" customHeight="1">
      <x:c r="A145" s="3"/>
      <x:c r="B145" s="3"/>
      <x:c r="C145" s="3"/>
      <x:c r="D145" s="3"/>
      <x:c r="E145" s="3"/>
      <x:c r="F145" s="3"/>
    </x:row>
    <x:row r="146" ht="15.75" customHeight="1">
      <x:c r="A146" s="3"/>
      <x:c r="B146" s="3"/>
      <x:c r="C146" s="3"/>
      <x:c r="D146" s="3"/>
      <x:c r="E146" s="3"/>
      <x:c r="F146" s="3"/>
    </x:row>
    <x:row r="147" ht="15.75" customHeight="1">
      <x:c r="A147" s="3"/>
      <x:c r="B147" s="3"/>
      <x:c r="C147" s="3"/>
      <x:c r="D147" s="3"/>
      <x:c r="E147" s="3"/>
      <x:c r="F147" s="3"/>
    </x:row>
    <x:row r="148" ht="15.75" customHeight="1">
      <x:c r="A148" s="3"/>
      <x:c r="B148" s="3"/>
      <x:c r="C148" s="3"/>
      <x:c r="D148" s="3"/>
      <x:c r="E148" s="3"/>
      <x:c r="F148" s="3"/>
    </x:row>
    <x:row r="149" ht="15.75" customHeight="1">
      <x:c r="A149" s="3"/>
      <x:c r="B149" s="3"/>
      <x:c r="C149" s="3"/>
      <x:c r="D149" s="3"/>
      <x:c r="E149" s="3"/>
      <x:c r="F149" s="3"/>
    </x:row>
    <x:row r="150" ht="15.75" customHeight="1">
      <x:c r="A150" s="3"/>
      <x:c r="B150" s="3"/>
      <x:c r="C150" s="3"/>
      <x:c r="D150" s="3"/>
      <x:c r="E150" s="3"/>
      <x:c r="F150" s="3"/>
    </x:row>
    <x:row r="151" ht="15.75" customHeight="1">
      <x:c r="A151" s="3"/>
      <x:c r="B151" s="3"/>
      <x:c r="C151" s="3"/>
      <x:c r="D151" s="3"/>
      <x:c r="E151" s="3"/>
      <x:c r="F151" s="3"/>
    </x:row>
    <x:row r="152" ht="15.75" customHeight="1">
      <x:c r="A152" s="3"/>
      <x:c r="B152" s="3"/>
      <x:c r="C152" s="3"/>
      <x:c r="D152" s="3"/>
      <x:c r="E152" s="3"/>
      <x:c r="F152" s="3"/>
    </x:row>
    <x:row r="153" ht="15.75" customHeight="1">
      <x:c r="A153" s="3"/>
      <x:c r="B153" s="3"/>
      <x:c r="C153" s="3"/>
      <x:c r="D153" s="3"/>
      <x:c r="E153" s="3"/>
      <x:c r="F153" s="3"/>
    </x:row>
    <x:row r="154" ht="15.75" customHeight="1">
      <x:c r="A154" s="3"/>
      <x:c r="B154" s="3"/>
      <x:c r="C154" s="3"/>
      <x:c r="D154" s="3"/>
      <x:c r="E154" s="3"/>
      <x:c r="F154" s="3"/>
    </x:row>
    <x:row r="155" ht="15.75" customHeight="1">
      <x:c r="A155" s="3"/>
      <x:c r="B155" s="3"/>
      <x:c r="C155" s="3"/>
      <x:c r="D155" s="3"/>
      <x:c r="E155" s="3"/>
      <x:c r="F155" s="3"/>
    </x:row>
    <x:row r="156" ht="15.75" customHeight="1">
      <x:c r="A156" s="3"/>
      <x:c r="B156" s="3"/>
      <x:c r="C156" s="3"/>
      <x:c r="D156" s="3"/>
      <x:c r="E156" s="3"/>
      <x:c r="F156" s="3"/>
    </x:row>
    <x:row r="157" ht="15.75" customHeight="1">
      <x:c r="A157" s="3"/>
      <x:c r="B157" s="3"/>
      <x:c r="C157" s="3"/>
      <x:c r="D157" s="3"/>
      <x:c r="E157" s="3"/>
      <x:c r="F157" s="3"/>
    </x:row>
    <x:row r="158" ht="15.75" customHeight="1">
      <x:c r="A158" s="3"/>
      <x:c r="B158" s="3"/>
      <x:c r="C158" s="3"/>
      <x:c r="D158" s="3"/>
      <x:c r="E158" s="3"/>
      <x:c r="F158" s="3"/>
    </x:row>
    <x:row r="159" ht="15.75" customHeight="1">
      <x:c r="A159" s="3"/>
      <x:c r="B159" s="3"/>
      <x:c r="C159" s="3"/>
      <x:c r="D159" s="3"/>
      <x:c r="E159" s="3"/>
      <x:c r="F159" s="3"/>
    </x:row>
    <x:row r="160" ht="15.75" customHeight="1">
      <x:c r="A160" s="3"/>
      <x:c r="B160" s="3"/>
      <x:c r="C160" s="3"/>
      <x:c r="D160" s="3"/>
      <x:c r="E160" s="3"/>
      <x:c r="F160" s="3"/>
    </x:row>
    <x:row r="161" ht="15.75" customHeight="1">
      <x:c r="A161" s="3"/>
      <x:c r="B161" s="3"/>
      <x:c r="C161" s="3"/>
      <x:c r="D161" s="3"/>
      <x:c r="E161" s="3"/>
      <x:c r="F161" s="3"/>
    </x:row>
    <x:row r="162" ht="15.75" customHeight="1">
      <x:c r="A162" s="3"/>
      <x:c r="B162" s="3"/>
      <x:c r="C162" s="3"/>
      <x:c r="D162" s="3"/>
      <x:c r="E162" s="3"/>
      <x:c r="F162" s="3"/>
    </x:row>
    <x:row r="163" ht="15.75" customHeight="1">
      <x:c r="A163" s="3"/>
      <x:c r="B163" s="3"/>
      <x:c r="C163" s="3"/>
      <x:c r="D163" s="3"/>
      <x:c r="E163" s="3"/>
      <x:c r="F163" s="3"/>
    </x:row>
    <x:row r="164" ht="15.75" customHeight="1">
      <x:c r="A164" s="3"/>
      <x:c r="B164" s="3"/>
      <x:c r="C164" s="3"/>
      <x:c r="D164" s="3"/>
      <x:c r="E164" s="3"/>
      <x:c r="F164" s="3"/>
    </x:row>
    <x:row r="165" ht="15.75" customHeight="1">
      <x:c r="A165" s="3"/>
      <x:c r="B165" s="3"/>
      <x:c r="C165" s="3"/>
      <x:c r="D165" s="3"/>
      <x:c r="E165" s="3"/>
      <x:c r="F165" s="3"/>
    </x:row>
    <x:row r="166" ht="15.75" customHeight="1">
      <x:c r="A166" s="3"/>
      <x:c r="B166" s="3"/>
      <x:c r="C166" s="3"/>
      <x:c r="D166" s="3"/>
      <x:c r="E166" s="3"/>
      <x:c r="F166" s="3"/>
    </x:row>
    <x:row r="167" ht="15.75" customHeight="1">
      <x:c r="A167" s="3"/>
      <x:c r="B167" s="3"/>
      <x:c r="C167" s="3"/>
      <x:c r="D167" s="3"/>
      <x:c r="E167" s="3"/>
      <x:c r="F167" s="3"/>
    </x:row>
    <x:row r="168" ht="15.75" customHeight="1">
      <x:c r="A168" s="3"/>
      <x:c r="B168" s="3"/>
      <x:c r="C168" s="3"/>
      <x:c r="D168" s="3"/>
      <x:c r="E168" s="3"/>
      <x:c r="F168" s="3"/>
    </x:row>
    <x:row r="169" ht="15.75" customHeight="1">
      <x:c r="A169" s="3"/>
      <x:c r="B169" s="3"/>
      <x:c r="C169" s="3"/>
      <x:c r="D169" s="3"/>
      <x:c r="E169" s="3"/>
      <x:c r="F169" s="3"/>
    </x:row>
    <x:row r="170" ht="15.75" customHeight="1">
      <x:c r="A170" s="3"/>
      <x:c r="B170" s="3"/>
      <x:c r="C170" s="3"/>
      <x:c r="D170" s="3"/>
      <x:c r="E170" s="3"/>
      <x:c r="F170" s="3"/>
    </x:row>
    <x:row r="171" ht="15.75" customHeight="1">
      <x:c r="A171" s="3"/>
      <x:c r="B171" s="3"/>
      <x:c r="C171" s="3"/>
      <x:c r="D171" s="3"/>
      <x:c r="E171" s="3"/>
      <x:c r="F171" s="3"/>
    </x:row>
    <x:row r="172" ht="15.75" customHeight="1">
      <x:c r="A172" s="3"/>
      <x:c r="B172" s="3"/>
      <x:c r="C172" s="3"/>
      <x:c r="D172" s="3"/>
      <x:c r="E172" s="3"/>
      <x:c r="F172" s="3"/>
    </x:row>
    <x:row r="173" ht="15.75" customHeight="1">
      <x:c r="A173" s="3"/>
      <x:c r="B173" s="3"/>
      <x:c r="C173" s="3"/>
      <x:c r="D173" s="3"/>
      <x:c r="E173" s="3"/>
      <x:c r="F173" s="3"/>
    </x:row>
    <x:row r="174" ht="15.75" customHeight="1">
      <x:c r="A174" s="3"/>
      <x:c r="B174" s="3"/>
      <x:c r="C174" s="3"/>
      <x:c r="D174" s="3"/>
      <x:c r="E174" s="3"/>
      <x:c r="F174" s="3"/>
    </x:row>
    <x:row r="175" ht="15.75" customHeight="1">
      <x:c r="A175" s="3"/>
      <x:c r="B175" s="3"/>
      <x:c r="C175" s="3"/>
      <x:c r="D175" s="3"/>
      <x:c r="E175" s="3"/>
      <x:c r="F175" s="3"/>
    </x:row>
    <x:row r="176" ht="15.75" customHeight="1">
      <x:c r="A176" s="3"/>
      <x:c r="B176" s="3"/>
      <x:c r="C176" s="3"/>
      <x:c r="D176" s="3"/>
      <x:c r="E176" s="3"/>
      <x:c r="F176" s="3"/>
    </x:row>
    <x:row r="177" ht="15.75" customHeight="1">
      <x:c r="A177" s="3"/>
      <x:c r="B177" s="3"/>
      <x:c r="C177" s="3"/>
      <x:c r="D177" s="3"/>
      <x:c r="E177" s="3"/>
      <x:c r="F177" s="3"/>
    </x:row>
    <x:row r="178" ht="15.75" customHeight="1">
      <x:c r="A178" s="3"/>
      <x:c r="B178" s="3"/>
      <x:c r="C178" s="3"/>
      <x:c r="D178" s="3"/>
      <x:c r="E178" s="3"/>
      <x:c r="F178" s="3"/>
    </x:row>
    <x:row r="179" ht="15.75" customHeight="1">
      <x:c r="A179" s="3"/>
      <x:c r="B179" s="3"/>
      <x:c r="C179" s="3"/>
      <x:c r="D179" s="3"/>
      <x:c r="E179" s="3"/>
      <x:c r="F179" s="3"/>
    </x:row>
    <x:row r="180" ht="15.75" customHeight="1">
      <x:c r="A180" s="3"/>
      <x:c r="B180" s="3"/>
      <x:c r="C180" s="3"/>
      <x:c r="D180" s="3"/>
      <x:c r="E180" s="3"/>
      <x:c r="F180" s="3"/>
    </x:row>
    <x:row r="181" ht="15.75" customHeight="1">
      <x:c r="A181" s="3"/>
      <x:c r="B181" s="3"/>
      <x:c r="C181" s="3"/>
      <x:c r="D181" s="3"/>
      <x:c r="E181" s="3"/>
      <x:c r="F181" s="3"/>
    </x:row>
    <x:row r="182" ht="15.75" customHeight="1">
      <x:c r="A182" s="3"/>
      <x:c r="B182" s="3"/>
      <x:c r="C182" s="3"/>
      <x:c r="D182" s="3"/>
      <x:c r="E182" s="3"/>
      <x:c r="F182" s="3"/>
    </x:row>
    <x:row r="183" ht="15.75" customHeight="1">
      <x:c r="A183" s="3"/>
      <x:c r="B183" s="3"/>
      <x:c r="C183" s="3"/>
      <x:c r="D183" s="3"/>
      <x:c r="E183" s="3"/>
      <x:c r="F183" s="3"/>
    </x:row>
    <x:row r="184" ht="15.75" customHeight="1">
      <x:c r="A184" s="3"/>
      <x:c r="B184" s="3"/>
      <x:c r="C184" s="3"/>
      <x:c r="D184" s="3"/>
      <x:c r="E184" s="3"/>
      <x:c r="F184" s="3"/>
    </x:row>
    <x:row r="185" ht="15.75" customHeight="1">
      <x:c r="A185" s="3"/>
      <x:c r="B185" s="3"/>
      <x:c r="C185" s="3"/>
      <x:c r="D185" s="3"/>
      <x:c r="E185" s="3"/>
      <x:c r="F185" s="3"/>
    </x:row>
    <x:row r="186" ht="15.75" customHeight="1">
      <x:c r="A186" s="3"/>
      <x:c r="B186" s="3"/>
      <x:c r="C186" s="3"/>
      <x:c r="D186" s="3"/>
      <x:c r="E186" s="3"/>
      <x:c r="F186" s="3"/>
    </x:row>
    <x:row r="187" ht="15.75" customHeight="1">
      <x:c r="A187" s="3"/>
      <x:c r="B187" s="3"/>
      <x:c r="C187" s="3"/>
      <x:c r="D187" s="3"/>
      <x:c r="E187" s="3"/>
      <x:c r="F187" s="3"/>
    </x:row>
    <x:row r="188" ht="15.75" customHeight="1">
      <x:c r="A188" s="3"/>
      <x:c r="B188" s="3"/>
      <x:c r="C188" s="3"/>
      <x:c r="D188" s="3"/>
      <x:c r="E188" s="3"/>
      <x:c r="F188" s="3"/>
    </x:row>
    <x:row r="189" ht="15.75" customHeight="1">
      <x:c r="A189" s="3"/>
      <x:c r="B189" s="3"/>
      <x:c r="C189" s="3"/>
      <x:c r="D189" s="3"/>
      <x:c r="E189" s="3"/>
      <x:c r="F189" s="3"/>
    </x:row>
    <x:row r="190" ht="15.75" customHeight="1">
      <x:c r="A190" s="3"/>
      <x:c r="B190" s="3"/>
      <x:c r="C190" s="3"/>
      <x:c r="D190" s="3"/>
      <x:c r="E190" s="3"/>
      <x:c r="F190" s="3"/>
    </x:row>
    <x:row r="191" ht="15.75" customHeight="1">
      <x:c r="A191" s="3"/>
      <x:c r="B191" s="3"/>
      <x:c r="C191" s="3"/>
      <x:c r="D191" s="3"/>
      <x:c r="E191" s="3"/>
      <x:c r="F191" s="3"/>
    </x:row>
    <x:row r="192" ht="15.75" customHeight="1">
      <x:c r="A192" s="3"/>
      <x:c r="B192" s="3"/>
      <x:c r="C192" s="3"/>
      <x:c r="D192" s="3"/>
      <x:c r="E192" s="3"/>
      <x:c r="F192" s="3"/>
    </x:row>
    <x:row r="193" ht="15.75" customHeight="1">
      <x:c r="A193" s="3"/>
      <x:c r="B193" s="3"/>
      <x:c r="C193" s="3"/>
      <x:c r="D193" s="3"/>
      <x:c r="E193" s="3"/>
      <x:c r="F193" s="3"/>
    </x:row>
    <x:row r="194" ht="15.75" customHeight="1">
      <x:c r="A194" s="3"/>
      <x:c r="B194" s="3"/>
      <x:c r="C194" s="3"/>
      <x:c r="D194" s="3"/>
      <x:c r="E194" s="3"/>
      <x:c r="F194" s="3"/>
    </x:row>
    <x:row r="195" ht="15.75" customHeight="1">
      <x:c r="A195" s="3"/>
      <x:c r="B195" s="3"/>
      <x:c r="C195" s="3"/>
      <x:c r="D195" s="3"/>
      <x:c r="E195" s="3"/>
      <x:c r="F195" s="3"/>
    </x:row>
    <x:row r="196" ht="15.75" customHeight="1">
      <x:c r="A196" s="3"/>
      <x:c r="B196" s="3"/>
      <x:c r="C196" s="3"/>
      <x:c r="D196" s="3"/>
      <x:c r="E196" s="3"/>
      <x:c r="F196" s="3"/>
    </x:row>
    <x:row r="197" ht="15.75" customHeight="1">
      <x:c r="A197" s="3"/>
      <x:c r="B197" s="3"/>
      <x:c r="C197" s="3"/>
      <x:c r="D197" s="3"/>
      <x:c r="E197" s="3"/>
      <x:c r="F197" s="3"/>
    </x:row>
    <x:row r="198" ht="15.75" customHeight="1">
      <x:c r="A198" s="3"/>
      <x:c r="B198" s="3"/>
      <x:c r="C198" s="3"/>
      <x:c r="D198" s="3"/>
      <x:c r="E198" s="3"/>
      <x:c r="F198" s="3"/>
    </x:row>
    <x:row r="199" ht="15.75" customHeight="1">
      <x:c r="A199" s="3"/>
      <x:c r="B199" s="3"/>
      <x:c r="C199" s="3"/>
      <x:c r="D199" s="3"/>
      <x:c r="E199" s="3"/>
      <x:c r="F199" s="3"/>
    </x:row>
    <x:row r="200" ht="15.75" customHeight="1">
      <x:c r="A200" s="3"/>
      <x:c r="B200" s="3"/>
      <x:c r="C200" s="3"/>
      <x:c r="D200" s="3"/>
      <x:c r="E200" s="3"/>
      <x:c r="F200" s="3"/>
    </x:row>
    <x:row r="201" ht="15.75" customHeight="1">
      <x:c r="A201" s="3"/>
      <x:c r="B201" s="3"/>
      <x:c r="C201" s="3"/>
      <x:c r="D201" s="3"/>
      <x:c r="E201" s="3"/>
      <x:c r="F201" s="3"/>
    </x:row>
    <x:row r="202" ht="15.75" customHeight="1">
      <x:c r="A202" s="3"/>
      <x:c r="B202" s="3"/>
      <x:c r="C202" s="3"/>
      <x:c r="D202" s="3"/>
      <x:c r="E202" s="3"/>
      <x:c r="F202" s="3"/>
    </x:row>
    <x:row r="203" ht="15.75" customHeight="1">
      <x:c r="A203" s="3"/>
      <x:c r="B203" s="3"/>
      <x:c r="C203" s="3"/>
      <x:c r="D203" s="3"/>
      <x:c r="E203" s="3"/>
      <x:c r="F203" s="3"/>
    </x:row>
    <x:row r="204" ht="15.75" customHeight="1">
      <x:c r="A204" s="3"/>
      <x:c r="B204" s="3"/>
      <x:c r="C204" s="3"/>
      <x:c r="D204" s="3"/>
      <x:c r="E204" s="3"/>
      <x:c r="F204" s="3"/>
    </x:row>
    <x:row r="205" ht="15.75" customHeight="1">
      <x:c r="A205" s="3"/>
      <x:c r="B205" s="3"/>
      <x:c r="C205" s="3"/>
      <x:c r="D205" s="3"/>
      <x:c r="E205" s="3"/>
      <x:c r="F205" s="3"/>
    </x:row>
    <x:row r="206" ht="15.75" customHeight="1">
      <x:c r="A206" s="3"/>
      <x:c r="B206" s="3"/>
      <x:c r="C206" s="3"/>
      <x:c r="D206" s="3"/>
      <x:c r="E206" s="3"/>
      <x:c r="F206" s="3"/>
    </x:row>
    <x:row r="207" ht="15.75" customHeight="1">
      <x:c r="A207" s="3"/>
      <x:c r="B207" s="3"/>
      <x:c r="C207" s="3"/>
      <x:c r="D207" s="3"/>
      <x:c r="E207" s="3"/>
      <x:c r="F207" s="3"/>
    </x:row>
    <x:row r="208" ht="15.75" customHeight="1">
      <x:c r="A208" s="3"/>
      <x:c r="B208" s="3"/>
      <x:c r="C208" s="3"/>
      <x:c r="D208" s="3"/>
      <x:c r="E208" s="3"/>
      <x:c r="F208" s="3"/>
    </x:row>
    <x:row r="209" ht="15.75" customHeight="1">
      <x:c r="A209" s="3"/>
      <x:c r="B209" s="3"/>
      <x:c r="C209" s="3"/>
      <x:c r="D209" s="3"/>
      <x:c r="E209" s="3"/>
      <x:c r="F209" s="3"/>
    </x:row>
    <x:row r="210" ht="15.75" customHeight="1">
      <x:c r="A210" s="3"/>
      <x:c r="B210" s="3"/>
      <x:c r="C210" s="3"/>
      <x:c r="D210" s="3"/>
      <x:c r="E210" s="3"/>
      <x:c r="F210" s="3"/>
    </x:row>
    <x:row r="211" ht="15.75" customHeight="1">
      <x:c r="A211" s="3"/>
      <x:c r="B211" s="3"/>
      <x:c r="C211" s="3"/>
      <x:c r="D211" s="3"/>
      <x:c r="E211" s="3"/>
      <x:c r="F211" s="3"/>
    </x:row>
    <x:row r="212" ht="15.75" customHeight="1">
      <x:c r="A212" s="3"/>
      <x:c r="B212" s="3"/>
      <x:c r="C212" s="3"/>
      <x:c r="D212" s="3"/>
      <x:c r="E212" s="3"/>
      <x:c r="F212" s="3"/>
    </x:row>
    <x:row r="213" ht="15.75" customHeight="1">
      <x:c r="A213" s="3"/>
      <x:c r="B213" s="3"/>
      <x:c r="C213" s="3"/>
      <x:c r="D213" s="3"/>
      <x:c r="E213" s="3"/>
      <x:c r="F213" s="3"/>
    </x:row>
    <x:row r="214" ht="15.75" customHeight="1">
      <x:c r="A214" s="3"/>
      <x:c r="B214" s="3"/>
      <x:c r="C214" s="3"/>
      <x:c r="D214" s="3"/>
      <x:c r="E214" s="3"/>
      <x:c r="F214" s="3"/>
    </x:row>
    <x:row r="215" ht="15.75" customHeight="1">
      <x:c r="A215" s="3"/>
      <x:c r="B215" s="3"/>
      <x:c r="C215" s="3"/>
      <x:c r="D215" s="3"/>
      <x:c r="E215" s="3"/>
      <x:c r="F215" s="3"/>
    </x:row>
    <x:row r="216" ht="15.75" customHeight="1">
      <x:c r="A216" s="3"/>
      <x:c r="B216" s="3"/>
      <x:c r="C216" s="3"/>
      <x:c r="D216" s="3"/>
      <x:c r="E216" s="3"/>
      <x:c r="F216" s="3"/>
    </x:row>
    <x:row r="217" ht="15.75" customHeight="1">
      <x:c r="A217" s="3"/>
      <x:c r="B217" s="3"/>
      <x:c r="C217" s="3"/>
      <x:c r="D217" s="3"/>
      <x:c r="E217" s="3"/>
      <x:c r="F217" s="3"/>
    </x:row>
    <x:row r="218" ht="15.75" customHeight="1">
      <x:c r="A218" s="3"/>
      <x:c r="B218" s="3"/>
      <x:c r="C218" s="3"/>
      <x:c r="D218" s="3"/>
      <x:c r="E218" s="3"/>
      <x:c r="F218" s="3"/>
    </x:row>
    <x:row r="219" ht="15.75" customHeight="1">
      <x:c r="A219" s="3"/>
      <x:c r="B219" s="3"/>
      <x:c r="C219" s="3"/>
      <x:c r="D219" s="3"/>
      <x:c r="E219" s="3"/>
      <x:c r="F219" s="3"/>
    </x:row>
    <x:row r="220" ht="15.75" customHeight="1">
      <x:c r="A220" s="3"/>
      <x:c r="B220" s="3"/>
      <x:c r="C220" s="3"/>
      <x:c r="D220" s="3"/>
      <x:c r="E220" s="3"/>
      <x:c r="F220" s="3"/>
    </x:row>
    <x:row r="221" ht="15.75" customHeight="1">
      <x:c r="A221" s="3"/>
      <x:c r="B221" s="3"/>
      <x:c r="C221" s="3"/>
      <x:c r="D221" s="3"/>
      <x:c r="E221" s="3"/>
      <x:c r="F221" s="3"/>
    </x:row>
    <x:row r="222" ht="15.75" customHeight="1">
      <x:c r="A222" s="3"/>
      <x:c r="B222" s="3"/>
      <x:c r="C222" s="3"/>
      <x:c r="D222" s="3"/>
      <x:c r="E222" s="3"/>
      <x:c r="F222" s="3"/>
    </x:row>
    <x:row r="223" ht="15.75" customHeight="1">
      <x:c r="A223" s="3"/>
      <x:c r="B223" s="3"/>
      <x:c r="C223" s="3"/>
      <x:c r="D223" s="3"/>
      <x:c r="E223" s="3"/>
      <x:c r="F223" s="3"/>
    </x:row>
    <x:row r="224" ht="15.75" customHeight="1">
      <x:c r="A224" s="3"/>
      <x:c r="B224" s="3"/>
      <x:c r="C224" s="3"/>
      <x:c r="D224" s="3"/>
      <x:c r="E224" s="3"/>
      <x:c r="F224" s="3"/>
    </x:row>
    <x:row r="225" ht="15.75" customHeight="1">
      <x:c r="A225" s="3"/>
      <x:c r="B225" s="3"/>
      <x:c r="C225" s="3"/>
      <x:c r="D225" s="3"/>
      <x:c r="E225" s="3"/>
      <x:c r="F225" s="3"/>
    </x:row>
    <x:row r="226" ht="15.75" customHeight="1">
      <x:c r="A226" s="3"/>
      <x:c r="B226" s="3"/>
      <x:c r="C226" s="3"/>
      <x:c r="D226" s="3"/>
      <x:c r="E226" s="3"/>
      <x:c r="F226" s="3"/>
    </x:row>
    <x:row r="227" ht="15.75" customHeight="1">
      <x:c r="A227" s="3"/>
      <x:c r="B227" s="3"/>
      <x:c r="C227" s="3"/>
      <x:c r="D227" s="3"/>
      <x:c r="E227" s="3"/>
      <x:c r="F227" s="3"/>
    </x:row>
    <x:row r="228" ht="15.75" customHeight="1">
      <x:c r="A228" s="3"/>
      <x:c r="B228" s="3"/>
      <x:c r="C228" s="3"/>
      <x:c r="D228" s="3"/>
      <x:c r="E228" s="3"/>
      <x:c r="F228" s="3"/>
    </x:row>
    <x:row r="229" ht="15.75" customHeight="1">
      <x:c r="A229" s="3"/>
      <x:c r="B229" s="3"/>
      <x:c r="C229" s="3"/>
      <x:c r="D229" s="3"/>
      <x:c r="E229" s="3"/>
      <x:c r="F229" s="3"/>
    </x:row>
    <x:row r="230" ht="15.75" customHeight="1">
      <x:c r="A230" s="3"/>
      <x:c r="B230" s="3"/>
      <x:c r="C230" s="3"/>
      <x:c r="D230" s="3"/>
      <x:c r="E230" s="3"/>
      <x:c r="F230" s="3"/>
    </x:row>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2:F2"/>
    <x:mergeCell ref="A32:F32"/>
    <x:mergeCell ref="C33:F33"/>
    <x:mergeCell ref="C34:F34"/>
    <x:mergeCell ref="C35:F35"/>
  </x:mergeCells>
  <x:conditionalFormatting sqref="E6:E9">
    <x:cfRule type="expression" dxfId="1" priority="1">
      <x:formula>E6="OK"</x:formula>
    </x:cfRule>
  </x:conditionalFormatting>
  <x:conditionalFormatting sqref="E6:E9">
    <x:cfRule type="expression" dxfId="0" priority="2">
      <x:formula>E6="Falta"</x:formula>
    </x:cfRule>
  </x:conditionalFormatting>
  <x:conditionalFormatting sqref="E6:E9">
    <x:cfRule type="expression" dxfId="2" priority="3">
      <x:formula>E6="Justo"</x:formula>
    </x:cfRule>
  </x:conditionalFormatting>
  <x:conditionalFormatting sqref="D13:D30">
    <x:cfRule type="expression" dxfId="0" priority="4">
      <x:formula>ISNUMBER(SEARCH("FALTA",D13))</x:formula>
    </x:cfRule>
  </x:conditionalFormatting>
  <x:conditionalFormatting sqref="D13:D30">
    <x:cfRule type="expression" dxfId="0" priority="5">
      <x:formula>ISNUMBER(SEARCH("Resolver",D13))</x:formula>
    </x:cfRule>
  </x:conditionalFormatting>
  <x:conditionalFormatting sqref="D13:D30">
    <x:cfRule type="expression" dxfId="0" priority="6">
      <x:formula>ISNUMBER(SEARCH("Sin respaldo",D13))</x:formula>
    </x:cfRule>
  </x:conditionalFormatting>
  <x:pageMargins left="0.7" right="0.7" top="0.75" bottom="0.75" header="0.3" footer="0.3"/>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ColWidth="14.430000305175781" defaultRowHeight="15"/>
  <x:cols>
    <x:col min="1" max="1" width="6" customWidth="1"/>
    <x:col min="2" max="2" width="9" customWidth="1"/>
    <x:col min="3" max="3" width="26.56999969482422" customWidth="1"/>
    <x:col min="4" max="4" width="64" customWidth="1"/>
    <x:col min="5" max="5" width="12" customWidth="1"/>
    <x:col min="6" max="6" width="15" customWidth="1"/>
    <x:col min="7" max="7" width="11.859999656677246" customWidth="1"/>
    <x:col min="8" max="8" width="19.860000610351562" customWidth="1"/>
    <x:col min="9" max="9" width="40" customWidth="1"/>
  </x:cols>
  <x:sheetData>
    <x:row r="1" ht="17.25" customHeight="1">
      <x:c r="A1" s="1" t="s">
        <x:v>392</x:v>
      </x:c>
    </x:row>
    <x:row r="2" ht="15" customHeight="1">
      <x:c r="A2" s="2" t="s">
        <x:v>393</x:v>
      </x:c>
    </x:row>
    <x:row r="3">
      <x:c r="A3" s="3"/>
      <x:c r="B3" s="3"/>
      <x:c r="C3" s="3"/>
      <x:c r="D3" s="4"/>
      <x:c r="E3" s="3"/>
      <x:c r="F3" s="3"/>
      <x:c r="G3" s="3"/>
      <x:c r="H3" s="3"/>
    </x:row>
    <x:row r="4" ht="27.75" customHeight="1">
      <x:c r="A4" s="5" t="s">
        <x:v>394</x:v>
      </x:c>
      <x:c r="B4" s="5" t="s">
        <x:v>353</x:v>
      </x:c>
      <x:c r="C4" s="5" t="s">
        <x:v>65</x:v>
      </x:c>
      <x:c r="D4" s="5" t="s">
        <x:v>395</x:v>
      </x:c>
      <x:c r="E4" s="5" t="s">
        <x:v>396</x:v>
      </x:c>
      <x:c r="F4" s="5" t="s">
        <x:v>397</x:v>
      </x:c>
      <x:c r="G4" s="5" t="s">
        <x:v>398</x:v>
      </x:c>
      <x:c r="H4" s="5" t="s">
        <x:v>399</x:v>
      </x:c>
      <x:c r="I4" s="5" t="s">
        <x:v>400</x:v>
      </x:c>
    </x:row>
    <x:row r="5" ht="43.5" customHeight="1">
      <x:c r="A5" s="13" t="n">
        <x:f t="shared" ref="A5:A59" si="1">IF(D5="","",ROW()-4)</x:f>
        <x:v>1</x:v>
      </x:c>
      <x:c r="B5" s="13" t="s">
        <x:v>359</x:v>
      </x:c>
      <x:c r="C5" s="13" t="s">
        <x:v>401</x:v>
      </x:c>
      <x:c r="D5" s="15" t="s">
        <x:v>402</x:v>
      </x:c>
      <x:c r="E5" s="16">
        <x:v>46268.0</x:v>
      </x:c>
      <x:c r="F5" s="13">
        <x:v>25.0</x:v>
      </x:c>
      <x:c r="G5" s="13">
        <x:v>3.0</x:v>
      </x:c>
      <x:c r="H5" s="13" t="s">
        <x:v>103</x:v>
      </x:c>
    </x:row>
    <x:row r="6" ht="43.5" customHeight="1">
      <x:c r="A6" s="13">
        <x:f t="shared" si="1"/>
        <x:v>2</x:v>
      </x:c>
      <x:c r="B6" s="13" t="s">
        <x:v>5</x:v>
      </x:c>
      <x:c r="C6" s="13" t="s">
        <x:v>403</x:v>
      </x:c>
      <x:c r="D6" s="15" t="s">
        <x:v>404</x:v>
      </x:c>
      <x:c r="E6" s="13"/>
      <x:c r="F6" s="13"/>
      <x:c r="G6" s="13"/>
      <x:c r="H6" s="13"/>
    </x:row>
    <x:row r="7" ht="43.5" customHeight="1">
      <x:c r="A7" s="13">
        <x:f t="shared" si="1"/>
        <x:v>3</x:v>
      </x:c>
      <x:c r="B7" s="13" t="s">
        <x:v>5</x:v>
      </x:c>
      <x:c r="C7" s="13" t="s">
        <x:v>82</x:v>
      </x:c>
      <x:c r="D7" s="15" t="s">
        <x:v>405</x:v>
      </x:c>
      <x:c r="E7" s="13"/>
      <x:c r="F7" s="13"/>
      <x:c r="G7" s="13"/>
      <x:c r="H7" s="13"/>
    </x:row>
    <x:row r="8" ht="43.5" customHeight="1">
      <x:c r="A8" s="13">
        <x:f t="shared" si="1"/>
        <x:v>4</x:v>
      </x:c>
      <x:c r="B8" s="13" t="s">
        <x:v>5</x:v>
      </x:c>
      <x:c r="C8" s="13" t="s">
        <x:v>406</x:v>
      </x:c>
      <x:c r="D8" s="15" t="s">
        <x:v>407</x:v>
      </x:c>
      <x:c r="E8" s="13"/>
      <x:c r="F8" s="13"/>
      <x:c r="G8" s="13"/>
      <x:c r="H8" s="13"/>
    </x:row>
    <x:row r="9" ht="43.5" customHeight="1">
      <x:c r="A9" s="13">
        <x:f t="shared" si="1"/>
        <x:v>5</x:v>
      </x:c>
      <x:c r="B9" s="13" t="s">
        <x:v>5</x:v>
      </x:c>
      <x:c r="C9" s="13" t="s">
        <x:v>401</x:v>
      </x:c>
      <x:c r="D9" s="15" t="s">
        <x:v>407</x:v>
      </x:c>
      <x:c r="E9" s="13"/>
      <x:c r="F9" s="13"/>
      <x:c r="G9" s="13"/>
      <x:c r="H9" s="13"/>
    </x:row>
    <x:row r="10" ht="43.5" customHeight="1">
      <x:c r="A10" s="13">
        <x:f t="shared" si="1"/>
        <x:v>6</x:v>
      </x:c>
      <x:c r="B10" s="13" t="s">
        <x:v>5</x:v>
      </x:c>
      <x:c r="C10" s="13" t="s">
        <x:v>408</x:v>
      </x:c>
      <x:c r="D10" s="15" t="s">
        <x:v>409</x:v>
      </x:c>
      <x:c r="E10" s="13"/>
      <x:c r="F10" s="13"/>
      <x:c r="G10" s="13"/>
      <x:c r="H10" s="13"/>
    </x:row>
    <x:row r="11" ht="43.5" customHeight="1">
      <x:c r="A11" s="13">
        <x:f t="shared" si="1"/>
        <x:v>7</x:v>
      </x:c>
      <x:c r="B11" s="13" t="s">
        <x:v>5</x:v>
      </x:c>
      <x:c r="C11" s="13" t="s">
        <x:v>403</x:v>
      </x:c>
      <x:c r="D11" s="15" t="s">
        <x:v>410</x:v>
      </x:c>
      <x:c r="E11" s="13"/>
      <x:c r="F11" s="13"/>
      <x:c r="G11" s="13"/>
      <x:c r="H11" s="13"/>
    </x:row>
    <x:row r="12" ht="43.5" customHeight="1">
      <x:c r="A12" s="13">
        <x:f t="shared" si="1"/>
        <x:v>8</x:v>
      </x:c>
      <x:c r="B12" s="13" t="s">
        <x:v>5</x:v>
      </x:c>
      <x:c r="C12" s="13" t="s">
        <x:v>82</x:v>
      </x:c>
      <x:c r="D12" s="15" t="s">
        <x:v>411</x:v>
      </x:c>
      <x:c r="E12" s="13"/>
      <x:c r="F12" s="13"/>
      <x:c r="G12" s="13"/>
      <x:c r="H12" s="13"/>
    </x:row>
    <x:row r="13" ht="43.5" customHeight="1">
      <x:c r="A13" s="13">
        <x:f t="shared" si="1"/>
        <x:v>9</x:v>
      </x:c>
      <x:c r="B13" s="13" t="s">
        <x:v>5</x:v>
      </x:c>
      <x:c r="C13" s="13" t="s">
        <x:v>406</x:v>
      </x:c>
      <x:c r="D13" s="15" t="s">
        <x:v>412</x:v>
      </x:c>
      <x:c r="E13" s="13"/>
      <x:c r="F13" s="13"/>
      <x:c r="G13" s="13"/>
      <x:c r="H13" s="13"/>
    </x:row>
    <x:row r="14" ht="43.5" customHeight="1">
      <x:c r="A14" s="13">
        <x:f t="shared" si="1"/>
        <x:v>10</x:v>
      </x:c>
      <x:c r="B14" s="13" t="s">
        <x:v>5</x:v>
      </x:c>
      <x:c r="C14" s="13" t="s">
        <x:v>401</x:v>
      </x:c>
      <x:c r="D14" s="15" t="s">
        <x:v>412</x:v>
      </x:c>
      <x:c r="E14" s="13"/>
      <x:c r="F14" s="13"/>
      <x:c r="G14" s="13"/>
      <x:c r="H14" s="13"/>
    </x:row>
    <x:row r="15" ht="43.5" customHeight="1">
      <x:c r="A15" s="13">
        <x:f t="shared" si="1"/>
        <x:v>11</x:v>
      </x:c>
      <x:c r="B15" s="13" t="s">
        <x:v>5</x:v>
      </x:c>
      <x:c r="C15" s="13" t="s">
        <x:v>408</x:v>
      </x:c>
      <x:c r="D15" s="15" t="s">
        <x:v>413</x:v>
      </x:c>
      <x:c r="E15" s="13"/>
      <x:c r="F15" s="13"/>
      <x:c r="G15" s="13"/>
      <x:c r="H15" s="13"/>
    </x:row>
    <x:row r="16" ht="43.5" customHeight="1">
      <x:c r="A16" s="13">
        <x:f t="shared" si="1"/>
        <x:v>12</x:v>
      </x:c>
      <x:c r="B16" s="13" t="s">
        <x:v>5</x:v>
      </x:c>
      <x:c r="C16" s="13" t="s">
        <x:v>403</x:v>
      </x:c>
      <x:c r="D16" s="15" t="s">
        <x:v>414</x:v>
      </x:c>
      <x:c r="E16" s="13"/>
      <x:c r="F16" s="13"/>
      <x:c r="G16" s="13"/>
      <x:c r="H16" s="13"/>
    </x:row>
    <x:row r="17" ht="43.5" customHeight="1">
      <x:c r="A17" s="13">
        <x:f t="shared" si="1"/>
        <x:v>13</x:v>
      </x:c>
      <x:c r="B17" s="13" t="s">
        <x:v>5</x:v>
      </x:c>
      <x:c r="C17" s="13" t="s">
        <x:v>82</x:v>
      </x:c>
      <x:c r="D17" s="15" t="s">
        <x:v>415</x:v>
      </x:c>
      <x:c r="E17" s="13"/>
      <x:c r="F17" s="13"/>
      <x:c r="G17" s="13"/>
      <x:c r="H17" s="13"/>
    </x:row>
    <x:row r="18" ht="43.5" customHeight="1">
      <x:c r="A18" s="13">
        <x:f t="shared" si="1"/>
        <x:v>14</x:v>
      </x:c>
      <x:c r="B18" s="13" t="s">
        <x:v>5</x:v>
      </x:c>
      <x:c r="C18" s="13" t="s">
        <x:v>406</x:v>
      </x:c>
      <x:c r="D18" s="15" t="s">
        <x:v>416</x:v>
      </x:c>
      <x:c r="E18" s="13"/>
      <x:c r="F18" s="13"/>
      <x:c r="G18" s="13"/>
      <x:c r="H18" s="13"/>
    </x:row>
    <x:row r="19" ht="43.5" customHeight="1">
      <x:c r="A19" s="13">
        <x:f t="shared" si="1"/>
        <x:v>15</x:v>
      </x:c>
      <x:c r="B19" s="13" t="s">
        <x:v>5</x:v>
      </x:c>
      <x:c r="C19" s="13" t="s">
        <x:v>401</x:v>
      </x:c>
      <x:c r="D19" s="15" t="s">
        <x:v>416</x:v>
      </x:c>
      <x:c r="E19" s="13"/>
      <x:c r="F19" s="13"/>
      <x:c r="G19" s="13"/>
      <x:c r="H19" s="13"/>
    </x:row>
    <x:row r="20" ht="43.5" customHeight="1">
      <x:c r="A20" s="13">
        <x:f t="shared" si="1"/>
        <x:v>16</x:v>
      </x:c>
      <x:c r="B20" s="13" t="s">
        <x:v>5</x:v>
      </x:c>
      <x:c r="C20" s="13" t="s">
        <x:v>408</x:v>
      </x:c>
      <x:c r="D20" s="15" t="s">
        <x:v>417</x:v>
      </x:c>
      <x:c r="E20" s="13"/>
      <x:c r="F20" s="13"/>
      <x:c r="G20" s="13"/>
      <x:c r="H20" s="13"/>
    </x:row>
    <x:row r="21" ht="43.5" customHeight="1">
      <x:c r="A21" s="13">
        <x:f t="shared" si="1"/>
        <x:v>17</x:v>
      </x:c>
      <x:c r="B21" s="13" t="s">
        <x:v>5</x:v>
      </x:c>
      <x:c r="C21" s="13" t="s">
        <x:v>403</x:v>
      </x:c>
      <x:c r="D21" s="15" t="s">
        <x:v>418</x:v>
      </x:c>
      <x:c r="E21" s="13"/>
      <x:c r="F21" s="13"/>
      <x:c r="G21" s="13"/>
      <x:c r="H21" s="13"/>
    </x:row>
    <x:row r="22" ht="43.5" customHeight="1">
      <x:c r="A22" s="13">
        <x:f t="shared" si="1"/>
        <x:v>18</x:v>
      </x:c>
      <x:c r="B22" s="13" t="s">
        <x:v>5</x:v>
      </x:c>
      <x:c r="C22" s="13" t="s">
        <x:v>82</x:v>
      </x:c>
      <x:c r="D22" s="15" t="s">
        <x:v>419</x:v>
      </x:c>
      <x:c r="E22" s="13"/>
      <x:c r="F22" s="13"/>
      <x:c r="G22" s="13"/>
      <x:c r="H22" s="13"/>
    </x:row>
    <x:row r="23" ht="43.5" customHeight="1">
      <x:c r="A23" s="13">
        <x:f t="shared" si="1"/>
        <x:v>19</x:v>
      </x:c>
      <x:c r="B23" s="13" t="s">
        <x:v>5</x:v>
      </x:c>
      <x:c r="C23" s="13" t="s">
        <x:v>406</x:v>
      </x:c>
      <x:c r="D23" s="15" t="s">
        <x:v>420</x:v>
      </x:c>
      <x:c r="E23" s="13"/>
      <x:c r="F23" s="13"/>
      <x:c r="G23" s="13"/>
      <x:c r="H23" s="13"/>
    </x:row>
    <x:row r="24" ht="43.5" customHeight="1">
      <x:c r="A24" s="13">
        <x:f t="shared" si="1"/>
        <x:v>20</x:v>
      </x:c>
      <x:c r="B24" s="13" t="s">
        <x:v>5</x:v>
      </x:c>
      <x:c r="C24" s="13" t="s">
        <x:v>401</x:v>
      </x:c>
      <x:c r="D24" s="15" t="s">
        <x:v>420</x:v>
      </x:c>
      <x:c r="E24" s="13"/>
      <x:c r="F24" s="13"/>
      <x:c r="G24" s="13"/>
      <x:c r="H24" s="13"/>
    </x:row>
    <x:row r="25" ht="43.5" customHeight="1">
      <x:c r="A25" s="13">
        <x:f t="shared" si="1"/>
        <x:v>21</x:v>
      </x:c>
      <x:c r="B25" s="13" t="s">
        <x:v>5</x:v>
      </x:c>
      <x:c r="C25" s="13" t="s">
        <x:v>408</x:v>
      </x:c>
      <x:c r="D25" s="15" t="s">
        <x:v>421</x:v>
      </x:c>
      <x:c r="E25" s="13"/>
      <x:c r="F25" s="13"/>
      <x:c r="G25" s="13"/>
      <x:c r="H25" s="13"/>
    </x:row>
    <x:row r="26" ht="43.5" customHeight="1">
      <x:c r="A26" s="13">
        <x:f t="shared" si="1"/>
        <x:v>22</x:v>
      </x:c>
      <x:c r="B26" s="13" t="s">
        <x:v>9</x:v>
      </x:c>
      <x:c r="C26" s="13" t="s">
        <x:v>403</x:v>
      </x:c>
      <x:c r="D26" s="15" t="s">
        <x:v>422</x:v>
      </x:c>
      <x:c r="E26" s="13"/>
      <x:c r="F26" s="13"/>
      <x:c r="G26" s="13"/>
      <x:c r="H26" s="13"/>
    </x:row>
    <x:row r="27" ht="43.5" customHeight="1">
      <x:c r="A27" s="13">
        <x:f t="shared" si="1"/>
        <x:v>23</x:v>
      </x:c>
      <x:c r="B27" s="13" t="s">
        <x:v>9</x:v>
      </x:c>
      <x:c r="C27" s="13" t="s">
        <x:v>82</x:v>
      </x:c>
      <x:c r="D27" s="15" t="s">
        <x:v>423</x:v>
      </x:c>
      <x:c r="E27" s="13"/>
      <x:c r="F27" s="13"/>
      <x:c r="G27" s="13"/>
      <x:c r="H27" s="13"/>
    </x:row>
    <x:row r="28" ht="43.5" customHeight="1">
      <x:c r="A28" s="13">
        <x:f t="shared" si="1"/>
        <x:v>24</x:v>
      </x:c>
      <x:c r="B28" s="13" t="s">
        <x:v>9</x:v>
      </x:c>
      <x:c r="C28" s="13" t="s">
        <x:v>406</x:v>
      </x:c>
      <x:c r="D28" s="15" t="s">
        <x:v>424</x:v>
      </x:c>
      <x:c r="E28" s="13"/>
      <x:c r="F28" s="13"/>
      <x:c r="G28" s="13"/>
      <x:c r="H28" s="13"/>
    </x:row>
    <x:row r="29" ht="43.5" customHeight="1">
      <x:c r="A29" s="13">
        <x:f t="shared" si="1"/>
        <x:v>25</x:v>
      </x:c>
      <x:c r="B29" s="13" t="s">
        <x:v>9</x:v>
      </x:c>
      <x:c r="C29" s="13" t="s">
        <x:v>401</x:v>
      </x:c>
      <x:c r="D29" s="15" t="s">
        <x:v>424</x:v>
      </x:c>
      <x:c r="E29" s="13"/>
      <x:c r="F29" s="13"/>
      <x:c r="G29" s="13"/>
      <x:c r="H29" s="13"/>
    </x:row>
    <x:row r="30" ht="43.5" customHeight="1">
      <x:c r="A30" s="13">
        <x:f t="shared" si="1"/>
        <x:v>26</x:v>
      </x:c>
      <x:c r="B30" s="13" t="s">
        <x:v>9</x:v>
      </x:c>
      <x:c r="C30" s="13" t="s">
        <x:v>408</x:v>
      </x:c>
      <x:c r="D30" s="15" t="s">
        <x:v>425</x:v>
      </x:c>
      <x:c r="E30" s="13"/>
      <x:c r="F30" s="13"/>
      <x:c r="G30" s="13"/>
      <x:c r="H30" s="13"/>
    </x:row>
    <x:row r="31" ht="43.5" customHeight="1">
      <x:c r="A31" s="13">
        <x:f t="shared" si="1"/>
        <x:v>27</x:v>
      </x:c>
      <x:c r="B31" s="13" t="s">
        <x:v>9</x:v>
      </x:c>
      <x:c r="C31" s="13" t="s">
        <x:v>403</x:v>
      </x:c>
      <x:c r="D31" s="15" t="s">
        <x:v>426</x:v>
      </x:c>
      <x:c r="E31" s="13"/>
      <x:c r="F31" s="13"/>
      <x:c r="G31" s="13"/>
      <x:c r="H31" s="13"/>
    </x:row>
    <x:row r="32" ht="43.5" customHeight="1">
      <x:c r="A32" s="13">
        <x:f t="shared" si="1"/>
        <x:v>28</x:v>
      </x:c>
      <x:c r="B32" s="13" t="s">
        <x:v>9</x:v>
      </x:c>
      <x:c r="C32" s="13" t="s">
        <x:v>82</x:v>
      </x:c>
      <x:c r="D32" s="15" t="s">
        <x:v>427</x:v>
      </x:c>
      <x:c r="E32" s="13"/>
      <x:c r="F32" s="13"/>
      <x:c r="G32" s="13"/>
      <x:c r="H32" s="13"/>
    </x:row>
    <x:row r="33" ht="43.5" customHeight="1">
      <x:c r="A33" s="13">
        <x:f t="shared" si="1"/>
        <x:v>29</x:v>
      </x:c>
      <x:c r="B33" s="13" t="s">
        <x:v>9</x:v>
      </x:c>
      <x:c r="C33" s="13" t="s">
        <x:v>406</x:v>
      </x:c>
      <x:c r="D33" s="15" t="s">
        <x:v>428</x:v>
      </x:c>
      <x:c r="E33" s="13"/>
      <x:c r="F33" s="13"/>
      <x:c r="G33" s="13"/>
      <x:c r="H33" s="13"/>
    </x:row>
    <x:row r="34" ht="43.5" customHeight="1">
      <x:c r="A34" s="13">
        <x:f t="shared" si="1"/>
        <x:v>30</x:v>
      </x:c>
      <x:c r="B34" s="13" t="s">
        <x:v>9</x:v>
      </x:c>
      <x:c r="C34" s="13" t="s">
        <x:v>401</x:v>
      </x:c>
      <x:c r="D34" s="15" t="s">
        <x:v>428</x:v>
      </x:c>
      <x:c r="E34" s="13"/>
      <x:c r="F34" s="13"/>
      <x:c r="G34" s="13"/>
      <x:c r="H34" s="13"/>
    </x:row>
    <x:row r="35" ht="43.5" customHeight="1">
      <x:c r="A35" s="13">
        <x:f t="shared" si="1"/>
        <x:v>31</x:v>
      </x:c>
      <x:c r="B35" s="13" t="s">
        <x:v>9</x:v>
      </x:c>
      <x:c r="C35" s="13" t="s">
        <x:v>408</x:v>
      </x:c>
      <x:c r="D35" s="15" t="s">
        <x:v>429</x:v>
      </x:c>
      <x:c r="E35" s="13"/>
      <x:c r="F35" s="13"/>
      <x:c r="G35" s="13"/>
      <x:c r="H35" s="13"/>
    </x:row>
    <x:row r="36" ht="43.5" customHeight="1">
      <x:c r="A36" s="13">
        <x:f t="shared" si="1"/>
        <x:v>32</x:v>
      </x:c>
      <x:c r="B36" s="13" t="s">
        <x:v>9</x:v>
      </x:c>
      <x:c r="C36" s="13" t="s">
        <x:v>403</x:v>
      </x:c>
      <x:c r="D36" s="15" t="s">
        <x:v>430</x:v>
      </x:c>
      <x:c r="E36" s="13"/>
      <x:c r="F36" s="13"/>
      <x:c r="G36" s="13"/>
      <x:c r="H36" s="13"/>
    </x:row>
    <x:row r="37" ht="43.5" customHeight="1">
      <x:c r="A37" s="13">
        <x:f t="shared" si="1"/>
        <x:v>33</x:v>
      </x:c>
      <x:c r="B37" s="13" t="s">
        <x:v>9</x:v>
      </x:c>
      <x:c r="C37" s="13" t="s">
        <x:v>82</x:v>
      </x:c>
      <x:c r="D37" s="15" t="s">
        <x:v>431</x:v>
      </x:c>
      <x:c r="E37" s="13"/>
      <x:c r="F37" s="13"/>
      <x:c r="G37" s="13"/>
      <x:c r="H37" s="13"/>
    </x:row>
    <x:row r="38" ht="43.5" customHeight="1">
      <x:c r="A38" s="13">
        <x:f t="shared" si="1"/>
        <x:v>34</x:v>
      </x:c>
      <x:c r="B38" s="13" t="s">
        <x:v>9</x:v>
      </x:c>
      <x:c r="C38" s="13" t="s">
        <x:v>406</x:v>
      </x:c>
      <x:c r="D38" s="15" t="s">
        <x:v>432</x:v>
      </x:c>
      <x:c r="E38" s="13"/>
      <x:c r="F38" s="13"/>
      <x:c r="G38" s="13"/>
      <x:c r="H38" s="13"/>
    </x:row>
    <x:row r="39" ht="43.5" customHeight="1">
      <x:c r="A39" s="13">
        <x:f t="shared" si="1"/>
        <x:v>35</x:v>
      </x:c>
      <x:c r="B39" s="13" t="s">
        <x:v>9</x:v>
      </x:c>
      <x:c r="C39" s="13" t="s">
        <x:v>401</x:v>
      </x:c>
      <x:c r="D39" s="15" t="s">
        <x:v>432</x:v>
      </x:c>
      <x:c r="E39" s="13"/>
      <x:c r="F39" s="13"/>
      <x:c r="G39" s="13"/>
      <x:c r="H39" s="13"/>
    </x:row>
    <x:row r="40" ht="43.5" customHeight="1">
      <x:c r="A40" s="13">
        <x:f t="shared" si="1"/>
        <x:v>36</x:v>
      </x:c>
      <x:c r="B40" s="13" t="s">
        <x:v>9</x:v>
      </x:c>
      <x:c r="C40" s="13" t="s">
        <x:v>408</x:v>
      </x:c>
      <x:c r="D40" s="15" t="s">
        <x:v>433</x:v>
      </x:c>
      <x:c r="E40" s="13"/>
      <x:c r="F40" s="13"/>
      <x:c r="G40" s="13"/>
      <x:c r="H40" s="13"/>
    </x:row>
    <x:row r="41" ht="43.5" customHeight="1">
      <x:c r="A41" s="13">
        <x:f t="shared" si="1"/>
        <x:v>37</x:v>
      </x:c>
      <x:c r="B41" s="13" t="s">
        <x:v>13</x:v>
      </x:c>
      <x:c r="C41" s="13" t="s">
        <x:v>403</x:v>
      </x:c>
      <x:c r="D41" s="15" t="s">
        <x:v>434</x:v>
      </x:c>
      <x:c r="E41" s="13"/>
      <x:c r="F41" s="13"/>
      <x:c r="G41" s="13"/>
      <x:c r="H41" s="13"/>
    </x:row>
    <x:row r="42" ht="43.5" customHeight="1">
      <x:c r="A42" s="13">
        <x:f t="shared" si="1"/>
        <x:v>38</x:v>
      </x:c>
      <x:c r="B42" s="13" t="s">
        <x:v>13</x:v>
      </x:c>
      <x:c r="C42" s="13" t="s">
        <x:v>82</x:v>
      </x:c>
      <x:c r="D42" s="15" t="s">
        <x:v>435</x:v>
      </x:c>
      <x:c r="E42" s="13"/>
      <x:c r="F42" s="13"/>
      <x:c r="G42" s="13"/>
      <x:c r="H42" s="13"/>
    </x:row>
    <x:row r="43" ht="43.5" customHeight="1">
      <x:c r="A43" s="13">
        <x:f t="shared" si="1"/>
        <x:v>39</x:v>
      </x:c>
      <x:c r="B43" s="13" t="s">
        <x:v>13</x:v>
      </x:c>
      <x:c r="C43" s="13" t="s">
        <x:v>406</x:v>
      </x:c>
      <x:c r="D43" s="15" t="s">
        <x:v>436</x:v>
      </x:c>
      <x:c r="E43" s="13"/>
      <x:c r="F43" s="13"/>
      <x:c r="G43" s="13"/>
      <x:c r="H43" s="13"/>
    </x:row>
    <x:row r="44" ht="43.5" customHeight="1">
      <x:c r="A44" s="13">
        <x:f t="shared" si="1"/>
        <x:v>40</x:v>
      </x:c>
      <x:c r="B44" s="13" t="s">
        <x:v>13</x:v>
      </x:c>
      <x:c r="C44" s="13" t="s">
        <x:v>401</x:v>
      </x:c>
      <x:c r="D44" s="15" t="s">
        <x:v>436</x:v>
      </x:c>
      <x:c r="E44" s="13"/>
      <x:c r="F44" s="13"/>
      <x:c r="G44" s="13"/>
      <x:c r="H44" s="13"/>
    </x:row>
    <x:row r="45" ht="43.5" customHeight="1">
      <x:c r="A45" s="13">
        <x:f t="shared" si="1"/>
        <x:v>41</x:v>
      </x:c>
      <x:c r="B45" s="13" t="s">
        <x:v>13</x:v>
      </x:c>
      <x:c r="C45" s="13" t="s">
        <x:v>408</x:v>
      </x:c>
      <x:c r="D45" s="15" t="s">
        <x:v>437</x:v>
      </x:c>
      <x:c r="E45" s="13"/>
      <x:c r="F45" s="13"/>
      <x:c r="G45" s="13"/>
      <x:c r="H45" s="13"/>
    </x:row>
    <x:row r="46" ht="43.5" customHeight="1">
      <x:c r="A46" s="13">
        <x:f t="shared" si="1"/>
        <x:v>42</x:v>
      </x:c>
      <x:c r="B46" s="13" t="s">
        <x:v>13</x:v>
      </x:c>
      <x:c r="C46" s="13" t="s">
        <x:v>403</x:v>
      </x:c>
      <x:c r="D46" s="15" t="s">
        <x:v>438</x:v>
      </x:c>
      <x:c r="E46" s="13"/>
      <x:c r="F46" s="13"/>
      <x:c r="G46" s="13"/>
      <x:c r="H46" s="13"/>
    </x:row>
    <x:row r="47" ht="43.5" customHeight="1">
      <x:c r="A47" s="13">
        <x:f t="shared" si="1"/>
        <x:v>43</x:v>
      </x:c>
      <x:c r="B47" s="13" t="s">
        <x:v>13</x:v>
      </x:c>
      <x:c r="C47" s="13" t="s">
        <x:v>82</x:v>
      </x:c>
      <x:c r="D47" s="15" t="s">
        <x:v>439</x:v>
      </x:c>
      <x:c r="E47" s="13"/>
      <x:c r="F47" s="13"/>
      <x:c r="G47" s="13"/>
      <x:c r="H47" s="13"/>
    </x:row>
    <x:row r="48" ht="43.5" customHeight="1">
      <x:c r="A48" s="13">
        <x:f t="shared" si="1"/>
        <x:v>44</x:v>
      </x:c>
      <x:c r="B48" s="13" t="s">
        <x:v>13</x:v>
      </x:c>
      <x:c r="C48" s="13" t="s">
        <x:v>406</x:v>
      </x:c>
      <x:c r="D48" s="15" t="s">
        <x:v>440</x:v>
      </x:c>
      <x:c r="E48" s="13"/>
      <x:c r="F48" s="13"/>
      <x:c r="G48" s="13"/>
      <x:c r="H48" s="13"/>
    </x:row>
    <x:row r="49" ht="43.5" customHeight="1">
      <x:c r="A49" s="13">
        <x:f t="shared" si="1"/>
        <x:v>45</x:v>
      </x:c>
      <x:c r="B49" s="13" t="s">
        <x:v>13</x:v>
      </x:c>
      <x:c r="C49" s="13" t="s">
        <x:v>401</x:v>
      </x:c>
      <x:c r="D49" s="15" t="s">
        <x:v>440</x:v>
      </x:c>
      <x:c r="E49" s="13"/>
      <x:c r="F49" s="13"/>
      <x:c r="G49" s="13"/>
      <x:c r="H49" s="13"/>
    </x:row>
    <x:row r="50" ht="43.5" customHeight="1">
      <x:c r="A50" s="13">
        <x:f t="shared" si="1"/>
        <x:v>46</x:v>
      </x:c>
      <x:c r="B50" s="13" t="s">
        <x:v>13</x:v>
      </x:c>
      <x:c r="C50" s="13" t="s">
        <x:v>408</x:v>
      </x:c>
      <x:c r="D50" s="15" t="s">
        <x:v>441</x:v>
      </x:c>
      <x:c r="E50" s="13"/>
      <x:c r="F50" s="13"/>
      <x:c r="G50" s="13"/>
      <x:c r="H50" s="13"/>
    </x:row>
    <x:row r="51" ht="43.5" customHeight="1">
      <x:c r="A51" s="13">
        <x:f t="shared" si="1"/>
        <x:v>47</x:v>
      </x:c>
      <x:c r="B51" s="13" t="s">
        <x:v>13</x:v>
      </x:c>
      <x:c r="C51" s="13" t="s">
        <x:v>403</x:v>
      </x:c>
      <x:c r="D51" s="15" t="s">
        <x:v>442</x:v>
      </x:c>
      <x:c r="E51" s="13"/>
      <x:c r="F51" s="13"/>
      <x:c r="G51" s="13"/>
      <x:c r="H51" s="13"/>
    </x:row>
    <x:row r="52" ht="43.5" customHeight="1">
      <x:c r="A52" s="13">
        <x:f t="shared" si="1"/>
        <x:v>48</x:v>
      </x:c>
      <x:c r="B52" s="13" t="s">
        <x:v>13</x:v>
      </x:c>
      <x:c r="C52" s="13" t="s">
        <x:v>82</x:v>
      </x:c>
      <x:c r="D52" s="15" t="s">
        <x:v>443</x:v>
      </x:c>
      <x:c r="E52" s="13"/>
      <x:c r="F52" s="13"/>
      <x:c r="G52" s="13"/>
      <x:c r="H52" s="13"/>
    </x:row>
    <x:row r="53" ht="43.5" customHeight="1">
      <x:c r="A53" s="13">
        <x:f t="shared" si="1"/>
        <x:v>49</x:v>
      </x:c>
      <x:c r="B53" s="13" t="s">
        <x:v>13</x:v>
      </x:c>
      <x:c r="C53" s="13" t="s">
        <x:v>406</x:v>
      </x:c>
      <x:c r="D53" s="15" t="s">
        <x:v>444</x:v>
      </x:c>
      <x:c r="E53" s="13"/>
      <x:c r="F53" s="13"/>
      <x:c r="G53" s="13"/>
      <x:c r="H53" s="13"/>
    </x:row>
    <x:row r="54" ht="43.5" customHeight="1">
      <x:c r="A54" s="13">
        <x:f t="shared" si="1"/>
        <x:v>50</x:v>
      </x:c>
      <x:c r="B54" s="13" t="s">
        <x:v>13</x:v>
      </x:c>
      <x:c r="C54" s="13" t="s">
        <x:v>401</x:v>
      </x:c>
      <x:c r="D54" s="15" t="s">
        <x:v>444</x:v>
      </x:c>
      <x:c r="E54" s="13"/>
      <x:c r="F54" s="13"/>
      <x:c r="G54" s="13"/>
      <x:c r="H54" s="13"/>
    </x:row>
    <x:row r="55" ht="43.5" customHeight="1">
      <x:c r="A55" s="13">
        <x:f t="shared" si="1"/>
        <x:v>51</x:v>
      </x:c>
      <x:c r="B55" s="13" t="s">
        <x:v>13</x:v>
      </x:c>
      <x:c r="C55" s="13" t="s">
        <x:v>408</x:v>
      </x:c>
      <x:c r="D55" s="15" t="s">
        <x:v>445</x:v>
      </x:c>
      <x:c r="E55" s="13"/>
      <x:c r="F55" s="13"/>
      <x:c r="G55" s="13"/>
      <x:c r="H55" s="13"/>
    </x:row>
    <x:row r="56" ht="48.75" customHeight="1">
      <x:c r="A56" s="13">
        <x:f t="shared" si="1"/>
        <x:v>52</x:v>
      </x:c>
      <x:c r="B56" s="13" t="s">
        <x:v>359</x:v>
      </x:c>
      <x:c r="C56" s="13" t="s">
        <x:v>401</x:v>
      </x:c>
      <x:c r="D56" s="15" t="s">
        <x:v>446</x:v>
      </x:c>
      <x:c r="E56" s="13"/>
      <x:c r="F56" s="13"/>
      <x:c r="G56" s="13"/>
      <x:c r="H56" s="13"/>
    </x:row>
    <x:row r="57" ht="48.75" customHeight="1">
      <x:c r="A57" s="13">
        <x:f t="shared" si="1"/>
        <x:v>53</x:v>
      </x:c>
      <x:c r="B57" s="13" t="s">
        <x:v>359</x:v>
      </x:c>
      <x:c r="C57" s="13" t="s">
        <x:v>401</x:v>
      </x:c>
      <x:c r="D57" s="15" t="s">
        <x:v>447</x:v>
      </x:c>
      <x:c r="E57" s="46"/>
      <x:c r="F57" s="46"/>
      <x:c r="G57" s="46"/>
      <x:c r="H57" s="46"/>
      <x:c r="I57" s="4"/>
    </x:row>
    <x:row r="58" ht="48.75" customHeight="1">
      <x:c r="A58" s="13">
        <x:f t="shared" si="1"/>
        <x:v>54</x:v>
      </x:c>
      <x:c r="B58" s="13" t="s">
        <x:v>359</x:v>
      </x:c>
      <x:c r="C58" s="13" t="s">
        <x:v>401</x:v>
      </x:c>
      <x:c r="D58" s="15" t="s">
        <x:v>448</x:v>
      </x:c>
      <x:c r="E58" s="46"/>
      <x:c r="F58" s="46"/>
      <x:c r="G58" s="46"/>
      <x:c r="H58" s="46"/>
      <x:c r="I58" s="4"/>
    </x:row>
    <x:row r="59" ht="48.75" customHeight="1">
      <x:c r="A59" s="13">
        <x:f t="shared" si="1"/>
        <x:v>55</x:v>
      </x:c>
      <x:c r="B59" s="13" t="s">
        <x:v>359</x:v>
      </x:c>
      <x:c r="C59" s="13" t="s">
        <x:v>401</x:v>
      </x:c>
      <x:c r="D59" s="15" t="s">
        <x:v>449</x:v>
      </x:c>
      <x:c r="E59" s="46"/>
      <x:c r="F59" s="46"/>
      <x:c r="G59" s="46"/>
      <x:c r="H59" s="46"/>
      <x:c r="I59" s="4"/>
    </x:row>
    <x:row r="60" ht="48.75" customHeight="1">
      <x:c r="A60" s="13"/>
      <x:c r="B60" s="13" t="s">
        <x:v>5</x:v>
      </x:c>
      <x:c r="C60" s="13" t="s">
        <x:v>95</x:v>
      </x:c>
      <x:c r="D60" s="15" t="s">
        <x:v>450</x:v>
      </x:c>
      <x:c r="E60" s="47">
        <x:v>46277.0</x:v>
      </x:c>
      <x:c r="F60" s="46">
        <x:v>1.0</x:v>
      </x:c>
      <x:c r="G60" s="46">
        <x:v>1.0</x:v>
      </x:c>
      <x:c r="H60" s="46" t="s">
        <x:v>103</x:v>
      </x:c>
      <x:c r="I60" s="15" t="s">
        <x:v>451</x:v>
      </x:c>
    </x:row>
    <x:row r="61" ht="48.75" customHeight="1">
      <x:c r="A61" s="13"/>
      <x:c r="B61" s="13" t="s">
        <x:v>5</x:v>
      </x:c>
      <x:c r="C61" s="13" t="s">
        <x:v>95</x:v>
      </x:c>
      <x:c r="D61" s="15" t="s">
        <x:v>452</x:v>
      </x:c>
      <x:c r="E61" s="47">
        <x:v>46277.0</x:v>
      </x:c>
      <x:c r="F61" s="46">
        <x:v>1.0</x:v>
      </x:c>
      <x:c r="G61" s="46">
        <x:v>1.0</x:v>
      </x:c>
      <x:c r="H61" s="46" t="s">
        <x:v>113</x:v>
      </x:c>
      <x:c r="I61" s="15" t="s">
        <x:v>453</x:v>
      </x:c>
    </x:row>
    <x:row r="62" ht="48.75" customHeight="1">
      <x:c r="A62" s="13"/>
      <x:c r="B62" s="13" t="s">
        <x:v>5</x:v>
      </x:c>
      <x:c r="C62" s="13" t="s">
        <x:v>95</x:v>
      </x:c>
      <x:c r="D62" s="15" t="s">
        <x:v>454</x:v>
      </x:c>
      <x:c r="E62" s="47">
        <x:v>46277.0</x:v>
      </x:c>
      <x:c r="F62" s="46">
        <x:v>1.0</x:v>
      </x:c>
      <x:c r="G62" s="46">
        <x:v>1.0</x:v>
      </x:c>
      <x:c r="H62" s="46" t="s">
        <x:v>103</x:v>
      </x:c>
      <x:c r="I62" s="15" t="s">
        <x:v>455</x:v>
      </x:c>
    </x:row>
    <x:row r="63" ht="48.75" customHeight="1">
      <x:c r="A63" s="13"/>
      <x:c r="B63" s="13" t="s">
        <x:v>9</x:v>
      </x:c>
      <x:c r="C63" s="13" t="s">
        <x:v>95</x:v>
      </x:c>
      <x:c r="D63" s="15" t="s">
        <x:v>456</x:v>
      </x:c>
      <x:c r="E63" s="47">
        <x:v>46277.0</x:v>
      </x:c>
      <x:c r="F63" s="46">
        <x:v>4.0</x:v>
      </x:c>
      <x:c r="G63" s="46">
        <x:v>4.0</x:v>
      </x:c>
      <x:c r="H63" s="46" t="s">
        <x:v>113</x:v>
      </x:c>
      <x:c r="I63" s="15" t="s">
        <x:v>457</x:v>
      </x:c>
    </x:row>
    <x:row r="64" ht="48.75" customHeight="1">
      <x:c r="A64" s="13"/>
      <x:c r="B64" s="13" t="s">
        <x:v>9</x:v>
      </x:c>
      <x:c r="C64" s="13" t="s">
        <x:v>95</x:v>
      </x:c>
      <x:c r="D64" s="15" t="s">
        <x:v>458</x:v>
      </x:c>
      <x:c r="E64" s="47">
        <x:v>46277.0</x:v>
      </x:c>
      <x:c r="F64" s="46">
        <x:v>6.0</x:v>
      </x:c>
      <x:c r="G64" s="46">
        <x:v>6.0</x:v>
      </x:c>
      <x:c r="H64" s="46" t="s">
        <x:v>103</x:v>
      </x:c>
      <x:c r="I64" s="15" t="s">
        <x:v>459</x:v>
      </x:c>
    </x:row>
    <x:row r="65" ht="48.75" customHeight="1">
      <x:c r="A65" s="13"/>
      <x:c r="B65" s="13" t="s">
        <x:v>9</x:v>
      </x:c>
      <x:c r="C65" s="13" t="s">
        <x:v>95</x:v>
      </x:c>
      <x:c r="D65" s="15" t="s">
        <x:v>460</x:v>
      </x:c>
      <x:c r="E65" s="47">
        <x:v>46277.0</x:v>
      </x:c>
      <x:c r="F65" s="46">
        <x:v>1.0</x:v>
      </x:c>
      <x:c r="G65" s="46">
        <x:v>0.0</x:v>
      </x:c>
      <x:c r="H65" s="46" t="s">
        <x:v>113</x:v>
      </x:c>
      <x:c r="I65" s="15" t="s">
        <x:v>461</x:v>
      </x:c>
    </x:row>
    <x:row r="66" ht="48.75" customHeight="1">
      <x:c r="A66" s="13"/>
      <x:c r="B66" s="13" t="s">
        <x:v>13</x:v>
      </x:c>
      <x:c r="C66" s="13" t="s">
        <x:v>462</x:v>
      </x:c>
      <x:c r="D66" s="15" t="s">
        <x:v>463</x:v>
      </x:c>
      <x:c r="E66" s="47">
        <x:v>46277.0</x:v>
      </x:c>
      <x:c r="F66" s="46">
        <x:v>0.0</x:v>
      </x:c>
      <x:c r="G66" s="46">
        <x:v>0.0</x:v>
      </x:c>
      <x:c r="H66" s="46" t="s">
        <x:v>113</x:v>
      </x:c>
      <x:c r="I66" s="15" t="s">
        <x:v>464</x:v>
      </x:c>
    </x:row>
    <x:row r="67" ht="48.75" customHeight="1">
      <x:c r="A67" s="13"/>
      <x:c r="B67" s="13" t="s">
        <x:v>5</x:v>
      </x:c>
      <x:c r="C67" s="13" t="s">
        <x:v>462</x:v>
      </x:c>
      <x:c r="D67" s="15" t="s">
        <x:v>465</x:v>
      </x:c>
      <x:c r="E67" s="47">
        <x:v>46277.0</x:v>
      </x:c>
      <x:c r="F67" s="46">
        <x:v>4.0</x:v>
      </x:c>
      <x:c r="G67" s="46">
        <x:v>4.0</x:v>
      </x:c>
      <x:c r="H67" s="46" t="s">
        <x:v>103</x:v>
      </x:c>
      <x:c r="I67" s="15" t="s">
        <x:v>466</x:v>
      </x:c>
    </x:row>
    <x:row r="68" ht="48.75" customHeight="1">
      <x:c r="A68" s="13"/>
      <x:c r="B68" s="13" t="s">
        <x:v>5</x:v>
      </x:c>
      <x:c r="C68" s="13" t="s">
        <x:v>95</x:v>
      </x:c>
      <x:c r="D68" s="15" t="s">
        <x:v>467</x:v>
      </x:c>
      <x:c r="E68" s="47">
        <x:v>46277.0</x:v>
      </x:c>
      <x:c r="F68" s="46">
        <x:v>1.0</x:v>
      </x:c>
      <x:c r="G68" s="46">
        <x:v>1.0</x:v>
      </x:c>
      <x:c r="H68" s="46" t="s">
        <x:v>113</x:v>
      </x:c>
      <x:c r="I68" s="15" t="s">
        <x:v>468</x:v>
      </x:c>
    </x:row>
    <x:row r="69" ht="48.75" customHeight="1">
      <x:c r="A69" s="13"/>
      <x:c r="B69" s="13" t="s">
        <x:v>13</x:v>
      </x:c>
      <x:c r="C69" s="13" t="s">
        <x:v>95</x:v>
      </x:c>
      <x:c r="D69" s="15" t="s">
        <x:v>469</x:v>
      </x:c>
      <x:c r="E69" s="47">
        <x:v>46277.0</x:v>
      </x:c>
      <x:c r="F69" s="46">
        <x:v>2.0</x:v>
      </x:c>
      <x:c r="G69" s="46">
        <x:v>2.0</x:v>
      </x:c>
      <x:c r="H69" s="46" t="s">
        <x:v>103</x:v>
      </x:c>
      <x:c r="I69" s="15" t="s">
        <x:v>470</x:v>
      </x:c>
    </x:row>
    <x:row r="70" ht="15.75" customHeight="1">
      <x:c r="A70" s="3" t="n">
        <x:f t="shared" ref="A70:A81" si="2">IF(D70="","",ROW()-4)</x:f>
        <x:v>66</x:v>
      </x:c>
      <x:c r="B70" s="3" t="s">
        <x:v>5</x:v>
      </x:c>
      <x:c r="C70" s="3" t="s">
        <x:v>471</x:v>
      </x:c>
      <x:c r="D70" s="48" t="s">
        <x:v>472</x:v>
      </x:c>
      <x:c r="E70" s="49">
        <x:v>46278.0</x:v>
      </x:c>
      <x:c r="F70" s="4">
        <x:v>1.0</x:v>
      </x:c>
      <x:c r="G70" s="4">
        <x:v>1.0</x:v>
      </x:c>
      <x:c r="H70" s="4" t="s">
        <x:v>103</x:v>
      </x:c>
      <x:c r="I70" s="4" t="s">
        <x:v>473</x:v>
      </x:c>
    </x:row>
    <x:row r="71" ht="15.75" customHeight="1">
      <x:c r="A71" s="3">
        <x:f t="shared" si="2"/>
        <x:v>67</x:v>
      </x:c>
      <x:c r="B71" s="3" t="s">
        <x:v>5</x:v>
      </x:c>
      <x:c r="C71" s="3" t="s">
        <x:v>471</x:v>
      </x:c>
      <x:c r="D71" s="48" t="s">
        <x:v>474</x:v>
      </x:c>
      <x:c r="E71" s="49">
        <x:v>46278.0</x:v>
      </x:c>
      <x:c r="F71" s="4">
        <x:v>1.0</x:v>
      </x:c>
      <x:c r="G71" s="4">
        <x:v>1.0</x:v>
      </x:c>
      <x:c r="H71" s="4" t="s">
        <x:v>113</x:v>
      </x:c>
      <x:c r="I71" s="4" t="s">
        <x:v>473</x:v>
      </x:c>
    </x:row>
    <x:row r="72" ht="15.75" customHeight="1">
      <x:c r="A72" s="3">
        <x:f t="shared" si="2"/>
        <x:v>68</x:v>
      </x:c>
      <x:c r="B72" s="3" t="s">
        <x:v>5</x:v>
      </x:c>
      <x:c r="C72" s="3" t="s">
        <x:v>471</x:v>
      </x:c>
      <x:c r="D72" s="4" t="s">
        <x:v>475</x:v>
      </x:c>
      <x:c r="E72" s="49">
        <x:v>46278.0</x:v>
      </x:c>
      <x:c r="F72" s="4">
        <x:v>1.0</x:v>
      </x:c>
      <x:c r="G72" s="4">
        <x:v>1.0</x:v>
      </x:c>
      <x:c r="H72" s="4" t="s">
        <x:v>103</x:v>
      </x:c>
      <x:c r="I72" s="4" t="s">
        <x:v>473</x:v>
      </x:c>
    </x:row>
    <x:row r="73" ht="15.75" customHeight="1">
      <x:c r="A73" s="3">
        <x:f t="shared" si="2"/>
        <x:v>69</x:v>
      </x:c>
      <x:c r="B73" s="3" t="s">
        <x:v>5</x:v>
      </x:c>
      <x:c r="C73" s="3" t="s">
        <x:v>471</x:v>
      </x:c>
      <x:c r="D73" s="4" t="s">
        <x:v>476</x:v>
      </x:c>
      <x:c r="E73" s="49">
        <x:v>46278.0</x:v>
      </x:c>
      <x:c r="F73" s="4">
        <x:v>1.0</x:v>
      </x:c>
      <x:c r="G73" s="4">
        <x:v>1.0</x:v>
      </x:c>
      <x:c r="H73" s="4" t="s">
        <x:v>113</x:v>
      </x:c>
      <x:c r="I73" s="4" t="s">
        <x:v>473</x:v>
      </x:c>
    </x:row>
    <x:row r="74" ht="15.75" customHeight="1">
      <x:c r="A74" s="3">
        <x:f t="shared" si="2"/>
        <x:v>70</x:v>
      </x:c>
      <x:c r="B74" s="3" t="s">
        <x:v>9</x:v>
      </x:c>
      <x:c r="C74" s="3" t="s">
        <x:v>471</x:v>
      </x:c>
      <x:c r="D74" s="4" t="s">
        <x:v>477</x:v>
      </x:c>
      <x:c r="E74" s="49">
        <x:v>46278.0</x:v>
      </x:c>
      <x:c r="F74" s="4">
        <x:v>1.0</x:v>
      </x:c>
      <x:c r="G74" s="4">
        <x:v>1.0</x:v>
      </x:c>
      <x:c r="H74" s="4" t="s">
        <x:v>103</x:v>
      </x:c>
      <x:c r="I74" s="4" t="s">
        <x:v>473</x:v>
      </x:c>
    </x:row>
    <x:row r="75" ht="15.75" customHeight="1">
      <x:c r="A75" s="3">
        <x:f t="shared" si="2"/>
        <x:v>71</x:v>
      </x:c>
      <x:c r="B75" s="3" t="s">
        <x:v>9</x:v>
      </x:c>
      <x:c r="C75" s="3" t="s">
        <x:v>471</x:v>
      </x:c>
      <x:c r="D75" s="4" t="s">
        <x:v>478</x:v>
      </x:c>
      <x:c r="E75" s="49">
        <x:v>46278.0</x:v>
      </x:c>
      <x:c r="F75" s="4">
        <x:v>1.0</x:v>
      </x:c>
      <x:c r="G75" s="4">
        <x:v>1.0</x:v>
      </x:c>
      <x:c r="H75" s="4" t="s">
        <x:v>113</x:v>
      </x:c>
      <x:c r="I75" s="4" t="s">
        <x:v>473</x:v>
      </x:c>
    </x:row>
    <x:row r="76" ht="15.75" customHeight="1">
      <x:c r="A76" s="3">
        <x:f t="shared" si="2"/>
        <x:v>72</x:v>
      </x:c>
      <x:c r="B76" s="3" t="s">
        <x:v>9</x:v>
      </x:c>
      <x:c r="C76" s="3" t="s">
        <x:v>471</x:v>
      </x:c>
      <x:c r="D76" s="50" t="s">
        <x:v>479</x:v>
      </x:c>
      <x:c r="E76" s="49">
        <x:v>46278.0</x:v>
      </x:c>
      <x:c r="F76" s="4">
        <x:v>1.0</x:v>
      </x:c>
      <x:c r="G76" s="4">
        <x:v>1.0</x:v>
      </x:c>
      <x:c r="H76" s="4" t="s">
        <x:v>103</x:v>
      </x:c>
      <x:c r="I76" s="4" t="s">
        <x:v>473</x:v>
      </x:c>
    </x:row>
    <x:row r="77" ht="15.75" customHeight="1">
      <x:c r="A77" s="3">
        <x:f t="shared" si="2"/>
        <x:v>73</x:v>
      </x:c>
      <x:c r="B77" s="3" t="s">
        <x:v>9</x:v>
      </x:c>
      <x:c r="C77" s="3" t="s">
        <x:v>471</x:v>
      </x:c>
      <x:c r="D77" s="50" t="s">
        <x:v>480</x:v>
      </x:c>
      <x:c r="E77" s="49">
        <x:v>46278.0</x:v>
      </x:c>
      <x:c r="F77" s="4">
        <x:v>1.0</x:v>
      </x:c>
      <x:c r="G77" s="4">
        <x:v>1.0</x:v>
      </x:c>
      <x:c r="H77" s="4" t="s">
        <x:v>113</x:v>
      </x:c>
      <x:c r="I77" s="4" t="s">
        <x:v>473</x:v>
      </x:c>
    </x:row>
    <x:row r="78" ht="15.75" customHeight="1">
      <x:c r="A78" s="3">
        <x:f t="shared" si="2"/>
        <x:v>74</x:v>
      </x:c>
      <x:c r="B78" s="3" t="s">
        <x:v>13</x:v>
      </x:c>
      <x:c r="C78" s="3" t="s">
        <x:v>471</x:v>
      </x:c>
      <x:c r="D78" s="50" t="s">
        <x:v>481</x:v>
      </x:c>
      <x:c r="E78" s="49">
        <x:v>46278.0</x:v>
      </x:c>
      <x:c r="F78" s="4">
        <x:v>1.0</x:v>
      </x:c>
      <x:c r="G78" s="4">
        <x:v>1.0</x:v>
      </x:c>
      <x:c r="H78" s="4" t="s">
        <x:v>103</x:v>
      </x:c>
      <x:c r="I78" s="4" t="s">
        <x:v>473</x:v>
      </x:c>
    </x:row>
    <x:row r="79" ht="15.75" customHeight="1">
      <x:c r="A79" s="3">
        <x:f t="shared" si="2"/>
        <x:v>75</x:v>
      </x:c>
      <x:c r="B79" s="3" t="s">
        <x:v>13</x:v>
      </x:c>
      <x:c r="C79" s="3" t="s">
        <x:v>471</x:v>
      </x:c>
      <x:c r="D79" s="50" t="s">
        <x:v>482</x:v>
      </x:c>
      <x:c r="E79" s="49">
        <x:v>46278.0</x:v>
      </x:c>
      <x:c r="F79" s="4">
        <x:v>1.0</x:v>
      </x:c>
      <x:c r="G79" s="4">
        <x:v>1.0</x:v>
      </x:c>
      <x:c r="H79" s="4" t="s">
        <x:v>113</x:v>
      </x:c>
      <x:c r="I79" s="4" t="s">
        <x:v>473</x:v>
      </x:c>
    </x:row>
    <x:row r="80" ht="15.75" customHeight="1">
      <x:c r="A80" s="3">
        <x:f t="shared" si="2"/>
        <x:v>76</x:v>
      </x:c>
      <x:c r="B80" s="3" t="s">
        <x:v>13</x:v>
      </x:c>
      <x:c r="C80" s="3" t="s">
        <x:v>471</x:v>
      </x:c>
      <x:c r="D80" s="50" t="s">
        <x:v>483</x:v>
      </x:c>
      <x:c r="E80" s="49">
        <x:v>46278.0</x:v>
      </x:c>
      <x:c r="F80" s="4">
        <x:v>1.0</x:v>
      </x:c>
      <x:c r="G80" s="4">
        <x:v>1.0</x:v>
      </x:c>
      <x:c r="H80" s="4" t="s">
        <x:v>103</x:v>
      </x:c>
      <x:c r="I80" s="4" t="s">
        <x:v>473</x:v>
      </x:c>
    </x:row>
    <x:row r="81" ht="15.75" customHeight="1">
      <x:c r="A81" s="3">
        <x:f t="shared" si="2"/>
        <x:v>77</x:v>
      </x:c>
      <x:c r="B81" s="3" t="s">
        <x:v>13</x:v>
      </x:c>
      <x:c r="C81" s="3" t="s">
        <x:v>471</x:v>
      </x:c>
      <x:c r="D81" s="50" t="s">
        <x:v>484</x:v>
      </x:c>
      <x:c r="E81" s="49">
        <x:v>46278.0</x:v>
      </x:c>
      <x:c r="F81" s="4">
        <x:v>1.0</x:v>
      </x:c>
      <x:c r="G81" s="4">
        <x:v>1.0</x:v>
      </x:c>
      <x:c r="H81" s="4" t="s">
        <x:v>113</x:v>
      </x:c>
      <x:c r="I81" s="4" t="s">
        <x:v>473</x:v>
      </x:c>
    </x:row>
    <x:row r="82" ht="15.75" customHeight="1">
      <x:c r="A82" s="3"/>
      <x:c r="B82" s="3"/>
      <x:c r="C82" s="3"/>
      <x:c r="D82" s="4"/>
      <x:c r="E82" s="3"/>
      <x:c r="F82" s="3"/>
      <x:c r="G82" s="3"/>
      <x:c r="H82" s="3"/>
    </x:row>
    <x:row r="83" ht="15.75" customHeight="1">
      <x:c r="A83" s="3"/>
      <x:c r="B83" s="3"/>
      <x:c r="C83" s="3"/>
      <x:c r="D83" s="4"/>
      <x:c r="E83" s="3"/>
      <x:c r="F83" s="3"/>
      <x:c r="G83" s="3"/>
      <x:c r="H83" s="3"/>
    </x:row>
    <x:row r="84" ht="15.75" customHeight="1">
      <x:c r="A84" s="3"/>
      <x:c r="B84" s="3"/>
      <x:c r="C84" s="3"/>
      <x:c r="D84" s="4"/>
      <x:c r="E84" s="3"/>
      <x:c r="F84" s="3"/>
      <x:c r="G84" s="3"/>
      <x:c r="H84" s="3"/>
    </x:row>
    <x:row r="85" ht="15.75" customHeight="1">
      <x:c r="A85" s="3"/>
      <x:c r="B85" s="3"/>
      <x:c r="C85" s="3"/>
      <x:c r="D85" s="4"/>
      <x:c r="E85" s="3"/>
      <x:c r="F85" s="3"/>
      <x:c r="G85" s="3"/>
      <x:c r="H85" s="3"/>
    </x:row>
    <x:row r="86" ht="15.75" customHeight="1">
      <x:c r="A86" s="3"/>
      <x:c r="B86" s="3"/>
      <x:c r="C86" s="3"/>
      <x:c r="D86" s="4"/>
      <x:c r="E86" s="3"/>
      <x:c r="F86" s="3"/>
      <x:c r="G86" s="3"/>
      <x:c r="H86" s="3"/>
    </x:row>
    <x:row r="87" ht="15.75" customHeight="1">
      <x:c r="A87" s="3"/>
      <x:c r="B87" s="3"/>
      <x:c r="C87" s="3"/>
      <x:c r="D87" s="4"/>
      <x:c r="E87" s="3"/>
      <x:c r="F87" s="3"/>
      <x:c r="G87" s="3"/>
      <x:c r="H87" s="3"/>
    </x:row>
    <x:row r="88" ht="15.75" customHeight="1">
      <x:c r="A88" s="3"/>
      <x:c r="B88" s="3"/>
      <x:c r="C88" s="3"/>
      <x:c r="D88" s="4"/>
      <x:c r="E88" s="3"/>
      <x:c r="F88" s="3"/>
      <x:c r="G88" s="3"/>
      <x:c r="H88" s="3"/>
    </x:row>
    <x:row r="89" ht="15.75" customHeight="1">
      <x:c r="A89" s="3"/>
      <x:c r="B89" s="3"/>
      <x:c r="C89" s="3"/>
      <x:c r="D89" s="4"/>
      <x:c r="E89" s="3"/>
      <x:c r="F89" s="3"/>
      <x:c r="G89" s="3"/>
      <x:c r="H89" s="3"/>
    </x:row>
    <x:row r="90" ht="15.75" customHeight="1">
      <x:c r="A90" s="3"/>
      <x:c r="B90" s="3"/>
      <x:c r="C90" s="3"/>
      <x:c r="D90" s="4"/>
      <x:c r="E90" s="3"/>
      <x:c r="F90" s="3"/>
      <x:c r="G90" s="3"/>
      <x:c r="H90" s="3"/>
    </x:row>
    <x:row r="91" ht="15.75" customHeight="1">
      <x:c r="A91" s="3"/>
      <x:c r="B91" s="3"/>
      <x:c r="C91" s="3"/>
      <x:c r="D91" s="4"/>
      <x:c r="E91" s="3"/>
      <x:c r="F91" s="3"/>
      <x:c r="G91" s="3"/>
      <x:c r="H91" s="3"/>
    </x:row>
    <x:row r="92" ht="15.75" customHeight="1">
      <x:c r="A92" s="3"/>
      <x:c r="B92" s="3"/>
      <x:c r="C92" s="3"/>
      <x:c r="D92" s="4"/>
      <x:c r="E92" s="3"/>
      <x:c r="F92" s="3"/>
      <x:c r="G92" s="3"/>
      <x:c r="H92" s="3"/>
    </x:row>
    <x:row r="93" ht="15.75" customHeight="1">
      <x:c r="A93" s="3"/>
      <x:c r="B93" s="3"/>
      <x:c r="C93" s="3"/>
      <x:c r="D93" s="4"/>
      <x:c r="E93" s="3"/>
      <x:c r="F93" s="3"/>
      <x:c r="G93" s="3"/>
      <x:c r="H93" s="3"/>
    </x:row>
    <x:row r="94" ht="15.75" customHeight="1">
      <x:c r="A94" s="3"/>
      <x:c r="B94" s="3"/>
      <x:c r="C94" s="3"/>
      <x:c r="D94" s="4"/>
      <x:c r="E94" s="3"/>
      <x:c r="F94" s="3"/>
      <x:c r="G94" s="3"/>
      <x:c r="H94" s="3"/>
    </x:row>
    <x:row r="95" ht="15.75" customHeight="1">
      <x:c r="A95" s="3"/>
      <x:c r="B95" s="3"/>
      <x:c r="C95" s="3"/>
      <x:c r="D95" s="4"/>
      <x:c r="E95" s="3"/>
      <x:c r="F95" s="3"/>
      <x:c r="G95" s="3"/>
      <x:c r="H95" s="3"/>
    </x:row>
    <x:row r="96" ht="15.75" customHeight="1">
      <x:c r="A96" s="3"/>
      <x:c r="B96" s="3"/>
      <x:c r="C96" s="3"/>
      <x:c r="D96" s="4"/>
      <x:c r="E96" s="3"/>
      <x:c r="F96" s="3"/>
      <x:c r="G96" s="3"/>
      <x:c r="H96" s="3"/>
    </x:row>
    <x:row r="97" ht="15.75" customHeight="1">
      <x:c r="A97" s="3"/>
      <x:c r="B97" s="3"/>
      <x:c r="C97" s="3"/>
      <x:c r="D97" s="4"/>
      <x:c r="E97" s="3"/>
      <x:c r="F97" s="3"/>
      <x:c r="G97" s="3"/>
      <x:c r="H97" s="3"/>
    </x:row>
    <x:row r="98" ht="15.75" customHeight="1">
      <x:c r="A98" s="3"/>
      <x:c r="B98" s="3"/>
      <x:c r="C98" s="3"/>
      <x:c r="D98" s="4"/>
      <x:c r="E98" s="3"/>
      <x:c r="F98" s="3"/>
      <x:c r="G98" s="3"/>
      <x:c r="H98" s="3"/>
    </x:row>
    <x:row r="99" ht="15.75" customHeight="1">
      <x:c r="A99" s="3"/>
      <x:c r="B99" s="3"/>
      <x:c r="C99" s="3"/>
      <x:c r="D99" s="4"/>
      <x:c r="E99" s="3"/>
      <x:c r="F99" s="3"/>
      <x:c r="G99" s="3"/>
      <x:c r="H99" s="3"/>
    </x:row>
    <x:row r="100" ht="15.75" customHeight="1">
      <x:c r="A100" s="3"/>
      <x:c r="B100" s="3"/>
      <x:c r="C100" s="3"/>
      <x:c r="D100" s="4"/>
      <x:c r="E100" s="3"/>
      <x:c r="F100" s="3"/>
      <x:c r="G100" s="3"/>
      <x:c r="H100" s="3"/>
    </x:row>
    <x:row r="101" ht="15.75" customHeight="1">
      <x:c r="A101" s="3"/>
      <x:c r="B101" s="3"/>
      <x:c r="C101" s="3"/>
      <x:c r="D101" s="4"/>
      <x:c r="E101" s="3"/>
      <x:c r="F101" s="3"/>
      <x:c r="G101" s="3"/>
      <x:c r="H101" s="3"/>
    </x:row>
    <x:row r="102" ht="15.75" customHeight="1">
      <x:c r="A102" s="3"/>
      <x:c r="B102" s="3"/>
      <x:c r="C102" s="3"/>
      <x:c r="D102" s="4"/>
      <x:c r="E102" s="3"/>
      <x:c r="F102" s="3"/>
      <x:c r="G102" s="3"/>
      <x:c r="H102" s="3"/>
    </x:row>
    <x:row r="103" ht="15.75" customHeight="1">
      <x:c r="A103" s="3"/>
      <x:c r="B103" s="3"/>
      <x:c r="C103" s="3"/>
      <x:c r="D103" s="4"/>
      <x:c r="E103" s="3"/>
      <x:c r="F103" s="3"/>
      <x:c r="G103" s="3"/>
      <x:c r="H103" s="3"/>
    </x:row>
    <x:row r="104" ht="15.75" customHeight="1">
      <x:c r="A104" s="3"/>
      <x:c r="B104" s="3"/>
      <x:c r="C104" s="3"/>
      <x:c r="D104" s="4"/>
      <x:c r="E104" s="3"/>
      <x:c r="F104" s="3"/>
      <x:c r="G104" s="3"/>
      <x:c r="H104" s="3"/>
    </x:row>
    <x:row r="105" ht="15.75" customHeight="1">
      <x:c r="A105" s="3"/>
      <x:c r="B105" s="3"/>
      <x:c r="C105" s="3"/>
      <x:c r="D105" s="4"/>
      <x:c r="E105" s="3"/>
      <x:c r="F105" s="3"/>
      <x:c r="G105" s="3"/>
      <x:c r="H105" s="3"/>
    </x:row>
    <x:row r="106" ht="15.75" customHeight="1">
      <x:c r="A106" s="3"/>
      <x:c r="B106" s="3"/>
      <x:c r="C106" s="3"/>
      <x:c r="D106" s="4"/>
      <x:c r="E106" s="3"/>
      <x:c r="F106" s="3"/>
      <x:c r="G106" s="3"/>
      <x:c r="H106" s="3"/>
    </x:row>
    <x:row r="107" ht="15.75" customHeight="1">
      <x:c r="A107" s="3"/>
      <x:c r="B107" s="3"/>
      <x:c r="C107" s="3"/>
      <x:c r="D107" s="4"/>
      <x:c r="E107" s="3"/>
      <x:c r="F107" s="3"/>
      <x:c r="G107" s="3"/>
      <x:c r="H107" s="3"/>
    </x:row>
    <x:row r="108" ht="15.75" customHeight="1">
      <x:c r="A108" s="3"/>
      <x:c r="B108" s="3"/>
      <x:c r="C108" s="3"/>
      <x:c r="D108" s="4"/>
      <x:c r="E108" s="3"/>
      <x:c r="F108" s="3"/>
      <x:c r="G108" s="3"/>
      <x:c r="H108" s="3"/>
    </x:row>
    <x:row r="109" ht="15.75" customHeight="1">
      <x:c r="A109" s="3"/>
      <x:c r="B109" s="3"/>
      <x:c r="C109" s="3"/>
      <x:c r="D109" s="4"/>
      <x:c r="E109" s="3"/>
      <x:c r="F109" s="3"/>
      <x:c r="G109" s="3"/>
      <x:c r="H109" s="3"/>
    </x:row>
    <x:row r="110" ht="15.75" customHeight="1">
      <x:c r="A110" s="3"/>
      <x:c r="B110" s="3"/>
      <x:c r="C110" s="3"/>
      <x:c r="D110" s="4"/>
      <x:c r="E110" s="3"/>
      <x:c r="F110" s="3"/>
      <x:c r="G110" s="3"/>
      <x:c r="H110" s="3"/>
    </x:row>
    <x:row r="111" ht="15.75" customHeight="1">
      <x:c r="A111" s="3"/>
      <x:c r="B111" s="3"/>
      <x:c r="C111" s="3"/>
      <x:c r="D111" s="4"/>
      <x:c r="E111" s="3"/>
      <x:c r="F111" s="3"/>
      <x:c r="G111" s="3"/>
      <x:c r="H111" s="3"/>
    </x:row>
    <x:row r="112" ht="15.75" customHeight="1">
      <x:c r="A112" s="3"/>
      <x:c r="B112" s="3"/>
      <x:c r="C112" s="3"/>
      <x:c r="D112" s="4"/>
      <x:c r="E112" s="3"/>
      <x:c r="F112" s="3"/>
      <x:c r="G112" s="3"/>
      <x:c r="H112" s="3"/>
    </x:row>
    <x:row r="113" ht="15.75" customHeight="1">
      <x:c r="A113" s="3"/>
      <x:c r="B113" s="3"/>
      <x:c r="C113" s="3"/>
      <x:c r="D113" s="4"/>
      <x:c r="E113" s="3"/>
      <x:c r="F113" s="3"/>
      <x:c r="G113" s="3"/>
      <x:c r="H113" s="3"/>
    </x:row>
    <x:row r="114" ht="15.75" customHeight="1">
      <x:c r="A114" s="3"/>
      <x:c r="B114" s="3"/>
      <x:c r="C114" s="3"/>
      <x:c r="D114" s="4"/>
      <x:c r="E114" s="3"/>
      <x:c r="F114" s="3"/>
      <x:c r="G114" s="3"/>
      <x:c r="H114" s="3"/>
    </x:row>
    <x:row r="115" ht="15.75" customHeight="1">
      <x:c r="A115" s="3"/>
      <x:c r="B115" s="3"/>
      <x:c r="C115" s="3"/>
      <x:c r="D115" s="4"/>
      <x:c r="E115" s="3"/>
      <x:c r="F115" s="3"/>
      <x:c r="G115" s="3"/>
      <x:c r="H115" s="3"/>
    </x:row>
    <x:row r="116" ht="15.75" customHeight="1">
      <x:c r="A116" s="3"/>
      <x:c r="B116" s="3"/>
      <x:c r="C116" s="3"/>
      <x:c r="D116" s="4"/>
      <x:c r="E116" s="3"/>
      <x:c r="F116" s="3"/>
      <x:c r="G116" s="3"/>
      <x:c r="H116" s="3"/>
    </x:row>
    <x:row r="117" ht="15.75" customHeight="1">
      <x:c r="A117" s="3"/>
      <x:c r="B117" s="3"/>
      <x:c r="C117" s="3"/>
      <x:c r="D117" s="4"/>
      <x:c r="E117" s="3"/>
      <x:c r="F117" s="3"/>
      <x:c r="G117" s="3"/>
      <x:c r="H117" s="3"/>
    </x:row>
    <x:row r="118" ht="15.75" customHeight="1">
      <x:c r="A118" s="3"/>
      <x:c r="B118" s="3"/>
      <x:c r="C118" s="3"/>
      <x:c r="D118" s="4"/>
      <x:c r="E118" s="3"/>
      <x:c r="F118" s="3"/>
      <x:c r="G118" s="3"/>
      <x:c r="H118" s="3"/>
    </x:row>
    <x:row r="119" ht="15.75" customHeight="1">
      <x:c r="A119" s="3"/>
      <x:c r="B119" s="3"/>
      <x:c r="C119" s="3"/>
      <x:c r="D119" s="4"/>
      <x:c r="E119" s="3"/>
      <x:c r="F119" s="3"/>
      <x:c r="G119" s="3"/>
      <x:c r="H119" s="3"/>
    </x:row>
    <x:row r="120" ht="15.75" customHeight="1">
      <x:c r="A120" s="3"/>
      <x:c r="B120" s="3"/>
      <x:c r="C120" s="3"/>
      <x:c r="D120" s="4"/>
      <x:c r="E120" s="3"/>
      <x:c r="F120" s="3"/>
      <x:c r="G120" s="3"/>
      <x:c r="H120" s="3"/>
    </x:row>
    <x:row r="121" ht="15.75" customHeight="1">
      <x:c r="A121" s="3"/>
      <x:c r="B121" s="3"/>
      <x:c r="C121" s="3"/>
      <x:c r="D121" s="4"/>
      <x:c r="E121" s="3"/>
      <x:c r="F121" s="3"/>
      <x:c r="G121" s="3"/>
      <x:c r="H121" s="3"/>
    </x:row>
    <x:row r="122" ht="15.75" customHeight="1">
      <x:c r="A122" s="3"/>
      <x:c r="B122" s="3"/>
      <x:c r="C122" s="3"/>
      <x:c r="D122" s="4"/>
      <x:c r="E122" s="3"/>
      <x:c r="F122" s="3"/>
      <x:c r="G122" s="3"/>
      <x:c r="H122" s="3"/>
    </x:row>
    <x:row r="123" ht="15.75" customHeight="1">
      <x:c r="A123" s="3"/>
      <x:c r="B123" s="3"/>
      <x:c r="C123" s="3"/>
      <x:c r="D123" s="4"/>
      <x:c r="E123" s="3"/>
      <x:c r="F123" s="3"/>
      <x:c r="G123" s="3"/>
      <x:c r="H123" s="3"/>
    </x:row>
    <x:row r="124" ht="15.75" customHeight="1">
      <x:c r="A124" s="3"/>
      <x:c r="B124" s="3"/>
      <x:c r="C124" s="3"/>
      <x:c r="D124" s="4"/>
      <x:c r="E124" s="3"/>
      <x:c r="F124" s="3"/>
      <x:c r="G124" s="3"/>
      <x:c r="H124" s="3"/>
    </x:row>
    <x:row r="125" ht="15.75" customHeight="1">
      <x:c r="A125" s="3"/>
      <x:c r="B125" s="3"/>
      <x:c r="C125" s="3"/>
      <x:c r="D125" s="4"/>
      <x:c r="E125" s="3"/>
      <x:c r="F125" s="3"/>
      <x:c r="G125" s="3"/>
      <x:c r="H125" s="3"/>
    </x:row>
    <x:row r="126" ht="15.75" customHeight="1">
      <x:c r="A126" s="3"/>
      <x:c r="B126" s="3"/>
      <x:c r="C126" s="3"/>
      <x:c r="D126" s="4"/>
      <x:c r="E126" s="3"/>
      <x:c r="F126" s="3"/>
      <x:c r="G126" s="3"/>
      <x:c r="H126" s="3"/>
    </x:row>
    <x:row r="127" ht="15.75" customHeight="1">
      <x:c r="A127" s="3"/>
      <x:c r="B127" s="3"/>
      <x:c r="C127" s="3"/>
      <x:c r="D127" s="4"/>
      <x:c r="E127" s="3"/>
      <x:c r="F127" s="3"/>
      <x:c r="G127" s="3"/>
      <x:c r="H127" s="3"/>
    </x:row>
    <x:row r="128" ht="15.75" customHeight="1">
      <x:c r="A128" s="3"/>
      <x:c r="B128" s="3"/>
      <x:c r="C128" s="3"/>
      <x:c r="D128" s="4"/>
      <x:c r="E128" s="3"/>
      <x:c r="F128" s="3"/>
      <x:c r="G128" s="3"/>
      <x:c r="H128" s="3"/>
    </x:row>
    <x:row r="129" ht="15.75" customHeight="1">
      <x:c r="A129" s="3"/>
      <x:c r="B129" s="3"/>
      <x:c r="C129" s="3"/>
      <x:c r="D129" s="4"/>
      <x:c r="E129" s="3"/>
      <x:c r="F129" s="3"/>
      <x:c r="G129" s="3"/>
      <x:c r="H129" s="3"/>
    </x:row>
    <x:row r="130" ht="15.75" customHeight="1">
      <x:c r="A130" s="3"/>
      <x:c r="B130" s="3"/>
      <x:c r="C130" s="3"/>
      <x:c r="D130" s="4"/>
      <x:c r="E130" s="3"/>
      <x:c r="F130" s="3"/>
      <x:c r="G130" s="3"/>
      <x:c r="H130" s="3"/>
    </x:row>
    <x:row r="131" ht="15.75" customHeight="1">
      <x:c r="A131" s="3"/>
      <x:c r="B131" s="3"/>
      <x:c r="C131" s="3"/>
      <x:c r="D131" s="4"/>
      <x:c r="E131" s="3"/>
      <x:c r="F131" s="3"/>
      <x:c r="G131" s="3"/>
      <x:c r="H131" s="3"/>
    </x:row>
    <x:row r="132" ht="15.75" customHeight="1">
      <x:c r="A132" s="3"/>
      <x:c r="B132" s="3"/>
      <x:c r="C132" s="3"/>
      <x:c r="D132" s="4"/>
      <x:c r="E132" s="3"/>
      <x:c r="F132" s="3"/>
      <x:c r="G132" s="3"/>
      <x:c r="H132" s="3"/>
    </x:row>
    <x:row r="133" ht="15.75" customHeight="1">
      <x:c r="A133" s="3"/>
      <x:c r="B133" s="3"/>
      <x:c r="C133" s="3"/>
      <x:c r="D133" s="4"/>
      <x:c r="E133" s="3"/>
      <x:c r="F133" s="3"/>
      <x:c r="G133" s="3"/>
      <x:c r="H133" s="3"/>
    </x:row>
    <x:row r="134" ht="15.75" customHeight="1">
      <x:c r="A134" s="3"/>
      <x:c r="B134" s="3"/>
      <x:c r="C134" s="3"/>
      <x:c r="D134" s="4"/>
      <x:c r="E134" s="3"/>
      <x:c r="F134" s="3"/>
      <x:c r="G134" s="3"/>
      <x:c r="H134" s="3"/>
    </x:row>
    <x:row r="135" ht="15.75" customHeight="1">
      <x:c r="A135" s="3"/>
      <x:c r="B135" s="3"/>
      <x:c r="C135" s="3"/>
      <x:c r="D135" s="4"/>
      <x:c r="E135" s="3"/>
      <x:c r="F135" s="3"/>
      <x:c r="G135" s="3"/>
      <x:c r="H135" s="3"/>
    </x:row>
    <x:row r="136" ht="15.75" customHeight="1">
      <x:c r="A136" s="3"/>
      <x:c r="B136" s="3"/>
      <x:c r="C136" s="3"/>
      <x:c r="D136" s="4"/>
      <x:c r="E136" s="3"/>
      <x:c r="F136" s="3"/>
      <x:c r="G136" s="3"/>
      <x:c r="H136" s="3"/>
    </x:row>
    <x:row r="137" ht="15.75" customHeight="1">
      <x:c r="A137" s="3"/>
      <x:c r="B137" s="3"/>
      <x:c r="C137" s="3"/>
      <x:c r="D137" s="4"/>
      <x:c r="E137" s="3"/>
      <x:c r="F137" s="3"/>
      <x:c r="G137" s="3"/>
      <x:c r="H137" s="3"/>
    </x:row>
    <x:row r="138" ht="15.75" customHeight="1">
      <x:c r="A138" s="3"/>
      <x:c r="B138" s="3"/>
      <x:c r="C138" s="3"/>
      <x:c r="D138" s="4"/>
      <x:c r="E138" s="3"/>
      <x:c r="F138" s="3"/>
      <x:c r="G138" s="3"/>
      <x:c r="H138" s="3"/>
    </x:row>
    <x:row r="139" ht="15.75" customHeight="1">
      <x:c r="A139" s="3"/>
      <x:c r="B139" s="3"/>
      <x:c r="C139" s="3"/>
      <x:c r="D139" s="4"/>
      <x:c r="E139" s="3"/>
      <x:c r="F139" s="3"/>
      <x:c r="G139" s="3"/>
      <x:c r="H139" s="3"/>
    </x:row>
    <x:row r="140" ht="15.75" customHeight="1">
      <x:c r="A140" s="3"/>
      <x:c r="B140" s="3"/>
      <x:c r="C140" s="3"/>
      <x:c r="D140" s="4"/>
      <x:c r="E140" s="3"/>
      <x:c r="F140" s="3"/>
      <x:c r="G140" s="3"/>
      <x:c r="H140" s="3"/>
    </x:row>
    <x:row r="141" ht="15.75" customHeight="1">
      <x:c r="A141" s="3"/>
      <x:c r="B141" s="3"/>
      <x:c r="C141" s="3"/>
      <x:c r="D141" s="4"/>
      <x:c r="E141" s="3"/>
      <x:c r="F141" s="3"/>
      <x:c r="G141" s="3"/>
      <x:c r="H141" s="3"/>
    </x:row>
    <x:row r="142" ht="15.75" customHeight="1">
      <x:c r="A142" s="3"/>
      <x:c r="B142" s="3"/>
      <x:c r="C142" s="3"/>
      <x:c r="D142" s="4"/>
      <x:c r="E142" s="3"/>
      <x:c r="F142" s="3"/>
      <x:c r="G142" s="3"/>
      <x:c r="H142" s="3"/>
    </x:row>
    <x:row r="143" ht="15.75" customHeight="1">
      <x:c r="A143" s="3"/>
      <x:c r="B143" s="3"/>
      <x:c r="C143" s="3"/>
      <x:c r="D143" s="4"/>
      <x:c r="E143" s="3"/>
      <x:c r="F143" s="3"/>
      <x:c r="G143" s="3"/>
      <x:c r="H143" s="3"/>
    </x:row>
    <x:row r="144" ht="15.75" customHeight="1">
      <x:c r="A144" s="3"/>
      <x:c r="B144" s="3"/>
      <x:c r="C144" s="3"/>
      <x:c r="D144" s="4"/>
      <x:c r="E144" s="3"/>
      <x:c r="F144" s="3"/>
      <x:c r="G144" s="3"/>
      <x:c r="H144" s="3"/>
    </x:row>
    <x:row r="145" ht="15.75" customHeight="1">
      <x:c r="A145" s="3"/>
      <x:c r="B145" s="3"/>
      <x:c r="C145" s="3"/>
      <x:c r="D145" s="4"/>
      <x:c r="E145" s="3"/>
      <x:c r="F145" s="3"/>
      <x:c r="G145" s="3"/>
      <x:c r="H145" s="3"/>
    </x:row>
    <x:row r="146" ht="15.75" customHeight="1">
      <x:c r="A146" s="3"/>
      <x:c r="B146" s="3"/>
      <x:c r="C146" s="3"/>
      <x:c r="D146" s="4"/>
      <x:c r="E146" s="3"/>
      <x:c r="F146" s="3"/>
      <x:c r="G146" s="3"/>
      <x:c r="H146" s="3"/>
    </x:row>
    <x:row r="147" ht="15.75" customHeight="1">
      <x:c r="A147" s="3"/>
      <x:c r="B147" s="3"/>
      <x:c r="C147" s="3"/>
      <x:c r="D147" s="4"/>
      <x:c r="E147" s="3"/>
      <x:c r="F147" s="3"/>
      <x:c r="G147" s="3"/>
      <x:c r="H147" s="3"/>
    </x:row>
    <x:row r="148" ht="15.75" customHeight="1">
      <x:c r="A148" s="3"/>
      <x:c r="B148" s="3"/>
      <x:c r="C148" s="3"/>
      <x:c r="D148" s="4"/>
      <x:c r="E148" s="3"/>
      <x:c r="F148" s="3"/>
      <x:c r="G148" s="3"/>
      <x:c r="H148" s="3"/>
    </x:row>
    <x:row r="149" ht="15.75" customHeight="1">
      <x:c r="A149" s="3"/>
      <x:c r="B149" s="3"/>
      <x:c r="C149" s="3"/>
      <x:c r="D149" s="4"/>
      <x:c r="E149" s="3"/>
      <x:c r="F149" s="3"/>
      <x:c r="G149" s="3"/>
      <x:c r="H149" s="3"/>
    </x:row>
    <x:row r="150" ht="15.75" customHeight="1">
      <x:c r="A150" s="3"/>
      <x:c r="B150" s="3"/>
      <x:c r="C150" s="3"/>
      <x:c r="D150" s="4"/>
      <x:c r="E150" s="3"/>
      <x:c r="F150" s="3"/>
      <x:c r="G150" s="3"/>
      <x:c r="H150" s="3"/>
    </x:row>
    <x:row r="151" ht="15.75" customHeight="1">
      <x:c r="A151" s="3"/>
      <x:c r="B151" s="3"/>
      <x:c r="C151" s="3"/>
      <x:c r="D151" s="4"/>
      <x:c r="E151" s="3"/>
      <x:c r="F151" s="3"/>
      <x:c r="G151" s="3"/>
      <x:c r="H151" s="3"/>
    </x:row>
    <x:row r="152" ht="15.75" customHeight="1">
      <x:c r="A152" s="3"/>
      <x:c r="B152" s="3"/>
      <x:c r="C152" s="3"/>
      <x:c r="D152" s="4"/>
      <x:c r="E152" s="3"/>
      <x:c r="F152" s="3"/>
      <x:c r="G152" s="3"/>
      <x:c r="H152" s="3"/>
    </x:row>
    <x:row r="153" ht="15.75" customHeight="1">
      <x:c r="A153" s="3"/>
      <x:c r="B153" s="3"/>
      <x:c r="C153" s="3"/>
      <x:c r="D153" s="4"/>
      <x:c r="E153" s="3"/>
      <x:c r="F153" s="3"/>
      <x:c r="G153" s="3"/>
      <x:c r="H153" s="3"/>
    </x:row>
    <x:row r="154" ht="15.75" customHeight="1">
      <x:c r="A154" s="3"/>
      <x:c r="B154" s="3"/>
      <x:c r="C154" s="3"/>
      <x:c r="D154" s="4"/>
      <x:c r="E154" s="3"/>
      <x:c r="F154" s="3"/>
      <x:c r="G154" s="3"/>
      <x:c r="H154" s="3"/>
    </x:row>
    <x:row r="155" ht="15.75" customHeight="1">
      <x:c r="A155" s="3"/>
      <x:c r="B155" s="3"/>
      <x:c r="C155" s="3"/>
      <x:c r="D155" s="4"/>
      <x:c r="E155" s="3"/>
      <x:c r="F155" s="3"/>
      <x:c r="G155" s="3"/>
      <x:c r="H155" s="3"/>
    </x:row>
    <x:row r="156" ht="15.75" customHeight="1">
      <x:c r="A156" s="3"/>
      <x:c r="B156" s="3"/>
      <x:c r="C156" s="3"/>
      <x:c r="D156" s="4"/>
      <x:c r="E156" s="3"/>
      <x:c r="F156" s="3"/>
      <x:c r="G156" s="3"/>
      <x:c r="H156" s="3"/>
    </x:row>
    <x:row r="157" ht="15.75" customHeight="1">
      <x:c r="A157" s="3"/>
      <x:c r="B157" s="3"/>
      <x:c r="C157" s="3"/>
      <x:c r="D157" s="4"/>
      <x:c r="E157" s="3"/>
      <x:c r="F157" s="3"/>
      <x:c r="G157" s="3"/>
      <x:c r="H157" s="3"/>
    </x:row>
    <x:row r="158" ht="15.75" customHeight="1">
      <x:c r="A158" s="3"/>
      <x:c r="B158" s="3"/>
      <x:c r="C158" s="3"/>
      <x:c r="D158" s="4"/>
      <x:c r="E158" s="3"/>
      <x:c r="F158" s="3"/>
      <x:c r="G158" s="3"/>
      <x:c r="H158" s="3"/>
    </x:row>
    <x:row r="159" ht="15.75" customHeight="1">
      <x:c r="A159" s="3"/>
      <x:c r="B159" s="3"/>
      <x:c r="C159" s="3"/>
      <x:c r="D159" s="4"/>
      <x:c r="E159" s="3"/>
      <x:c r="F159" s="3"/>
      <x:c r="G159" s="3"/>
      <x:c r="H159" s="3"/>
    </x:row>
    <x:row r="160" ht="15.75" customHeight="1">
      <x:c r="A160" s="3"/>
      <x:c r="B160" s="3"/>
      <x:c r="C160" s="3"/>
      <x:c r="D160" s="4"/>
      <x:c r="E160" s="3"/>
      <x:c r="F160" s="3"/>
      <x:c r="G160" s="3"/>
      <x:c r="H160" s="3"/>
    </x:row>
    <x:row r="161" ht="15.75" customHeight="1">
      <x:c r="A161" s="3"/>
      <x:c r="B161" s="3"/>
      <x:c r="C161" s="3"/>
      <x:c r="D161" s="4"/>
      <x:c r="E161" s="3"/>
      <x:c r="F161" s="3"/>
      <x:c r="G161" s="3"/>
      <x:c r="H161" s="3"/>
    </x:row>
    <x:row r="162" ht="15.75" customHeight="1">
      <x:c r="A162" s="3"/>
      <x:c r="B162" s="3"/>
      <x:c r="C162" s="3"/>
      <x:c r="D162" s="4"/>
      <x:c r="E162" s="3"/>
      <x:c r="F162" s="3"/>
      <x:c r="G162" s="3"/>
      <x:c r="H162" s="3"/>
    </x:row>
    <x:row r="163" ht="15.75" customHeight="1">
      <x:c r="A163" s="3"/>
      <x:c r="B163" s="3"/>
      <x:c r="C163" s="3"/>
      <x:c r="D163" s="4"/>
      <x:c r="E163" s="3"/>
      <x:c r="F163" s="3"/>
      <x:c r="G163" s="3"/>
      <x:c r="H163" s="3"/>
    </x:row>
    <x:row r="164" ht="15.75" customHeight="1">
      <x:c r="A164" s="3"/>
      <x:c r="B164" s="3"/>
      <x:c r="C164" s="3"/>
      <x:c r="D164" s="4"/>
      <x:c r="E164" s="3"/>
      <x:c r="F164" s="3"/>
      <x:c r="G164" s="3"/>
      <x:c r="H164" s="3"/>
    </x:row>
    <x:row r="165" ht="15.75" customHeight="1">
      <x:c r="A165" s="3"/>
      <x:c r="B165" s="3"/>
      <x:c r="C165" s="3"/>
      <x:c r="D165" s="4"/>
      <x:c r="E165" s="3"/>
      <x:c r="F165" s="3"/>
      <x:c r="G165" s="3"/>
      <x:c r="H165" s="3"/>
    </x:row>
    <x:row r="166" ht="15.75" customHeight="1">
      <x:c r="A166" s="3"/>
      <x:c r="B166" s="3"/>
      <x:c r="C166" s="3"/>
      <x:c r="D166" s="4"/>
      <x:c r="E166" s="3"/>
      <x:c r="F166" s="3"/>
      <x:c r="G166" s="3"/>
      <x:c r="H166" s="3"/>
    </x:row>
    <x:row r="167" ht="15.75" customHeight="1">
      <x:c r="A167" s="3"/>
      <x:c r="B167" s="3"/>
      <x:c r="C167" s="3"/>
      <x:c r="D167" s="4"/>
      <x:c r="E167" s="3"/>
      <x:c r="F167" s="3"/>
      <x:c r="G167" s="3"/>
      <x:c r="H167" s="3"/>
    </x:row>
    <x:row r="168" ht="15.75" customHeight="1">
      <x:c r="A168" s="3"/>
      <x:c r="B168" s="3"/>
      <x:c r="C168" s="3"/>
      <x:c r="D168" s="4"/>
      <x:c r="E168" s="3"/>
      <x:c r="F168" s="3"/>
      <x:c r="G168" s="3"/>
      <x:c r="H168" s="3"/>
    </x:row>
    <x:row r="169" ht="15.75" customHeight="1">
      <x:c r="A169" s="3"/>
      <x:c r="B169" s="3"/>
      <x:c r="C169" s="3"/>
      <x:c r="D169" s="4"/>
      <x:c r="E169" s="3"/>
      <x:c r="F169" s="3"/>
      <x:c r="G169" s="3"/>
      <x:c r="H169" s="3"/>
    </x:row>
    <x:row r="170" ht="15.75" customHeight="1">
      <x:c r="A170" s="3"/>
      <x:c r="B170" s="3"/>
      <x:c r="C170" s="3"/>
      <x:c r="D170" s="4"/>
      <x:c r="E170" s="3"/>
      <x:c r="F170" s="3"/>
      <x:c r="G170" s="3"/>
      <x:c r="H170" s="3"/>
    </x:row>
    <x:row r="171" ht="15.75" customHeight="1">
      <x:c r="A171" s="3"/>
      <x:c r="B171" s="3"/>
      <x:c r="C171" s="3"/>
      <x:c r="D171" s="4"/>
      <x:c r="E171" s="3"/>
      <x:c r="F171" s="3"/>
      <x:c r="G171" s="3"/>
      <x:c r="H171" s="3"/>
    </x:row>
    <x:row r="172" ht="15.75" customHeight="1">
      <x:c r="A172" s="3"/>
      <x:c r="B172" s="3"/>
      <x:c r="C172" s="3"/>
      <x:c r="D172" s="4"/>
      <x:c r="E172" s="3"/>
      <x:c r="F172" s="3"/>
      <x:c r="G172" s="3"/>
      <x:c r="H172" s="3"/>
    </x:row>
    <x:row r="173" ht="15.75" customHeight="1">
      <x:c r="A173" s="3"/>
      <x:c r="B173" s="3"/>
      <x:c r="C173" s="3"/>
      <x:c r="D173" s="4"/>
      <x:c r="E173" s="3"/>
      <x:c r="F173" s="3"/>
      <x:c r="G173" s="3"/>
      <x:c r="H173" s="3"/>
    </x:row>
    <x:row r="174" ht="15.75" customHeight="1">
      <x:c r="A174" s="3"/>
      <x:c r="B174" s="3"/>
      <x:c r="C174" s="3"/>
      <x:c r="D174" s="4"/>
      <x:c r="E174" s="3"/>
      <x:c r="F174" s="3"/>
      <x:c r="G174" s="3"/>
      <x:c r="H174" s="3"/>
    </x:row>
    <x:row r="175" ht="15.75" customHeight="1">
      <x:c r="A175" s="3"/>
      <x:c r="B175" s="3"/>
      <x:c r="C175" s="3"/>
      <x:c r="D175" s="4"/>
      <x:c r="E175" s="3"/>
      <x:c r="F175" s="3"/>
      <x:c r="G175" s="3"/>
      <x:c r="H175" s="3"/>
    </x:row>
    <x:row r="176" ht="15.75" customHeight="1">
      <x:c r="A176" s="3"/>
      <x:c r="B176" s="3"/>
      <x:c r="C176" s="3"/>
      <x:c r="D176" s="4"/>
      <x:c r="E176" s="3"/>
      <x:c r="F176" s="3"/>
      <x:c r="G176" s="3"/>
      <x:c r="H176" s="3"/>
    </x:row>
    <x:row r="177" ht="15.75" customHeight="1">
      <x:c r="A177" s="3"/>
      <x:c r="B177" s="3"/>
      <x:c r="C177" s="3"/>
      <x:c r="D177" s="4"/>
      <x:c r="E177" s="3"/>
      <x:c r="F177" s="3"/>
      <x:c r="G177" s="3"/>
      <x:c r="H177" s="3"/>
    </x:row>
    <x:row r="178" ht="15.75" customHeight="1">
      <x:c r="A178" s="3"/>
      <x:c r="B178" s="3"/>
      <x:c r="C178" s="3"/>
      <x:c r="D178" s="4"/>
      <x:c r="E178" s="3"/>
      <x:c r="F178" s="3"/>
      <x:c r="G178" s="3"/>
      <x:c r="H178" s="3"/>
    </x:row>
    <x:row r="179" ht="15.75" customHeight="1">
      <x:c r="A179" s="3"/>
      <x:c r="B179" s="3"/>
      <x:c r="C179" s="3"/>
      <x:c r="D179" s="4"/>
      <x:c r="E179" s="3"/>
      <x:c r="F179" s="3"/>
      <x:c r="G179" s="3"/>
      <x:c r="H179" s="3"/>
    </x:row>
    <x:row r="180" ht="15.75" customHeight="1">
      <x:c r="A180" s="3"/>
      <x:c r="B180" s="3"/>
      <x:c r="C180" s="3"/>
      <x:c r="D180" s="4"/>
      <x:c r="E180" s="3"/>
      <x:c r="F180" s="3"/>
      <x:c r="G180" s="3"/>
      <x:c r="H180" s="3"/>
    </x:row>
    <x:row r="181" ht="15.75" customHeight="1">
      <x:c r="A181" s="3"/>
      <x:c r="B181" s="3"/>
      <x:c r="C181" s="3"/>
      <x:c r="D181" s="4"/>
      <x:c r="E181" s="3"/>
      <x:c r="F181" s="3"/>
      <x:c r="G181" s="3"/>
      <x:c r="H181" s="3"/>
    </x:row>
    <x:row r="182" ht="15.75" customHeight="1">
      <x:c r="A182" s="3"/>
      <x:c r="B182" s="3"/>
      <x:c r="C182" s="3"/>
      <x:c r="D182" s="4"/>
      <x:c r="E182" s="3"/>
      <x:c r="F182" s="3"/>
      <x:c r="G182" s="3"/>
      <x:c r="H182" s="3"/>
    </x:row>
    <x:row r="183" ht="15.75" customHeight="1">
      <x:c r="A183" s="3"/>
      <x:c r="B183" s="3"/>
      <x:c r="C183" s="3"/>
      <x:c r="D183" s="4"/>
      <x:c r="E183" s="3"/>
      <x:c r="F183" s="3"/>
      <x:c r="G183" s="3"/>
      <x:c r="H183" s="3"/>
    </x:row>
    <x:row r="184" ht="15.75" customHeight="1">
      <x:c r="A184" s="3"/>
      <x:c r="B184" s="3"/>
      <x:c r="C184" s="3"/>
      <x:c r="D184" s="4"/>
      <x:c r="E184" s="3"/>
      <x:c r="F184" s="3"/>
      <x:c r="G184" s="3"/>
      <x:c r="H184" s="3"/>
    </x:row>
    <x:row r="185" ht="15.75" customHeight="1">
      <x:c r="A185" s="3"/>
      <x:c r="B185" s="3"/>
      <x:c r="C185" s="3"/>
      <x:c r="D185" s="4"/>
      <x:c r="E185" s="3"/>
      <x:c r="F185" s="3"/>
      <x:c r="G185" s="3"/>
      <x:c r="H185" s="3"/>
    </x:row>
    <x:row r="186" ht="15.75" customHeight="1">
      <x:c r="A186" s="3"/>
      <x:c r="B186" s="3"/>
      <x:c r="C186" s="3"/>
      <x:c r="D186" s="4"/>
      <x:c r="E186" s="3"/>
      <x:c r="F186" s="3"/>
      <x:c r="G186" s="3"/>
      <x:c r="H186" s="3"/>
    </x:row>
    <x:row r="187" ht="15.75" customHeight="1">
      <x:c r="A187" s="3"/>
      <x:c r="B187" s="3"/>
      <x:c r="C187" s="3"/>
      <x:c r="D187" s="4"/>
      <x:c r="E187" s="3"/>
      <x:c r="F187" s="3"/>
      <x:c r="G187" s="3"/>
      <x:c r="H187" s="3"/>
    </x:row>
    <x:row r="188" ht="15.75" customHeight="1">
      <x:c r="A188" s="3"/>
      <x:c r="B188" s="3"/>
      <x:c r="C188" s="3"/>
      <x:c r="D188" s="4"/>
      <x:c r="E188" s="3"/>
      <x:c r="F188" s="3"/>
      <x:c r="G188" s="3"/>
      <x:c r="H188" s="3"/>
    </x:row>
    <x:row r="189" ht="15.75" customHeight="1">
      <x:c r="A189" s="3"/>
      <x:c r="B189" s="3"/>
      <x:c r="C189" s="3"/>
      <x:c r="D189" s="4"/>
      <x:c r="E189" s="3"/>
      <x:c r="F189" s="3"/>
      <x:c r="G189" s="3"/>
      <x:c r="H189" s="3"/>
    </x:row>
    <x:row r="190" ht="15.75" customHeight="1">
      <x:c r="A190" s="3"/>
      <x:c r="B190" s="3"/>
      <x:c r="C190" s="3"/>
      <x:c r="D190" s="4"/>
      <x:c r="E190" s="3"/>
      <x:c r="F190" s="3"/>
      <x:c r="G190" s="3"/>
      <x:c r="H190" s="3"/>
    </x:row>
    <x:row r="191" ht="15.75" customHeight="1">
      <x:c r="A191" s="3"/>
      <x:c r="B191" s="3"/>
      <x:c r="C191" s="3"/>
      <x:c r="D191" s="4"/>
      <x:c r="E191" s="3"/>
      <x:c r="F191" s="3"/>
      <x:c r="G191" s="3"/>
      <x:c r="H191" s="3"/>
    </x:row>
    <x:row r="192" ht="15.75" customHeight="1">
      <x:c r="A192" s="3"/>
      <x:c r="B192" s="3"/>
      <x:c r="C192" s="3"/>
      <x:c r="D192" s="4"/>
      <x:c r="E192" s="3"/>
      <x:c r="F192" s="3"/>
      <x:c r="G192" s="3"/>
      <x:c r="H192" s="3"/>
    </x:row>
    <x:row r="193" ht="15.75" customHeight="1">
      <x:c r="A193" s="3"/>
      <x:c r="B193" s="3"/>
      <x:c r="C193" s="3"/>
      <x:c r="D193" s="4"/>
      <x:c r="E193" s="3"/>
      <x:c r="F193" s="3"/>
      <x:c r="G193" s="3"/>
      <x:c r="H193" s="3"/>
    </x:row>
    <x:row r="194" ht="15.75" customHeight="1">
      <x:c r="A194" s="3"/>
      <x:c r="B194" s="3"/>
      <x:c r="C194" s="3"/>
      <x:c r="D194" s="4"/>
      <x:c r="E194" s="3"/>
      <x:c r="F194" s="3"/>
      <x:c r="G194" s="3"/>
      <x:c r="H194" s="3"/>
    </x:row>
    <x:row r="195" ht="15.75" customHeight="1">
      <x:c r="A195" s="3"/>
      <x:c r="B195" s="3"/>
      <x:c r="C195" s="3"/>
      <x:c r="D195" s="4"/>
      <x:c r="E195" s="3"/>
      <x:c r="F195" s="3"/>
      <x:c r="G195" s="3"/>
      <x:c r="H195" s="3"/>
    </x:row>
    <x:row r="196" ht="15.75" customHeight="1">
      <x:c r="A196" s="3"/>
      <x:c r="B196" s="3"/>
      <x:c r="C196" s="3"/>
      <x:c r="D196" s="4"/>
      <x:c r="E196" s="3"/>
      <x:c r="F196" s="3"/>
      <x:c r="G196" s="3"/>
      <x:c r="H196" s="3"/>
    </x:row>
    <x:row r="197" ht="15.75" customHeight="1">
      <x:c r="A197" s="3"/>
      <x:c r="B197" s="3"/>
      <x:c r="C197" s="3"/>
      <x:c r="D197" s="4"/>
      <x:c r="E197" s="3"/>
      <x:c r="F197" s="3"/>
      <x:c r="G197" s="3"/>
      <x:c r="H197" s="3"/>
    </x:row>
    <x:row r="198" ht="15.75" customHeight="1">
      <x:c r="A198" s="3"/>
      <x:c r="B198" s="3"/>
      <x:c r="C198" s="3"/>
      <x:c r="D198" s="4"/>
      <x:c r="E198" s="3"/>
      <x:c r="F198" s="3"/>
      <x:c r="G198" s="3"/>
      <x:c r="H198" s="3"/>
    </x:row>
    <x:row r="199" ht="15.75" customHeight="1">
      <x:c r="A199" s="3"/>
      <x:c r="B199" s="3"/>
      <x:c r="C199" s="3"/>
      <x:c r="D199" s="4"/>
      <x:c r="E199" s="3"/>
      <x:c r="F199" s="3"/>
      <x:c r="G199" s="3"/>
      <x:c r="H199" s="3"/>
    </x:row>
    <x:row r="200" ht="15.75" customHeight="1">
      <x:c r="A200" s="3"/>
      <x:c r="B200" s="3"/>
      <x:c r="C200" s="3"/>
      <x:c r="D200" s="4"/>
      <x:c r="E200" s="3"/>
      <x:c r="F200" s="3"/>
      <x:c r="G200" s="3"/>
      <x:c r="H200" s="3"/>
    </x:row>
    <x:row r="201" ht="15.75" customHeight="1">
      <x:c r="A201" s="3"/>
      <x:c r="B201" s="3"/>
      <x:c r="C201" s="3"/>
      <x:c r="D201" s="4"/>
      <x:c r="E201" s="3"/>
      <x:c r="F201" s="3"/>
      <x:c r="G201" s="3"/>
      <x:c r="H201" s="3"/>
    </x:row>
    <x:row r="202" ht="15.75" customHeight="1">
      <x:c r="A202" s="3"/>
      <x:c r="B202" s="3"/>
      <x:c r="C202" s="3"/>
      <x:c r="D202" s="4"/>
      <x:c r="E202" s="3"/>
      <x:c r="F202" s="3"/>
      <x:c r="G202" s="3"/>
      <x:c r="H202" s="3"/>
    </x:row>
    <x:row r="203" ht="15.75" customHeight="1">
      <x:c r="A203" s="3"/>
      <x:c r="B203" s="3"/>
      <x:c r="C203" s="3"/>
      <x:c r="D203" s="4"/>
      <x:c r="E203" s="3"/>
      <x:c r="F203" s="3"/>
      <x:c r="G203" s="3"/>
      <x:c r="H203" s="3"/>
    </x:row>
    <x:row r="204" ht="15.75" customHeight="1">
      <x:c r="A204" s="3"/>
      <x:c r="B204" s="3"/>
      <x:c r="C204" s="3"/>
      <x:c r="D204" s="4"/>
      <x:c r="E204" s="3"/>
      <x:c r="F204" s="3"/>
      <x:c r="G204" s="3"/>
      <x:c r="H204" s="3"/>
    </x:row>
    <x:row r="205" ht="15.75" customHeight="1">
      <x:c r="A205" s="3"/>
      <x:c r="B205" s="3"/>
      <x:c r="C205" s="3"/>
      <x:c r="D205" s="4"/>
      <x:c r="E205" s="3"/>
      <x:c r="F205" s="3"/>
      <x:c r="G205" s="3"/>
      <x:c r="H205" s="3"/>
    </x:row>
    <x:row r="206" ht="15.75" customHeight="1">
      <x:c r="A206" s="3"/>
      <x:c r="B206" s="3"/>
      <x:c r="C206" s="3"/>
      <x:c r="D206" s="4"/>
      <x:c r="E206" s="3"/>
      <x:c r="F206" s="3"/>
      <x:c r="G206" s="3"/>
      <x:c r="H206" s="3"/>
    </x:row>
    <x:row r="207" ht="15.75" customHeight="1">
      <x:c r="A207" s="3"/>
      <x:c r="B207" s="3"/>
      <x:c r="C207" s="3"/>
      <x:c r="D207" s="4"/>
      <x:c r="E207" s="3"/>
      <x:c r="F207" s="3"/>
      <x:c r="G207" s="3"/>
      <x:c r="H207" s="3"/>
    </x:row>
    <x:row r="208" ht="15.75" customHeight="1">
      <x:c r="A208" s="3"/>
      <x:c r="B208" s="3"/>
      <x:c r="C208" s="3"/>
      <x:c r="D208" s="4"/>
      <x:c r="E208" s="3"/>
      <x:c r="F208" s="3"/>
      <x:c r="G208" s="3"/>
      <x:c r="H208" s="3"/>
    </x:row>
    <x:row r="209" ht="15.75" customHeight="1">
      <x:c r="A209" s="3"/>
      <x:c r="B209" s="3"/>
      <x:c r="C209" s="3"/>
      <x:c r="D209" s="4"/>
      <x:c r="E209" s="3"/>
      <x:c r="F209" s="3"/>
      <x:c r="G209" s="3"/>
      <x:c r="H209" s="3"/>
    </x:row>
    <x:row r="210" ht="15.75" customHeight="1">
      <x:c r="A210" s="3"/>
      <x:c r="B210" s="3"/>
      <x:c r="C210" s="3"/>
      <x:c r="D210" s="4"/>
      <x:c r="E210" s="3"/>
      <x:c r="F210" s="3"/>
      <x:c r="G210" s="3"/>
      <x:c r="H210" s="3"/>
    </x:row>
    <x:row r="211" ht="15.75" customHeight="1">
      <x:c r="A211" s="3"/>
      <x:c r="B211" s="3"/>
      <x:c r="C211" s="3"/>
      <x:c r="D211" s="4"/>
      <x:c r="E211" s="3"/>
      <x:c r="F211" s="3"/>
      <x:c r="G211" s="3"/>
      <x:c r="H211" s="3"/>
    </x:row>
    <x:row r="212" ht="15.75" customHeight="1">
      <x:c r="A212" s="3"/>
      <x:c r="B212" s="3"/>
      <x:c r="C212" s="3"/>
      <x:c r="D212" s="4"/>
      <x:c r="E212" s="3"/>
      <x:c r="F212" s="3"/>
      <x:c r="G212" s="3"/>
      <x:c r="H212" s="3"/>
    </x:row>
    <x:row r="213" ht="15.75" customHeight="1">
      <x:c r="A213" s="3"/>
      <x:c r="B213" s="3"/>
      <x:c r="C213" s="3"/>
      <x:c r="D213" s="4"/>
      <x:c r="E213" s="3"/>
      <x:c r="F213" s="3"/>
      <x:c r="G213" s="3"/>
      <x:c r="H213" s="3"/>
    </x:row>
    <x:row r="214" ht="15.75" customHeight="1">
      <x:c r="A214" s="3"/>
      <x:c r="B214" s="3"/>
      <x:c r="C214" s="3"/>
      <x:c r="D214" s="4"/>
      <x:c r="E214" s="3"/>
      <x:c r="F214" s="3"/>
      <x:c r="G214" s="3"/>
      <x:c r="H214" s="3"/>
    </x:row>
    <x:row r="215" ht="15.75" customHeight="1">
      <x:c r="A215" s="3"/>
      <x:c r="B215" s="3"/>
      <x:c r="C215" s="3"/>
      <x:c r="D215" s="4"/>
      <x:c r="E215" s="3"/>
      <x:c r="F215" s="3"/>
      <x:c r="G215" s="3"/>
      <x:c r="H215" s="3"/>
    </x:row>
    <x:row r="216" ht="15.75" customHeight="1">
      <x:c r="A216" s="3"/>
      <x:c r="B216" s="3"/>
      <x:c r="C216" s="3"/>
      <x:c r="D216" s="4"/>
      <x:c r="E216" s="3"/>
      <x:c r="F216" s="3"/>
      <x:c r="G216" s="3"/>
      <x:c r="H216" s="3"/>
    </x:row>
    <x:row r="217" ht="15.75" customHeight="1">
      <x:c r="A217" s="3"/>
      <x:c r="B217" s="3"/>
      <x:c r="C217" s="3"/>
      <x:c r="D217" s="4"/>
      <x:c r="E217" s="3"/>
      <x:c r="F217" s="3"/>
      <x:c r="G217" s="3"/>
      <x:c r="H217" s="3"/>
    </x:row>
    <x:row r="218" ht="15.75" customHeight="1">
      <x:c r="A218" s="3"/>
      <x:c r="B218" s="3"/>
      <x:c r="C218" s="3"/>
      <x:c r="D218" s="4"/>
      <x:c r="E218" s="3"/>
      <x:c r="F218" s="3"/>
      <x:c r="G218" s="3"/>
      <x:c r="H218" s="3"/>
    </x:row>
    <x:row r="219" ht="15.75" customHeight="1">
      <x:c r="A219" s="3"/>
      <x:c r="B219" s="3"/>
      <x:c r="C219" s="3"/>
      <x:c r="D219" s="4"/>
      <x:c r="E219" s="3"/>
      <x:c r="F219" s="3"/>
      <x:c r="G219" s="3"/>
      <x:c r="H219" s="3"/>
    </x:row>
    <x:row r="220" ht="15.75" customHeight="1">
      <x:c r="A220" s="3"/>
      <x:c r="B220" s="3"/>
      <x:c r="C220" s="3"/>
      <x:c r="D220" s="4"/>
      <x:c r="E220" s="3"/>
      <x:c r="F220" s="3"/>
      <x:c r="G220" s="3"/>
      <x:c r="H220" s="3"/>
    </x:row>
    <x:row r="221" ht="15.75" customHeight="1">
      <x:c r="A221" s="3"/>
      <x:c r="B221" s="3"/>
      <x:c r="C221" s="3"/>
      <x:c r="D221" s="4"/>
      <x:c r="E221" s="3"/>
      <x:c r="F221" s="3"/>
      <x:c r="G221" s="3"/>
      <x:c r="H221" s="3"/>
    </x:row>
    <x:row r="222" ht="15.75" customHeight="1">
      <x:c r="A222" s="3"/>
      <x:c r="B222" s="3"/>
      <x:c r="C222" s="3"/>
      <x:c r="D222" s="4"/>
      <x:c r="E222" s="3"/>
      <x:c r="F222" s="3"/>
      <x:c r="G222" s="3"/>
      <x:c r="H222" s="3"/>
    </x:row>
    <x:row r="223" ht="15.75" customHeight="1">
      <x:c r="A223" s="3"/>
      <x:c r="B223" s="3"/>
      <x:c r="C223" s="3"/>
      <x:c r="D223" s="4"/>
      <x:c r="E223" s="3"/>
      <x:c r="F223" s="3"/>
      <x:c r="G223" s="3"/>
      <x:c r="H223" s="3"/>
    </x:row>
    <x:row r="224" ht="15.75" customHeight="1">
      <x:c r="A224" s="3"/>
      <x:c r="B224" s="3"/>
      <x:c r="C224" s="3"/>
      <x:c r="D224" s="4"/>
      <x:c r="E224" s="3"/>
      <x:c r="F224" s="3"/>
      <x:c r="G224" s="3"/>
      <x:c r="H224" s="3"/>
    </x:row>
    <x:row r="225" ht="15.75" customHeight="1">
      <x:c r="A225" s="3"/>
      <x:c r="B225" s="3"/>
      <x:c r="C225" s="3"/>
      <x:c r="D225" s="4"/>
      <x:c r="E225" s="3"/>
      <x:c r="F225" s="3"/>
      <x:c r="G225" s="3"/>
      <x:c r="H225" s="3"/>
    </x:row>
    <x:row r="226" ht="15.75" customHeight="1">
      <x:c r="A226" s="3"/>
      <x:c r="B226" s="3"/>
      <x:c r="C226" s="3"/>
      <x:c r="D226" s="4"/>
      <x:c r="E226" s="3"/>
      <x:c r="F226" s="3"/>
      <x:c r="G226" s="3"/>
      <x:c r="H226" s="3"/>
    </x:row>
    <x:row r="227" ht="15.75" customHeight="1">
      <x:c r="A227" s="3"/>
      <x:c r="B227" s="3"/>
      <x:c r="C227" s="3"/>
      <x:c r="D227" s="4"/>
      <x:c r="E227" s="3"/>
      <x:c r="F227" s="3"/>
      <x:c r="G227" s="3"/>
      <x:c r="H227" s="3"/>
    </x:row>
    <x:row r="228" ht="15.75" customHeight="1">
      <x:c r="A228" s="3"/>
      <x:c r="B228" s="3"/>
      <x:c r="C228" s="3"/>
      <x:c r="D228" s="4"/>
      <x:c r="E228" s="3"/>
      <x:c r="F228" s="3"/>
      <x:c r="G228" s="3"/>
      <x:c r="H228" s="3"/>
    </x:row>
    <x:row r="229" ht="15.75" customHeight="1">
      <x:c r="A229" s="3"/>
      <x:c r="B229" s="3"/>
      <x:c r="C229" s="3"/>
      <x:c r="D229" s="4"/>
      <x:c r="E229" s="3"/>
      <x:c r="F229" s="3"/>
      <x:c r="G229" s="3"/>
      <x:c r="H229" s="3"/>
    </x:row>
    <x:row r="230" ht="15.75" customHeight="1">
      <x:c r="A230" s="3"/>
      <x:c r="B230" s="3"/>
      <x:c r="C230" s="3"/>
      <x:c r="D230" s="4"/>
      <x:c r="E230" s="3"/>
      <x:c r="F230" s="3"/>
      <x:c r="G230" s="3"/>
      <x:c r="H230" s="3"/>
    </x:row>
    <x:row r="231" ht="15.75" customHeight="1">
      <x:c r="A231" s="3"/>
      <x:c r="B231" s="3"/>
      <x:c r="C231" s="3"/>
      <x:c r="D231" s="4"/>
      <x:c r="E231" s="3"/>
      <x:c r="F231" s="3"/>
      <x:c r="G231" s="3"/>
      <x:c r="H231" s="3"/>
    </x:row>
    <x:row r="232" ht="15.75" customHeight="1">
      <x:c r="A232" s="3"/>
      <x:c r="B232" s="3"/>
      <x:c r="C232" s="3"/>
      <x:c r="D232" s="4"/>
      <x:c r="E232" s="3"/>
      <x:c r="F232" s="3"/>
      <x:c r="G232" s="3"/>
      <x:c r="H232" s="3"/>
    </x:row>
    <x:row r="233" ht="15.75" customHeight="1">
      <x:c r="A233" s="3"/>
      <x:c r="B233" s="3"/>
      <x:c r="C233" s="3"/>
      <x:c r="D233" s="4"/>
      <x:c r="E233" s="3"/>
      <x:c r="F233" s="3"/>
      <x:c r="G233" s="3"/>
      <x:c r="H233" s="3"/>
    </x:row>
    <x:row r="234" ht="15.75" customHeight="1">
      <x:c r="A234" s="3"/>
      <x:c r="B234" s="3"/>
      <x:c r="C234" s="3"/>
      <x:c r="D234" s="4"/>
      <x:c r="E234" s="3"/>
      <x:c r="F234" s="3"/>
      <x:c r="G234" s="3"/>
      <x:c r="H234" s="3"/>
    </x:row>
    <x:row r="235" ht="15.75" customHeight="1">
      <x:c r="A235" s="3"/>
      <x:c r="B235" s="3"/>
      <x:c r="C235" s="3"/>
      <x:c r="D235" s="4"/>
      <x:c r="E235" s="3"/>
      <x:c r="F235" s="3"/>
      <x:c r="G235" s="3"/>
      <x:c r="H235" s="3"/>
    </x:row>
    <x:row r="236" ht="15.75" customHeight="1">
      <x:c r="A236" s="3"/>
      <x:c r="B236" s="3"/>
      <x:c r="C236" s="3"/>
      <x:c r="D236" s="4"/>
      <x:c r="E236" s="3"/>
      <x:c r="F236" s="3"/>
      <x:c r="G236" s="3"/>
      <x:c r="H236" s="3"/>
    </x:row>
    <x:row r="237" ht="15.75" customHeight="1">
      <x:c r="A237" s="3"/>
      <x:c r="B237" s="3"/>
      <x:c r="C237" s="3"/>
      <x:c r="D237" s="4"/>
      <x:c r="E237" s="3"/>
      <x:c r="F237" s="3"/>
      <x:c r="G237" s="3"/>
      <x:c r="H237" s="3"/>
    </x:row>
    <x:row r="238" ht="15.75" customHeight="1">
      <x:c r="A238" s="3"/>
      <x:c r="B238" s="3"/>
      <x:c r="C238" s="3"/>
      <x:c r="D238" s="4"/>
      <x:c r="E238" s="3"/>
      <x:c r="F238" s="3"/>
      <x:c r="G238" s="3"/>
      <x:c r="H238" s="3"/>
    </x:row>
    <x:row r="239" ht="15.75" customHeight="1">
      <x:c r="A239" s="3"/>
      <x:c r="B239" s="3"/>
      <x:c r="C239" s="3"/>
      <x:c r="D239" s="4"/>
      <x:c r="E239" s="3"/>
      <x:c r="F239" s="3"/>
      <x:c r="G239" s="3"/>
      <x:c r="H239" s="3"/>
    </x:row>
    <x:row r="240" ht="15.75" customHeight="1">
      <x:c r="A240" s="3"/>
      <x:c r="B240" s="3"/>
      <x:c r="C240" s="3"/>
      <x:c r="D240" s="4"/>
      <x:c r="E240" s="3"/>
      <x:c r="F240" s="3"/>
      <x:c r="G240" s="3"/>
      <x:c r="H240" s="3"/>
    </x:row>
    <x:row r="241" ht="15.75" customHeight="1">
      <x:c r="A241" s="3"/>
      <x:c r="B241" s="3"/>
      <x:c r="C241" s="3"/>
      <x:c r="D241" s="4"/>
      <x:c r="E241" s="3"/>
      <x:c r="F241" s="3"/>
      <x:c r="G241" s="3"/>
      <x:c r="H241" s="3"/>
    </x:row>
    <x:row r="242" ht="15.75" customHeight="1">
      <x:c r="A242" s="3"/>
      <x:c r="B242" s="3"/>
      <x:c r="C242" s="3"/>
      <x:c r="D242" s="4"/>
      <x:c r="E242" s="3"/>
      <x:c r="F242" s="3"/>
      <x:c r="G242" s="3"/>
      <x:c r="H242" s="3"/>
    </x:row>
    <x:row r="243" ht="15.75" customHeight="1">
      <x:c r="A243" s="3"/>
      <x:c r="B243" s="3"/>
      <x:c r="C243" s="3"/>
      <x:c r="D243" s="4"/>
      <x:c r="E243" s="3"/>
      <x:c r="F243" s="3"/>
      <x:c r="G243" s="3"/>
      <x:c r="H243" s="3"/>
    </x:row>
    <x:row r="244" ht="15.75" customHeight="1">
      <x:c r="A244" s="3"/>
      <x:c r="B244" s="3"/>
      <x:c r="C244" s="3"/>
      <x:c r="D244" s="4"/>
      <x:c r="E244" s="3"/>
      <x:c r="F244" s="3"/>
      <x:c r="G244" s="3"/>
      <x:c r="H244" s="3"/>
    </x:row>
    <x:row r="245" ht="15.75" customHeight="1">
      <x:c r="A245" s="3"/>
      <x:c r="B245" s="3"/>
      <x:c r="C245" s="3"/>
      <x:c r="D245" s="4"/>
      <x:c r="E245" s="3"/>
      <x:c r="F245" s="3"/>
      <x:c r="G245" s="3"/>
      <x:c r="H245" s="3"/>
    </x:row>
    <x:row r="246" ht="15.75" customHeight="1">
      <x:c r="A246" s="3"/>
      <x:c r="B246" s="3"/>
      <x:c r="C246" s="3"/>
      <x:c r="D246" s="4"/>
      <x:c r="E246" s="3"/>
      <x:c r="F246" s="3"/>
      <x:c r="G246" s="3"/>
      <x:c r="H246" s="3"/>
    </x:row>
    <x:row r="247" ht="15.75" customHeight="1">
      <x:c r="A247" s="3"/>
      <x:c r="B247" s="3"/>
      <x:c r="C247" s="3"/>
      <x:c r="D247" s="4"/>
      <x:c r="E247" s="3"/>
      <x:c r="F247" s="3"/>
      <x:c r="G247" s="3"/>
      <x:c r="H247" s="3"/>
    </x:row>
    <x:row r="248" ht="15.75" customHeight="1">
      <x:c r="A248" s="3"/>
      <x:c r="B248" s="3"/>
      <x:c r="C248" s="3"/>
      <x:c r="D248" s="4"/>
      <x:c r="E248" s="3"/>
      <x:c r="F248" s="3"/>
      <x:c r="G248" s="3"/>
      <x:c r="H248" s="3"/>
    </x:row>
    <x:row r="249" ht="15.75" customHeight="1">
      <x:c r="A249" s="3"/>
      <x:c r="B249" s="3"/>
      <x:c r="C249" s="3"/>
      <x:c r="D249" s="4"/>
      <x:c r="E249" s="3"/>
      <x:c r="F249" s="3"/>
      <x:c r="G249" s="3"/>
      <x:c r="H249" s="3"/>
    </x:row>
    <x:row r="250" ht="15.75" customHeight="1">
      <x:c r="A250" s="3"/>
      <x:c r="B250" s="3"/>
      <x:c r="C250" s="3"/>
      <x:c r="D250" s="4"/>
      <x:c r="E250" s="3"/>
      <x:c r="F250" s="3"/>
      <x:c r="G250" s="3"/>
      <x:c r="H250" s="3"/>
    </x:row>
    <x:row r="251" ht="15.75" customHeight="1">
      <x:c r="A251" s="3"/>
      <x:c r="B251" s="3"/>
      <x:c r="C251" s="3"/>
      <x:c r="D251" s="4"/>
      <x:c r="E251" s="3"/>
      <x:c r="F251" s="3"/>
      <x:c r="G251" s="3"/>
      <x:c r="H251" s="3"/>
    </x:row>
    <x:row r="252" ht="15.75" customHeight="1">
      <x:c r="A252" s="3"/>
      <x:c r="B252" s="3"/>
      <x:c r="C252" s="3"/>
      <x:c r="D252" s="4"/>
      <x:c r="E252" s="3"/>
      <x:c r="F252" s="3"/>
      <x:c r="G252" s="3"/>
      <x:c r="H252" s="3"/>
    </x:row>
    <x:row r="253" ht="15.75" customHeight="1">
      <x:c r="A253" s="3"/>
      <x:c r="B253" s="3"/>
      <x:c r="C253" s="3"/>
      <x:c r="D253" s="4"/>
      <x:c r="E253" s="3"/>
      <x:c r="F253" s="3"/>
      <x:c r="G253" s="3"/>
      <x:c r="H253" s="3"/>
    </x:row>
    <x:row r="254" ht="15.75" customHeight="1">
      <x:c r="A254" s="3"/>
      <x:c r="B254" s="3"/>
      <x:c r="C254" s="3"/>
      <x:c r="D254" s="4"/>
      <x:c r="E254" s="3"/>
      <x:c r="F254" s="3"/>
      <x:c r="G254" s="3"/>
      <x:c r="H254" s="3"/>
    </x:row>
    <x:row r="255" ht="15.75" customHeight="1">
      <x:c r="A255" s="3"/>
      <x:c r="B255" s="3"/>
      <x:c r="C255" s="3"/>
      <x:c r="D255" s="4"/>
      <x:c r="E255" s="3"/>
      <x:c r="F255" s="3"/>
      <x:c r="G255" s="3"/>
      <x:c r="H255" s="3"/>
    </x:row>
    <x:row r="256" ht="15.75" customHeight="1">
      <x:c r="A256" s="3"/>
      <x:c r="B256" s="3"/>
      <x:c r="C256" s="3"/>
      <x:c r="D256" s="4"/>
      <x:c r="E256" s="3"/>
      <x:c r="F256" s="3"/>
      <x:c r="G256" s="3"/>
      <x:c r="H256" s="3"/>
    </x:row>
    <x:row r="257" ht="15.75" customHeight="1">
      <x:c r="A257" s="3"/>
      <x:c r="B257" s="3"/>
      <x:c r="C257" s="3"/>
      <x:c r="D257" s="4"/>
      <x:c r="E257" s="3"/>
      <x:c r="F257" s="3"/>
      <x:c r="G257" s="3"/>
      <x:c r="H257" s="3"/>
    </x:row>
    <x:row r="258" ht="15.75" customHeight="1">
      <x:c r="A258" s="3"/>
      <x:c r="B258" s="3"/>
      <x:c r="C258" s="3"/>
      <x:c r="D258" s="4"/>
      <x:c r="E258" s="3"/>
      <x:c r="F258" s="3"/>
      <x:c r="G258" s="3"/>
      <x:c r="H258" s="3"/>
    </x:row>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 ref="A2:H2"/>
  </x:mergeCells>
  <x:conditionalFormatting sqref="G5:G69">
    <x:cfRule type="expression" dxfId="0" priority="1">
      <x:formula>AND($G5&lt;&gt;"",$G5&lt;4)</x:formula>
    </x:cfRule>
  </x:conditionalFormatting>
  <x:conditionalFormatting sqref="G5:G69">
    <x:cfRule type="expression" dxfId="1" priority="2">
      <x:formula>AND($G5&lt;&gt;"",$G5&gt;=4)</x:formula>
    </x:cfRule>
  </x:conditionalFormatting>
  <x:dataValidations count="3">
    <x:dataValidation type="list" allowBlank="1" sqref="H5:H69">
      <x:formula1>"Jose Villamayor,Danilo Alvarez,Matias Romero,Cristofer Contreras"</x:formula1>
    </x:dataValidation>
    <x:dataValidation type="list" allowBlank="1" sqref="B5:B69">
      <x:formula1>"P1,P2,P3,Transversal"</x:formula1>
    </x:dataValidation>
    <x:dataValidation type="list" allowBlank="1" sqref="C5:C69">
      <x:formula1>"Web of Science,Scopus,IEEE Xplore,ACM DL,ScienceDirect,SpringerLink,Google Scholar,Sitio oficial,Biblioteca PUCV,Otro"</x:formula1>
    </x:dataValidation>
  </x:dataValidations>
  <x:hyperlinks>
    <x:hyperlink xmlns:r="http://schemas.openxmlformats.org/officeDocument/2006/relationships" ref="D70" r:id="R03d9331f54684527"/>
    <x:hyperlink xmlns:r="http://schemas.openxmlformats.org/officeDocument/2006/relationships" ref="D71" r:id="R01b6172f4401487c"/>
  </x:hyperlinks>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ColWidth="14.430000305175781" defaultRowHeight="15"/>
  <x:cols>
    <x:col min="1" max="1" width="31" customWidth="1"/>
    <x:col min="2" max="2" width="18" customWidth="1"/>
    <x:col min="3" max="3" width="10" customWidth="1"/>
    <x:col min="4" max="4" width="20" customWidth="1"/>
    <x:col min="5" max="5" width="13" customWidth="1"/>
    <x:col min="6" max="6" width="22" customWidth="1"/>
    <x:col min="7" max="7" width="13" customWidth="1"/>
    <x:col min="8" max="8" width="28" customWidth="1"/>
    <x:col min="9" max="10" width="48" customWidth="1"/>
    <x:col min="11" max="13" width="16.43000030517578" customWidth="1"/>
  </x:cols>
  <x:sheetData>
    <x:row r="1" ht="33.75" customHeight="1">
      <x:c r="A1" s="51" t="s">
        <x:v>485</x:v>
      </x:c>
      <x:c r="B1" s="51" t="s">
        <x:v>486</x:v>
      </x:c>
      <x:c r="C1" s="51" t="s">
        <x:v>487</x:v>
      </x:c>
      <x:c r="D1" s="51" t="s">
        <x:v>488</x:v>
      </x:c>
      <x:c r="E1" s="51" t="s">
        <x:v>396</x:v>
      </x:c>
      <x:c r="F1" s="51" t="s">
        <x:v>489</x:v>
      </x:c>
      <x:c r="G1" s="51" t="s">
        <x:v>490</x:v>
      </x:c>
      <x:c r="H1" s="51" t="s">
        <x:v>491</x:v>
      </x:c>
      <x:c r="I1" s="51" t="s">
        <x:v>492</x:v>
      </x:c>
      <x:c r="J1" s="51" t="s">
        <x:v>493</x:v>
      </x:c>
      <x:c r="K1" s="51" t="s">
        <x:v>494</x:v>
      </x:c>
      <x:c r="L1" s="51" t="s">
        <x:v>495</x:v>
      </x:c>
      <x:c r="M1" s="51" t="s">
        <x:v>496</x:v>
      </x:c>
    </x:row>
    <x:row r="2">
      <x:c r="A2" s="52" t="s">
        <x:v>497</x:v>
      </x:c>
      <x:c r="B2" s="52" t="s">
        <x:v>498</x:v>
      </x:c>
      <x:c r="C2" s="52" t="s">
        <x:v>499</x:v>
      </x:c>
      <x:c r="D2" s="52" t="s">
        <x:v>500</x:v>
      </x:c>
      <x:c r="E2" s="55">
        <x:v>46278.0</x:v>
      </x:c>
      <x:c r="F2" s="52" t="s">
        <x:v>501</x:v>
      </x:c>
      <x:c r="G2" s="57">
        <x:v>3.4E-5</x:v>
      </x:c>
      <x:c r="H2" s="52" t="s">
        <x:v>502</x:v>
      </x:c>
      <x:c r="I2" s="52" t="s">
        <x:v>503</x:v>
      </x:c>
      <x:c r="J2" s="52" t="s">
        <x:v>504</x:v>
      </x:c>
      <x:c r="K2" s="52" t="s">
        <x:v>505</x:v>
      </x:c>
      <x:c r="L2" s="57" t="n">
        <x:f t="shared" ref="L2:L3" si="1">G2*3600</x:f>
        <x:v>0.1224</x:v>
      </x:c>
      <x:c r="M2" s="52" t="s">
        <x:v>506</x:v>
      </x:c>
    </x:row>
    <x:row r="3">
      <x:c r="A3" s="52" t="s">
        <x:v>507</x:v>
      </x:c>
      <x:c r="B3" s="52" t="s">
        <x:v>498</x:v>
      </x:c>
      <x:c r="C3" s="52" t="s">
        <x:v>499</x:v>
      </x:c>
      <x:c r="D3" s="52" t="s">
        <x:v>500</x:v>
      </x:c>
      <x:c r="E3" s="55">
        <x:v>46278.0</x:v>
      </x:c>
      <x:c r="F3" s="52" t="s">
        <x:v>508</x:v>
      </x:c>
      <x:c r="G3" s="57">
        <x:v>4.0E-6</x:v>
      </x:c>
      <x:c r="H3" s="52" t="s">
        <x:v>502</x:v>
      </x:c>
      <x:c r="I3" s="52" t="s">
        <x:v>503</x:v>
      </x:c>
      <x:c r="J3" s="52" t="s">
        <x:v>504</x:v>
      </x:c>
      <x:c r="K3" s="52" t="s">
        <x:v>505</x:v>
      </x:c>
      <x:c r="L3" s="57">
        <x:f t="shared" si="1"/>
        <x:v>0.0144</x:v>
      </x:c>
      <x:c r="M3" s="52" t="s">
        <x:v>509</x:v>
      </x:c>
    </x:row>
    <x:row r="4">
      <x:c r="A4" s="52" t="s">
        <x:v>510</x:v>
      </x:c>
      <x:c r="B4" s="52" t="s">
        <x:v>498</x:v>
      </x:c>
      <x:c r="C4" s="52" t="s">
        <x:v>499</x:v>
      </x:c>
      <x:c r="D4" s="52" t="s">
        <x:v>500</x:v>
      </x:c>
      <x:c r="E4" s="55">
        <x:v>46278.0</x:v>
      </x:c>
      <x:c r="F4" s="52" t="s">
        <x:v>511</x:v>
      </x:c>
      <x:c r="G4" s="57">
        <x:v>0.4</x:v>
      </x:c>
      <x:c r="H4" s="52" t="s">
        <x:v>502</x:v>
      </x:c>
      <x:c r="I4" s="52" t="s">
        <x:v>503</x:v>
      </x:c>
      <x:c r="J4" s="52" t="s">
        <x:v>504</x:v>
      </x:c>
      <x:c r="K4" s="52" t="s">
        <x:v>512</x:v>
      </x:c>
      <x:c r="L4" s="57" t="n">
        <x:f>G4</x:f>
        <x:v>0.4</x:v>
      </x:c>
      <x:c r="M4" s="52" t="s">
        <x:v>513</x:v>
      </x:c>
    </x:row>
    <x:row r="5">
      <x:c r="A5" s="52" t="s">
        <x:v>497</x:v>
      </x:c>
      <x:c r="B5" s="52" t="s">
        <x:v>498</x:v>
      </x:c>
      <x:c r="C5" s="52" t="s">
        <x:v>499</x:v>
      </x:c>
      <x:c r="D5" s="52" t="s">
        <x:v>514</x:v>
      </x:c>
      <x:c r="E5" s="55">
        <x:v>46278.0</x:v>
      </x:c>
      <x:c r="F5" s="52" t="s">
        <x:v>501</x:v>
      </x:c>
      <x:c r="G5" s="57">
        <x:v>2.4E-5</x:v>
      </x:c>
      <x:c r="H5" s="52" t="s">
        <x:v>502</x:v>
      </x:c>
      <x:c r="I5" s="52" t="s">
        <x:v>515</x:v>
      </x:c>
      <x:c r="J5" s="52" t="s">
        <x:v>516</x:v>
      </x:c>
      <x:c r="K5" s="52" t="s">
        <x:v>505</x:v>
      </x:c>
      <x:c r="L5" s="57" t="n">
        <x:f t="shared" ref="L5:L6" si="2">G5*3600</x:f>
        <x:v>0.0864</x:v>
      </x:c>
      <x:c r="M5" s="52" t="s">
        <x:v>506</x:v>
      </x:c>
    </x:row>
    <x:row r="6">
      <x:c r="A6" s="52" t="s">
        <x:v>507</x:v>
      </x:c>
      <x:c r="B6" s="52" t="s">
        <x:v>498</x:v>
      </x:c>
      <x:c r="C6" s="52" t="s">
        <x:v>499</x:v>
      </x:c>
      <x:c r="D6" s="52" t="s">
        <x:v>514</x:v>
      </x:c>
      <x:c r="E6" s="55">
        <x:v>46278.0</x:v>
      </x:c>
      <x:c r="F6" s="52" t="s">
        <x:v>508</x:v>
      </x:c>
      <x:c r="G6" s="57">
        <x:v>3.0E-6</x:v>
      </x:c>
      <x:c r="H6" s="52" t="s">
        <x:v>502</x:v>
      </x:c>
      <x:c r="I6" s="52" t="s">
        <x:v>515</x:v>
      </x:c>
      <x:c r="J6" s="52" t="s">
        <x:v>516</x:v>
      </x:c>
      <x:c r="K6" s="52" t="s">
        <x:v>505</x:v>
      </x:c>
      <x:c r="L6" s="57">
        <x:f t="shared" si="2"/>
        <x:v>0.0108</x:v>
      </x:c>
      <x:c r="M6" s="52" t="s">
        <x:v>509</x:v>
      </x:c>
    </x:row>
    <x:row r="7">
      <x:c r="A7" s="52" t="s">
        <x:v>510</x:v>
      </x:c>
      <x:c r="B7" s="52" t="s">
        <x:v>498</x:v>
      </x:c>
      <x:c r="C7" s="52" t="s">
        <x:v>499</x:v>
      </x:c>
      <x:c r="D7" s="52" t="s">
        <x:v>514</x:v>
      </x:c>
      <x:c r="E7" s="55">
        <x:v>46278.0</x:v>
      </x:c>
      <x:c r="F7" s="52" t="s">
        <x:v>511</x:v>
      </x:c>
      <x:c r="G7" s="57">
        <x:v>0.4</x:v>
      </x:c>
      <x:c r="H7" s="52" t="s">
        <x:v>502</x:v>
      </x:c>
      <x:c r="I7" s="52" t="s">
        <x:v>515</x:v>
      </x:c>
      <x:c r="J7" s="52" t="s">
        <x:v>516</x:v>
      </x:c>
      <x:c r="K7" s="52" t="s">
        <x:v>512</x:v>
      </x:c>
      <x:c r="L7" s="57" t="n">
        <x:f>G7</x:f>
        <x:v>0.4</x:v>
      </x:c>
      <x:c r="M7" s="52" t="s">
        <x:v>513</x:v>
      </x:c>
    </x:row>
    <x:row r="8">
      <x:c r="A8" s="52" t="s">
        <x:v>517</x:v>
      </x:c>
      <x:c r="B8" s="52" t="s">
        <x:v>518</x:v>
      </x:c>
      <x:c r="C8" s="52" t="s">
        <x:v>499</x:v>
      </x:c>
      <x:c r="D8" s="52" t="s">
        <x:v>519</x:v>
      </x:c>
      <x:c r="E8" s="55">
        <x:v>46278.0</x:v>
      </x:c>
      <x:c r="F8" s="52" t="s">
        <x:v>520</x:v>
      </x:c>
      <x:c r="G8" s="57"/>
      <x:c r="H8" s="52" t="s">
        <x:v>521</x:v>
      </x:c>
      <x:c r="I8" s="52" t="s">
        <x:v>152</x:v>
      </x:c>
      <x:c r="J8" s="52" t="s">
        <x:v>522</x:v>
      </x:c>
      <x:c r="K8" s="52"/>
      <x:c r="L8" s="57"/>
      <x:c r="M8" s="52"/>
    </x:row>
    <x:row r="9" ht="56" customHeight="1">
      <x:c r="A9" s="62" t="str">
        <x:v>AWS Cost Explorer API</x:v>
      </x:c>
      <x:c r="B9" s="62" t="str">
        <x:v>Amazon Web Services</x:v>
      </x:c>
      <x:c r="C9" s="62" t="str">
        <x:v>USD</x:v>
      </x:c>
      <x:c r="D9" s="62" t="str">
        <x:v>Global</x:v>
      </x:c>
      <x:c r="E9" s="63" t="n">
        <x:v>46280</x:v>
      </x:c>
      <x:c r="F9" s="62" t="str">
        <x:v>Solicitud API</x:v>
      </x:c>
      <x:c r="G9" s="64" t="n">
        <x:v>0.01</x:v>
      </x:c>
      <x:c r="H9" s="62" t="str">
        <x:v>Precio público por uso</x:v>
      </x:c>
      <x:c r="I9" s="62" t="str">
        <x:v>https://aws.amazon.com/aws-cost-management/aws-cost-explorer/faqs/</x:v>
      </x:c>
      <x:c r="J9" s="62" t="str">
        <x:v>La granularidad horaria y los recursos requieren configuración adicional. No incluye cargos de los servicios AWS analizados.</x:v>
      </x:c>
      <x:c r="K9" s="62" t="str">
        <x:v>USD/solicitud = precio publicado</x:v>
      </x:c>
      <x:c r="L9" s="64" t="n">
        <x:v>0.01</x:v>
      </x:c>
      <x:c r="M9" s="62" t="str">
        <x:v>USD/solicitud</x:v>
      </x:c>
    </x:row>
    <x:row r="10" ht="56" customHeight="1">
      <x:c r="A10" s="65" t="str">
        <x:v>AWS Pricing Calculator - Workload estimate</x:v>
      </x:c>
      <x:c r="B10" s="65" t="str">
        <x:v>Amazon Web Services</x:v>
      </x:c>
      <x:c r="C10" s="65" t="str">
        <x:v>USD</x:v>
      </x:c>
      <x:c r="D10" s="65" t="str">
        <x:v>Global</x:v>
      </x:c>
      <x:c r="E10" s="66" t="n">
        <x:v>46280</x:v>
      </x:c>
      <x:c r="F10" s="65" t="str">
        <x:v>Estimación</x:v>
      </x:c>
      <x:c r="G10" s="67" t="n">
        <x:v>0</x:v>
      </x:c>
      <x:c r="H10" s="65" t="str">
        <x:v>Sin cargo</x:v>
      </x:c>
      <x:c r="I10" s="65" t="str">
        <x:v>https://docs.aws.amazon.com/cost-management/latest/userguide/pricing-calculator.html</x:v>
      </x:c>
      <x:c r="J10" s="65" t="str">
        <x:v>La función de estimación de cargas es gratuita. Las estimaciones de factura tienen otra condición comercial.</x:v>
      </x:c>
      <x:c r="K10" s="65" t="str">
        <x:v>USD/estimación = 0 para workload estimates</x:v>
      </x:c>
      <x:c r="L10" s="67" t="n">
        <x:v>0</x:v>
      </x:c>
      <x:c r="M10" s="65" t="str">
        <x:v>USD/estimación</x:v>
      </x:c>
    </x:row>
    <x:row r="11" ht="56" customHeight="1">
      <x:c r="A11" s="65" t="str">
        <x:v>Azure Cost Management and Billing</x:v>
      </x:c>
      <x:c r="B11" s="65" t="str">
        <x:v>Microsoft Azure</x:v>
      </x:c>
      <x:c r="C11" s="65" t="str">
        <x:v>USD</x:v>
      </x:c>
      <x:c r="D11" s="65" t="str">
        <x:v>Global</x:v>
      </x:c>
      <x:c r="E11" s="66" t="n">
        <x:v>46280</x:v>
      </x:c>
      <x:c r="F11" s="65" t="str">
        <x:v>Suscripción Azure</x:v>
      </x:c>
      <x:c r="G11" s="67" t="n">
        <x:v>0</x:v>
      </x:c>
      <x:c r="H11" s="65" t="str">
        <x:v>Incluido sin cargo adicional</x:v>
      </x:c>
      <x:c r="I11" s="65" t="str">
        <x:v>https://learn.microsoft.com/en-us/azure/cost-management-billing/understand/analyze-unexpected-charges</x:v>
      </x:c>
      <x:c r="J11" s="65" t="str">
        <x:v>El costo de los recursos administrados no está incluido.</x:v>
      </x:c>
      <x:c r="K11" s="65" t="str">
        <x:v>USD/mes = 0 por la funcionalidad</x:v>
      </x:c>
      <x:c r="L11" s="67" t="n">
        <x:v>0</x:v>
      </x:c>
      <x:c r="M11" s="65" t="str">
        <x:v>USD/mes</x:v>
      </x:c>
    </x:row>
    <x:row r="12" ht="56" customHeight="1">
      <x:c r="A12" s="65" t="str">
        <x:v>Google Cloud Cost Management / FinOps Hub</x:v>
      </x:c>
      <x:c r="B12" s="65" t="str">
        <x:v>Google Cloud</x:v>
      </x:c>
      <x:c r="C12" s="65" t="str">
        <x:v>USD</x:v>
      </x:c>
      <x:c r="D12" s="65" t="str">
        <x:v>Global</x:v>
      </x:c>
      <x:c r="E12" s="66" t="n">
        <x:v>46280</x:v>
      </x:c>
      <x:c r="F12" s="65" t="str">
        <x:v>Cuenta de facturación</x:v>
      </x:c>
      <x:c r="G12" s="67" t="n">
        <x:v>0</x:v>
      </x:c>
      <x:c r="H12" s="65" t="str">
        <x:v>Sin cargo adicional</x:v>
      </x:c>
      <x:c r="I12" s="65" t="str">
        <x:v>https://cloud.google.com/cost-management?hl=en</x:v>
      </x:c>
      <x:c r="J12" s="65" t="str">
        <x:v>El costo de los servicios de Google Cloud analizados no está incluido.</x:v>
      </x:c>
      <x:c r="K12" s="65" t="str">
        <x:v>USD/mes = 0 por la funcionalidad</x:v>
      </x:c>
      <x:c r="L12" s="67" t="n">
        <x:v>0</x:v>
      </x:c>
      <x:c r="M12" s="65" t="str">
        <x:v>USD/mes</x:v>
      </x:c>
    </x:row>
    <x:row r="13" ht="56" customHeight="1">
      <x:c r="A13" s="65" t="str">
        <x:v>OpenCost</x:v>
      </x:c>
      <x:c r="B13" s="65" t="str">
        <x:v>OpenCost / CNCF</x:v>
      </x:c>
      <x:c r="C13" s="65" t="str">
        <x:v>USD</x:v>
      </x:c>
      <x:c r="D13" s="65" t="str">
        <x:v>Global</x:v>
      </x:c>
      <x:c r="E13" s="66" t="n">
        <x:v>46280</x:v>
      </x:c>
      <x:c r="F13" s="65" t="str">
        <x:v>Licencia de software</x:v>
      </x:c>
      <x:c r="G13" s="67" t="n">
        <x:v>0</x:v>
      </x:c>
      <x:c r="H13" s="65" t="str">
        <x:v>Código abierto Apache 2.0</x:v>
      </x:c>
      <x:c r="I13" s="65" t="str">
        <x:v>https://opencost.io/docs/faq/</x:v>
      </x:c>
      <x:c r="J13" s="65" t="str">
        <x:v>No incluye infraestructura, almacenamiento, observabilidad ni operación del despliegue.</x:v>
      </x:c>
      <x:c r="K13" s="65" t="str">
        <x:v>USD/licencia = 0; costos operativos se modelan aparte</x:v>
      </x:c>
      <x:c r="L13" s="67" t="n">
        <x:v>0</x:v>
      </x:c>
      <x:c r="M13" s="65" t="str">
        <x:v>USD/licencia</x:v>
      </x:c>
    </x:row>
    <x:row r="14" ht="56" customHeight="1">
      <x:c r="A14" s="65" t="str">
        <x:v>IBM Kubecost Foundations</x:v>
      </x:c>
      <x:c r="B14" s="65" t="str">
        <x:v>IBM / Kubecost</x:v>
      </x:c>
      <x:c r="C14" s="65" t="str">
        <x:v>USD</x:v>
      </x:c>
      <x:c r="D14" s="65" t="str">
        <x:v>Global</x:v>
      </x:c>
      <x:c r="E14" s="66" t="n">
        <x:v>46280</x:v>
      </x:c>
      <x:c r="F14" s="65" t="str">
        <x:v>Suscripción</x:v>
      </x:c>
      <x:c r="G14" s="67" t="n">
        <x:v>0</x:v>
      </x:c>
      <x:c r="H14" s="65" t="str">
        <x:v>Plan gratuito hasta 250 cores</x:v>
      </x:c>
      <x:c r="I14" s="65" t="str">
        <x:v>https://www.kubecost.com/pricing/</x:v>
      </x:c>
      <x:c r="J14" s="65" t="str">
        <x:v>Plan Foundations gratuito; validar elegibilidad y límites al momento de contratar.</x:v>
      </x:c>
      <x:c r="K14" s="65" t="str">
        <x:v>USD/mes = 0 dentro del límite publicado</x:v>
      </x:c>
      <x:c r="L14" s="67" t="n">
        <x:v>0</x:v>
      </x:c>
      <x:c r="M14" s="65" t="str">
        <x:v>USD/mes</x:v>
      </x:c>
    </x:row>
    <x:row r="15" ht="56" customHeight="1">
      <x:c r="A15" s="65" t="str">
        <x:v>Vantage Starter</x:v>
      </x:c>
      <x:c r="B15" s="65" t="str">
        <x:v>Vantage</x:v>
      </x:c>
      <x:c r="C15" s="65" t="str">
        <x:v>USD</x:v>
      </x:c>
      <x:c r="D15" s="65" t="str">
        <x:v>Global</x:v>
      </x:c>
      <x:c r="E15" s="66" t="n">
        <x:v>46280</x:v>
      </x:c>
      <x:c r="F15" s="65" t="str">
        <x:v>Mes</x:v>
      </x:c>
      <x:c r="G15" s="67" t="n">
        <x:v>0</x:v>
      </x:c>
      <x:c r="H15" s="65" t="str">
        <x:v>Precio público; hasta USD 2.500 de gasto rastreado</x:v>
      </x:c>
      <x:c r="I15" s="65" t="str">
        <x:v>https://www.vantage.sh/pricing</x:v>
      </x:c>
      <x:c r="J15" s="65" t="str">
        <x:v>El límite se refiere a gasto rastreado, no al costo de la nube.</x:v>
      </x:c>
      <x:c r="K15" s="65" t="str">
        <x:v>USD/mes = precio publicado</x:v>
      </x:c>
      <x:c r="L15" s="67" t="n">
        <x:v>0</x:v>
      </x:c>
      <x:c r="M15" s="65" t="str">
        <x:v>USD/mes</x:v>
      </x:c>
    </x:row>
    <x:row r="16" ht="56" customHeight="1">
      <x:c r="A16" s="65" t="str">
        <x:v>Vantage Pro</x:v>
      </x:c>
      <x:c r="B16" s="65" t="str">
        <x:v>Vantage</x:v>
      </x:c>
      <x:c r="C16" s="65" t="str">
        <x:v>USD</x:v>
      </x:c>
      <x:c r="D16" s="65" t="str">
        <x:v>Global</x:v>
      </x:c>
      <x:c r="E16" s="66" t="n">
        <x:v>46280</x:v>
      </x:c>
      <x:c r="F16" s="65" t="str">
        <x:v>Mes</x:v>
      </x:c>
      <x:c r="G16" s="67" t="n">
        <x:v>30</x:v>
      </x:c>
      <x:c r="H16" s="65" t="str">
        <x:v>Precio público; hasta USD 7.500 de gasto rastreado</x:v>
      </x:c>
      <x:c r="I16" s="65" t="str">
        <x:v>https://www.vantage.sh/pricing</x:v>
      </x:c>
      <x:c r="J16" s="65" t="str">
        <x:v>No incluye excedentes ni servicios con cotización separada.</x:v>
      </x:c>
      <x:c r="K16" s="65" t="str">
        <x:v>USD/mes = precio publicado</x:v>
      </x:c>
      <x:c r="L16" s="67" t="n">
        <x:v>30</x:v>
      </x:c>
      <x:c r="M16" s="65" t="str">
        <x:v>USD/mes</x:v>
      </x:c>
    </x:row>
    <x:row r="17" ht="56" customHeight="1">
      <x:c r="A17" s="65" t="str">
        <x:v>Vantage Business</x:v>
      </x:c>
      <x:c r="B17" s="65" t="str">
        <x:v>Vantage</x:v>
      </x:c>
      <x:c r="C17" s="65" t="str">
        <x:v>USD</x:v>
      </x:c>
      <x:c r="D17" s="65" t="str">
        <x:v>Global</x:v>
      </x:c>
      <x:c r="E17" s="66" t="n">
        <x:v>46280</x:v>
      </x:c>
      <x:c r="F17" s="65" t="str">
        <x:v>Mes</x:v>
      </x:c>
      <x:c r="G17" s="67" t="n">
        <x:v>200</x:v>
      </x:c>
      <x:c r="H17" s="65" t="str">
        <x:v>Precio público; hasta USD 20.000 de gasto rastreado</x:v>
      </x:c>
      <x:c r="I17" s="65" t="str">
        <x:v>https://www.vantage.sh/pricing</x:v>
      </x:c>
      <x:c r="J17" s="65" t="str">
        <x:v>No incluye excedentes ni servicios con cotización separada.</x:v>
      </x:c>
      <x:c r="K17" s="65" t="str">
        <x:v>USD/mes = precio publicado</x:v>
      </x:c>
      <x:c r="L17" s="67" t="n">
        <x:v>200</x:v>
      </x:c>
      <x:c r="M17" s="65" t="str">
        <x:v>USD/mes</x:v>
      </x:c>
    </x:row>
    <x:row r="18" ht="56" customHeight="1">
      <x:c r="A18" s="65" t="str">
        <x:v>Infracost CI/CD Free</x:v>
      </x:c>
      <x:c r="B18" s="65" t="str">
        <x:v>Infracost</x:v>
      </x:c>
      <x:c r="C18" s="65" t="str">
        <x:v>USD</x:v>
      </x:c>
      <x:c r="D18" s="65" t="str">
        <x:v>Global</x:v>
      </x:c>
      <x:c r="E18" s="66" t="n">
        <x:v>46280</x:v>
      </x:c>
      <x:c r="F18" s="65" t="str">
        <x:v>Mes</x:v>
      </x:c>
      <x:c r="G18" s="67" t="n">
        <x:v>0</x:v>
      </x:c>
      <x:c r="H18" s="65" t="str">
        <x:v>Precio público; 1.000 runs/mes</x:v>
      </x:c>
      <x:c r="I18" s="65" t="str">
        <x:v>https://www.infracost.io/pricing</x:v>
      </x:c>
      <x:c r="J18" s="65" t="str">
        <x:v>Costos de infraestructura estimados por la herramienta no forman parte de esta licencia.</x:v>
      </x:c>
      <x:c r="K18" s="65" t="str">
        <x:v>USD/mes = precio publicado</x:v>
      </x:c>
      <x:c r="L18" s="67" t="n">
        <x:v>0</x:v>
      </x:c>
      <x:c r="M18" s="65" t="str">
        <x:v>USD/mes</x:v>
      </x:c>
    </x:row>
    <x:row r="19" ht="56" customHeight="1">
      <x:c r="A19" s="65" t="str">
        <x:v>Infracost Starter</x:v>
      </x:c>
      <x:c r="B19" s="65" t="str">
        <x:v>Infracost</x:v>
      </x:c>
      <x:c r="C19" s="65" t="str">
        <x:v>USD</x:v>
      </x:c>
      <x:c r="D19" s="65" t="str">
        <x:v>Global</x:v>
      </x:c>
      <x:c r="E19" s="66" t="n">
        <x:v>46280</x:v>
      </x:c>
      <x:c r="F19" s="65" t="str">
        <x:v>Mes</x:v>
      </x:c>
      <x:c r="G19" s="67" t="n">
        <x:v>250</x:v>
      </x:c>
      <x:c r="H19" s="65" t="str">
        <x:v>Precio público; 10.000 runs/mes</x:v>
      </x:c>
      <x:c r="I19" s="65" t="str">
        <x:v>https://www.infracost.io/pricing</x:v>
      </x:c>
      <x:c r="J19" s="65" t="str">
        <x:v>Validar impuestos, excedentes y alcance contractual.</x:v>
      </x:c>
      <x:c r="K19" s="65" t="str">
        <x:v>USD/mes = precio publicado</x:v>
      </x:c>
      <x:c r="L19" s="67" t="n">
        <x:v>250</x:v>
      </x:c>
      <x:c r="M19" s="65" t="str">
        <x:v>USD/mes</x:v>
      </x:c>
    </x:row>
    <x:row r="20" ht="56" customHeight="1">
      <x:c r="A20" s="65" t="str">
        <x:v>Infracost Cloud</x:v>
      </x:c>
      <x:c r="B20" s="65" t="str">
        <x:v>Infracost</x:v>
      </x:c>
      <x:c r="C20" s="65" t="str">
        <x:v>USD</x:v>
      </x:c>
      <x:c r="D20" s="65" t="str">
        <x:v>Global</x:v>
      </x:c>
      <x:c r="E20" s="66" t="n">
        <x:v>46280</x:v>
      </x:c>
      <x:c r="F20" s="65" t="str">
        <x:v>Mes</x:v>
      </x:c>
      <x:c r="G20" s="67" t="n">
        <x:v>1000</x:v>
      </x:c>
      <x:c r="H20" s="65" t="str">
        <x:v>Precio público</x:v>
      </x:c>
      <x:c r="I20" s="65" t="str">
        <x:v>https://www.infracost.io/pricing</x:v>
      </x:c>
      <x:c r="J20" s="65" t="str">
        <x:v>Validar límites y alcance vigente antes de contratar.</x:v>
      </x:c>
      <x:c r="K20" s="65" t="str">
        <x:v>USD/mes = precio publicado</x:v>
      </x:c>
      <x:c r="L20" s="67" t="n">
        <x:v>1000</x:v>
      </x:c>
      <x:c r="M20" s="65" t="str">
        <x:v>USD/mes</x:v>
      </x:c>
    </x:row>
    <x:row r="21" ht="56" customHeight="1">
      <x:c r="A21" s="65" t="str">
        <x:v>IBM Cloudability</x:v>
      </x:c>
      <x:c r="B21" s="65" t="str">
        <x:v>IBM</x:v>
      </x:c>
      <x:c r="C21" s="65" t="str">
        <x:v>USD</x:v>
      </x:c>
      <x:c r="D21" s="65" t="str">
        <x:v>Global</x:v>
      </x:c>
      <x:c r="E21" s="66" t="n">
        <x:v>46280</x:v>
      </x:c>
      <x:c r="F21" s="65" t="str">
        <x:v>Contrato</x:v>
      </x:c>
      <x:c r="G21" s="67"/>
      <x:c r="H21" s="65" t="str">
        <x:v>Solo por cotización</x:v>
      </x:c>
      <x:c r="I21" s="65" t="str">
        <x:v>https://cloud.ibm.com/docs/track-spend-with-cloudability?topic=track-spend-with-cloudability-accessing-cloudability</x:v>
      </x:c>
      <x:c r="J21" s="65" t="str">
        <x:v>Existen niveles comerciales y prueba; no se publica un precio numérico reproducible.</x:v>
      </x:c>
      <x:c r="K21" s="65" t="str">
        <x:v>No aplica: sin precio público</x:v>
      </x:c>
      <x:c r="L21" s="67"/>
      <x:c r="M21" s="65"/>
    </x:row>
    <x:row r="22" ht="56" customHeight="1">
      <x:c r="A22" s="65" t="str">
        <x:v>VMware Tanzu CloudHealth</x:v>
      </x:c>
      <x:c r="B22" s="65" t="str">
        <x:v>Broadcom</x:v>
      </x:c>
      <x:c r="C22" s="65" t="str">
        <x:v>USD</x:v>
      </x:c>
      <x:c r="D22" s="65" t="str">
        <x:v>Global</x:v>
      </x:c>
      <x:c r="E22" s="66" t="n">
        <x:v>46280</x:v>
      </x:c>
      <x:c r="F22" s="65" t="str">
        <x:v>Contrato</x:v>
      </x:c>
      <x:c r="G22" s="67"/>
      <x:c r="H22" s="65" t="str">
        <x:v>Pendiente de cotización verificable</x:v>
      </x:c>
      <x:c r="I22" s="65" t="str">
        <x:v>https://www.vmware.com/products/cloudhealth</x:v>
      </x:c>
      <x:c r="J22" s="65" t="str">
        <x:v>FP-178 debe confirmar disponibilidad, alcance y cotización vigente.</x:v>
      </x:c>
      <x:c r="K22" s="65" t="str">
        <x:v>No aplica: sin precio público</x:v>
      </x:c>
      <x:c r="L22" s="67"/>
      <x:c r="M22" s="65"/>
    </x:row>
    <x:row r="23" ht="56" customHeight="1">
      <x:c r="A23" s="65" t="str">
        <x:v>CloudZero</x:v>
      </x:c>
      <x:c r="B23" s="65" t="str">
        <x:v>CloudZero</x:v>
      </x:c>
      <x:c r="C23" s="65" t="str">
        <x:v>USD</x:v>
      </x:c>
      <x:c r="D23" s="65" t="str">
        <x:v>Global</x:v>
      </x:c>
      <x:c r="E23" s="66" t="n">
        <x:v>46280</x:v>
      </x:c>
      <x:c r="F23" s="65" t="str">
        <x:v>Contrato</x:v>
      </x:c>
      <x:c r="G23" s="67"/>
      <x:c r="H23" s="65" t="str">
        <x:v>Solo por cotización</x:v>
      </x:c>
      <x:c r="I23" s="65" t="str">
        <x:v>https://www.cloudzero.com/pricing/</x:v>
      </x:c>
      <x:c r="J23" s="65" t="str">
        <x:v>El proveedor solicita datos del gasto y alcance para cotizar.</x:v>
      </x:c>
      <x:c r="K23" s="65" t="str">
        <x:v>No aplica: sin precio público</x:v>
      </x:c>
      <x:c r="L23" s="67"/>
      <x:c r="M23" s="65"/>
    </x:row>
    <x:row r="24" ht="56" customHeight="1">
      <x:c r="A24" s="65" t="str">
        <x:v>Finout</x:v>
      </x:c>
      <x:c r="B24" s="65" t="str">
        <x:v>Finout</x:v>
      </x:c>
      <x:c r="C24" s="65" t="str">
        <x:v>USD</x:v>
      </x:c>
      <x:c r="D24" s="65" t="str">
        <x:v>Global</x:v>
      </x:c>
      <x:c r="E24" s="66" t="n">
        <x:v>46280</x:v>
      </x:c>
      <x:c r="F24" s="65" t="str">
        <x:v>Contrato</x:v>
      </x:c>
      <x:c r="G24" s="67"/>
      <x:c r="H24" s="65" t="str">
        <x:v>Solo por cotización; tarifa vinculada a gasto comprometido</x:v>
      </x:c>
      <x:c r="I24" s="65" t="str">
        <x:v>https://www.finout.io/pricing</x:v>
      </x:c>
      <x:c r="J24" s="65" t="str">
        <x:v>Kubernetes puede tener recargo según el plan; validar en cotización.</x:v>
      </x:c>
      <x:c r="K24" s="65" t="str">
        <x:v>No aplica: sin precio público</x:v>
      </x:c>
      <x:c r="L24" s="67"/>
      <x:c r="M24" s="65"/>
    </x:row>
    <x:row r="25" ht="56" customHeight="1">
      <x:c r="A25" s="65" t="str">
        <x:v>nOps Cost Visibility &amp; Allocation</x:v>
      </x:c>
      <x:c r="B25" s="65" t="str">
        <x:v>nOps</x:v>
      </x:c>
      <x:c r="C25" s="65" t="str">
        <x:v>USD</x:v>
      </x:c>
      <x:c r="D25" s="65" t="str">
        <x:v>Global</x:v>
      </x:c>
      <x:c r="E25" s="66" t="n">
        <x:v>46280</x:v>
      </x:c>
      <x:c r="F25" s="65" t="str">
        <x:v>Contrato</x:v>
      </x:c>
      <x:c r="G25" s="67"/>
      <x:c r="H25" s="65" t="str">
        <x:v>Tarifa fija basada en gasto cloud; sin monto público</x:v>
      </x:c>
      <x:c r="I25" s="65" t="str">
        <x:v>https://www.nops.io/pricing/</x:v>
      </x:c>
      <x:c r="J25" s="65" t="str">
        <x:v>Los módulos de optimización autónoma pueden cobrar una fracción del ahorro.</x:v>
      </x:c>
      <x:c r="K25" s="65" t="str">
        <x:v>No aplica: sin precio público</x:v>
      </x:c>
      <x:c r="L25" s="67"/>
      <x:c r="M25" s="65"/>
    </x:row>
    <x:row r="26" ht="56" customHeight="1">
      <x:c r="A26" s="65" t="str">
        <x:v>CAST AI Platform</x:v>
      </x:c>
      <x:c r="B26" s="65" t="str">
        <x:v>CAST AI</x:v>
      </x:c>
      <x:c r="C26" s="65" t="str">
        <x:v>USD</x:v>
      </x:c>
      <x:c r="D26" s="65" t="str">
        <x:v>Global</x:v>
      </x:c>
      <x:c r="E26" s="66" t="n">
        <x:v>46280</x:v>
      </x:c>
      <x:c r="F26" s="65" t="str">
        <x:v>Contrato</x:v>
      </x:c>
      <x:c r="G26" s="67"/>
      <x:c r="H26" s="65" t="str">
        <x:v>Solo por cotización</x:v>
      </x:c>
      <x:c r="I26" s="65" t="str">
        <x:v>https://cast.ai/pricing/</x:v>
      </x:c>
      <x:c r="J26" s="65" t="str">
        <x:v>El alcance y la tarifa dependen del entorno Kubernetes.</x:v>
      </x:c>
      <x:c r="K26" s="65" t="str">
        <x:v>No aplica: sin precio público</x:v>
      </x:c>
      <x:c r="L26" s="67"/>
      <x:c r="M26" s="65"/>
    </x:row>
    <x:row r="27" ht="56" customHeight="1">
      <x:c r="A27" s="65" t="str">
        <x:v>CAST AI Cost Monitoring</x:v>
      </x:c>
      <x:c r="B27" s="65" t="str">
        <x:v>CAST AI</x:v>
      </x:c>
      <x:c r="C27" s="65" t="str">
        <x:v>USD</x:v>
      </x:c>
      <x:c r="D27" s="65" t="str">
        <x:v>Global</x:v>
      </x:c>
      <x:c r="E27" s="66" t="n">
        <x:v>46280</x:v>
      </x:c>
      <x:c r="F27" s="65" t="str">
        <x:v>Monitoreo</x:v>
      </x:c>
      <x:c r="G27" s="67" t="n">
        <x:v>0</x:v>
      </x:c>
      <x:c r="H27" s="65" t="str">
        <x:v>Monitoreo de costos gratuito para clusters ilimitados</x:v>
      </x:c>
      <x:c r="I27" s="65" t="str">
        <x:v>https://docs.cast.ai/docs/cost-management</x:v>
      </x:c>
      <x:c r="J27" s="65" t="str">
        <x:v>No confundir el monitoreo gratuito con los módulos pagos de optimización.</x:v>
      </x:c>
      <x:c r="K27" s="65" t="str">
        <x:v>USD/mes = 0 solo para monitoreo</x:v>
      </x:c>
      <x:c r="L27" s="67" t="n">
        <x:v>0</x:v>
      </x:c>
      <x:c r="M27" s="65" t="str">
        <x:v>USD/mes</x:v>
      </x:c>
    </x:row>
    <x:row r="28" ht="56" customHeight="1">
      <x:c r="A28" s="65" t="str">
        <x:v>StormForge Optimize Live</x:v>
      </x:c>
      <x:c r="B28" s="65" t="str">
        <x:v>StormForge</x:v>
      </x:c>
      <x:c r="C28" s="65" t="str">
        <x:v>USD</x:v>
      </x:c>
      <x:c r="D28" s="65" t="str">
        <x:v>AWS Marketplace</x:v>
      </x:c>
      <x:c r="E28" s="66" t="n">
        <x:v>46280</x:v>
      </x:c>
      <x:c r="F28" s="65" t="str">
        <x:v>CPU solicitada-hora</x:v>
      </x:c>
      <x:c r="G28" s="67"/>
      <x:c r="H28" s="65" t="str">
        <x:v>PAYG; tarifa exacta pendiente de captura reproducible</x:v>
      </x:c>
      <x:c r="I28" s="65" t="str">
        <x:v>https://docs-beta.stormforge.io/docs/guides/aws_marketplace/</x:v>
      </x:c>
      <x:c r="J28" s="65" t="str">
        <x:v>La documentación confirma el modelo por CPU solicitada; falta conservar la tarifa vigente de Marketplace.</x:v>
      </x:c>
      <x:c r="K28" s="65" t="str">
        <x:v>Pendiente: precio USD por CPU-hora solicitado</x:v>
      </x:c>
      <x:c r="L28" s="67"/>
      <x:c r="M28" s="65"/>
    </x:row>
    <x:row r="29" ht="56" customHeight="1">
      <x:c r="A29" s="65" t="str">
        <x:v>Cloud Custodian</x:v>
      </x:c>
      <x:c r="B29" s="65" t="str">
        <x:v>Cloud Custodian</x:v>
      </x:c>
      <x:c r="C29" s="65" t="str">
        <x:v>USD</x:v>
      </x:c>
      <x:c r="D29" s="65" t="str">
        <x:v>Global</x:v>
      </x:c>
      <x:c r="E29" s="66" t="n">
        <x:v>46280</x:v>
      </x:c>
      <x:c r="F29" s="65" t="str">
        <x:v>Licencia de software</x:v>
      </x:c>
      <x:c r="G29" s="67" t="n">
        <x:v>0</x:v>
      </x:c>
      <x:c r="H29" s="65" t="str">
        <x:v>Código abierto</x:v>
      </x:c>
      <x:c r="I29" s="65" t="str">
        <x:v>https://github.com/cloud-custodian/cloud-custodian</x:v>
      </x:c>
      <x:c r="J29" s="65" t="str">
        <x:v>No incluye infraestructura, integración, soporte ni operación.</x:v>
      </x:c>
      <x:c r="K29" s="65" t="str">
        <x:v>USD/licencia = 0; costos operativos se modelan aparte</x:v>
      </x:c>
      <x:c r="L29" s="67" t="n">
        <x:v>0</x:v>
      </x:c>
      <x:c r="M29" s="65" t="str">
        <x:v>USD/licencia</x:v>
      </x:c>
    </x:row>
    <x:row r="30" ht="15.75" customHeight="1">
      <x:c r="A30" s="4"/>
      <x:c r="B30" s="4"/>
      <x:c r="C30" s="4"/>
      <x:c r="D30" s="4"/>
      <x:c r="E30" s="49"/>
      <x:c r="F30" s="4"/>
      <x:c r="G30" s="4"/>
      <x:c r="H30" s="4"/>
      <x:c r="I30" s="4"/>
      <x:c r="J30" s="4"/>
    </x:row>
    <x:row r="31" ht="15.75" customHeight="1">
      <x:c r="A31" s="4"/>
      <x:c r="B31" s="4"/>
      <x:c r="C31" s="4"/>
      <x:c r="D31" s="4"/>
      <x:c r="E31" s="49"/>
      <x:c r="F31" s="4"/>
      <x:c r="G31" s="4"/>
      <x:c r="H31" s="4"/>
      <x:c r="I31" s="4"/>
      <x:c r="J31" s="4"/>
    </x:row>
    <x:row r="32" ht="15.75" customHeight="1">
      <x:c r="A32" s="4"/>
      <x:c r="B32" s="4"/>
      <x:c r="C32" s="4"/>
      <x:c r="D32" s="4"/>
      <x:c r="E32" s="49"/>
      <x:c r="F32" s="4"/>
      <x:c r="G32" s="4"/>
      <x:c r="H32" s="4"/>
      <x:c r="I32" s="4"/>
      <x:c r="J32" s="4"/>
    </x:row>
    <x:row r="33" ht="15.75" customHeight="1">
      <x:c r="A33" s="4"/>
      <x:c r="B33" s="4"/>
      <x:c r="C33" s="4"/>
      <x:c r="D33" s="4"/>
      <x:c r="E33" s="49"/>
      <x:c r="F33" s="4"/>
      <x:c r="G33" s="4"/>
      <x:c r="H33" s="4"/>
      <x:c r="I33" s="4"/>
      <x:c r="J33" s="4"/>
    </x:row>
    <x:row r="34" ht="15.75" customHeight="1">
      <x:c r="A34" s="4"/>
      <x:c r="B34" s="4"/>
      <x:c r="C34" s="4"/>
      <x:c r="D34" s="4"/>
      <x:c r="E34" s="49"/>
      <x:c r="F34" s="4"/>
      <x:c r="G34" s="4"/>
      <x:c r="H34" s="4"/>
      <x:c r="I34" s="4"/>
      <x:c r="J34" s="4"/>
    </x:row>
    <x:row r="35" ht="15.75" customHeight="1">
      <x:c r="A35" s="4"/>
      <x:c r="B35" s="4"/>
      <x:c r="C35" s="4"/>
      <x:c r="D35" s="4"/>
      <x:c r="E35" s="49"/>
      <x:c r="F35" s="4"/>
      <x:c r="G35" s="4"/>
      <x:c r="H35" s="4"/>
      <x:c r="I35" s="4"/>
      <x:c r="J35" s="4"/>
    </x:row>
    <x:row r="36" ht="15.75" customHeight="1">
      <x:c r="A36" s="4"/>
      <x:c r="B36" s="4"/>
      <x:c r="C36" s="4"/>
      <x:c r="D36" s="4"/>
      <x:c r="E36" s="49"/>
      <x:c r="F36" s="4"/>
      <x:c r="G36" s="4"/>
      <x:c r="H36" s="4"/>
      <x:c r="I36" s="4"/>
      <x:c r="J36" s="4"/>
    </x:row>
    <x:row r="37" ht="15.75" customHeight="1">
      <x:c r="A37" s="4"/>
      <x:c r="B37" s="4"/>
      <x:c r="C37" s="4"/>
      <x:c r="D37" s="4"/>
      <x:c r="E37" s="49"/>
      <x:c r="F37" s="4"/>
      <x:c r="G37" s="4"/>
      <x:c r="H37" s="4"/>
      <x:c r="I37" s="4"/>
      <x:c r="J37" s="4"/>
    </x:row>
    <x:row r="38" ht="15.75" customHeight="1">
      <x:c r="A38" s="4"/>
      <x:c r="B38" s="4"/>
      <x:c r="C38" s="4"/>
      <x:c r="D38" s="4"/>
      <x:c r="E38" s="49"/>
      <x:c r="F38" s="4"/>
      <x:c r="G38" s="4"/>
      <x:c r="H38" s="4"/>
      <x:c r="I38" s="4"/>
      <x:c r="J38" s="4"/>
    </x:row>
    <x:row r="39" ht="15.75" customHeight="1">
      <x:c r="A39" s="4"/>
      <x:c r="B39" s="4"/>
      <x:c r="C39" s="4"/>
      <x:c r="D39" s="4"/>
      <x:c r="E39" s="49"/>
      <x:c r="F39" s="4"/>
      <x:c r="G39" s="4"/>
      <x:c r="H39" s="4"/>
      <x:c r="I39" s="4"/>
      <x:c r="J39" s="4"/>
    </x:row>
    <x:row r="40" ht="15.75" customHeight="1">
      <x:c r="A40" s="4"/>
      <x:c r="B40" s="4"/>
      <x:c r="C40" s="4"/>
      <x:c r="D40" s="4"/>
      <x:c r="E40" s="49"/>
      <x:c r="F40" s="4"/>
      <x:c r="G40" s="4"/>
      <x:c r="H40" s="4"/>
      <x:c r="I40" s="4"/>
      <x:c r="J40" s="4"/>
    </x:row>
    <x:row r="41" ht="15.75" customHeight="1">
      <x:c r="A41" s="4"/>
      <x:c r="B41" s="4"/>
      <x:c r="C41" s="4"/>
      <x:c r="D41" s="4"/>
      <x:c r="E41" s="49"/>
      <x:c r="F41" s="4"/>
      <x:c r="G41" s="4"/>
      <x:c r="H41" s="4"/>
      <x:c r="I41" s="4"/>
      <x:c r="J41" s="4"/>
    </x:row>
    <x:row r="42" ht="15.75" customHeight="1">
      <x:c r="A42" s="4"/>
      <x:c r="B42" s="4"/>
      <x:c r="C42" s="4"/>
      <x:c r="D42" s="4"/>
      <x:c r="E42" s="49"/>
      <x:c r="F42" s="4"/>
      <x:c r="G42" s="4"/>
      <x:c r="H42" s="4"/>
      <x:c r="I42" s="4"/>
      <x:c r="J42" s="4"/>
    </x:row>
    <x:row r="43" ht="15.75" customHeight="1">
      <x:c r="A43" s="4"/>
      <x:c r="B43" s="4"/>
      <x:c r="C43" s="4"/>
      <x:c r="D43" s="4"/>
      <x:c r="E43" s="49"/>
      <x:c r="F43" s="4"/>
      <x:c r="G43" s="4"/>
      <x:c r="H43" s="4"/>
      <x:c r="I43" s="4"/>
      <x:c r="J43" s="4"/>
    </x:row>
    <x:row r="44" ht="15.75" customHeight="1">
      <x:c r="A44" s="4"/>
      <x:c r="B44" s="4"/>
      <x:c r="C44" s="4"/>
      <x:c r="D44" s="4"/>
      <x:c r="E44" s="49"/>
      <x:c r="F44" s="4"/>
      <x:c r="G44" s="4"/>
      <x:c r="H44" s="4"/>
      <x:c r="I44" s="4"/>
      <x:c r="J44" s="4"/>
    </x:row>
    <x:row r="45" ht="15.75" customHeight="1">
      <x:c r="A45" s="4"/>
      <x:c r="B45" s="4"/>
      <x:c r="C45" s="4"/>
      <x:c r="D45" s="4"/>
      <x:c r="E45" s="49"/>
      <x:c r="F45" s="4"/>
      <x:c r="G45" s="4"/>
      <x:c r="H45" s="4"/>
      <x:c r="I45" s="4"/>
      <x:c r="J45" s="4"/>
    </x:row>
    <x:row r="46" ht="15.75" customHeight="1">
      <x:c r="A46" s="4"/>
      <x:c r="B46" s="4"/>
      <x:c r="C46" s="4"/>
      <x:c r="D46" s="4"/>
      <x:c r="E46" s="49"/>
      <x:c r="F46" s="4"/>
      <x:c r="G46" s="4"/>
      <x:c r="H46" s="4"/>
      <x:c r="I46" s="4"/>
      <x:c r="J46" s="4"/>
    </x:row>
    <x:row r="47" ht="15.75" customHeight="1">
      <x:c r="A47" s="4"/>
      <x:c r="B47" s="4"/>
      <x:c r="C47" s="4"/>
      <x:c r="D47" s="4"/>
      <x:c r="E47" s="49"/>
      <x:c r="F47" s="4"/>
      <x:c r="G47" s="4"/>
      <x:c r="H47" s="4"/>
      <x:c r="I47" s="4"/>
      <x:c r="J47" s="4"/>
    </x:row>
    <x:row r="48" ht="15.75" customHeight="1">
      <x:c r="A48" s="4"/>
      <x:c r="B48" s="4"/>
      <x:c r="C48" s="4"/>
      <x:c r="D48" s="4"/>
      <x:c r="E48" s="49"/>
      <x:c r="F48" s="4"/>
      <x:c r="G48" s="4"/>
      <x:c r="H48" s="4"/>
      <x:c r="I48" s="4"/>
      <x:c r="J48" s="4"/>
    </x:row>
    <x:row r="49" ht="15.75" customHeight="1">
      <x:c r="A49" s="4"/>
      <x:c r="B49" s="4"/>
      <x:c r="C49" s="4"/>
      <x:c r="D49" s="4"/>
      <x:c r="E49" s="49"/>
      <x:c r="F49" s="4"/>
      <x:c r="G49" s="4"/>
      <x:c r="H49" s="4"/>
      <x:c r="I49" s="4"/>
      <x:c r="J49" s="4"/>
    </x:row>
    <x:row r="50" ht="15.75" customHeight="1">
      <x:c r="A50" s="4"/>
      <x:c r="B50" s="4"/>
      <x:c r="C50" s="4"/>
      <x:c r="D50" s="4"/>
      <x:c r="E50" s="49"/>
      <x:c r="F50" s="4"/>
      <x:c r="G50" s="4"/>
      <x:c r="H50" s="4"/>
      <x:c r="I50" s="4"/>
      <x:c r="J50" s="4"/>
    </x:row>
    <x:row r="51" ht="15.75" customHeight="1">
      <x:c r="A51" s="4"/>
      <x:c r="B51" s="4"/>
      <x:c r="C51" s="4"/>
      <x:c r="D51" s="4"/>
      <x:c r="E51" s="49"/>
      <x:c r="F51" s="4"/>
      <x:c r="G51" s="4"/>
      <x:c r="H51" s="4"/>
      <x:c r="I51" s="4"/>
      <x:c r="J51" s="4"/>
    </x:row>
    <x:row r="52" ht="15.75" customHeight="1">
      <x:c r="A52" s="4"/>
      <x:c r="B52" s="4"/>
      <x:c r="C52" s="4"/>
      <x:c r="D52" s="4"/>
      <x:c r="E52" s="49"/>
      <x:c r="F52" s="4"/>
      <x:c r="G52" s="4"/>
      <x:c r="H52" s="4"/>
      <x:c r="I52" s="4"/>
      <x:c r="J52" s="4"/>
    </x:row>
    <x:row r="53" ht="15.75" customHeight="1">
      <x:c r="A53" s="4"/>
      <x:c r="B53" s="4"/>
      <x:c r="C53" s="4"/>
      <x:c r="D53" s="4"/>
      <x:c r="E53" s="49"/>
      <x:c r="F53" s="4"/>
      <x:c r="G53" s="4"/>
      <x:c r="H53" s="4"/>
      <x:c r="I53" s="4"/>
      <x:c r="J53" s="4"/>
    </x:row>
    <x:row r="54" ht="15.75" customHeight="1">
      <x:c r="A54" s="4"/>
      <x:c r="B54" s="4"/>
      <x:c r="C54" s="4"/>
      <x:c r="D54" s="4"/>
      <x:c r="E54" s="49"/>
      <x:c r="F54" s="4"/>
      <x:c r="G54" s="4"/>
      <x:c r="H54" s="4"/>
      <x:c r="I54" s="4"/>
      <x:c r="J54" s="4"/>
    </x:row>
    <x:row r="55" ht="15.75" customHeight="1">
      <x:c r="A55" s="4"/>
      <x:c r="B55" s="4"/>
      <x:c r="C55" s="4"/>
      <x:c r="D55" s="4"/>
      <x:c r="E55" s="49"/>
      <x:c r="F55" s="4"/>
      <x:c r="G55" s="4"/>
      <x:c r="H55" s="4"/>
      <x:c r="I55" s="4"/>
      <x:c r="J55" s="4"/>
    </x:row>
    <x:row r="56" ht="15.75" customHeight="1">
      <x:c r="A56" s="4"/>
      <x:c r="B56" s="4"/>
      <x:c r="C56" s="4"/>
      <x:c r="D56" s="4"/>
      <x:c r="E56" s="49"/>
      <x:c r="F56" s="4"/>
      <x:c r="G56" s="4"/>
      <x:c r="H56" s="4"/>
      <x:c r="I56" s="4"/>
      <x:c r="J56" s="4"/>
    </x:row>
    <x:row r="57" ht="15.75" customHeight="1">
      <x:c r="A57" s="4"/>
      <x:c r="B57" s="4"/>
      <x:c r="C57" s="4"/>
      <x:c r="D57" s="4"/>
      <x:c r="E57" s="49"/>
      <x:c r="F57" s="4"/>
      <x:c r="G57" s="4"/>
      <x:c r="H57" s="4"/>
      <x:c r="I57" s="4"/>
      <x:c r="J57" s="4"/>
    </x:row>
    <x:row r="58" ht="15.75" customHeight="1">
      <x:c r="A58" s="4"/>
      <x:c r="B58" s="4"/>
      <x:c r="C58" s="4"/>
      <x:c r="D58" s="4"/>
      <x:c r="E58" s="49"/>
      <x:c r="F58" s="4"/>
      <x:c r="G58" s="4"/>
      <x:c r="H58" s="4"/>
      <x:c r="I58" s="4"/>
      <x:c r="J58" s="4"/>
    </x:row>
    <x:row r="59" ht="15.75" customHeight="1">
      <x:c r="A59" s="4"/>
      <x:c r="B59" s="4"/>
      <x:c r="C59" s="4"/>
      <x:c r="D59" s="4"/>
      <x:c r="E59" s="49"/>
      <x:c r="F59" s="4"/>
      <x:c r="G59" s="4"/>
      <x:c r="H59" s="4"/>
      <x:c r="I59" s="4"/>
      <x:c r="J59" s="4"/>
    </x:row>
    <x:row r="60" ht="15.75" customHeight="1">
      <x:c r="A60" s="4"/>
      <x:c r="B60" s="4"/>
      <x:c r="C60" s="4"/>
      <x:c r="D60" s="4"/>
      <x:c r="E60" s="49"/>
      <x:c r="F60" s="4"/>
      <x:c r="G60" s="4"/>
      <x:c r="H60" s="4"/>
      <x:c r="I60" s="4"/>
      <x:c r="J60" s="4"/>
    </x:row>
    <x:row r="61" ht="15.75" customHeight="1">
      <x:c r="A61" s="4"/>
      <x:c r="B61" s="4"/>
      <x:c r="C61" s="4"/>
      <x:c r="D61" s="4"/>
      <x:c r="E61" s="49"/>
      <x:c r="F61" s="4"/>
      <x:c r="G61" s="4"/>
      <x:c r="H61" s="4"/>
      <x:c r="I61" s="4"/>
      <x:c r="J61" s="4"/>
    </x:row>
    <x:row r="62" ht="15.75" customHeight="1">
      <x:c r="A62" s="4"/>
      <x:c r="B62" s="4"/>
      <x:c r="C62" s="4"/>
      <x:c r="D62" s="4"/>
      <x:c r="E62" s="49"/>
      <x:c r="F62" s="4"/>
      <x:c r="G62" s="4"/>
      <x:c r="H62" s="4"/>
      <x:c r="I62" s="4"/>
      <x:c r="J62" s="4"/>
    </x:row>
    <x:row r="63" ht="15.75" customHeight="1">
      <x:c r="A63" s="4"/>
      <x:c r="B63" s="4"/>
      <x:c r="C63" s="4"/>
      <x:c r="D63" s="4"/>
      <x:c r="E63" s="49"/>
      <x:c r="F63" s="4"/>
      <x:c r="G63" s="4"/>
      <x:c r="H63" s="4"/>
      <x:c r="I63" s="4"/>
      <x:c r="J63" s="4"/>
    </x:row>
    <x:row r="64" ht="15.75" customHeight="1">
      <x:c r="A64" s="4"/>
      <x:c r="B64" s="4"/>
      <x:c r="C64" s="4"/>
      <x:c r="D64" s="4"/>
      <x:c r="E64" s="49"/>
      <x:c r="F64" s="4"/>
      <x:c r="G64" s="4"/>
      <x:c r="H64" s="4"/>
      <x:c r="I64" s="4"/>
      <x:c r="J64" s="4"/>
    </x:row>
    <x:row r="65" ht="15.75" customHeight="1">
      <x:c r="A65" s="4"/>
      <x:c r="B65" s="4"/>
      <x:c r="C65" s="4"/>
      <x:c r="D65" s="4"/>
      <x:c r="E65" s="49"/>
      <x:c r="F65" s="4"/>
      <x:c r="G65" s="4"/>
      <x:c r="H65" s="4"/>
      <x:c r="I65" s="4"/>
      <x:c r="J65" s="4"/>
    </x:row>
    <x:row r="66" ht="15.75" customHeight="1">
      <x:c r="A66" s="4"/>
      <x:c r="B66" s="4"/>
      <x:c r="C66" s="4"/>
      <x:c r="D66" s="4"/>
      <x:c r="E66" s="49"/>
      <x:c r="F66" s="4"/>
      <x:c r="G66" s="4"/>
      <x:c r="H66" s="4"/>
      <x:c r="I66" s="4"/>
      <x:c r="J66" s="4"/>
    </x:row>
    <x:row r="67" ht="15.75" customHeight="1">
      <x:c r="A67" s="4"/>
      <x:c r="B67" s="4"/>
      <x:c r="C67" s="4"/>
      <x:c r="D67" s="4"/>
      <x:c r="E67" s="49"/>
      <x:c r="F67" s="4"/>
      <x:c r="G67" s="4"/>
      <x:c r="H67" s="4"/>
      <x:c r="I67" s="4"/>
      <x:c r="J67" s="4"/>
    </x:row>
    <x:row r="68" ht="15.75" customHeight="1">
      <x:c r="A68" s="4"/>
      <x:c r="B68" s="4"/>
      <x:c r="C68" s="4"/>
      <x:c r="D68" s="4"/>
      <x:c r="E68" s="49"/>
      <x:c r="F68" s="4"/>
      <x:c r="G68" s="4"/>
      <x:c r="H68" s="4"/>
      <x:c r="I68" s="4"/>
      <x:c r="J68" s="4"/>
    </x:row>
    <x:row r="69" ht="15.75" customHeight="1">
      <x:c r="A69" s="4"/>
      <x:c r="B69" s="4"/>
      <x:c r="C69" s="4"/>
      <x:c r="D69" s="4"/>
      <x:c r="E69" s="49"/>
      <x:c r="F69" s="4"/>
      <x:c r="G69" s="4"/>
      <x:c r="H69" s="4"/>
      <x:c r="I69" s="4"/>
      <x:c r="J69" s="4"/>
    </x:row>
    <x:row r="70" ht="15.75" customHeight="1">
      <x:c r="A70" s="4"/>
      <x:c r="B70" s="4"/>
      <x:c r="C70" s="4"/>
      <x:c r="D70" s="4"/>
      <x:c r="E70" s="49"/>
      <x:c r="F70" s="4"/>
      <x:c r="G70" s="4"/>
      <x:c r="H70" s="4"/>
      <x:c r="I70" s="4"/>
      <x:c r="J70" s="4"/>
    </x:row>
    <x:row r="71" ht="15.75" customHeight="1">
      <x:c r="A71" s="4"/>
      <x:c r="B71" s="4"/>
      <x:c r="C71" s="4"/>
      <x:c r="D71" s="4"/>
      <x:c r="E71" s="49"/>
      <x:c r="F71" s="4"/>
      <x:c r="G71" s="4"/>
      <x:c r="H71" s="4"/>
      <x:c r="I71" s="4"/>
      <x:c r="J71" s="4"/>
    </x:row>
    <x:row r="72" ht="15.75" customHeight="1">
      <x:c r="A72" s="4"/>
      <x:c r="B72" s="4"/>
      <x:c r="C72" s="4"/>
      <x:c r="D72" s="4"/>
      <x:c r="E72" s="49"/>
      <x:c r="F72" s="4"/>
      <x:c r="G72" s="4"/>
      <x:c r="H72" s="4"/>
      <x:c r="I72" s="4"/>
      <x:c r="J72" s="4"/>
    </x:row>
    <x:row r="73" ht="15.75" customHeight="1">
      <x:c r="A73" s="4"/>
      <x:c r="B73" s="4"/>
      <x:c r="C73" s="4"/>
      <x:c r="D73" s="4"/>
      <x:c r="E73" s="49"/>
      <x:c r="F73" s="4"/>
      <x:c r="G73" s="4"/>
      <x:c r="H73" s="4"/>
      <x:c r="I73" s="4"/>
      <x:c r="J73" s="4"/>
    </x:row>
    <x:row r="74" ht="15.75" customHeight="1">
      <x:c r="A74" s="4"/>
      <x:c r="B74" s="4"/>
      <x:c r="C74" s="4"/>
      <x:c r="D74" s="4"/>
      <x:c r="E74" s="49"/>
      <x:c r="F74" s="4"/>
      <x:c r="G74" s="4"/>
      <x:c r="H74" s="4"/>
      <x:c r="I74" s="4"/>
      <x:c r="J74" s="4"/>
    </x:row>
    <x:row r="75" ht="15.75" customHeight="1">
      <x:c r="A75" s="4"/>
      <x:c r="B75" s="4"/>
      <x:c r="C75" s="4"/>
      <x:c r="D75" s="4"/>
      <x:c r="E75" s="49"/>
      <x:c r="F75" s="4"/>
      <x:c r="G75" s="4"/>
      <x:c r="H75" s="4"/>
      <x:c r="I75" s="4"/>
      <x:c r="J75" s="4"/>
    </x:row>
    <x:row r="76" ht="15.75" customHeight="1">
      <x:c r="A76" s="4"/>
      <x:c r="B76" s="4"/>
      <x:c r="C76" s="4"/>
      <x:c r="D76" s="4"/>
      <x:c r="E76" s="49"/>
      <x:c r="F76" s="4"/>
      <x:c r="G76" s="4"/>
      <x:c r="H76" s="4"/>
      <x:c r="I76" s="4"/>
      <x:c r="J76" s="4"/>
    </x:row>
    <x:row r="77" ht="15.75" customHeight="1">
      <x:c r="A77" s="4"/>
      <x:c r="B77" s="4"/>
      <x:c r="C77" s="4"/>
      <x:c r="D77" s="4"/>
      <x:c r="E77" s="49"/>
      <x:c r="F77" s="4"/>
      <x:c r="G77" s="4"/>
      <x:c r="H77" s="4"/>
      <x:c r="I77" s="4"/>
      <x:c r="J77" s="4"/>
    </x:row>
    <x:row r="78" ht="15.75" customHeight="1">
      <x:c r="A78" s="4"/>
      <x:c r="B78" s="4"/>
      <x:c r="C78" s="4"/>
      <x:c r="D78" s="4"/>
      <x:c r="E78" s="49"/>
      <x:c r="F78" s="4"/>
      <x:c r="G78" s="4"/>
      <x:c r="H78" s="4"/>
      <x:c r="I78" s="4"/>
      <x:c r="J78" s="4"/>
    </x:row>
    <x:row r="79" ht="15.75" customHeight="1">
      <x:c r="A79" s="4"/>
      <x:c r="B79" s="4"/>
      <x:c r="C79" s="4"/>
      <x:c r="D79" s="4"/>
      <x:c r="E79" s="49"/>
      <x:c r="F79" s="4"/>
      <x:c r="G79" s="4"/>
      <x:c r="H79" s="4"/>
      <x:c r="I79" s="4"/>
      <x:c r="J79" s="4"/>
    </x:row>
    <x:row r="80" ht="15.75" customHeight="1">
      <x:c r="A80" s="4"/>
      <x:c r="B80" s="4"/>
      <x:c r="C80" s="4"/>
      <x:c r="D80" s="4"/>
      <x:c r="E80" s="49"/>
      <x:c r="F80" s="4"/>
      <x:c r="G80" s="4"/>
      <x:c r="H80" s="4"/>
      <x:c r="I80" s="4"/>
      <x:c r="J80" s="4"/>
    </x:row>
    <x:row r="81" ht="15.75" customHeight="1">
      <x:c r="A81" s="4"/>
      <x:c r="B81" s="4"/>
      <x:c r="C81" s="4"/>
      <x:c r="D81" s="4"/>
      <x:c r="E81" s="49"/>
      <x:c r="F81" s="4"/>
      <x:c r="G81" s="4"/>
      <x:c r="H81" s="4"/>
      <x:c r="I81" s="4"/>
      <x:c r="J81" s="4"/>
    </x:row>
    <x:row r="82" ht="15.75" customHeight="1">
      <x:c r="A82" s="4"/>
      <x:c r="B82" s="4"/>
      <x:c r="C82" s="4"/>
      <x:c r="D82" s="4"/>
      <x:c r="E82" s="49"/>
      <x:c r="F82" s="4"/>
      <x:c r="G82" s="4"/>
      <x:c r="H82" s="4"/>
      <x:c r="I82" s="4"/>
      <x:c r="J82" s="4"/>
    </x:row>
    <x:row r="83" ht="15.75" customHeight="1">
      <x:c r="A83" s="4"/>
      <x:c r="B83" s="4"/>
      <x:c r="C83" s="4"/>
      <x:c r="D83" s="4"/>
      <x:c r="E83" s="49"/>
      <x:c r="F83" s="4"/>
      <x:c r="G83" s="4"/>
      <x:c r="H83" s="4"/>
      <x:c r="I83" s="4"/>
      <x:c r="J83" s="4"/>
    </x:row>
    <x:row r="84" ht="15.75" customHeight="1">
      <x:c r="A84" s="4"/>
      <x:c r="B84" s="4"/>
      <x:c r="C84" s="4"/>
      <x:c r="D84" s="4"/>
      <x:c r="E84" s="49"/>
      <x:c r="F84" s="4"/>
      <x:c r="G84" s="4"/>
      <x:c r="H84" s="4"/>
      <x:c r="I84" s="4"/>
      <x:c r="J84" s="4"/>
    </x:row>
    <x:row r="85" ht="15.75" customHeight="1">
      <x:c r="A85" s="4"/>
      <x:c r="B85" s="4"/>
      <x:c r="C85" s="4"/>
      <x:c r="D85" s="4"/>
      <x:c r="E85" s="49"/>
      <x:c r="F85" s="4"/>
      <x:c r="G85" s="4"/>
      <x:c r="H85" s="4"/>
      <x:c r="I85" s="4"/>
      <x:c r="J85" s="4"/>
    </x:row>
    <x:row r="86" ht="15.75" customHeight="1">
      <x:c r="A86" s="4"/>
      <x:c r="B86" s="4"/>
      <x:c r="C86" s="4"/>
      <x:c r="D86" s="4"/>
      <x:c r="E86" s="49"/>
      <x:c r="F86" s="4"/>
      <x:c r="G86" s="4"/>
      <x:c r="H86" s="4"/>
      <x:c r="I86" s="4"/>
      <x:c r="J86" s="4"/>
    </x:row>
    <x:row r="87" ht="15.75" customHeight="1">
      <x:c r="A87" s="4"/>
      <x:c r="B87" s="4"/>
      <x:c r="C87" s="4"/>
      <x:c r="D87" s="4"/>
      <x:c r="E87" s="49"/>
      <x:c r="F87" s="4"/>
      <x:c r="G87" s="4"/>
      <x:c r="H87" s="4"/>
      <x:c r="I87" s="4"/>
      <x:c r="J87" s="4"/>
    </x:row>
    <x:row r="88" ht="15.75" customHeight="1">
      <x:c r="A88" s="4"/>
      <x:c r="B88" s="4"/>
      <x:c r="C88" s="4"/>
      <x:c r="D88" s="4"/>
      <x:c r="E88" s="49"/>
      <x:c r="F88" s="4"/>
      <x:c r="G88" s="4"/>
      <x:c r="H88" s="4"/>
      <x:c r="I88" s="4"/>
      <x:c r="J88" s="4"/>
    </x:row>
    <x:row r="89" ht="15.75" customHeight="1">
      <x:c r="A89" s="4"/>
      <x:c r="B89" s="4"/>
      <x:c r="C89" s="4"/>
      <x:c r="D89" s="4"/>
      <x:c r="E89" s="49"/>
      <x:c r="F89" s="4"/>
      <x:c r="G89" s="4"/>
      <x:c r="H89" s="4"/>
      <x:c r="I89" s="4"/>
      <x:c r="J89" s="4"/>
    </x:row>
    <x:row r="90" ht="15.75" customHeight="1">
      <x:c r="A90" s="4"/>
      <x:c r="B90" s="4"/>
      <x:c r="C90" s="4"/>
      <x:c r="D90" s="4"/>
      <x:c r="E90" s="49"/>
      <x:c r="F90" s="4"/>
      <x:c r="G90" s="4"/>
      <x:c r="H90" s="4"/>
      <x:c r="I90" s="4"/>
      <x:c r="J90" s="4"/>
    </x:row>
    <x:row r="91" ht="15.75" customHeight="1">
      <x:c r="A91" s="4"/>
      <x:c r="B91" s="4"/>
      <x:c r="C91" s="4"/>
      <x:c r="D91" s="4"/>
      <x:c r="E91" s="49"/>
      <x:c r="F91" s="4"/>
      <x:c r="G91" s="4"/>
      <x:c r="H91" s="4"/>
      <x:c r="I91" s="4"/>
      <x:c r="J91" s="4"/>
    </x:row>
    <x:row r="92" ht="15.75" customHeight="1">
      <x:c r="A92" s="4"/>
      <x:c r="B92" s="4"/>
      <x:c r="C92" s="4"/>
      <x:c r="D92" s="4"/>
      <x:c r="E92" s="49"/>
      <x:c r="F92" s="4"/>
      <x:c r="G92" s="4"/>
      <x:c r="H92" s="4"/>
      <x:c r="I92" s="4"/>
      <x:c r="J92" s="4"/>
    </x:row>
    <x:row r="93" ht="15.75" customHeight="1">
      <x:c r="A93" s="4"/>
      <x:c r="B93" s="4"/>
      <x:c r="C93" s="4"/>
      <x:c r="D93" s="4"/>
      <x:c r="E93" s="49"/>
      <x:c r="F93" s="4"/>
      <x:c r="G93" s="4"/>
      <x:c r="H93" s="4"/>
      <x:c r="I93" s="4"/>
      <x:c r="J93" s="4"/>
    </x:row>
    <x:row r="94" ht="15.75" customHeight="1">
      <x:c r="A94" s="4"/>
      <x:c r="B94" s="4"/>
      <x:c r="C94" s="4"/>
      <x:c r="D94" s="4"/>
      <x:c r="E94" s="49"/>
      <x:c r="F94" s="4"/>
      <x:c r="G94" s="4"/>
      <x:c r="H94" s="4"/>
      <x:c r="I94" s="4"/>
      <x:c r="J94" s="4"/>
    </x:row>
    <x:row r="95" ht="15.75" customHeight="1">
      <x:c r="A95" s="4"/>
      <x:c r="B95" s="4"/>
      <x:c r="C95" s="4"/>
      <x:c r="D95" s="4"/>
      <x:c r="E95" s="49"/>
      <x:c r="F95" s="4"/>
      <x:c r="G95" s="4"/>
      <x:c r="H95" s="4"/>
      <x:c r="I95" s="4"/>
      <x:c r="J95" s="4"/>
    </x:row>
    <x:row r="96" ht="15.75" customHeight="1">
      <x:c r="A96" s="4"/>
      <x:c r="B96" s="4"/>
      <x:c r="C96" s="4"/>
      <x:c r="D96" s="4"/>
      <x:c r="E96" s="49"/>
      <x:c r="F96" s="4"/>
      <x:c r="G96" s="4"/>
      <x:c r="H96" s="4"/>
      <x:c r="I96" s="4"/>
      <x:c r="J96" s="4"/>
    </x:row>
    <x:row r="97" ht="15.75" customHeight="1">
      <x:c r="A97" s="4"/>
      <x:c r="B97" s="4"/>
      <x:c r="C97" s="4"/>
      <x:c r="D97" s="4"/>
      <x:c r="E97" s="49"/>
      <x:c r="F97" s="4"/>
      <x:c r="G97" s="4"/>
      <x:c r="H97" s="4"/>
      <x:c r="I97" s="4"/>
      <x:c r="J97" s="4"/>
    </x:row>
    <x:row r="98" ht="15.75" customHeight="1">
      <x:c r="A98" s="4"/>
      <x:c r="B98" s="4"/>
      <x:c r="C98" s="4"/>
      <x:c r="D98" s="4"/>
      <x:c r="E98" s="49"/>
      <x:c r="F98" s="4"/>
      <x:c r="G98" s="4"/>
      <x:c r="H98" s="4"/>
      <x:c r="I98" s="4"/>
      <x:c r="J98" s="4"/>
    </x:row>
    <x:row r="99" ht="15.75" customHeight="1">
      <x:c r="A99" s="4"/>
      <x:c r="B99" s="4"/>
      <x:c r="C99" s="4"/>
      <x:c r="D99" s="4"/>
      <x:c r="E99" s="49"/>
      <x:c r="F99" s="4"/>
      <x:c r="G99" s="4"/>
      <x:c r="H99" s="4"/>
      <x:c r="I99" s="4"/>
      <x:c r="J99" s="4"/>
    </x:row>
    <x:row r="100" ht="15.75" customHeight="1">
      <x:c r="A100" s="4"/>
      <x:c r="B100" s="4"/>
      <x:c r="C100" s="4"/>
      <x:c r="D100" s="4"/>
      <x:c r="E100" s="49"/>
      <x:c r="F100" s="4"/>
      <x:c r="G100" s="4"/>
      <x:c r="H100" s="4"/>
      <x:c r="I100" s="4"/>
      <x:c r="J100" s="4"/>
    </x:row>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ColWidth="14.430000305175781" defaultRowHeight="15"/>
  <x:cols>
    <x:col min="1" max="1" width="25" customWidth="1"/>
    <x:col min="2" max="2" width="28" customWidth="1"/>
    <x:col min="3" max="3" width="18" customWidth="1"/>
    <x:col min="4" max="4" width="16" customWidth="1"/>
    <x:col min="5" max="5" width="18" customWidth="1"/>
    <x:col min="6" max="6" width="48" customWidth="1"/>
    <x:col min="7" max="7" width="42" customWidth="1"/>
    <x:col min="8" max="9" width="16" customWidth="1"/>
  </x:cols>
  <x:sheetData>
    <x:row r="1" ht="33.75" customHeight="1">
      <x:c r="A1" s="34" t="s">
        <x:v>523</x:v>
      </x:c>
      <x:c r="B1" s="34" t="s">
        <x:v>524</x:v>
      </x:c>
      <x:c r="C1" s="34" t="s">
        <x:v>486</x:v>
      </x:c>
      <x:c r="D1" s="34" t="s">
        <x:v>525</x:v>
      </x:c>
      <x:c r="E1" s="34" t="s">
        <x:v>488</x:v>
      </x:c>
      <x:c r="F1" s="34" t="s">
        <x:v>526</x:v>
      </x:c>
      <x:c r="G1" s="34" t="s">
        <x:v>527</x:v>
      </x:c>
      <x:c r="H1" s="34" t="s">
        <x:v>78</x:v>
      </x:c>
      <x:c r="I1" s="34" t="s">
        <x:v>528</x:v>
      </x:c>
    </x:row>
    <x:row r="2">
      <x:c r="A2" s="4" t="s">
        <x:v>529</x:v>
      </x:c>
      <x:c r="B2" s="4" t="s">
        <x:v>517</x:v>
      </x:c>
      <x:c r="C2" s="4" t="s">
        <x:v>518</x:v>
      </x:c>
      <x:c r="D2" s="4" t="s">
        <x:v>530</x:v>
      </x:c>
      <x:c r="E2" s="4" t="s">
        <x:v>519</x:v>
      </x:c>
      <x:c r="F2" s="4" t="s">
        <x:v>531</x:v>
      </x:c>
      <x:c r="G2" s="4" t="s">
        <x:v>152</x:v>
      </x:c>
      <x:c r="H2" s="4" t="s">
        <x:v>532</x:v>
      </x:c>
      <x:c r="I2" s="49">
        <x:v>46277.0</x:v>
      </x:c>
    </x:row>
    <x:row r="3">
      <x:c r="A3" s="4" t="s">
        <x:v>529</x:v>
      </x:c>
      <x:c r="B3" s="4" t="s">
        <x:v>533</x:v>
      </x:c>
      <x:c r="C3" s="4" t="s">
        <x:v>498</x:v>
      </x:c>
      <x:c r="D3" s="4" t="s">
        <x:v>530</x:v>
      </x:c>
      <x:c r="E3" s="4" t="s">
        <x:v>500</x:v>
      </x:c>
      <x:c r="F3" s="4" t="s">
        <x:v>534</x:v>
      </x:c>
      <x:c r="G3" s="4" t="s">
        <x:v>159</x:v>
      </x:c>
      <x:c r="H3" s="4" t="s">
        <x:v>532</x:v>
      </x:c>
      <x:c r="I3" s="49">
        <x:v>46277.0</x:v>
      </x:c>
    </x:row>
    <x:row r="4">
      <x:c r="A4" s="4" t="s">
        <x:v>529</x:v>
      </x:c>
      <x:c r="B4" s="4" t="s">
        <x:v>535</x:v>
      </x:c>
      <x:c r="C4" s="4" t="s">
        <x:v>162</x:v>
      </x:c>
      <x:c r="D4" s="4" t="s">
        <x:v>536</x:v>
      </x:c>
      <x:c r="E4" s="4" t="s">
        <x:v>537</x:v>
      </x:c>
      <x:c r="F4" s="4" t="s">
        <x:v>538</x:v>
      </x:c>
      <x:c r="G4" s="4" t="s">
        <x:v>166</x:v>
      </x:c>
      <x:c r="H4" s="4" t="s">
        <x:v>539</x:v>
      </x:c>
      <x:c r="I4" s="49">
        <x:v>46277.0</x:v>
      </x:c>
    </x:row>
    <x:row r="5">
      <x:c r="A5" s="4" t="s">
        <x:v>540</x:v>
      </x:c>
      <x:c r="B5" s="4" t="s">
        <x:v>541</x:v>
      </x:c>
      <x:c r="C5" s="4" t="s">
        <x:v>542</x:v>
      </x:c>
      <x:c r="D5" s="4" t="s">
        <x:v>543</x:v>
      </x:c>
      <x:c r="E5" s="4" t="s">
        <x:v>544</x:v>
      </x:c>
      <x:c r="F5" s="4" t="s">
        <x:v>545</x:v>
      </x:c>
      <x:c r="G5" s="4" t="s">
        <x:v>173</x:v>
      </x:c>
      <x:c r="H5" s="4" t="s">
        <x:v>532</x:v>
      </x:c>
      <x:c r="I5" s="49">
        <x:v>46277.0</x:v>
      </x:c>
    </x:row>
    <x:row r="6">
      <x:c r="A6" s="4" t="s">
        <x:v>546</x:v>
      </x:c>
      <x:c r="B6" s="4" t="s">
        <x:v>547</x:v>
      </x:c>
      <x:c r="C6" s="4" t="s">
        <x:v>518</x:v>
      </x:c>
      <x:c r="D6" s="4" t="s">
        <x:v>548</x:v>
      </x:c>
      <x:c r="E6" s="4" t="s">
        <x:v>549</x:v>
      </x:c>
      <x:c r="F6" s="4" t="s">
        <x:v>550</x:v>
      </x:c>
      <x:c r="G6" s="4" t="s">
        <x:v>551</x:v>
      </x:c>
      <x:c r="H6" s="4" t="s">
        <x:v>532</x:v>
      </x:c>
      <x:c r="I6" s="49">
        <x:v>46277.0</x:v>
      </x:c>
    </x:row>
    <x:row r="7">
      <x:c r="A7" s="4" t="s">
        <x:v>546</x:v>
      </x:c>
      <x:c r="B7" s="4" t="s">
        <x:v>552</x:v>
      </x:c>
      <x:c r="C7" s="4" t="s">
        <x:v>142</x:v>
      </x:c>
      <x:c r="D7" s="4" t="s">
        <x:v>548</x:v>
      </x:c>
      <x:c r="E7" s="4" t="s">
        <x:v>549</x:v>
      </x:c>
      <x:c r="F7" s="4" t="s">
        <x:v>553</x:v>
      </x:c>
      <x:c r="G7" s="4" t="s">
        <x:v>554</x:v>
      </x:c>
      <x:c r="H7" s="4" t="s">
        <x:v>532</x:v>
      </x:c>
      <x:c r="I7" s="49">
        <x:v>46277.0</x:v>
      </x:c>
    </x:row>
    <x:row r="8">
      <x:c r="A8" s="4" t="s">
        <x:v>546</x:v>
      </x:c>
      <x:c r="B8" s="4" t="s">
        <x:v>555</x:v>
      </x:c>
      <x:c r="C8" s="4" t="s">
        <x:v>162</x:v>
      </x:c>
      <x:c r="D8" s="4" t="s">
        <x:v>548</x:v>
      </x:c>
      <x:c r="E8" s="4" t="s">
        <x:v>549</x:v>
      </x:c>
      <x:c r="F8" s="4" t="s">
        <x:v>556</x:v>
      </x:c>
      <x:c r="G8" s="4" t="s">
        <x:v>557</x:v>
      </x:c>
      <x:c r="H8" s="4" t="s">
        <x:v>532</x:v>
      </x:c>
      <x:c r="I8" s="49">
        <x:v>46277.0</x:v>
      </x:c>
    </x:row>
    <x:row r="9">
      <x:c r="A9" s="4" t="s">
        <x:v>546</x:v>
      </x:c>
      <x:c r="B9" s="4" t="s">
        <x:v>558</x:v>
      </x:c>
      <x:c r="C9" s="4" t="s">
        <x:v>559</x:v>
      </x:c>
      <x:c r="D9" s="4" t="s">
        <x:v>560</x:v>
      </x:c>
      <x:c r="E9" s="4" t="s">
        <x:v>549</x:v>
      </x:c>
      <x:c r="F9" s="4" t="s">
        <x:v>561</x:v>
      </x:c>
      <x:c r="G9" s="4" t="s">
        <x:v>562</x:v>
      </x:c>
      <x:c r="H9" s="4" t="s">
        <x:v>532</x:v>
      </x:c>
      <x:c r="I9" s="49">
        <x:v>46277.0</x:v>
      </x:c>
    </x:row>
    <x:row r="10">
      <x:c r="A10" s="4" t="s">
        <x:v>546</x:v>
      </x:c>
      <x:c r="B10" s="4" t="s">
        <x:v>563</x:v>
      </x:c>
      <x:c r="C10" s="4" t="s">
        <x:v>564</x:v>
      </x:c>
      <x:c r="D10" s="4" t="s">
        <x:v>565</x:v>
      </x:c>
      <x:c r="E10" s="4" t="s">
        <x:v>549</x:v>
      </x:c>
      <x:c r="F10" s="4" t="s">
        <x:v>566</x:v>
      </x:c>
      <x:c r="G10" s="4" t="s">
        <x:v>567</x:v>
      </x:c>
      <x:c r="H10" s="4" t="s">
        <x:v>532</x:v>
      </x:c>
      <x:c r="I10" s="49">
        <x:v>46277.0</x:v>
      </x:c>
    </x:row>
    <x:row r="11">
      <x:c r="A11" s="4" t="s">
        <x:v>568</x:v>
      </x:c>
      <x:c r="B11" s="4" t="s">
        <x:v>569</x:v>
      </x:c>
      <x:c r="C11" s="4" t="s">
        <x:v>570</x:v>
      </x:c>
      <x:c r="D11" s="4" t="s">
        <x:v>548</x:v>
      </x:c>
      <x:c r="E11" s="4" t="s">
        <x:v>549</x:v>
      </x:c>
      <x:c r="F11" s="4" t="s">
        <x:v>571</x:v>
      </x:c>
      <x:c r="G11" s="4" t="s">
        <x:v>572</x:v>
      </x:c>
      <x:c r="H11" s="4" t="s">
        <x:v>573</x:v>
      </x:c>
      <x:c r="I11" s="49">
        <x:v>46277.0</x:v>
      </x:c>
    </x:row>
    <x:row r="12">
      <x:c r="A12" s="4" t="s">
        <x:v>568</x:v>
      </x:c>
      <x:c r="B12" s="4" t="s">
        <x:v>574</x:v>
      </x:c>
      <x:c r="C12" s="4" t="s">
        <x:v>575</x:v>
      </x:c>
      <x:c r="D12" s="4" t="s">
        <x:v>548</x:v>
      </x:c>
      <x:c r="E12" s="4" t="s">
        <x:v>549</x:v>
      </x:c>
      <x:c r="F12" s="4" t="s">
        <x:v>576</x:v>
      </x:c>
      <x:c r="G12" s="4" t="s">
        <x:v>577</x:v>
      </x:c>
      <x:c r="H12" s="4" t="s">
        <x:v>573</x:v>
      </x:c>
      <x:c r="I12" s="49">
        <x:v>46277.0</x:v>
      </x:c>
    </x:row>
    <x:row r="13">
      <x:c r="A13" s="4" t="s">
        <x:v>568</x:v>
      </x:c>
      <x:c r="B13" s="4" t="s">
        <x:v>578</x:v>
      </x:c>
      <x:c r="C13" s="4" t="s">
        <x:v>578</x:v>
      </x:c>
      <x:c r="D13" s="4" t="s">
        <x:v>548</x:v>
      </x:c>
      <x:c r="E13" s="4" t="s">
        <x:v>549</x:v>
      </x:c>
      <x:c r="F13" s="4" t="s">
        <x:v>579</x:v>
      </x:c>
      <x:c r="G13" s="4" t="s">
        <x:v>580</x:v>
      </x:c>
      <x:c r="H13" s="4" t="s">
        <x:v>573</x:v>
      </x:c>
      <x:c r="I13" s="49">
        <x:v>46277.0</x:v>
      </x:c>
    </x:row>
    <x:row r="14">
      <x:c r="A14" s="4" t="s">
        <x:v>568</x:v>
      </x:c>
      <x:c r="B14" s="4" t="s">
        <x:v>581</x:v>
      </x:c>
      <x:c r="C14" s="4" t="s">
        <x:v>581</x:v>
      </x:c>
      <x:c r="D14" s="4" t="s">
        <x:v>548</x:v>
      </x:c>
      <x:c r="E14" s="4" t="s">
        <x:v>549</x:v>
      </x:c>
      <x:c r="F14" s="4" t="s">
        <x:v>582</x:v>
      </x:c>
      <x:c r="G14" s="4" t="s">
        <x:v>583</x:v>
      </x:c>
      <x:c r="H14" s="4" t="s">
        <x:v>532</x:v>
      </x:c>
      <x:c r="I14" s="49">
        <x:v>46277.0</x:v>
      </x:c>
    </x:row>
    <x:row r="15">
      <x:c r="A15" s="4" t="s">
        <x:v>568</x:v>
      </x:c>
      <x:c r="B15" s="4" t="s">
        <x:v>584</x:v>
      </x:c>
      <x:c r="C15" s="4" t="s">
        <x:v>584</x:v>
      </x:c>
      <x:c r="D15" s="4" t="s">
        <x:v>548</x:v>
      </x:c>
      <x:c r="E15" s="4" t="s">
        <x:v>549</x:v>
      </x:c>
      <x:c r="F15" s="4" t="s">
        <x:v>585</x:v>
      </x:c>
      <x:c r="G15" s="4" t="s">
        <x:v>586</x:v>
      </x:c>
      <x:c r="H15" s="4" t="s">
        <x:v>573</x:v>
      </x:c>
      <x:c r="I15" s="49">
        <x:v>46277.0</x:v>
      </x:c>
    </x:row>
    <x:row r="16">
      <x:c r="A16" s="4" t="s">
        <x:v>568</x:v>
      </x:c>
      <x:c r="B16" s="4" t="s">
        <x:v>587</x:v>
      </x:c>
      <x:c r="C16" s="4" t="s">
        <x:v>587</x:v>
      </x:c>
      <x:c r="D16" s="4" t="s">
        <x:v>548</x:v>
      </x:c>
      <x:c r="E16" s="4" t="s">
        <x:v>518</x:v>
      </x:c>
      <x:c r="F16" s="4" t="s">
        <x:v>588</x:v>
      </x:c>
      <x:c r="G16" s="4" t="s">
        <x:v>589</x:v>
      </x:c>
      <x:c r="H16" s="4" t="s">
        <x:v>573</x:v>
      </x:c>
      <x:c r="I16" s="49">
        <x:v>46277.0</x:v>
      </x:c>
    </x:row>
    <x:row r="17">
      <x:c r="A17" s="4" t="s">
        <x:v>568</x:v>
      </x:c>
      <x:c r="B17" s="4" t="s">
        <x:v>590</x:v>
      </x:c>
      <x:c r="C17" s="4" t="s">
        <x:v>591</x:v>
      </x:c>
      <x:c r="D17" s="4" t="s">
        <x:v>560</x:v>
      </x:c>
      <x:c r="E17" s="4" t="s">
        <x:v>549</x:v>
      </x:c>
      <x:c r="F17" s="4" t="s">
        <x:v>592</x:v>
      </x:c>
      <x:c r="G17" s="4" t="s">
        <x:v>593</x:v>
      </x:c>
      <x:c r="H17" s="4" t="s">
        <x:v>532</x:v>
      </x:c>
      <x:c r="I17" s="49">
        <x:v>46277.0</x:v>
      </x:c>
    </x:row>
    <x:row r="18">
      <x:c r="A18" s="4" t="s">
        <x:v>568</x:v>
      </x:c>
      <x:c r="B18" s="4" t="s">
        <x:v>594</x:v>
      </x:c>
      <x:c r="C18" s="4" t="s">
        <x:v>594</x:v>
      </x:c>
      <x:c r="D18" s="4" t="s">
        <x:v>565</x:v>
      </x:c>
      <x:c r="E18" s="4" t="s">
        <x:v>549</x:v>
      </x:c>
      <x:c r="F18" s="4" t="s">
        <x:v>595</x:v>
      </x:c>
      <x:c r="G18" s="4" t="s">
        <x:v>596</x:v>
      </x:c>
      <x:c r="H18" s="4" t="s">
        <x:v>532</x:v>
      </x:c>
      <x:c r="I18" s="49">
        <x:v>46277.0</x:v>
      </x:c>
    </x:row>
    <x:row r="19">
      <x:c r="A19" s="4" t="s">
        <x:v>597</x:v>
      </x:c>
      <x:c r="B19" s="4" t="s">
        <x:v>598</x:v>
      </x:c>
      <x:c r="C19" s="4" t="s">
        <x:v>189</x:v>
      </x:c>
      <x:c r="D19" s="4" t="s">
        <x:v>548</x:v>
      </x:c>
      <x:c r="E19" s="4" t="s">
        <x:v>549</x:v>
      </x:c>
      <x:c r="F19" s="4" t="s">
        <x:v>599</x:v>
      </x:c>
      <x:c r="G19" s="4" t="s">
        <x:v>193</x:v>
      </x:c>
      <x:c r="H19" s="4" t="s">
        <x:v>532</x:v>
      </x:c>
      <x:c r="I19" s="49">
        <x:v>46277.0</x:v>
      </x:c>
    </x:row>
    <x:row r="20">
      <x:c r="A20" s="4" t="s">
        <x:v>597</x:v>
      </x:c>
      <x:c r="B20" s="4" t="s">
        <x:v>600</x:v>
      </x:c>
      <x:c r="C20" s="4" t="s">
        <x:v>600</x:v>
      </x:c>
      <x:c r="D20" s="4" t="s">
        <x:v>548</x:v>
      </x:c>
      <x:c r="E20" s="4" t="s">
        <x:v>549</x:v>
      </x:c>
      <x:c r="F20" s="4" t="s">
        <x:v>601</x:v>
      </x:c>
      <x:c r="G20" s="4" t="s">
        <x:v>602</x:v>
      </x:c>
      <x:c r="H20" s="4" t="s">
        <x:v>532</x:v>
      </x:c>
      <x:c r="I20" s="49">
        <x:v>46277.0</x:v>
      </x:c>
    </x:row>
    <x:row r="21" ht="15.75" customHeight="1">
      <x:c r="A21" s="4" t="s">
        <x:v>597</x:v>
      </x:c>
      <x:c r="B21" s="4" t="s">
        <x:v>603</x:v>
      </x:c>
      <x:c r="C21" s="4" t="s">
        <x:v>603</x:v>
      </x:c>
      <x:c r="D21" s="4" t="s">
        <x:v>548</x:v>
      </x:c>
      <x:c r="E21" s="4" t="s">
        <x:v>549</x:v>
      </x:c>
      <x:c r="F21" s="4" t="s">
        <x:v>604</x:v>
      </x:c>
      <x:c r="G21" s="4" t="s">
        <x:v>605</x:v>
      </x:c>
      <x:c r="H21" s="4" t="s">
        <x:v>573</x:v>
      </x:c>
      <x:c r="I21" s="49">
        <x:v>46277.0</x:v>
      </x:c>
    </x:row>
    <x:row r="22" ht="15.75" customHeight="1">
      <x:c r="A22" s="4" t="s">
        <x:v>597</x:v>
      </x:c>
      <x:c r="B22" s="4" t="s">
        <x:v>606</x:v>
      </x:c>
      <x:c r="C22" s="4" t="s">
        <x:v>606</x:v>
      </x:c>
      <x:c r="D22" s="4" t="s">
        <x:v>548</x:v>
      </x:c>
      <x:c r="E22" s="4" t="s">
        <x:v>549</x:v>
      </x:c>
      <x:c r="F22" s="4" t="s">
        <x:v>607</x:v>
      </x:c>
      <x:c r="G22" s="4" t="s">
        <x:v>608</x:v>
      </x:c>
      <x:c r="H22" s="4" t="s">
        <x:v>573</x:v>
      </x:c>
      <x:c r="I22" s="49">
        <x:v>46277.0</x:v>
      </x:c>
    </x:row>
    <x:row r="23" ht="15.75" customHeight="1">
      <x:c r="A23" s="4" t="s">
        <x:v>597</x:v>
      </x:c>
      <x:c r="B23" s="4" t="s">
        <x:v>609</x:v>
      </x:c>
      <x:c r="C23" s="4" t="s">
        <x:v>609</x:v>
      </x:c>
      <x:c r="D23" s="4" t="s">
        <x:v>560</x:v>
      </x:c>
      <x:c r="E23" s="4" t="s">
        <x:v>549</x:v>
      </x:c>
      <x:c r="F23" s="4" t="s">
        <x:v>610</x:v>
      </x:c>
      <x:c r="G23" s="4" t="s">
        <x:v>611</x:v>
      </x:c>
      <x:c r="H23" s="4" t="s">
        <x:v>532</x:v>
      </x:c>
      <x:c r="I23" s="49">
        <x:v>46277.0</x:v>
      </x:c>
    </x:row>
    <x:row r="24" ht="15.75" customHeight="1">
      <x:c r="A24" s="4" t="s">
        <x:v>597</x:v>
      </x:c>
      <x:c r="B24" s="4" t="s">
        <x:v>612</x:v>
      </x:c>
      <x:c r="C24" s="4" t="s">
        <x:v>612</x:v>
      </x:c>
      <x:c r="D24" s="4" t="s">
        <x:v>565</x:v>
      </x:c>
      <x:c r="E24" s="4" t="s">
        <x:v>549</x:v>
      </x:c>
      <x:c r="F24" s="4" t="s">
        <x:v>613</x:v>
      </x:c>
      <x:c r="G24" s="4" t="s">
        <x:v>614</x:v>
      </x:c>
      <x:c r="H24" s="4" t="s">
        <x:v>532</x:v>
      </x:c>
      <x:c r="I24" s="49">
        <x:v>46277.0</x:v>
      </x:c>
    </x:row>
    <x:row r="25" ht="15.75" customHeight="1">
      <x:c r="A25" s="4" t="s">
        <x:v>615</x:v>
      </x:c>
      <x:c r="B25" s="4" t="s">
        <x:v>197</x:v>
      </x:c>
      <x:c r="C25" s="4" t="s">
        <x:v>197</x:v>
      </x:c>
      <x:c r="D25" s="4" t="s">
        <x:v>548</x:v>
      </x:c>
      <x:c r="E25" s="4" t="s">
        <x:v>549</x:v>
      </x:c>
      <x:c r="F25" s="4" t="s">
        <x:v>616</x:v>
      </x:c>
      <x:c r="G25" s="4" t="s">
        <x:v>201</x:v>
      </x:c>
      <x:c r="H25" s="4" t="s">
        <x:v>532</x:v>
      </x:c>
      <x:c r="I25" s="49">
        <x:v>46277.0</x:v>
      </x:c>
    </x:row>
    <x:row r="26" ht="15.75" customHeight="1">
      <x:c r="A26" s="4" t="s">
        <x:v>615</x:v>
      </x:c>
      <x:c r="B26" s="4" t="s">
        <x:v>617</x:v>
      </x:c>
      <x:c r="C26" s="4" t="s">
        <x:v>618</x:v>
      </x:c>
      <x:c r="D26" s="4" t="s">
        <x:v>548</x:v>
      </x:c>
      <x:c r="E26" s="4" t="s">
        <x:v>549</x:v>
      </x:c>
      <x:c r="F26" s="4" t="s">
        <x:v>619</x:v>
      </x:c>
      <x:c r="G26" s="4" t="s">
        <x:v>620</x:v>
      </x:c>
      <x:c r="H26" s="4" t="s">
        <x:v>532</x:v>
      </x:c>
      <x:c r="I26" s="49">
        <x:v>46277.0</x:v>
      </x:c>
    </x:row>
    <x:row r="27" ht="15.75" customHeight="1">
      <x:c r="A27" s="4" t="s">
        <x:v>615</x:v>
      </x:c>
      <x:c r="B27" s="4" t="s">
        <x:v>621</x:v>
      </x:c>
      <x:c r="C27" s="4" t="s">
        <x:v>518</x:v>
      </x:c>
      <x:c r="D27" s="4" t="s">
        <x:v>560</x:v>
      </x:c>
      <x:c r="E27" s="4" t="s">
        <x:v>549</x:v>
      </x:c>
      <x:c r="F27" s="4" t="s">
        <x:v>622</x:v>
      </x:c>
      <x:c r="G27" s="4" t="s">
        <x:v>623</x:v>
      </x:c>
      <x:c r="H27" s="4" t="s">
        <x:v>532</x:v>
      </x:c>
      <x:c r="I27" s="49">
        <x:v>46277.0</x:v>
      </x:c>
    </x:row>
    <x:row r="28" ht="15.75" customHeight="1">
      <x:c r="A28" s="4" t="s">
        <x:v>615</x:v>
      </x:c>
      <x:c r="B28" s="4" t="s">
        <x:v>624</x:v>
      </x:c>
      <x:c r="C28" s="4" t="s">
        <x:v>142</x:v>
      </x:c>
      <x:c r="D28" s="4" t="s">
        <x:v>565</x:v>
      </x:c>
      <x:c r="E28" s="4" t="s">
        <x:v>549</x:v>
      </x:c>
      <x:c r="F28" s="4" t="s">
        <x:v>625</x:v>
      </x:c>
      <x:c r="G28" s="4" t="s">
        <x:v>626</x:v>
      </x:c>
      <x:c r="H28" s="4" t="s">
        <x:v>532</x:v>
      </x:c>
      <x:c r="I28" s="49">
        <x:v>46277.0</x:v>
      </x:c>
    </x:row>
    <x:row r="29" ht="15.75" customHeight="1">
      <x:c r="A29" s="4" t="s">
        <x:v>627</x:v>
      </x:c>
      <x:c r="B29" s="4" t="s">
        <x:v>628</x:v>
      </x:c>
      <x:c r="C29" s="4" t="s">
        <x:v>97</x:v>
      </x:c>
      <x:c r="D29" s="4" t="s">
        <x:v>548</x:v>
      </x:c>
      <x:c r="E29" s="4" t="s">
        <x:v>549</x:v>
      </x:c>
      <x:c r="F29" s="4" t="s">
        <x:v>629</x:v>
      </x:c>
      <x:c r="G29" s="4" t="s">
        <x:v>131</x:v>
      </x:c>
      <x:c r="H29" s="4" t="s">
        <x:v>532</x:v>
      </x:c>
      <x:c r="I29" s="49">
        <x:v>46277.0</x:v>
      </x:c>
    </x:row>
    <x:row r="30" ht="15.75" customHeight="1">
      <x:c r="A30" s="4" t="s">
        <x:v>627</x:v>
      </x:c>
      <x:c r="B30" s="4" t="s">
        <x:v>630</x:v>
      </x:c>
      <x:c r="C30" s="4" t="s">
        <x:v>176</x:v>
      </x:c>
      <x:c r="D30" s="4" t="s">
        <x:v>560</x:v>
      </x:c>
      <x:c r="E30" s="4" t="s">
        <x:v>549</x:v>
      </x:c>
      <x:c r="F30" s="4" t="s">
        <x:v>631</x:v>
      </x:c>
      <x:c r="G30" s="4" t="s">
        <x:v>180</x:v>
      </x:c>
      <x:c r="H30" s="4" t="s">
        <x:v>532</x:v>
      </x:c>
      <x:c r="I30" s="49">
        <x:v>46277.0</x:v>
      </x:c>
    </x:row>
    <x:row r="31" ht="15.75" customHeight="1">
      <x:c r="A31" s="4" t="s">
        <x:v>627</x:v>
      </x:c>
      <x:c r="B31" s="4" t="s">
        <x:v>632</x:v>
      </x:c>
      <x:c r="C31" s="4" t="s">
        <x:v>176</x:v>
      </x:c>
      <x:c r="D31" s="4" t="s">
        <x:v>565</x:v>
      </x:c>
      <x:c r="E31" s="4" t="s">
        <x:v>549</x:v>
      </x:c>
      <x:c r="F31" s="4" t="s">
        <x:v>633</x:v>
      </x:c>
      <x:c r="G31" s="4" t="s">
        <x:v>186</x:v>
      </x:c>
      <x:c r="H31" s="4" t="s">
        <x:v>532</x:v>
      </x:c>
      <x:c r="I31" s="49">
        <x:v>46277.0</x:v>
      </x:c>
    </x:row>
    <x:row r="32" ht="15.75" customHeight="1">
      <x:c r="A32" s="4"/>
      <x:c r="B32" s="4"/>
      <x:c r="C32" s="4"/>
      <x:c r="D32" s="4"/>
      <x:c r="E32" s="4"/>
      <x:c r="F32" s="4"/>
      <x:c r="G32" s="4"/>
      <x:c r="H32" s="4"/>
      <x:c r="I32" s="49"/>
    </x:row>
    <x:row r="33" ht="15.75" customHeight="1">
      <x:c r="A33" s="4"/>
      <x:c r="B33" s="4"/>
      <x:c r="C33" s="4"/>
      <x:c r="D33" s="4"/>
      <x:c r="E33" s="4"/>
      <x:c r="F33" s="4"/>
      <x:c r="G33" s="4"/>
      <x:c r="H33" s="4"/>
      <x:c r="I33" s="49"/>
    </x:row>
    <x:row r="34" ht="15.75" customHeight="1">
      <x:c r="A34" s="4"/>
      <x:c r="B34" s="4"/>
      <x:c r="C34" s="4"/>
      <x:c r="D34" s="4"/>
      <x:c r="E34" s="4"/>
      <x:c r="F34" s="4"/>
      <x:c r="G34" s="4"/>
      <x:c r="H34" s="4"/>
      <x:c r="I34" s="49"/>
    </x:row>
    <x:row r="35" ht="15.75" customHeight="1">
      <x:c r="A35" s="4"/>
      <x:c r="B35" s="4"/>
      <x:c r="C35" s="4"/>
      <x:c r="D35" s="4"/>
      <x:c r="E35" s="4"/>
      <x:c r="F35" s="4"/>
      <x:c r="G35" s="4"/>
      <x:c r="H35" s="4"/>
      <x:c r="I35" s="49"/>
    </x:row>
    <x:row r="36" ht="15.75" customHeight="1">
      <x:c r="A36" s="4"/>
      <x:c r="B36" s="4"/>
      <x:c r="C36" s="4"/>
      <x:c r="D36" s="4"/>
      <x:c r="E36" s="4"/>
      <x:c r="F36" s="4"/>
      <x:c r="G36" s="4"/>
      <x:c r="H36" s="4"/>
      <x:c r="I36" s="49"/>
    </x:row>
    <x:row r="37" ht="15.75" customHeight="1">
      <x:c r="A37" s="4"/>
      <x:c r="B37" s="4"/>
      <x:c r="C37" s="4"/>
      <x:c r="D37" s="4"/>
      <x:c r="E37" s="4"/>
      <x:c r="F37" s="4"/>
      <x:c r="G37" s="4"/>
      <x:c r="H37" s="4"/>
      <x:c r="I37" s="49"/>
    </x:row>
    <x:row r="38" ht="15.75" customHeight="1">
      <x:c r="A38" s="4"/>
      <x:c r="B38" s="4"/>
      <x:c r="C38" s="4"/>
      <x:c r="D38" s="4"/>
      <x:c r="E38" s="4"/>
      <x:c r="F38" s="4"/>
      <x:c r="G38" s="4"/>
      <x:c r="H38" s="4"/>
      <x:c r="I38" s="49"/>
    </x:row>
    <x:row r="39" ht="15.75" customHeight="1">
      <x:c r="A39" s="4"/>
      <x:c r="B39" s="4"/>
      <x:c r="C39" s="4"/>
      <x:c r="D39" s="4"/>
      <x:c r="E39" s="4"/>
      <x:c r="F39" s="4"/>
      <x:c r="G39" s="4"/>
      <x:c r="H39" s="4"/>
      <x:c r="I39" s="49"/>
    </x:row>
    <x:row r="40" ht="15.75" customHeight="1">
      <x:c r="A40" s="4"/>
      <x:c r="B40" s="4"/>
      <x:c r="C40" s="4"/>
      <x:c r="D40" s="4"/>
      <x:c r="E40" s="4"/>
      <x:c r="F40" s="4"/>
      <x:c r="G40" s="4"/>
      <x:c r="H40" s="4"/>
      <x:c r="I40" s="49"/>
    </x:row>
    <x:row r="41" ht="15.75" customHeight="1">
      <x:c r="A41" s="4"/>
      <x:c r="B41" s="4"/>
      <x:c r="C41" s="4"/>
      <x:c r="D41" s="4"/>
      <x:c r="E41" s="4"/>
      <x:c r="F41" s="4"/>
      <x:c r="G41" s="4"/>
      <x:c r="H41" s="4"/>
      <x:c r="I41" s="49"/>
    </x:row>
    <x:row r="42" ht="15.75" customHeight="1">
      <x:c r="A42" s="4"/>
      <x:c r="B42" s="4"/>
      <x:c r="C42" s="4"/>
      <x:c r="D42" s="4"/>
      <x:c r="E42" s="4"/>
      <x:c r="F42" s="4"/>
      <x:c r="G42" s="4"/>
      <x:c r="H42" s="4"/>
      <x:c r="I42" s="49"/>
    </x:row>
    <x:row r="43" ht="15.75" customHeight="1">
      <x:c r="A43" s="4"/>
      <x:c r="B43" s="4"/>
      <x:c r="C43" s="4"/>
      <x:c r="D43" s="4"/>
      <x:c r="E43" s="4"/>
      <x:c r="F43" s="4"/>
      <x:c r="G43" s="4"/>
      <x:c r="H43" s="4"/>
      <x:c r="I43" s="49"/>
    </x:row>
    <x:row r="44" ht="15.75" customHeight="1">
      <x:c r="A44" s="4"/>
      <x:c r="B44" s="4"/>
      <x:c r="C44" s="4"/>
      <x:c r="D44" s="4"/>
      <x:c r="E44" s="4"/>
      <x:c r="F44" s="4"/>
      <x:c r="G44" s="4"/>
      <x:c r="H44" s="4"/>
      <x:c r="I44" s="49"/>
    </x:row>
    <x:row r="45" ht="15.75" customHeight="1">
      <x:c r="A45" s="4"/>
      <x:c r="B45" s="4"/>
      <x:c r="C45" s="4"/>
      <x:c r="D45" s="4"/>
      <x:c r="E45" s="4"/>
      <x:c r="F45" s="4"/>
      <x:c r="G45" s="4"/>
      <x:c r="H45" s="4"/>
      <x:c r="I45" s="49"/>
    </x:row>
    <x:row r="46" ht="15.75" customHeight="1">
      <x:c r="A46" s="4"/>
      <x:c r="B46" s="4"/>
      <x:c r="C46" s="4"/>
      <x:c r="D46" s="4"/>
      <x:c r="E46" s="4"/>
      <x:c r="F46" s="4"/>
      <x:c r="G46" s="4"/>
      <x:c r="H46" s="4"/>
      <x:c r="I46" s="49"/>
    </x:row>
    <x:row r="47" ht="15.75" customHeight="1">
      <x:c r="A47" s="4"/>
      <x:c r="B47" s="4"/>
      <x:c r="C47" s="4"/>
      <x:c r="D47" s="4"/>
      <x:c r="E47" s="4"/>
      <x:c r="F47" s="4"/>
      <x:c r="G47" s="4"/>
      <x:c r="H47" s="4"/>
      <x:c r="I47" s="49"/>
    </x:row>
    <x:row r="48" ht="15.75" customHeight="1">
      <x:c r="A48" s="4"/>
      <x:c r="B48" s="4"/>
      <x:c r="C48" s="4"/>
      <x:c r="D48" s="4"/>
      <x:c r="E48" s="4"/>
      <x:c r="F48" s="4"/>
      <x:c r="G48" s="4"/>
      <x:c r="H48" s="4"/>
      <x:c r="I48" s="49"/>
    </x:row>
    <x:row r="49" ht="15.75" customHeight="1">
      <x:c r="A49" s="4"/>
      <x:c r="B49" s="4"/>
      <x:c r="C49" s="4"/>
      <x:c r="D49" s="4"/>
      <x:c r="E49" s="4"/>
      <x:c r="F49" s="4"/>
      <x:c r="G49" s="4"/>
      <x:c r="H49" s="4"/>
      <x:c r="I49" s="49"/>
    </x:row>
    <x:row r="50" ht="15.75" customHeight="1">
      <x:c r="A50" s="4"/>
      <x:c r="B50" s="4"/>
      <x:c r="C50" s="4"/>
      <x:c r="D50" s="4"/>
      <x:c r="E50" s="4"/>
      <x:c r="F50" s="4"/>
      <x:c r="G50" s="4"/>
      <x:c r="H50" s="4"/>
      <x:c r="I50" s="49"/>
    </x:row>
    <x:row r="51" ht="15.75" customHeight="1">
      <x:c r="A51" s="4"/>
      <x:c r="B51" s="4"/>
      <x:c r="C51" s="4"/>
      <x:c r="D51" s="4"/>
      <x:c r="E51" s="4"/>
      <x:c r="F51" s="4"/>
      <x:c r="G51" s="4"/>
      <x:c r="H51" s="4"/>
      <x:c r="I51" s="49"/>
    </x:row>
    <x:row r="52" ht="15.75" customHeight="1">
      <x:c r="A52" s="4"/>
      <x:c r="B52" s="4"/>
      <x:c r="C52" s="4"/>
      <x:c r="D52" s="4"/>
      <x:c r="E52" s="4"/>
      <x:c r="F52" s="4"/>
      <x:c r="G52" s="4"/>
      <x:c r="H52" s="4"/>
      <x:c r="I52" s="49"/>
    </x:row>
    <x:row r="53" ht="15.75" customHeight="1">
      <x:c r="A53" s="4"/>
      <x:c r="B53" s="4"/>
      <x:c r="C53" s="4"/>
      <x:c r="D53" s="4"/>
      <x:c r="E53" s="4"/>
      <x:c r="F53" s="4"/>
      <x:c r="G53" s="4"/>
      <x:c r="H53" s="4"/>
      <x:c r="I53" s="49"/>
    </x:row>
    <x:row r="54" ht="15.75" customHeight="1">
      <x:c r="A54" s="4"/>
      <x:c r="B54" s="4"/>
      <x:c r="C54" s="4"/>
      <x:c r="D54" s="4"/>
      <x:c r="E54" s="4"/>
      <x:c r="F54" s="4"/>
      <x:c r="G54" s="4"/>
      <x:c r="H54" s="4"/>
      <x:c r="I54" s="49"/>
    </x:row>
    <x:row r="55" ht="15.75" customHeight="1">
      <x:c r="A55" s="4"/>
      <x:c r="B55" s="4"/>
      <x:c r="C55" s="4"/>
      <x:c r="D55" s="4"/>
      <x:c r="E55" s="4"/>
      <x:c r="F55" s="4"/>
      <x:c r="G55" s="4"/>
      <x:c r="H55" s="4"/>
      <x:c r="I55" s="49"/>
    </x:row>
    <x:row r="56" ht="15.75" customHeight="1">
      <x:c r="A56" s="4"/>
      <x:c r="B56" s="4"/>
      <x:c r="C56" s="4"/>
      <x:c r="D56" s="4"/>
      <x:c r="E56" s="4"/>
      <x:c r="F56" s="4"/>
      <x:c r="G56" s="4"/>
      <x:c r="H56" s="4"/>
      <x:c r="I56" s="49"/>
    </x:row>
    <x:row r="57" ht="15.75" customHeight="1">
      <x:c r="A57" s="4"/>
      <x:c r="B57" s="4"/>
      <x:c r="C57" s="4"/>
      <x:c r="D57" s="4"/>
      <x:c r="E57" s="4"/>
      <x:c r="F57" s="4"/>
      <x:c r="G57" s="4"/>
      <x:c r="H57" s="4"/>
      <x:c r="I57" s="49"/>
    </x:row>
    <x:row r="58" ht="15.75" customHeight="1">
      <x:c r="A58" s="4"/>
      <x:c r="B58" s="4"/>
      <x:c r="C58" s="4"/>
      <x:c r="D58" s="4"/>
      <x:c r="E58" s="4"/>
      <x:c r="F58" s="4"/>
      <x:c r="G58" s="4"/>
      <x:c r="H58" s="4"/>
      <x:c r="I58" s="49"/>
    </x:row>
    <x:row r="59" ht="15.75" customHeight="1">
      <x:c r="A59" s="4"/>
      <x:c r="B59" s="4"/>
      <x:c r="C59" s="4"/>
      <x:c r="D59" s="4"/>
      <x:c r="E59" s="4"/>
      <x:c r="F59" s="4"/>
      <x:c r="G59" s="4"/>
      <x:c r="H59" s="4"/>
      <x:c r="I59" s="49"/>
    </x:row>
    <x:row r="60" ht="15.75" customHeight="1">
      <x:c r="A60" s="4"/>
      <x:c r="B60" s="4"/>
      <x:c r="C60" s="4"/>
      <x:c r="D60" s="4"/>
      <x:c r="E60" s="4"/>
      <x:c r="F60" s="4"/>
      <x:c r="G60" s="4"/>
      <x:c r="H60" s="4"/>
      <x:c r="I60" s="49"/>
    </x:row>
    <x:row r="61" ht="15.75" customHeight="1">
      <x:c r="A61" s="4"/>
      <x:c r="B61" s="4"/>
      <x:c r="C61" s="4"/>
      <x:c r="D61" s="4"/>
      <x:c r="E61" s="4"/>
      <x:c r="F61" s="4"/>
      <x:c r="G61" s="4"/>
      <x:c r="H61" s="4"/>
      <x:c r="I61" s="49"/>
    </x:row>
    <x:row r="62" ht="15.75" customHeight="1">
      <x:c r="A62" s="4"/>
      <x:c r="B62" s="4"/>
      <x:c r="C62" s="4"/>
      <x:c r="D62" s="4"/>
      <x:c r="E62" s="4"/>
      <x:c r="F62" s="4"/>
      <x:c r="G62" s="4"/>
      <x:c r="H62" s="4"/>
      <x:c r="I62" s="49"/>
    </x:row>
    <x:row r="63" ht="15.75" customHeight="1">
      <x:c r="A63" s="4"/>
      <x:c r="B63" s="4"/>
      <x:c r="C63" s="4"/>
      <x:c r="D63" s="4"/>
      <x:c r="E63" s="4"/>
      <x:c r="F63" s="4"/>
      <x:c r="G63" s="4"/>
      <x:c r="H63" s="4"/>
      <x:c r="I63" s="49"/>
    </x:row>
    <x:row r="64" ht="15.75" customHeight="1">
      <x:c r="A64" s="4"/>
      <x:c r="B64" s="4"/>
      <x:c r="C64" s="4"/>
      <x:c r="D64" s="4"/>
      <x:c r="E64" s="4"/>
      <x:c r="F64" s="4"/>
      <x:c r="G64" s="4"/>
      <x:c r="H64" s="4"/>
      <x:c r="I64" s="49"/>
    </x:row>
    <x:row r="65" ht="15.75" customHeight="1">
      <x:c r="A65" s="4"/>
      <x:c r="B65" s="4"/>
      <x:c r="C65" s="4"/>
      <x:c r="D65" s="4"/>
      <x:c r="E65" s="4"/>
      <x:c r="F65" s="4"/>
      <x:c r="G65" s="4"/>
      <x:c r="H65" s="4"/>
      <x:c r="I65" s="49"/>
    </x:row>
    <x:row r="66" ht="15.75" customHeight="1">
      <x:c r="A66" s="4"/>
      <x:c r="B66" s="4"/>
      <x:c r="C66" s="4"/>
      <x:c r="D66" s="4"/>
      <x:c r="E66" s="4"/>
      <x:c r="F66" s="4"/>
      <x:c r="G66" s="4"/>
      <x:c r="H66" s="4"/>
      <x:c r="I66" s="49"/>
    </x:row>
    <x:row r="67" ht="15.75" customHeight="1">
      <x:c r="A67" s="4"/>
      <x:c r="B67" s="4"/>
      <x:c r="C67" s="4"/>
      <x:c r="D67" s="4"/>
      <x:c r="E67" s="4"/>
      <x:c r="F67" s="4"/>
      <x:c r="G67" s="4"/>
      <x:c r="H67" s="4"/>
      <x:c r="I67" s="49"/>
    </x:row>
    <x:row r="68" ht="15.75" customHeight="1">
      <x:c r="A68" s="4"/>
      <x:c r="B68" s="4"/>
      <x:c r="C68" s="4"/>
      <x:c r="D68" s="4"/>
      <x:c r="E68" s="4"/>
      <x:c r="F68" s="4"/>
      <x:c r="G68" s="4"/>
      <x:c r="H68" s="4"/>
      <x:c r="I68" s="49"/>
    </x:row>
    <x:row r="69" ht="15.75" customHeight="1">
      <x:c r="A69" s="4"/>
      <x:c r="B69" s="4"/>
      <x:c r="C69" s="4"/>
      <x:c r="D69" s="4"/>
      <x:c r="E69" s="4"/>
      <x:c r="F69" s="4"/>
      <x:c r="G69" s="4"/>
      <x:c r="H69" s="4"/>
      <x:c r="I69" s="49"/>
    </x:row>
    <x:row r="70" ht="15.75" customHeight="1">
      <x:c r="A70" s="4"/>
      <x:c r="B70" s="4"/>
      <x:c r="C70" s="4"/>
      <x:c r="D70" s="4"/>
      <x:c r="E70" s="4"/>
      <x:c r="F70" s="4"/>
      <x:c r="G70" s="4"/>
      <x:c r="H70" s="4"/>
      <x:c r="I70" s="49"/>
    </x:row>
    <x:row r="71" ht="15.75" customHeight="1">
      <x:c r="A71" s="4"/>
      <x:c r="B71" s="4"/>
      <x:c r="C71" s="4"/>
      <x:c r="D71" s="4"/>
      <x:c r="E71" s="4"/>
      <x:c r="F71" s="4"/>
      <x:c r="G71" s="4"/>
      <x:c r="H71" s="4"/>
      <x:c r="I71" s="49"/>
    </x:row>
    <x:row r="72" ht="15.75" customHeight="1">
      <x:c r="A72" s="4"/>
      <x:c r="B72" s="4"/>
      <x:c r="C72" s="4"/>
      <x:c r="D72" s="4"/>
      <x:c r="E72" s="4"/>
      <x:c r="F72" s="4"/>
      <x:c r="G72" s="4"/>
      <x:c r="H72" s="4"/>
      <x:c r="I72" s="49"/>
    </x:row>
    <x:row r="73" ht="15.75" customHeight="1">
      <x:c r="A73" s="4"/>
      <x:c r="B73" s="4"/>
      <x:c r="C73" s="4"/>
      <x:c r="D73" s="4"/>
      <x:c r="E73" s="4"/>
      <x:c r="F73" s="4"/>
      <x:c r="G73" s="4"/>
      <x:c r="H73" s="4"/>
      <x:c r="I73" s="49"/>
    </x:row>
    <x:row r="74" ht="15.75" customHeight="1">
      <x:c r="A74" s="4"/>
      <x:c r="B74" s="4"/>
      <x:c r="C74" s="4"/>
      <x:c r="D74" s="4"/>
      <x:c r="E74" s="4"/>
      <x:c r="F74" s="4"/>
      <x:c r="G74" s="4"/>
      <x:c r="H74" s="4"/>
      <x:c r="I74" s="49"/>
    </x:row>
    <x:row r="75" ht="15.75" customHeight="1">
      <x:c r="A75" s="4"/>
      <x:c r="B75" s="4"/>
      <x:c r="C75" s="4"/>
      <x:c r="D75" s="4"/>
      <x:c r="E75" s="4"/>
      <x:c r="F75" s="4"/>
      <x:c r="G75" s="4"/>
      <x:c r="H75" s="4"/>
      <x:c r="I75" s="49"/>
    </x:row>
    <x:row r="76" ht="15.75" customHeight="1">
      <x:c r="A76" s="4"/>
      <x:c r="B76" s="4"/>
      <x:c r="C76" s="4"/>
      <x:c r="D76" s="4"/>
      <x:c r="E76" s="4"/>
      <x:c r="F76" s="4"/>
      <x:c r="G76" s="4"/>
      <x:c r="H76" s="4"/>
      <x:c r="I76" s="49"/>
    </x:row>
    <x:row r="77" ht="15.75" customHeight="1">
      <x:c r="A77" s="4"/>
      <x:c r="B77" s="4"/>
      <x:c r="C77" s="4"/>
      <x:c r="D77" s="4"/>
      <x:c r="E77" s="4"/>
      <x:c r="F77" s="4"/>
      <x:c r="G77" s="4"/>
      <x:c r="H77" s="4"/>
      <x:c r="I77" s="49"/>
    </x:row>
    <x:row r="78" ht="15.75" customHeight="1">
      <x:c r="A78" s="4"/>
      <x:c r="B78" s="4"/>
      <x:c r="C78" s="4"/>
      <x:c r="D78" s="4"/>
      <x:c r="E78" s="4"/>
      <x:c r="F78" s="4"/>
      <x:c r="G78" s="4"/>
      <x:c r="H78" s="4"/>
      <x:c r="I78" s="49"/>
    </x:row>
    <x:row r="79" ht="15.75" customHeight="1">
      <x:c r="A79" s="4"/>
      <x:c r="B79" s="4"/>
      <x:c r="C79" s="4"/>
      <x:c r="D79" s="4"/>
      <x:c r="E79" s="4"/>
      <x:c r="F79" s="4"/>
      <x:c r="G79" s="4"/>
      <x:c r="H79" s="4"/>
      <x:c r="I79" s="49"/>
    </x:row>
    <x:row r="80" ht="15.75" customHeight="1">
      <x:c r="A80" s="4"/>
      <x:c r="B80" s="4"/>
      <x:c r="C80" s="4"/>
      <x:c r="D80" s="4"/>
      <x:c r="E80" s="4"/>
      <x:c r="F80" s="4"/>
      <x:c r="G80" s="4"/>
      <x:c r="H80" s="4"/>
      <x:c r="I80" s="49"/>
    </x:row>
    <x:row r="81" ht="15.75" customHeight="1">
      <x:c r="A81" s="4"/>
      <x:c r="B81" s="4"/>
      <x:c r="C81" s="4"/>
      <x:c r="D81" s="4"/>
      <x:c r="E81" s="4"/>
      <x:c r="F81" s="4"/>
      <x:c r="G81" s="4"/>
      <x:c r="H81" s="4"/>
      <x:c r="I81" s="49"/>
    </x:row>
    <x:row r="82" ht="15.75" customHeight="1">
      <x:c r="A82" s="4"/>
      <x:c r="B82" s="4"/>
      <x:c r="C82" s="4"/>
      <x:c r="D82" s="4"/>
      <x:c r="E82" s="4"/>
      <x:c r="F82" s="4"/>
      <x:c r="G82" s="4"/>
      <x:c r="H82" s="4"/>
      <x:c r="I82" s="49"/>
    </x:row>
    <x:row r="83" ht="15.75" customHeight="1">
      <x:c r="A83" s="4"/>
      <x:c r="B83" s="4"/>
      <x:c r="C83" s="4"/>
      <x:c r="D83" s="4"/>
      <x:c r="E83" s="4"/>
      <x:c r="F83" s="4"/>
      <x:c r="G83" s="4"/>
      <x:c r="H83" s="4"/>
      <x:c r="I83" s="49"/>
    </x:row>
    <x:row r="84" ht="15.75" customHeight="1">
      <x:c r="A84" s="4"/>
      <x:c r="B84" s="4"/>
      <x:c r="C84" s="4"/>
      <x:c r="D84" s="4"/>
      <x:c r="E84" s="4"/>
      <x:c r="F84" s="4"/>
      <x:c r="G84" s="4"/>
      <x:c r="H84" s="4"/>
      <x:c r="I84" s="49"/>
    </x:row>
    <x:row r="85" ht="15.75" customHeight="1">
      <x:c r="A85" s="4"/>
      <x:c r="B85" s="4"/>
      <x:c r="C85" s="4"/>
      <x:c r="D85" s="4"/>
      <x:c r="E85" s="4"/>
      <x:c r="F85" s="4"/>
      <x:c r="G85" s="4"/>
      <x:c r="H85" s="4"/>
      <x:c r="I85" s="49"/>
    </x:row>
    <x:row r="86" ht="15.75" customHeight="1">
      <x:c r="A86" s="4"/>
      <x:c r="B86" s="4"/>
      <x:c r="C86" s="4"/>
      <x:c r="D86" s="4"/>
      <x:c r="E86" s="4"/>
      <x:c r="F86" s="4"/>
      <x:c r="G86" s="4"/>
      <x:c r="H86" s="4"/>
      <x:c r="I86" s="49"/>
    </x:row>
    <x:row r="87" ht="15.75" customHeight="1">
      <x:c r="A87" s="4"/>
      <x:c r="B87" s="4"/>
      <x:c r="C87" s="4"/>
      <x:c r="D87" s="4"/>
      <x:c r="E87" s="4"/>
      <x:c r="F87" s="4"/>
      <x:c r="G87" s="4"/>
      <x:c r="H87" s="4"/>
      <x:c r="I87" s="49"/>
    </x:row>
    <x:row r="88" ht="15.75" customHeight="1">
      <x:c r="A88" s="4"/>
      <x:c r="B88" s="4"/>
      <x:c r="C88" s="4"/>
      <x:c r="D88" s="4"/>
      <x:c r="E88" s="4"/>
      <x:c r="F88" s="4"/>
      <x:c r="G88" s="4"/>
      <x:c r="H88" s="4"/>
      <x:c r="I88" s="49"/>
    </x:row>
    <x:row r="89" ht="15.75" customHeight="1">
      <x:c r="A89" s="4"/>
      <x:c r="B89" s="4"/>
      <x:c r="C89" s="4"/>
      <x:c r="D89" s="4"/>
      <x:c r="E89" s="4"/>
      <x:c r="F89" s="4"/>
      <x:c r="G89" s="4"/>
      <x:c r="H89" s="4"/>
      <x:c r="I89" s="49"/>
    </x:row>
    <x:row r="90" ht="15.75" customHeight="1">
      <x:c r="A90" s="4"/>
      <x:c r="B90" s="4"/>
      <x:c r="C90" s="4"/>
      <x:c r="D90" s="4"/>
      <x:c r="E90" s="4"/>
      <x:c r="F90" s="4"/>
      <x:c r="G90" s="4"/>
      <x:c r="H90" s="4"/>
      <x:c r="I90" s="49"/>
    </x:row>
    <x:row r="91" ht="15.75" customHeight="1">
      <x:c r="A91" s="4"/>
      <x:c r="B91" s="4"/>
      <x:c r="C91" s="4"/>
      <x:c r="D91" s="4"/>
      <x:c r="E91" s="4"/>
      <x:c r="F91" s="4"/>
      <x:c r="G91" s="4"/>
      <x:c r="H91" s="4"/>
      <x:c r="I91" s="49"/>
    </x:row>
    <x:row r="92" ht="15.75" customHeight="1">
      <x:c r="A92" s="4"/>
      <x:c r="B92" s="4"/>
      <x:c r="C92" s="4"/>
      <x:c r="D92" s="4"/>
      <x:c r="E92" s="4"/>
      <x:c r="F92" s="4"/>
      <x:c r="G92" s="4"/>
      <x:c r="H92" s="4"/>
      <x:c r="I92" s="49"/>
    </x:row>
    <x:row r="93" ht="15.75" customHeight="1">
      <x:c r="A93" s="4"/>
      <x:c r="B93" s="4"/>
      <x:c r="C93" s="4"/>
      <x:c r="D93" s="4"/>
      <x:c r="E93" s="4"/>
      <x:c r="F93" s="4"/>
      <x:c r="G93" s="4"/>
      <x:c r="H93" s="4"/>
      <x:c r="I93" s="49"/>
    </x:row>
    <x:row r="94" ht="15.75" customHeight="1">
      <x:c r="A94" s="4"/>
      <x:c r="B94" s="4"/>
      <x:c r="C94" s="4"/>
      <x:c r="D94" s="4"/>
      <x:c r="E94" s="4"/>
      <x:c r="F94" s="4"/>
      <x:c r="G94" s="4"/>
      <x:c r="H94" s="4"/>
      <x:c r="I94" s="49"/>
    </x:row>
    <x:row r="95" ht="15.75" customHeight="1">
      <x:c r="A95" s="4"/>
      <x:c r="B95" s="4"/>
      <x:c r="C95" s="4"/>
      <x:c r="D95" s="4"/>
      <x:c r="E95" s="4"/>
      <x:c r="F95" s="4"/>
      <x:c r="G95" s="4"/>
      <x:c r="H95" s="4"/>
      <x:c r="I95" s="49"/>
    </x:row>
    <x:row r="96" ht="15.75" customHeight="1">
      <x:c r="A96" s="4"/>
      <x:c r="B96" s="4"/>
      <x:c r="C96" s="4"/>
      <x:c r="D96" s="4"/>
      <x:c r="E96" s="4"/>
      <x:c r="F96" s="4"/>
      <x:c r="G96" s="4"/>
      <x:c r="H96" s="4"/>
      <x:c r="I96" s="49"/>
    </x:row>
    <x:row r="97" ht="15.75" customHeight="1">
      <x:c r="A97" s="4"/>
      <x:c r="B97" s="4"/>
      <x:c r="C97" s="4"/>
      <x:c r="D97" s="4"/>
      <x:c r="E97" s="4"/>
      <x:c r="F97" s="4"/>
      <x:c r="G97" s="4"/>
      <x:c r="H97" s="4"/>
      <x:c r="I97" s="49"/>
    </x:row>
    <x:row r="98" ht="15.75" customHeight="1">
      <x:c r="A98" s="4"/>
      <x:c r="B98" s="4"/>
      <x:c r="C98" s="4"/>
      <x:c r="D98" s="4"/>
      <x:c r="E98" s="4"/>
      <x:c r="F98" s="4"/>
      <x:c r="G98" s="4"/>
      <x:c r="H98" s="4"/>
      <x:c r="I98" s="49"/>
    </x:row>
    <x:row r="99" ht="15.75" customHeight="1">
      <x:c r="A99" s="4"/>
      <x:c r="B99" s="4"/>
      <x:c r="C99" s="4"/>
      <x:c r="D99" s="4"/>
      <x:c r="E99" s="4"/>
      <x:c r="F99" s="4"/>
      <x:c r="G99" s="4"/>
      <x:c r="H99" s="4"/>
      <x:c r="I99" s="49"/>
    </x:row>
    <x:row r="100" ht="15.75" customHeight="1">
      <x:c r="A100" s="4"/>
      <x:c r="B100" s="4"/>
      <x:c r="C100" s="4"/>
      <x:c r="D100" s="4"/>
      <x:c r="E100" s="4"/>
      <x:c r="F100" s="4"/>
      <x:c r="G100" s="4"/>
      <x:c r="H100" s="4"/>
      <x:c r="I100" s="49"/>
    </x:row>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ColWidth="14.430000305175781" defaultRowHeight="15"/>
  <x:cols>
    <x:col min="1" max="1" width="14" customWidth="1"/>
    <x:col min="2" max="2" width="10" customWidth="1"/>
    <x:col min="3" max="3" width="48" customWidth="1"/>
    <x:col min="4" max="4" width="20" customWidth="1"/>
    <x:col min="5" max="5" width="18" customWidth="1"/>
    <x:col min="6" max="6" width="48" customWidth="1"/>
    <x:col min="7" max="7" width="22" customWidth="1"/>
    <x:col min="8" max="8" width="42" customWidth="1"/>
  </x:cols>
  <x:sheetData>
    <x:row r="1" ht="33.75" customHeight="1">
      <x:c r="A1" s="34" t="s">
        <x:v>396</x:v>
      </x:c>
      <x:c r="B1" s="34" t="s">
        <x:v>353</x:v>
      </x:c>
      <x:c r="C1" s="34" t="s">
        <x:v>634</x:v>
      </x:c>
      <x:c r="D1" s="34" t="s">
        <x:v>65</x:v>
      </x:c>
      <x:c r="E1" s="34" t="s">
        <x:v>635</x:v>
      </x:c>
      <x:c r="F1" s="34" t="s">
        <x:v>636</x:v>
      </x:c>
      <x:c r="G1" s="34" t="s">
        <x:v>637</x:v>
      </x:c>
      <x:c r="H1" s="34" t="s">
        <x:v>638</x:v>
      </x:c>
    </x:row>
    <x:row r="2">
      <x:c r="A2" s="49">
        <x:v>46277.0</x:v>
      </x:c>
      <x:c r="B2" s="4" t="s">
        <x:v>9</x:v>
      </x:c>
      <x:c r="C2" s="4" t="s">
        <x:v>639</x:v>
      </x:c>
      <x:c r="D2" s="4" t="s">
        <x:v>640</x:v>
      </x:c>
      <x:c r="E2" s="4" t="s">
        <x:v>641</x:v>
      </x:c>
      <x:c r="F2" s="4" t="s">
        <x:v>642</x:v>
      </x:c>
      <x:c r="G2" s="4" t="s">
        <x:v>113</x:v>
      </x:c>
      <x:c r="H2" s="4" t="s">
        <x:v>643</x:v>
      </x:c>
    </x:row>
    <x:row r="3">
      <x:c r="A3" s="49">
        <x:v>46277.0</x:v>
      </x:c>
      <x:c r="B3" s="4" t="s">
        <x:v>9</x:v>
      </x:c>
      <x:c r="C3" s="4" t="s">
        <x:v>644</x:v>
      </x:c>
      <x:c r="D3" s="4" t="s">
        <x:v>645</x:v>
      </x:c>
      <x:c r="E3" s="4" t="s">
        <x:v>646</x:v>
      </x:c>
      <x:c r="F3" s="4" t="s">
        <x:v>647</x:v>
      </x:c>
      <x:c r="G3" s="4" t="s">
        <x:v>103</x:v>
      </x:c>
      <x:c r="H3" s="4" t="s">
        <x:v>648</x:v>
      </x:c>
    </x:row>
    <x:row r="4">
      <x:c r="A4" s="49">
        <x:v>46277.0</x:v>
      </x:c>
      <x:c r="B4" s="4" t="s">
        <x:v>5</x:v>
      </x:c>
      <x:c r="C4" s="4" t="s">
        <x:v>649</x:v>
      </x:c>
      <x:c r="D4" s="4" t="s">
        <x:v>650</x:v>
      </x:c>
      <x:c r="E4" s="4" t="s">
        <x:v>651</x:v>
      </x:c>
      <x:c r="F4" s="4" t="s">
        <x:v>652</x:v>
      </x:c>
      <x:c r="G4" s="4" t="s">
        <x:v>113</x:v>
      </x:c>
      <x:c r="H4" s="4" t="s">
        <x:v>653</x:v>
      </x:c>
    </x:row>
    <x:row r="5">
      <x:c r="A5" s="49">
        <x:v>46277.0</x:v>
      </x:c>
      <x:c r="B5" s="4" t="s">
        <x:v>9</x:v>
      </x:c>
      <x:c r="C5" s="4" t="s">
        <x:v>654</x:v>
      </x:c>
      <x:c r="D5" s="4" t="s">
        <x:v>655</x:v>
      </x:c>
      <x:c r="E5" s="4" t="s">
        <x:v>656</x:v>
      </x:c>
      <x:c r="F5" s="4" t="s">
        <x:v>657</x:v>
      </x:c>
      <x:c r="G5" s="4" t="s">
        <x:v>103</x:v>
      </x:c>
      <x:c r="H5" s="4" t="s">
        <x:v>658</x:v>
      </x:c>
    </x:row>
    <x:row r="6">
      <x:c r="A6" s="49">
        <x:v>46278.0</x:v>
      </x:c>
      <x:c r="B6" s="4" t="s">
        <x:v>13</x:v>
      </x:c>
      <x:c r="C6" s="4" t="s">
        <x:v>659</x:v>
      </x:c>
      <x:c r="D6" s="4" t="s">
        <x:v>660</x:v>
      </x:c>
      <x:c r="E6" s="4" t="s">
        <x:v>661</x:v>
      </x:c>
      <x:c r="F6" s="4" t="s">
        <x:v>662</x:v>
      </x:c>
      <x:c r="G6" s="4" t="s">
        <x:v>113</x:v>
      </x:c>
      <x:c r="H6" s="4" t="s">
        <x:v>663</x:v>
      </x:c>
    </x:row>
    <x:row r="7">
      <x:c r="A7" s="49"/>
      <x:c r="B7" s="4"/>
      <x:c r="C7" s="4"/>
      <x:c r="D7" s="4"/>
      <x:c r="E7" s="4"/>
      <x:c r="F7" s="4"/>
      <x:c r="G7" s="4"/>
      <x:c r="H7" s="4"/>
    </x:row>
    <x:row r="8">
      <x:c r="A8" s="49"/>
      <x:c r="B8" s="4"/>
      <x:c r="C8" s="4"/>
      <x:c r="D8" s="4"/>
      <x:c r="E8" s="4"/>
      <x:c r="F8" s="4"/>
      <x:c r="G8" s="4"/>
      <x:c r="H8" s="4"/>
    </x:row>
    <x:row r="9">
      <x:c r="A9" s="49"/>
      <x:c r="B9" s="4"/>
      <x:c r="C9" s="4"/>
      <x:c r="D9" s="4"/>
      <x:c r="E9" s="4"/>
      <x:c r="F9" s="4"/>
      <x:c r="G9" s="4"/>
      <x:c r="H9" s="4"/>
    </x:row>
    <x:row r="10">
      <x:c r="A10" s="49"/>
      <x:c r="B10" s="4"/>
      <x:c r="C10" s="4"/>
      <x:c r="D10" s="4"/>
      <x:c r="E10" s="4"/>
      <x:c r="F10" s="4"/>
      <x:c r="G10" s="4"/>
      <x:c r="H10" s="4"/>
    </x:row>
    <x:row r="11">
      <x:c r="A11" s="49"/>
      <x:c r="B11" s="4"/>
      <x:c r="C11" s="4"/>
      <x:c r="D11" s="4"/>
      <x:c r="E11" s="4"/>
      <x:c r="F11" s="4"/>
      <x:c r="G11" s="4"/>
      <x:c r="H11" s="4"/>
    </x:row>
    <x:row r="12">
      <x:c r="A12" s="49"/>
      <x:c r="B12" s="4"/>
      <x:c r="C12" s="4"/>
      <x:c r="D12" s="4"/>
      <x:c r="E12" s="4"/>
      <x:c r="F12" s="4"/>
      <x:c r="G12" s="4"/>
      <x:c r="H12" s="4"/>
    </x:row>
    <x:row r="13">
      <x:c r="A13" s="49"/>
      <x:c r="B13" s="4"/>
      <x:c r="C13" s="4"/>
      <x:c r="D13" s="4"/>
      <x:c r="E13" s="4"/>
      <x:c r="F13" s="4"/>
      <x:c r="G13" s="4"/>
      <x:c r="H13" s="4"/>
    </x:row>
    <x:row r="14">
      <x:c r="A14" s="49"/>
      <x:c r="B14" s="4"/>
      <x:c r="C14" s="4"/>
      <x:c r="D14" s="4"/>
      <x:c r="E14" s="4"/>
      <x:c r="F14" s="4"/>
      <x:c r="G14" s="4"/>
      <x:c r="H14" s="4"/>
    </x:row>
    <x:row r="15">
      <x:c r="A15" s="49"/>
      <x:c r="B15" s="4"/>
      <x:c r="C15" s="4"/>
      <x:c r="D15" s="4"/>
      <x:c r="E15" s="4"/>
      <x:c r="F15" s="4"/>
      <x:c r="G15" s="4"/>
      <x:c r="H15" s="4"/>
    </x:row>
    <x:row r="16">
      <x:c r="A16" s="49"/>
      <x:c r="B16" s="4"/>
      <x:c r="C16" s="4"/>
      <x:c r="D16" s="4"/>
      <x:c r="E16" s="4"/>
      <x:c r="F16" s="4"/>
      <x:c r="G16" s="4"/>
      <x:c r="H16" s="4"/>
    </x:row>
    <x:row r="17">
      <x:c r="A17" s="49"/>
      <x:c r="B17" s="4"/>
      <x:c r="C17" s="4"/>
      <x:c r="D17" s="4"/>
      <x:c r="E17" s="4"/>
      <x:c r="F17" s="4"/>
      <x:c r="G17" s="4"/>
      <x:c r="H17" s="4"/>
    </x:row>
    <x:row r="18">
      <x:c r="A18" s="49"/>
      <x:c r="B18" s="4"/>
      <x:c r="C18" s="4"/>
      <x:c r="D18" s="4"/>
      <x:c r="E18" s="4"/>
      <x:c r="F18" s="4"/>
      <x:c r="G18" s="4"/>
      <x:c r="H18" s="4"/>
    </x:row>
    <x:row r="19">
      <x:c r="A19" s="49"/>
      <x:c r="B19" s="4"/>
      <x:c r="C19" s="4"/>
      <x:c r="D19" s="4"/>
      <x:c r="E19" s="4"/>
      <x:c r="F19" s="4"/>
      <x:c r="G19" s="4"/>
      <x:c r="H19" s="4"/>
    </x:row>
    <x:row r="20">
      <x:c r="A20" s="49"/>
      <x:c r="B20" s="4"/>
      <x:c r="C20" s="4"/>
      <x:c r="D20" s="4"/>
      <x:c r="E20" s="4"/>
      <x:c r="F20" s="4"/>
      <x:c r="G20" s="4"/>
      <x:c r="H20" s="4"/>
    </x:row>
    <x:row r="21" ht="15.75" customHeight="1">
      <x:c r="A21" s="49"/>
      <x:c r="B21" s="4"/>
      <x:c r="C21" s="4"/>
      <x:c r="D21" s="4"/>
      <x:c r="E21" s="4"/>
      <x:c r="F21" s="4"/>
      <x:c r="G21" s="4"/>
      <x:c r="H21" s="4"/>
    </x:row>
    <x:row r="22" ht="15.75" customHeight="1">
      <x:c r="A22" s="49"/>
      <x:c r="B22" s="4"/>
      <x:c r="C22" s="4"/>
      <x:c r="D22" s="4"/>
      <x:c r="E22" s="4"/>
      <x:c r="F22" s="4"/>
      <x:c r="G22" s="4"/>
      <x:c r="H22" s="4"/>
    </x:row>
    <x:row r="23" ht="15.75" customHeight="1">
      <x:c r="A23" s="49"/>
      <x:c r="B23" s="4"/>
      <x:c r="C23" s="4"/>
      <x:c r="D23" s="4"/>
      <x:c r="E23" s="4"/>
      <x:c r="F23" s="4"/>
      <x:c r="G23" s="4"/>
      <x:c r="H23" s="4"/>
    </x:row>
    <x:row r="24" ht="15.75" customHeight="1">
      <x:c r="A24" s="49"/>
      <x:c r="B24" s="4"/>
      <x:c r="C24" s="4"/>
      <x:c r="D24" s="4"/>
      <x:c r="E24" s="4"/>
      <x:c r="F24" s="4"/>
      <x:c r="G24" s="4"/>
      <x:c r="H24" s="4"/>
    </x:row>
    <x:row r="25" ht="15.75" customHeight="1">
      <x:c r="A25" s="49"/>
      <x:c r="B25" s="4"/>
      <x:c r="C25" s="4"/>
      <x:c r="D25" s="4"/>
      <x:c r="E25" s="4"/>
      <x:c r="F25" s="4"/>
      <x:c r="G25" s="4"/>
      <x:c r="H25" s="4"/>
    </x:row>
    <x:row r="26" ht="15.75" customHeight="1">
      <x:c r="A26" s="49"/>
      <x:c r="B26" s="4"/>
      <x:c r="C26" s="4"/>
      <x:c r="D26" s="4"/>
      <x:c r="E26" s="4"/>
      <x:c r="F26" s="4"/>
      <x:c r="G26" s="4"/>
      <x:c r="H26" s="4"/>
    </x:row>
    <x:row r="27" ht="15.75" customHeight="1">
      <x:c r="A27" s="49"/>
      <x:c r="B27" s="4"/>
      <x:c r="C27" s="4"/>
      <x:c r="D27" s="4"/>
      <x:c r="E27" s="4"/>
      <x:c r="F27" s="4"/>
      <x:c r="G27" s="4"/>
      <x:c r="H27" s="4"/>
    </x:row>
    <x:row r="28" ht="15.75" customHeight="1">
      <x:c r="A28" s="49"/>
      <x:c r="B28" s="4"/>
      <x:c r="C28" s="4"/>
      <x:c r="D28" s="4"/>
      <x:c r="E28" s="4"/>
      <x:c r="F28" s="4"/>
      <x:c r="G28" s="4"/>
      <x:c r="H28" s="4"/>
    </x:row>
    <x:row r="29" ht="15.75" customHeight="1">
      <x:c r="A29" s="49"/>
      <x:c r="B29" s="4"/>
      <x:c r="C29" s="4"/>
      <x:c r="D29" s="4"/>
      <x:c r="E29" s="4"/>
      <x:c r="F29" s="4"/>
      <x:c r="G29" s="4"/>
      <x:c r="H29" s="4"/>
    </x:row>
    <x:row r="30" ht="15.75" customHeight="1">
      <x:c r="A30" s="49"/>
      <x:c r="B30" s="4"/>
      <x:c r="C30" s="4"/>
      <x:c r="D30" s="4"/>
      <x:c r="E30" s="4"/>
      <x:c r="F30" s="4"/>
      <x:c r="G30" s="4"/>
      <x:c r="H30" s="4"/>
    </x:row>
    <x:row r="31" ht="15.75" customHeight="1">
      <x:c r="A31" s="49"/>
      <x:c r="B31" s="4"/>
      <x:c r="C31" s="4"/>
      <x:c r="D31" s="4"/>
      <x:c r="E31" s="4"/>
      <x:c r="F31" s="4"/>
      <x:c r="G31" s="4"/>
      <x:c r="H31" s="4"/>
    </x:row>
    <x:row r="32" ht="15.75" customHeight="1">
      <x:c r="A32" s="49"/>
      <x:c r="B32" s="4"/>
      <x:c r="C32" s="4"/>
      <x:c r="D32" s="4"/>
      <x:c r="E32" s="4"/>
      <x:c r="F32" s="4"/>
      <x:c r="G32" s="4"/>
      <x:c r="H32" s="4"/>
    </x:row>
    <x:row r="33" ht="15.75" customHeight="1">
      <x:c r="A33" s="49"/>
      <x:c r="B33" s="4"/>
      <x:c r="C33" s="4"/>
      <x:c r="D33" s="4"/>
      <x:c r="E33" s="4"/>
      <x:c r="F33" s="4"/>
      <x:c r="G33" s="4"/>
      <x:c r="H33" s="4"/>
    </x:row>
    <x:row r="34" ht="15.75" customHeight="1">
      <x:c r="A34" s="49"/>
      <x:c r="B34" s="4"/>
      <x:c r="C34" s="4"/>
      <x:c r="D34" s="4"/>
      <x:c r="E34" s="4"/>
      <x:c r="F34" s="4"/>
      <x:c r="G34" s="4"/>
      <x:c r="H34" s="4"/>
    </x:row>
    <x:row r="35" ht="15.75" customHeight="1">
      <x:c r="A35" s="49"/>
      <x:c r="B35" s="4"/>
      <x:c r="C35" s="4"/>
      <x:c r="D35" s="4"/>
      <x:c r="E35" s="4"/>
      <x:c r="F35" s="4"/>
      <x:c r="G35" s="4"/>
      <x:c r="H35" s="4"/>
    </x:row>
    <x:row r="36" ht="15.75" customHeight="1">
      <x:c r="A36" s="49"/>
      <x:c r="B36" s="4"/>
      <x:c r="C36" s="4"/>
      <x:c r="D36" s="4"/>
      <x:c r="E36" s="4"/>
      <x:c r="F36" s="4"/>
      <x:c r="G36" s="4"/>
      <x:c r="H36" s="4"/>
    </x:row>
    <x:row r="37" ht="15.75" customHeight="1">
      <x:c r="A37" s="49"/>
      <x:c r="B37" s="4"/>
      <x:c r="C37" s="4"/>
      <x:c r="D37" s="4"/>
      <x:c r="E37" s="4"/>
      <x:c r="F37" s="4"/>
      <x:c r="G37" s="4"/>
      <x:c r="H37" s="4"/>
    </x:row>
    <x:row r="38" ht="15.75" customHeight="1">
      <x:c r="A38" s="49"/>
      <x:c r="B38" s="4"/>
      <x:c r="C38" s="4"/>
      <x:c r="D38" s="4"/>
      <x:c r="E38" s="4"/>
      <x:c r="F38" s="4"/>
      <x:c r="G38" s="4"/>
      <x:c r="H38" s="4"/>
    </x:row>
    <x:row r="39" ht="15.75" customHeight="1">
      <x:c r="A39" s="49"/>
      <x:c r="B39" s="4"/>
      <x:c r="C39" s="4"/>
      <x:c r="D39" s="4"/>
      <x:c r="E39" s="4"/>
      <x:c r="F39" s="4"/>
      <x:c r="G39" s="4"/>
      <x:c r="H39" s="4"/>
    </x:row>
    <x:row r="40" ht="15.75" customHeight="1">
      <x:c r="A40" s="49"/>
      <x:c r="B40" s="4"/>
      <x:c r="C40" s="4"/>
      <x:c r="D40" s="4"/>
      <x:c r="E40" s="4"/>
      <x:c r="F40" s="4"/>
      <x:c r="G40" s="4"/>
      <x:c r="H40" s="4"/>
    </x:row>
    <x:row r="41" ht="15.75" customHeight="1">
      <x:c r="A41" s="49"/>
      <x:c r="B41" s="4"/>
      <x:c r="C41" s="4"/>
      <x:c r="D41" s="4"/>
      <x:c r="E41" s="4"/>
      <x:c r="F41" s="4"/>
      <x:c r="G41" s="4"/>
      <x:c r="H41" s="4"/>
    </x:row>
    <x:row r="42" ht="15.75" customHeight="1">
      <x:c r="A42" s="49"/>
      <x:c r="B42" s="4"/>
      <x:c r="C42" s="4"/>
      <x:c r="D42" s="4"/>
      <x:c r="E42" s="4"/>
      <x:c r="F42" s="4"/>
      <x:c r="G42" s="4"/>
      <x:c r="H42" s="4"/>
    </x:row>
    <x:row r="43" ht="15.75" customHeight="1">
      <x:c r="A43" s="49"/>
      <x:c r="B43" s="4"/>
      <x:c r="C43" s="4"/>
      <x:c r="D43" s="4"/>
      <x:c r="E43" s="4"/>
      <x:c r="F43" s="4"/>
      <x:c r="G43" s="4"/>
      <x:c r="H43" s="4"/>
    </x:row>
    <x:row r="44" ht="15.75" customHeight="1">
      <x:c r="A44" s="49"/>
      <x:c r="B44" s="4"/>
      <x:c r="C44" s="4"/>
      <x:c r="D44" s="4"/>
      <x:c r="E44" s="4"/>
      <x:c r="F44" s="4"/>
      <x:c r="G44" s="4"/>
      <x:c r="H44" s="4"/>
    </x:row>
    <x:row r="45" ht="15.75" customHeight="1">
      <x:c r="A45" s="49"/>
      <x:c r="B45" s="4"/>
      <x:c r="C45" s="4"/>
      <x:c r="D45" s="4"/>
      <x:c r="E45" s="4"/>
      <x:c r="F45" s="4"/>
      <x:c r="G45" s="4"/>
      <x:c r="H45" s="4"/>
    </x:row>
    <x:row r="46" ht="15.75" customHeight="1">
      <x:c r="A46" s="49"/>
      <x:c r="B46" s="4"/>
      <x:c r="C46" s="4"/>
      <x:c r="D46" s="4"/>
      <x:c r="E46" s="4"/>
      <x:c r="F46" s="4"/>
      <x:c r="G46" s="4"/>
      <x:c r="H46" s="4"/>
    </x:row>
    <x:row r="47" ht="15.75" customHeight="1">
      <x:c r="A47" s="49"/>
      <x:c r="B47" s="4"/>
      <x:c r="C47" s="4"/>
      <x:c r="D47" s="4"/>
      <x:c r="E47" s="4"/>
      <x:c r="F47" s="4"/>
      <x:c r="G47" s="4"/>
      <x:c r="H47" s="4"/>
    </x:row>
    <x:row r="48" ht="15.75" customHeight="1">
      <x:c r="A48" s="49"/>
      <x:c r="B48" s="4"/>
      <x:c r="C48" s="4"/>
      <x:c r="D48" s="4"/>
      <x:c r="E48" s="4"/>
      <x:c r="F48" s="4"/>
      <x:c r="G48" s="4"/>
      <x:c r="H48" s="4"/>
    </x:row>
    <x:row r="49" ht="15.75" customHeight="1">
      <x:c r="A49" s="49"/>
      <x:c r="B49" s="4"/>
      <x:c r="C49" s="4"/>
      <x:c r="D49" s="4"/>
      <x:c r="E49" s="4"/>
      <x:c r="F49" s="4"/>
      <x:c r="G49" s="4"/>
      <x:c r="H49" s="4"/>
    </x:row>
    <x:row r="50" ht="15.75" customHeight="1">
      <x:c r="A50" s="49"/>
      <x:c r="B50" s="4"/>
      <x:c r="C50" s="4"/>
      <x:c r="D50" s="4"/>
      <x:c r="E50" s="4"/>
      <x:c r="F50" s="4"/>
      <x:c r="G50" s="4"/>
      <x:c r="H50" s="4"/>
    </x:row>
    <x:row r="51" ht="15.75" customHeight="1">
      <x:c r="A51" s="49"/>
      <x:c r="B51" s="4"/>
      <x:c r="C51" s="4"/>
      <x:c r="D51" s="4"/>
      <x:c r="E51" s="4"/>
      <x:c r="F51" s="4"/>
      <x:c r="G51" s="4"/>
      <x:c r="H51" s="4"/>
    </x:row>
    <x:row r="52" ht="15.75" customHeight="1">
      <x:c r="A52" s="49"/>
      <x:c r="B52" s="4"/>
      <x:c r="C52" s="4"/>
      <x:c r="D52" s="4"/>
      <x:c r="E52" s="4"/>
      <x:c r="F52" s="4"/>
      <x:c r="G52" s="4"/>
      <x:c r="H52" s="4"/>
    </x:row>
    <x:row r="53" ht="15.75" customHeight="1">
      <x:c r="A53" s="49"/>
      <x:c r="B53" s="4"/>
      <x:c r="C53" s="4"/>
      <x:c r="D53" s="4"/>
      <x:c r="E53" s="4"/>
      <x:c r="F53" s="4"/>
      <x:c r="G53" s="4"/>
      <x:c r="H53" s="4"/>
    </x:row>
    <x:row r="54" ht="15.75" customHeight="1">
      <x:c r="A54" s="49"/>
      <x:c r="B54" s="4"/>
      <x:c r="C54" s="4"/>
      <x:c r="D54" s="4"/>
      <x:c r="E54" s="4"/>
      <x:c r="F54" s="4"/>
      <x:c r="G54" s="4"/>
      <x:c r="H54" s="4"/>
    </x:row>
    <x:row r="55" ht="15.75" customHeight="1">
      <x:c r="A55" s="49"/>
      <x:c r="B55" s="4"/>
      <x:c r="C55" s="4"/>
      <x:c r="D55" s="4"/>
      <x:c r="E55" s="4"/>
      <x:c r="F55" s="4"/>
      <x:c r="G55" s="4"/>
      <x:c r="H55" s="4"/>
    </x:row>
    <x:row r="56" ht="15.75" customHeight="1">
      <x:c r="A56" s="49"/>
      <x:c r="B56" s="4"/>
      <x:c r="C56" s="4"/>
      <x:c r="D56" s="4"/>
      <x:c r="E56" s="4"/>
      <x:c r="F56" s="4"/>
      <x:c r="G56" s="4"/>
      <x:c r="H56" s="4"/>
    </x:row>
    <x:row r="57" ht="15.75" customHeight="1">
      <x:c r="A57" s="49"/>
      <x:c r="B57" s="4"/>
      <x:c r="C57" s="4"/>
      <x:c r="D57" s="4"/>
      <x:c r="E57" s="4"/>
      <x:c r="F57" s="4"/>
      <x:c r="G57" s="4"/>
      <x:c r="H57" s="4"/>
    </x:row>
    <x:row r="58" ht="15.75" customHeight="1">
      <x:c r="A58" s="49"/>
      <x:c r="B58" s="4"/>
      <x:c r="C58" s="4"/>
      <x:c r="D58" s="4"/>
      <x:c r="E58" s="4"/>
      <x:c r="F58" s="4"/>
      <x:c r="G58" s="4"/>
      <x:c r="H58" s="4"/>
    </x:row>
    <x:row r="59" ht="15.75" customHeight="1">
      <x:c r="A59" s="49"/>
      <x:c r="B59" s="4"/>
      <x:c r="C59" s="4"/>
      <x:c r="D59" s="4"/>
      <x:c r="E59" s="4"/>
      <x:c r="F59" s="4"/>
      <x:c r="G59" s="4"/>
      <x:c r="H59" s="4"/>
    </x:row>
    <x:row r="60" ht="15.75" customHeight="1">
      <x:c r="A60" s="49"/>
      <x:c r="B60" s="4"/>
      <x:c r="C60" s="4"/>
      <x:c r="D60" s="4"/>
      <x:c r="E60" s="4"/>
      <x:c r="F60" s="4"/>
      <x:c r="G60" s="4"/>
      <x:c r="H60" s="4"/>
    </x:row>
    <x:row r="61" ht="15.75" customHeight="1">
      <x:c r="A61" s="49"/>
      <x:c r="B61" s="4"/>
      <x:c r="C61" s="4"/>
      <x:c r="D61" s="4"/>
      <x:c r="E61" s="4"/>
      <x:c r="F61" s="4"/>
      <x:c r="G61" s="4"/>
      <x:c r="H61" s="4"/>
    </x:row>
    <x:row r="62" ht="15.75" customHeight="1">
      <x:c r="A62" s="49"/>
      <x:c r="B62" s="4"/>
      <x:c r="C62" s="4"/>
      <x:c r="D62" s="4"/>
      <x:c r="E62" s="4"/>
      <x:c r="F62" s="4"/>
      <x:c r="G62" s="4"/>
      <x:c r="H62" s="4"/>
    </x:row>
    <x:row r="63" ht="15.75" customHeight="1">
      <x:c r="A63" s="49"/>
      <x:c r="B63" s="4"/>
      <x:c r="C63" s="4"/>
      <x:c r="D63" s="4"/>
      <x:c r="E63" s="4"/>
      <x:c r="F63" s="4"/>
      <x:c r="G63" s="4"/>
      <x:c r="H63" s="4"/>
    </x:row>
    <x:row r="64" ht="15.75" customHeight="1">
      <x:c r="A64" s="49"/>
      <x:c r="B64" s="4"/>
      <x:c r="C64" s="4"/>
      <x:c r="D64" s="4"/>
      <x:c r="E64" s="4"/>
      <x:c r="F64" s="4"/>
      <x:c r="G64" s="4"/>
      <x:c r="H64" s="4"/>
    </x:row>
    <x:row r="65" ht="15.75" customHeight="1">
      <x:c r="A65" s="49"/>
      <x:c r="B65" s="4"/>
      <x:c r="C65" s="4"/>
      <x:c r="D65" s="4"/>
      <x:c r="E65" s="4"/>
      <x:c r="F65" s="4"/>
      <x:c r="G65" s="4"/>
      <x:c r="H65" s="4"/>
    </x:row>
    <x:row r="66" ht="15.75" customHeight="1">
      <x:c r="A66" s="49"/>
      <x:c r="B66" s="4"/>
      <x:c r="C66" s="4"/>
      <x:c r="D66" s="4"/>
      <x:c r="E66" s="4"/>
      <x:c r="F66" s="4"/>
      <x:c r="G66" s="4"/>
      <x:c r="H66" s="4"/>
    </x:row>
    <x:row r="67" ht="15.75" customHeight="1">
      <x:c r="A67" s="49"/>
      <x:c r="B67" s="4"/>
      <x:c r="C67" s="4"/>
      <x:c r="D67" s="4"/>
      <x:c r="E67" s="4"/>
      <x:c r="F67" s="4"/>
      <x:c r="G67" s="4"/>
      <x:c r="H67" s="4"/>
    </x:row>
    <x:row r="68" ht="15.75" customHeight="1">
      <x:c r="A68" s="49"/>
      <x:c r="B68" s="4"/>
      <x:c r="C68" s="4"/>
      <x:c r="D68" s="4"/>
      <x:c r="E68" s="4"/>
      <x:c r="F68" s="4"/>
      <x:c r="G68" s="4"/>
      <x:c r="H68" s="4"/>
    </x:row>
    <x:row r="69" ht="15.75" customHeight="1">
      <x:c r="A69" s="49"/>
      <x:c r="B69" s="4"/>
      <x:c r="C69" s="4"/>
      <x:c r="D69" s="4"/>
      <x:c r="E69" s="4"/>
      <x:c r="F69" s="4"/>
      <x:c r="G69" s="4"/>
      <x:c r="H69" s="4"/>
    </x:row>
    <x:row r="70" ht="15.75" customHeight="1">
      <x:c r="A70" s="49"/>
      <x:c r="B70" s="4"/>
      <x:c r="C70" s="4"/>
      <x:c r="D70" s="4"/>
      <x:c r="E70" s="4"/>
      <x:c r="F70" s="4"/>
      <x:c r="G70" s="4"/>
      <x:c r="H70" s="4"/>
    </x:row>
    <x:row r="71" ht="15.75" customHeight="1">
      <x:c r="A71" s="49"/>
      <x:c r="B71" s="4"/>
      <x:c r="C71" s="4"/>
      <x:c r="D71" s="4"/>
      <x:c r="E71" s="4"/>
      <x:c r="F71" s="4"/>
      <x:c r="G71" s="4"/>
      <x:c r="H71" s="4"/>
    </x:row>
    <x:row r="72" ht="15.75" customHeight="1">
      <x:c r="A72" s="49"/>
      <x:c r="B72" s="4"/>
      <x:c r="C72" s="4"/>
      <x:c r="D72" s="4"/>
      <x:c r="E72" s="4"/>
      <x:c r="F72" s="4"/>
      <x:c r="G72" s="4"/>
      <x:c r="H72" s="4"/>
    </x:row>
    <x:row r="73" ht="15.75" customHeight="1">
      <x:c r="A73" s="49"/>
      <x:c r="B73" s="4"/>
      <x:c r="C73" s="4"/>
      <x:c r="D73" s="4"/>
      <x:c r="E73" s="4"/>
      <x:c r="F73" s="4"/>
      <x:c r="G73" s="4"/>
      <x:c r="H73" s="4"/>
    </x:row>
    <x:row r="74" ht="15.75" customHeight="1">
      <x:c r="A74" s="49"/>
      <x:c r="B74" s="4"/>
      <x:c r="C74" s="4"/>
      <x:c r="D74" s="4"/>
      <x:c r="E74" s="4"/>
      <x:c r="F74" s="4"/>
      <x:c r="G74" s="4"/>
      <x:c r="H74" s="4"/>
    </x:row>
    <x:row r="75" ht="15.75" customHeight="1">
      <x:c r="A75" s="49"/>
      <x:c r="B75" s="4"/>
      <x:c r="C75" s="4"/>
      <x:c r="D75" s="4"/>
      <x:c r="E75" s="4"/>
      <x:c r="F75" s="4"/>
      <x:c r="G75" s="4"/>
      <x:c r="H75" s="4"/>
    </x:row>
    <x:row r="76" ht="15.75" customHeight="1">
      <x:c r="A76" s="49"/>
      <x:c r="B76" s="4"/>
      <x:c r="C76" s="4"/>
      <x:c r="D76" s="4"/>
      <x:c r="E76" s="4"/>
      <x:c r="F76" s="4"/>
      <x:c r="G76" s="4"/>
      <x:c r="H76" s="4"/>
    </x:row>
    <x:row r="77" ht="15.75" customHeight="1">
      <x:c r="A77" s="49"/>
      <x:c r="B77" s="4"/>
      <x:c r="C77" s="4"/>
      <x:c r="D77" s="4"/>
      <x:c r="E77" s="4"/>
      <x:c r="F77" s="4"/>
      <x:c r="G77" s="4"/>
      <x:c r="H77" s="4"/>
    </x:row>
    <x:row r="78" ht="15.75" customHeight="1">
      <x:c r="A78" s="49"/>
      <x:c r="B78" s="4"/>
      <x:c r="C78" s="4"/>
      <x:c r="D78" s="4"/>
      <x:c r="E78" s="4"/>
      <x:c r="F78" s="4"/>
      <x:c r="G78" s="4"/>
      <x:c r="H78" s="4"/>
    </x:row>
    <x:row r="79" ht="15.75" customHeight="1">
      <x:c r="A79" s="49"/>
      <x:c r="B79" s="4"/>
      <x:c r="C79" s="4"/>
      <x:c r="D79" s="4"/>
      <x:c r="E79" s="4"/>
      <x:c r="F79" s="4"/>
      <x:c r="G79" s="4"/>
      <x:c r="H79" s="4"/>
    </x:row>
    <x:row r="80" ht="15.75" customHeight="1">
      <x:c r="A80" s="49"/>
      <x:c r="B80" s="4"/>
      <x:c r="C80" s="4"/>
      <x:c r="D80" s="4"/>
      <x:c r="E80" s="4"/>
      <x:c r="F80" s="4"/>
      <x:c r="G80" s="4"/>
      <x:c r="H80" s="4"/>
    </x:row>
    <x:row r="81" ht="15.75" customHeight="1">
      <x:c r="A81" s="49"/>
      <x:c r="B81" s="4"/>
      <x:c r="C81" s="4"/>
      <x:c r="D81" s="4"/>
      <x:c r="E81" s="4"/>
      <x:c r="F81" s="4"/>
      <x:c r="G81" s="4"/>
      <x:c r="H81" s="4"/>
    </x:row>
    <x:row r="82" ht="15.75" customHeight="1">
      <x:c r="A82" s="49"/>
      <x:c r="B82" s="4"/>
      <x:c r="C82" s="4"/>
      <x:c r="D82" s="4"/>
      <x:c r="E82" s="4"/>
      <x:c r="F82" s="4"/>
      <x:c r="G82" s="4"/>
      <x:c r="H82" s="4"/>
    </x:row>
    <x:row r="83" ht="15.75" customHeight="1">
      <x:c r="A83" s="49"/>
      <x:c r="B83" s="4"/>
      <x:c r="C83" s="4"/>
      <x:c r="D83" s="4"/>
      <x:c r="E83" s="4"/>
      <x:c r="F83" s="4"/>
      <x:c r="G83" s="4"/>
      <x:c r="H83" s="4"/>
    </x:row>
    <x:row r="84" ht="15.75" customHeight="1">
      <x:c r="A84" s="49"/>
      <x:c r="B84" s="4"/>
      <x:c r="C84" s="4"/>
      <x:c r="D84" s="4"/>
      <x:c r="E84" s="4"/>
      <x:c r="F84" s="4"/>
      <x:c r="G84" s="4"/>
      <x:c r="H84" s="4"/>
    </x:row>
    <x:row r="85" ht="15.75" customHeight="1">
      <x:c r="A85" s="49"/>
      <x:c r="B85" s="4"/>
      <x:c r="C85" s="4"/>
      <x:c r="D85" s="4"/>
      <x:c r="E85" s="4"/>
      <x:c r="F85" s="4"/>
      <x:c r="G85" s="4"/>
      <x:c r="H85" s="4"/>
    </x:row>
    <x:row r="86" ht="15.75" customHeight="1">
      <x:c r="A86" s="49"/>
      <x:c r="B86" s="4"/>
      <x:c r="C86" s="4"/>
      <x:c r="D86" s="4"/>
      <x:c r="E86" s="4"/>
      <x:c r="F86" s="4"/>
      <x:c r="G86" s="4"/>
      <x:c r="H86" s="4"/>
    </x:row>
    <x:row r="87" ht="15.75" customHeight="1">
      <x:c r="A87" s="49"/>
      <x:c r="B87" s="4"/>
      <x:c r="C87" s="4"/>
      <x:c r="D87" s="4"/>
      <x:c r="E87" s="4"/>
      <x:c r="F87" s="4"/>
      <x:c r="G87" s="4"/>
      <x:c r="H87" s="4"/>
    </x:row>
    <x:row r="88" ht="15.75" customHeight="1">
      <x:c r="A88" s="49"/>
      <x:c r="B88" s="4"/>
      <x:c r="C88" s="4"/>
      <x:c r="D88" s="4"/>
      <x:c r="E88" s="4"/>
      <x:c r="F88" s="4"/>
      <x:c r="G88" s="4"/>
      <x:c r="H88" s="4"/>
    </x:row>
    <x:row r="89" ht="15.75" customHeight="1">
      <x:c r="A89" s="49"/>
      <x:c r="B89" s="4"/>
      <x:c r="C89" s="4"/>
      <x:c r="D89" s="4"/>
      <x:c r="E89" s="4"/>
      <x:c r="F89" s="4"/>
      <x:c r="G89" s="4"/>
      <x:c r="H89" s="4"/>
    </x:row>
    <x:row r="90" ht="15.75" customHeight="1">
      <x:c r="A90" s="49"/>
      <x:c r="B90" s="4"/>
      <x:c r="C90" s="4"/>
      <x:c r="D90" s="4"/>
      <x:c r="E90" s="4"/>
      <x:c r="F90" s="4"/>
      <x:c r="G90" s="4"/>
      <x:c r="H90" s="4"/>
    </x:row>
    <x:row r="91" ht="15.75" customHeight="1">
      <x:c r="A91" s="49"/>
      <x:c r="B91" s="4"/>
      <x:c r="C91" s="4"/>
      <x:c r="D91" s="4"/>
      <x:c r="E91" s="4"/>
      <x:c r="F91" s="4"/>
      <x:c r="G91" s="4"/>
      <x:c r="H91" s="4"/>
    </x:row>
    <x:row r="92" ht="15.75" customHeight="1">
      <x:c r="A92" s="49"/>
      <x:c r="B92" s="4"/>
      <x:c r="C92" s="4"/>
      <x:c r="D92" s="4"/>
      <x:c r="E92" s="4"/>
      <x:c r="F92" s="4"/>
      <x:c r="G92" s="4"/>
      <x:c r="H92" s="4"/>
    </x:row>
    <x:row r="93" ht="15.75" customHeight="1">
      <x:c r="A93" s="49"/>
      <x:c r="B93" s="4"/>
      <x:c r="C93" s="4"/>
      <x:c r="D93" s="4"/>
      <x:c r="E93" s="4"/>
      <x:c r="F93" s="4"/>
      <x:c r="G93" s="4"/>
      <x:c r="H93" s="4"/>
    </x:row>
    <x:row r="94" ht="15.75" customHeight="1">
      <x:c r="A94" s="49"/>
      <x:c r="B94" s="4"/>
      <x:c r="C94" s="4"/>
      <x:c r="D94" s="4"/>
      <x:c r="E94" s="4"/>
      <x:c r="F94" s="4"/>
      <x:c r="G94" s="4"/>
      <x:c r="H94" s="4"/>
    </x:row>
    <x:row r="95" ht="15.75" customHeight="1">
      <x:c r="A95" s="49"/>
      <x:c r="B95" s="4"/>
      <x:c r="C95" s="4"/>
      <x:c r="D95" s="4"/>
      <x:c r="E95" s="4"/>
      <x:c r="F95" s="4"/>
      <x:c r="G95" s="4"/>
      <x:c r="H95" s="4"/>
    </x:row>
    <x:row r="96" ht="15.75" customHeight="1">
      <x:c r="A96" s="49"/>
      <x:c r="B96" s="4"/>
      <x:c r="C96" s="4"/>
      <x:c r="D96" s="4"/>
      <x:c r="E96" s="4"/>
      <x:c r="F96" s="4"/>
      <x:c r="G96" s="4"/>
      <x:c r="H96" s="4"/>
    </x:row>
    <x:row r="97" ht="15.75" customHeight="1">
      <x:c r="A97" s="49"/>
      <x:c r="B97" s="4"/>
      <x:c r="C97" s="4"/>
      <x:c r="D97" s="4"/>
      <x:c r="E97" s="4"/>
      <x:c r="F97" s="4"/>
      <x:c r="G97" s="4"/>
      <x:c r="H97" s="4"/>
    </x:row>
    <x:row r="98" ht="15.75" customHeight="1">
      <x:c r="A98" s="49"/>
      <x:c r="B98" s="4"/>
      <x:c r="C98" s="4"/>
      <x:c r="D98" s="4"/>
      <x:c r="E98" s="4"/>
      <x:c r="F98" s="4"/>
      <x:c r="G98" s="4"/>
      <x:c r="H98" s="4"/>
    </x:row>
    <x:row r="99" ht="15.75" customHeight="1">
      <x:c r="A99" s="49"/>
      <x:c r="B99" s="4"/>
      <x:c r="C99" s="4"/>
      <x:c r="D99" s="4"/>
      <x:c r="E99" s="4"/>
      <x:c r="F99" s="4"/>
      <x:c r="G99" s="4"/>
      <x:c r="H99" s="4"/>
    </x:row>
    <x:row r="100" ht="15.75" customHeight="1">
      <x:c r="A100" s="49"/>
      <x:c r="B100" s="4"/>
      <x:c r="C100" s="4"/>
      <x:c r="D100" s="4"/>
      <x:c r="E100" s="4"/>
      <x:c r="F100" s="4"/>
      <x:c r="G100" s="4"/>
      <x:c r="H100" s="4"/>
    </x:row>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8.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2" hidden="0" customWidth="1"/>
    <x:col min="2" max="2" width="20" hidden="0" customWidth="1"/>
    <x:col min="3" max="3" width="35" hidden="0" customWidth="1"/>
    <x:col min="4" max="4" width="19" hidden="0" customWidth="1"/>
    <x:col min="5" max="5" width="14" hidden="0" customWidth="1"/>
    <x:col min="6" max="6" width="42" hidden="0" customWidth="1"/>
    <x:col min="7" max="7" width="15" hidden="0" customWidth="1"/>
    <x:col min="8" max="8" width="44" hidden="0" customWidth="1"/>
  </x:cols>
  <x:sheetData>
    <x:row r="1" ht="30" customHeight="1">
      <x:c r="A1" s="71" t="str">
        <x:v>FP-126 · Control de dependencias y cambios</x:v>
      </x:c>
      <x:c r="B1" s="71"/>
      <x:c r="C1" s="71"/>
      <x:c r="D1" s="71"/>
      <x:c r="E1" s="71"/>
      <x:c r="F1" s="71"/>
      <x:c r="G1" s="71"/>
      <x:c r="H1" s="71"/>
    </x:row>
    <x:row r="2" ht="32" customHeight="1">
      <x:c r="A2" s="74" t="str">
        <x:v>Objetivo: mantener una matriz de precios trazable, comparable y utilizable por FP-51 y FP-52 sin convertir cotizaciones faltantes en valores cero.</x:v>
      </x:c>
      <x:c r="B2" s="74"/>
      <x:c r="C2" s="74"/>
      <x:c r="D2" s="74"/>
      <x:c r="E2" s="74"/>
      <x:c r="F2" s="74"/>
      <x:c r="G2" s="74"/>
      <x:c r="H2" s="74"/>
    </x:row>
    <x:row r="4">
      <x:c r="A4" s="82" t="str">
        <x:v>Indicador</x:v>
      </x:c>
      <x:c r="B4" s="82" t="str">
        <x:v>Total filas</x:v>
      </x:c>
      <x:c r="C4" s="82" t="str">
        <x:v>Con precio numérico</x:v>
      </x:c>
      <x:c r="D4" s="82" t="str">
        <x:v>Sin precio numérico</x:v>
      </x:c>
      <x:c r="E4" s="82" t="str">
        <x:v>Última revisión</x:v>
      </x:c>
      <x:c r="F4" s="82" t="str">
        <x:v>Responsable</x:v>
      </x:c>
      <x:c r="G4" s="82" t="str">
        <x:v>Estado FP-126</x:v>
      </x:c>
      <x:c r="H4" s="82" t="str">
        <x:v>Criterio de cierre</x:v>
      </x:c>
    </x:row>
    <x:row r="5">
      <x:c r="A5" s="65" t="str">
        <x:v>Cobertura</x:v>
      </x:c>
      <x:c r="B5" s="65" t="n">
        <x:f>COUNTA('Matriz de precios'!A2:A100)</x:f>
        <x:v>28</x:v>
      </x:c>
      <x:c r="C5" s="65" t="n">
        <x:f>COUNT('Matriz de precios'!G2:G100)</x:f>
        <x:v>20</x:v>
      </x:c>
      <x:c r="D5" s="65" t="n">
        <x:f>COUNTA('Matriz de precios'!A2:A100)-COUNT('Matriz de precios'!G2:G100)</x:f>
        <x:v>8</x:v>
      </x:c>
      <x:c r="E5" s="66" t="n">
        <x:v>46280</x:v>
      </x:c>
      <x:c r="F5" s="65" t="str">
        <x:v>Vicente Morales</x:v>
      </x:c>
      <x:c r="G5" s="65" t="str">
        <x:v>En curso</x:v>
      </x:c>
      <x:c r="H5" s="65" t="str">
        <x:v>FP-178/FP-182 integradas; FP-166 puede auditar y FP-180/FP-183 pueden consumir</x:v>
      </x:c>
    </x:row>
    <x:row r="6">
      <x:c r="A6" s="65"/>
      <x:c r="B6" s="65"/>
      <x:c r="C6" s="65"/>
      <x:c r="D6" s="65"/>
      <x:c r="E6" s="65"/>
      <x:c r="F6" s="65"/>
      <x:c r="G6" s="65"/>
      <x:c r="H6" s="65"/>
    </x:row>
    <x:row r="7">
      <x:c r="A7" s="83" t="str">
        <x:v>Mapa de tareas</x:v>
      </x:c>
      <x:c r="B7" s="83"/>
      <x:c r="C7" s="83"/>
      <x:c r="D7" s="83"/>
      <x:c r="E7" s="83"/>
      <x:c r="F7" s="83"/>
      <x:c r="G7" s="83"/>
      <x:c r="H7" s="83"/>
    </x:row>
    <x:row r="8">
      <x:c r="A8" s="82" t="str">
        <x:v>Jira</x:v>
      </x:c>
      <x:c r="B8" s="82" t="str">
        <x:v>Relación</x:v>
      </x:c>
      <x:c r="C8" s="82" t="str">
        <x:v>Qué aporta o consume</x:v>
      </x:c>
      <x:c r="D8" s="82" t="str">
        <x:v>Responsable</x:v>
      </x:c>
      <x:c r="E8" s="82" t="str">
        <x:v>Estado</x:v>
      </x:c>
      <x:c r="F8" s="82" t="str">
        <x:v>Acción para FP-126</x:v>
      </x:c>
      <x:c r="G8" s="82" t="str">
        <x:v>Fecha objetivo</x:v>
      </x:c>
      <x:c r="H8" s="82" t="str">
        <x:v>Enlace</x:v>
      </x:c>
    </x:row>
    <x:row r="9" ht="44" customHeight="1">
      <x:c r="A9" s="65" t="str">
        <x:v>FP-178</x:v>
      </x:c>
      <x:c r="B9" s="65" t="str">
        <x:v>Entrada requerida</x:v>
      </x:c>
      <x:c r="C9" s="65" t="str">
        <x:v>Capacidades y precios verificados de herramientas</x:v>
      </x:c>
      <x:c r="D9" s="65" t="str">
        <x:v>Matías Villegas</x:v>
      </x:c>
      <x:c r="E9" s="65" t="str">
        <x:v>En curso</x:v>
      </x:c>
      <x:c r="F9" s="65" t="str">
        <x:v>Integrar evidencia y resolver cotizaciones pendientes</x:v>
      </x:c>
      <x:c r="G9" s="66"/>
      <x:c r="H9" s="65" t="str">
        <x:v>https://asistec.atlassian.net/browse/FP-178</x:v>
      </x:c>
    </x:row>
    <x:row r="10" ht="44" customHeight="1">
      <x:c r="A10" s="65" t="str">
        <x:v>FP-182</x:v>
      </x:c>
      <x:c r="B10" s="65" t="str">
        <x:v>Entrada requerida</x:v>
      </x:c>
      <x:c r="C10" s="65" t="str">
        <x:v>Arquitectura y supuestos regionales</x:v>
      </x:c>
      <x:c r="D10" s="65" t="str">
        <x:v>Lucas</x:v>
      </x:c>
      <x:c r="E10" s="65" t="str">
        <x:v>En revisión</x:v>
      </x:c>
      <x:c r="F10" s="65" t="str">
        <x:v>Alinear región, moneda, unidades y alcance</x:v>
      </x:c>
      <x:c r="G10" s="66"/>
      <x:c r="H10" s="65" t="str">
        <x:v>https://asistec.atlassian.net/browse/FP-182</x:v>
      </x:c>
    </x:row>
    <x:row r="11" ht="44" customHeight="1">
      <x:c r="A11" s="65" t="str">
        <x:v>FP-166</x:v>
      </x:c>
      <x:c r="B11" s="65" t="str">
        <x:v>Control</x:v>
      </x:c>
      <x:c r="C11" s="65" t="str">
        <x:v>Audita cobertura, trazabilidad y ubicación de evidencias</x:v>
      </x:c>
      <x:c r="D11" s="65" t="str">
        <x:v>Equipo</x:v>
      </x:c>
      <x:c r="E11" s="65" t="str">
        <x:v>En revisión</x:v>
      </x:c>
      <x:c r="F11" s="65" t="str">
        <x:v>Solicitar revisión cuando se integren FP-178 y FP-182</x:v>
      </x:c>
      <x:c r="G11" s="66"/>
      <x:c r="H11" s="65" t="str">
        <x:v>https://asistec.atlassian.net/browse/FP-166</x:v>
      </x:c>
    </x:row>
    <x:row r="12" ht="44" customHeight="1">
      <x:c r="A12" s="65" t="str">
        <x:v>FP-180</x:v>
      </x:c>
      <x:c r="B12" s="65" t="str">
        <x:v>Consumidor directo</x:v>
      </x:c>
      <x:c r="C12" s="65" t="str">
        <x:v>Matriz comparativa de herramientas</x:v>
      </x:c>
      <x:c r="D12" s="65" t="str">
        <x:v>Equipo</x:v>
      </x:c>
      <x:c r="E12" s="65" t="str">
        <x:v>Por hacer</x:v>
      </x:c>
      <x:c r="F12" s="65" t="str">
        <x:v>Entregar precios normalizados y condiciones</x:v>
      </x:c>
      <x:c r="G12" s="66"/>
      <x:c r="H12" s="65" t="str">
        <x:v>https://asistec.atlassian.net/browse/FP-180</x:v>
      </x:c>
    </x:row>
    <x:row r="13" ht="44" customHeight="1">
      <x:c r="A13" s="65" t="str">
        <x:v>FP-183</x:v>
      </x:c>
      <x:c r="B13" s="65" t="str">
        <x:v>Consumidor directo</x:v>
      </x:c>
      <x:c r="C13" s="65" t="str">
        <x:v>Línea base TCO a cinco años</x:v>
      </x:c>
      <x:c r="D13" s="65" t="str">
        <x:v>Matías Villegas</x:v>
      </x:c>
      <x:c r="E13" s="65" t="str">
        <x:v>En curso</x:v>
      </x:c>
      <x:c r="F13" s="65" t="str">
        <x:v>Entregar cada precio con fecha, URL y unidad</x:v>
      </x:c>
      <x:c r="G13" s="66"/>
      <x:c r="H13" s="65" t="str">
        <x:v>https://asistec.atlassian.net/browse/FP-183</x:v>
      </x:c>
    </x:row>
    <x:row r="14" ht="44" customHeight="1">
      <x:c r="A14" s="65" t="str">
        <x:v>FP-185</x:v>
      </x:c>
      <x:c r="B14" s="65" t="str">
        <x:v>Consumidor directo</x:v>
      </x:c>
      <x:c r="C14" s="65" t="str">
        <x:v>Comparación regional</x:v>
      </x:c>
      <x:c r="D14" s="65" t="str">
        <x:v>Equipo</x:v>
      </x:c>
      <x:c r="E14" s="65" t="str">
        <x:v>Por hacer</x:v>
      </x:c>
      <x:c r="F14" s="65" t="str">
        <x:v>Mantener región explícita; no extrapolar São Paulo como Chile</x:v>
      </x:c>
      <x:c r="G14" s="66"/>
      <x:c r="H14" s="65" t="str">
        <x:v>https://asistec.atlassian.net/browse/FP-185</x:v>
      </x:c>
    </x:row>
    <x:row r="15" ht="44" customHeight="1">
      <x:c r="A15" s="65" t="str">
        <x:v>FP-184</x:v>
      </x:c>
      <x:c r="B15" s="65" t="str">
        <x:v>Consumidor indirecto</x:v>
      </x:c>
      <x:c r="C15" s="65" t="str">
        <x:v>Escenarios de optimización</x:v>
      </x:c>
      <x:c r="D15" s="65" t="str">
        <x:v>Equipo</x:v>
      </x:c>
      <x:c r="E15" s="65" t="str">
        <x:v>Por hacer</x:v>
      </x:c>
      <x:c r="F15" s="65" t="str">
        <x:v>Propagar cambios que alteren la línea base</x:v>
      </x:c>
      <x:c r="G15" s="66"/>
      <x:c r="H15" s="65" t="str">
        <x:v>https://asistec.atlassian.net/browse/FP-184</x:v>
      </x:c>
    </x:row>
    <x:row r="16" ht="44" customHeight="1">
      <x:c r="A16" s="65" t="str">
        <x:v>FP-186</x:v>
      </x:c>
      <x:c r="B16" s="65" t="str">
        <x:v>Consumidor indirecto</x:v>
      </x:c>
      <x:c r="C16" s="65" t="str">
        <x:v>Sensibilidad</x:v>
      </x:c>
      <x:c r="D16" s="65" t="str">
        <x:v>Equipo</x:v>
      </x:c>
      <x:c r="E16" s="65" t="str">
        <x:v>Por hacer</x:v>
      </x:c>
      <x:c r="F16" s="65" t="str">
        <x:v>Avisar cambios de supuestos o rangos</x:v>
      </x:c>
      <x:c r="G16" s="66"/>
      <x:c r="H16" s="65" t="str">
        <x:v>https://asistec.atlassian.net/browse/FP-186</x:v>
      </x:c>
    </x:row>
    <x:row r="17" ht="44" customHeight="1">
      <x:c r="A17" s="65" t="str">
        <x:v>FP-187</x:v>
      </x:c>
      <x:c r="B17" s="65" t="str">
        <x:v>Consumidor indirecto</x:v>
      </x:c>
      <x:c r="C17" s="65" t="str">
        <x:v>VAN/TIR</x:v>
      </x:c>
      <x:c r="D17" s="65" t="str">
        <x:v>Equipo</x:v>
      </x:c>
      <x:c r="E17" s="65" t="str">
        <x:v>Por hacer</x:v>
      </x:c>
      <x:c r="F17" s="65" t="str">
        <x:v>Propagar cambios con impacto financiero</x:v>
      </x:c>
      <x:c r="G17" s="66"/>
      <x:c r="H17" s="65" t="str">
        <x:v>https://asistec.atlassian.net/browse/FP-187</x:v>
      </x:c>
    </x:row>
    <x:row r="18" ht="44" customHeight="1">
      <x:c r="A18" s="65" t="str">
        <x:v>FP-188</x:v>
      </x:c>
      <x:c r="B18" s="65" t="str">
        <x:v>Consumidor indirecto</x:v>
      </x:c>
      <x:c r="C18" s="65" t="str">
        <x:v>Recomendación final</x:v>
      </x:c>
      <x:c r="D18" s="65" t="str">
        <x:v>Equipo</x:v>
      </x:c>
      <x:c r="E18" s="65" t="str">
        <x:v>Por hacer</x:v>
      </x:c>
      <x:c r="F18" s="65" t="str">
        <x:v>Mantener trazabilidad de la recomendación</x:v>
      </x:c>
      <x:c r="G18" s="66"/>
      <x:c r="H18" s="65" t="str">
        <x:v>https://asistec.atlassian.net/browse/FP-188</x:v>
      </x:c>
    </x:row>
    <x:row r="19" ht="44" customHeight="1">
      <x:c r="A19" s="65" t="str">
        <x:v>FP-54</x:v>
      </x:c>
      <x:c r="B19" s="65" t="str">
        <x:v>Consumidor final</x:v>
      </x:c>
      <x:c r="C19" s="65" t="str">
        <x:v>Informe final</x:v>
      </x:c>
      <x:c r="D19" s="65" t="str">
        <x:v>Equipo</x:v>
      </x:c>
      <x:c r="E19" s="65" t="str">
        <x:v>Por hacer</x:v>
      </x:c>
      <x:c r="F19" s="65" t="str">
        <x:v>Entregar versión cerrada y bitácora</x:v>
      </x:c>
      <x:c r="G19" s="66"/>
      <x:c r="H19" s="65" t="str">
        <x:v>https://asistec.atlassian.net/browse/FP-54</x:v>
      </x:c>
    </x:row>
    <x:row r="20" ht="44" customHeight="1">
      <x:c r="A20" s="65" t="str">
        <x:v>FP-126</x:v>
      </x:c>
      <x:c r="B20" s="65" t="str">
        <x:v>Tu tarea actual</x:v>
      </x:c>
      <x:c r="C20" s="65" t="str">
        <x:v>Construir y mantener la matriz de precios</x:v>
      </x:c>
      <x:c r="D20" s="65" t="str">
        <x:v>Vicente Morales</x:v>
      </x:c>
      <x:c r="E20" s="65" t="str">
        <x:v>En curso</x:v>
      </x:c>
      <x:c r="F20" s="65" t="str">
        <x:v>Cerrar datos, validar y comentar evidencia en Jira</x:v>
      </x:c>
      <x:c r="G20" s="66" t="n">
        <x:v>46277</x:v>
      </x:c>
      <x:c r="H20" s="65" t="str">
        <x:v>https://asistec.atlassian.net/browse/FP-126</x:v>
      </x:c>
    </x:row>
    <x:row r="21" ht="44" customHeight="1">
      <x:c r="A21" s="65" t="str">
        <x:v>FP-211</x:v>
      </x:c>
      <x:c r="B21" s="65" t="str">
        <x:v>Tu cierre</x:v>
      </x:c>
      <x:c r="C21" s="65" t="str">
        <x:v>Validar nombres, enlaces, archivos, impresión y respaldo</x:v>
      </x:c>
      <x:c r="D21" s="65" t="str">
        <x:v>Vicente Morales</x:v>
      </x:c>
      <x:c r="E21" s="65" t="str">
        <x:v>Por hacer</x:v>
      </x:c>
      <x:c r="F21" s="65" t="str">
        <x:v>Ejecutar al cerrar el paquete</x:v>
      </x:c>
      <x:c r="G21" s="66" t="n">
        <x:v>46281</x:v>
      </x:c>
      <x:c r="H21" s="65" t="str">
        <x:v>https://asistec.atlassian.net/browse/FP-211</x:v>
      </x:c>
    </x:row>
    <x:row r="22" ht="44" customHeight="1">
      <x:c r="A22" s="65" t="str">
        <x:v>FP-212</x:v>
      </x:c>
      <x:c r="B22" s="65" t="str">
        <x:v>Tu cierre</x:v>
      </x:c>
      <x:c r="C22" s="65" t="str">
        <x:v>Registrar evidencia y cerrar FP-11</x:v>
      </x:c>
      <x:c r="D22" s="65" t="str">
        <x:v>Vicente Morales</x:v>
      </x:c>
      <x:c r="E22" s="65" t="str">
        <x:v>Por hacer</x:v>
      </x:c>
      <x:c r="F22" s="65" t="str">
        <x:v>Usar la versión aprobada de esta matriz</x:v>
      </x:c>
      <x:c r="G22" s="66" t="n">
        <x:v>46286</x:v>
      </x:c>
      <x:c r="H22" s="65" t="str">
        <x:v>https://asistec.atlassian.net/browse/FP-212</x:v>
      </x:c>
    </x:row>
    <x:row r="23" ht="44" customHeight="1">
      <x:c r="A23" s="65" t="str">
        <x:v>FP-213</x:v>
      </x:c>
      <x:c r="B23" s="65" t="str">
        <x:v>Tu cierre</x:v>
      </x:c>
      <x:c r="C23" s="65" t="str">
        <x:v>Entrega electrónica e impresa</x:v>
      </x:c>
      <x:c r="D23" s="65" t="str">
        <x:v>Vicente Morales</x:v>
      </x:c>
      <x:c r="E23" s="65" t="str">
        <x:v>Por hacer</x:v>
      </x:c>
      <x:c r="F23" s="65" t="str">
        <x:v>Incluir el archivo versionado y respaldado</x:v>
      </x:c>
      <x:c r="G23" s="66" t="n">
        <x:v>46286</x:v>
      </x:c>
      <x:c r="H23" s="65" t="str">
        <x:v>https://asistec.atlassian.net/browse/FP-213</x:v>
      </x:c>
    </x:row>
    <x:row r="24">
      <x:c r="A24" s="65"/>
      <x:c r="B24" s="65"/>
      <x:c r="C24" s="65"/>
      <x:c r="D24" s="65"/>
      <x:c r="E24" s="65"/>
      <x:c r="F24" s="65"/>
      <x:c r="G24" s="65"/>
      <x:c r="H24" s="65"/>
    </x:row>
    <x:row r="25">
      <x:c r="A25" s="83" t="str">
        <x:v>Protocolo de cambios futuros</x:v>
      </x:c>
      <x:c r="B25" s="83"/>
      <x:c r="C25" s="83"/>
      <x:c r="D25" s="83"/>
      <x:c r="E25" s="83"/>
      <x:c r="F25" s="83"/>
      <x:c r="G25" s="83"/>
      <x:c r="H25" s="83"/>
    </x:row>
    <x:row r="26">
      <x:c r="A26" s="82" t="str">
        <x:v>Paso</x:v>
      </x:c>
      <x:c r="B26" s="82" t="str">
        <x:v>Acción</x:v>
      </x:c>
      <x:c r="C26" s="82" t="str">
        <x:v>Regla mínima</x:v>
      </x:c>
      <x:c r="D26" s="82" t="str">
        <x:v>Evidencia</x:v>
      </x:c>
      <x:c r="E26" s="82" t="str">
        <x:v>Revisión</x:v>
      </x:c>
      <x:c r="F26" s="82" t="str">
        <x:v>Impacto</x:v>
      </x:c>
      <x:c r="G26" s="82" t="str">
        <x:v>Salida</x:v>
      </x:c>
      <x:c r="H26" s="82" t="str">
        <x:v>Responsable</x:v>
      </x:c>
    </x:row>
    <x:row r="27" ht="48" customHeight="1">
      <x:c r="A27" s="65" t="n">
        <x:v>1</x:v>
      </x:c>
      <x:c r="B27" s="65" t="str">
        <x:v>Abrir o vincular solicitud</x:v>
      </x:c>
      <x:c r="C27" s="65" t="str">
        <x:v>Todo cambio debe tener Jira, comentario o solicitud identificable</x:v>
      </x:c>
      <x:c r="D27" s="65" t="str">
        <x:v>Clave/URL</x:v>
      </x:c>
      <x:c r="E27" s="65" t="str">
        <x:v>Dueño FP-126</x:v>
      </x:c>
      <x:c r="F27" s="65" t="str">
        <x:v>Definir consumidores afectados</x:v>
      </x:c>
      <x:c r="G27" s="65" t="str">
        <x:v>Cambio aceptado o rechazado</x:v>
      </x:c>
      <x:c r="H27" s="65" t="str">
        <x:v>Solicitante</x:v>
      </x:c>
    </x:row>
    <x:row r="28" ht="48" customHeight="1">
      <x:c r="A28" s="65" t="n">
        <x:v>2</x:v>
      </x:c>
      <x:c r="B28" s="65" t="str">
        <x:v>Capturar fuente</x:v>
      </x:c>
      <x:c r="C28" s="65" t="str">
        <x:v>Priorizar fuente oficial; conservar fecha, región, moneda y unidad</x:v>
      </x:c>
      <x:c r="D28" s="65" t="str">
        <x:v>URL o cotización</x:v>
      </x:c>
      <x:c r="E28" s="65" t="str">
        <x:v>Dueño FP-126</x:v>
      </x:c>
      <x:c r="F28" s="65" t="str">
        <x:v>Datos originales</x:v>
      </x:c>
      <x:c r="G28" s="65" t="str">
        <x:v>Fila trazable</x:v>
      </x:c>
      <x:c r="H28" s="65" t="str">
        <x:v>Dueño FP-126</x:v>
      </x:c>
    </x:row>
    <x:row r="29" ht="48" customHeight="1">
      <x:c r="A29" s="65" t="n">
        <x:v>3</x:v>
      </x:c>
      <x:c r="B29" s="65" t="str">
        <x:v>Normalizar</x:v>
      </x:c>
      <x:c r="C29" s="65" t="str">
        <x:v>Nunca reemplazar el valor original; documentar fórmula y supuesto</x:v>
      </x:c>
      <x:c r="D29" s="65" t="str">
        <x:v>Fórmula visible</x:v>
      </x:c>
      <x:c r="E29" s="65" t="str">
        <x:v>FP-183 si afecta TCO</x:v>
      </x:c>
      <x:c r="F29" s="65" t="str">
        <x:v>TCO / comparación</x:v>
      </x:c>
      <x:c r="G29" s="65" t="str">
        <x:v>Valor normalizado</x:v>
      </x:c>
      <x:c r="H29" s="65" t="str">
        <x:v>Dueño FP-126</x:v>
      </x:c>
    </x:row>
    <x:row r="30" ht="48" customHeight="1">
      <x:c r="A30" s="65" t="n">
        <x:v>4</x:v>
      </x:c>
      <x:c r="B30" s="65" t="str">
        <x:v>Validar dependencia</x:v>
      </x:c>
      <x:c r="C30" s="65" t="str">
        <x:v>Cambios de herramienta: FP-178; arquitectura/región: FP-182</x:v>
      </x:c>
      <x:c r="D30" s="65" t="str">
        <x:v>Comentario o aprobación</x:v>
      </x:c>
      <x:c r="E30" s="65" t="str">
        <x:v>Responsable de entrada</x:v>
      </x:c>
      <x:c r="F30" s="65" t="str">
        <x:v>FP-180/FP-183/FP-185</x:v>
      </x:c>
      <x:c r="G30" s="65" t="str">
        <x:v>Dependencia confirmada</x:v>
      </x:c>
      <x:c r="H30" s="65" t="str">
        <x:v>Equipo</x:v>
      </x:c>
    </x:row>
    <x:row r="31" ht="48" customHeight="1">
      <x:c r="A31" s="65" t="n">
        <x:v>5</x:v>
      </x:c>
      <x:c r="B31" s="65" t="str">
        <x:v>Versionar y registrar</x:v>
      </x:c>
      <x:c r="C31" s="65" t="str">
        <x:v>Nueva versión para cambios materiales; no sobrescribir el entregable aprobado</x:v>
      </x:c>
      <x:c r="D31" s="65" t="str">
        <x:v>Bitácora inferior</x:v>
      </x:c>
      <x:c r="E31" s="65" t="str">
        <x:v>FP-166 o par</x:v>
      </x:c>
      <x:c r="F31" s="65" t="str">
        <x:v>Todos los consumidores</x:v>
      </x:c>
      <x:c r="G31" s="65" t="str">
        <x:v>Archivo fechado</x:v>
      </x:c>
      <x:c r="H31" s="65" t="str">
        <x:v>Dueño FP-126</x:v>
      </x:c>
    </x:row>
    <x:row r="32" ht="48" customHeight="1">
      <x:c r="A32" s="65" t="n">
        <x:v>6</x:v>
      </x:c>
      <x:c r="B32" s="65" t="str">
        <x:v>Notificar</x:v>
      </x:c>
      <x:c r="C32" s="65" t="str">
        <x:v>Comentar Jira con filas afectadas y efecto esperado</x:v>
      </x:c>
      <x:c r="D32" s="65" t="str">
        <x:v>Comentario Jira</x:v>
      </x:c>
      <x:c r="E32" s="65" t="str">
        <x:v>Consumidores</x:v>
      </x:c>
      <x:c r="F32" s="65" t="str">
        <x:v>FP-180, FP-183 y derivados</x:v>
      </x:c>
      <x:c r="G32" s="65" t="str">
        <x:v>Reprocesamiento explícito</x:v>
      </x:c>
      <x:c r="H32" s="65" t="str">
        <x:v>Dueño FP-126</x:v>
      </x:c>
    </x:row>
    <x:row r="33">
      <x:c r="A33" s="65"/>
      <x:c r="B33" s="65"/>
      <x:c r="C33" s="65"/>
      <x:c r="D33" s="65"/>
      <x:c r="E33" s="65"/>
      <x:c r="F33" s="65"/>
      <x:c r="G33" s="65"/>
      <x:c r="H33" s="65"/>
    </x:row>
    <x:row r="34">
      <x:c r="A34" s="83" t="str">
        <x:v>Bitácora de cambios</x:v>
      </x:c>
      <x:c r="B34" s="83"/>
      <x:c r="C34" s="83"/>
      <x:c r="D34" s="83"/>
      <x:c r="E34" s="83"/>
      <x:c r="F34" s="83"/>
      <x:c r="G34" s="83"/>
      <x:c r="H34" s="83"/>
    </x:row>
    <x:row r="35">
      <x:c r="A35" s="82" t="str">
        <x:v>Fecha</x:v>
      </x:c>
      <x:c r="B35" s="82" t="str">
        <x:v>Versión</x:v>
      </x:c>
      <x:c r="C35" s="82" t="str">
        <x:v>Jira/solicitud</x:v>
      </x:c>
      <x:c r="D35" s="82" t="str">
        <x:v>Cambio</x:v>
      </x:c>
      <x:c r="E35" s="82" t="str">
        <x:v>Fuente</x:v>
      </x:c>
      <x:c r="F35" s="82" t="str">
        <x:v>Impacta</x:v>
      </x:c>
      <x:c r="G35" s="82" t="str">
        <x:v>Revisor</x:v>
      </x:c>
      <x:c r="H35" s="82" t="str">
        <x:v>Estado</x:v>
      </x:c>
    </x:row>
    <x:row r="36" ht="58" customHeight="1">
      <x:c r="A36" s="66" t="n">
        <x:v>46280</x:v>
      </x:c>
      <x:c r="B36" s="65" t="str">
        <x:v>1.1</x:v>
      </x:c>
      <x:c r="C36" s="65" t="str">
        <x:v>FP-126</x:v>
      </x:c>
      <x:c r="D36" s="65" t="str">
        <x:v>Se reemplazó la fila genérica por planes/productos trazables y se agregó control de dependencias.</x:v>
      </x:c>
      <x:c r="E36" s="65" t="str">
        <x:v>Fuentes oficiales enlazadas en la matriz</x:v>
      </x:c>
      <x:c r="F36" s="65" t="str">
        <x:v>FP-180, FP-183, FP-185 y derivados</x:v>
      </x:c>
      <x:c r="G36" s="65" t="str">
        <x:v>Pendiente FP-166</x:v>
      </x:c>
      <x:c r="H36" s="65" t="str">
        <x:v>Preparado</x:v>
      </x:c>
    </x:row>
  </x:sheetData>
  <x:mergeCells>
    <x:mergeCell ref="A1:H1"/>
    <x:mergeCell ref="A2:H2"/>
    <x:mergeCell ref="A7:H7"/>
    <x:mergeCell ref="A25:H25"/>
    <x:mergeCell ref="A34:H34"/>
  </x:mergeCells>
  <x:pageMargins left="0.7" right="0.7" top="0.75" bottom="0.75" header="0.3" footer="0.3"/>
</x:worksheet>
</file>