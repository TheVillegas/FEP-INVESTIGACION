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2c2b1e24bfb5762/Escritorio/Repositorio/FEP-INVESTIGACION/FP-50/"/>
    </mc:Choice>
  </mc:AlternateContent>
  <xr:revisionPtr revIDLastSave="287" documentId="8_{3734BF1B-9DD5-4D36-89A3-2923C74A98B8}" xr6:coauthVersionLast="47" xr6:coauthVersionMax="47" xr10:uidLastSave="{EC6C7ADD-FC34-440C-A569-741261883CDE}"/>
  <bookViews>
    <workbookView xWindow="-108" yWindow="-108" windowWidth="23256" windowHeight="12456" activeTab="3" xr2:uid="{00000000-000D-0000-FFFF-FFFF00000000}"/>
  </bookViews>
  <sheets>
    <sheet name="Palancas" sheetId="2" r:id="rId1"/>
    <sheet name="Asignacion" sheetId="3" r:id="rId2"/>
    <sheet name="Regiones" sheetId="4" r:id="rId3"/>
    <sheet name="FOCUS" sheetId="5" r:id="rId4"/>
    <sheet name="Parametros_TCO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4" l="1"/>
  <c r="I8" i="4" s="1"/>
  <c r="U8" i="4"/>
  <c r="V7" i="4"/>
  <c r="I7" i="4" s="1"/>
  <c r="U7" i="4"/>
  <c r="V6" i="4"/>
  <c r="I6" i="4" s="1"/>
  <c r="U6" i="4"/>
  <c r="I4" i="4"/>
  <c r="V4" i="4"/>
  <c r="U4" i="4"/>
  <c r="V2" i="4"/>
  <c r="I2" i="4" s="1"/>
  <c r="U2" i="4"/>
  <c r="F41" i="3"/>
  <c r="D41" i="3"/>
  <c r="E40" i="3"/>
  <c r="G40" i="3" s="1"/>
  <c r="H40" i="3" s="1"/>
  <c r="E39" i="3"/>
  <c r="E41" i="3" s="1"/>
  <c r="F37" i="3"/>
  <c r="D37" i="3"/>
  <c r="E36" i="3"/>
  <c r="G36" i="3" s="1"/>
  <c r="H36" i="3" s="1"/>
  <c r="E35" i="3"/>
  <c r="G35" i="3" s="1"/>
  <c r="H35" i="3" s="1"/>
  <c r="E34" i="3"/>
  <c r="E37" i="3" s="1"/>
  <c r="F32" i="3"/>
  <c r="D32" i="3"/>
  <c r="G31" i="3"/>
  <c r="H31" i="3" s="1"/>
  <c r="E31" i="3"/>
  <c r="E30" i="3"/>
  <c r="G30" i="3" s="1"/>
  <c r="G39" i="3" l="1"/>
  <c r="H39" i="3" s="1"/>
  <c r="H41" i="3" s="1"/>
  <c r="I41" i="3" s="1"/>
  <c r="E32" i="3"/>
  <c r="H30" i="3"/>
  <c r="H32" i="3" s="1"/>
  <c r="I32" i="3" s="1"/>
  <c r="G32" i="3"/>
  <c r="G41" i="3"/>
  <c r="G34" i="3"/>
  <c r="H34" i="3" l="1"/>
  <c r="H37" i="3" s="1"/>
  <c r="I37" i="3" s="1"/>
  <c r="G3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cristofer contreras</author>
  </authors>
  <commentList>
    <comment ref="A25" authorId="0" shapeId="0" xr:uid="{D63010BF-A661-4B7A-8C1C-21164DD11FC8}">
      <text>
        <r>
          <rPr>
            <b/>
            <sz val="9"/>
            <color indexed="81"/>
            <rFont val="Tahoma"/>
            <charset val="1"/>
          </rPr>
          <t>FALTANTE FP-174 (15%): medir latencia desde Santiago; fijar SKU y escenario de uso; obtener cotizaciones oficiales de chilecentral y eastus con la misma fecha; completar precios y calcular la prima numerica. Este faltante no incluye FP-172 ni FP-176.</t>
        </r>
      </text>
    </comment>
  </commentList>
</comments>
</file>

<file path=xl/sharedStrings.xml><?xml version="1.0" encoding="utf-8"?>
<sst xmlns="http://schemas.openxmlformats.org/spreadsheetml/2006/main" count="725" uniqueCount="572">
  <si>
    <t>Responsable</t>
  </si>
  <si>
    <t>Palanca</t>
  </si>
  <si>
    <t>Mecanismo (como modifica la factura)</t>
  </si>
  <si>
    <t>Supuesto / condicion</t>
  </si>
  <si>
    <t>Beneficio estimado (calculo mostrado)</t>
  </si>
  <si>
    <t>Riesgo</t>
  </si>
  <si>
    <t>Fuente oficial</t>
  </si>
  <si>
    <t>Fecha consulta</t>
  </si>
  <si>
    <t>Rightsizing de computo</t>
  </si>
  <si>
    <t>Apagado de recursos ociosos</t>
  </si>
  <si>
    <t>Savings Plans / instancias reservadas / CUD</t>
  </si>
  <si>
    <t>Capacidad excedente / spot</t>
  </si>
  <si>
    <t>Niveles de almacenamiento (tiers)</t>
  </si>
  <si>
    <t>Cambios de arquitectura (serverless, contenedores)</t>
  </si>
  <si>
    <t>Salida de datos (egress)</t>
  </si>
  <si>
    <t>Trafico entre zonas / VPC peering</t>
  </si>
  <si>
    <t>Licenciamiento</t>
  </si>
  <si>
    <t>Soporte</t>
  </si>
  <si>
    <t>Ambientes no productivos</t>
  </si>
  <si>
    <t>Backup y restauracion</t>
  </si>
  <si>
    <t>Monitoreo y observabilidad</t>
  </si>
  <si>
    <t>Política operativa de etiquetado y asignación de costos</t>
  </si>
  <si>
    <t>Tag / elemento</t>
  </si>
  <si>
    <t>Obligatoriedad</t>
  </si>
  <si>
    <t>Formato / valores permitidos</t>
  </si>
  <si>
    <t>Ambito</t>
  </si>
  <si>
    <t>Responsable de aplicarlo</t>
  </si>
  <si>
    <t>Accion si falta o es invalido</t>
  </si>
  <si>
    <t>Fuente / evidencia</t>
  </si>
  <si>
    <t>Alcance en el caso</t>
  </si>
  <si>
    <t>Asignación directa</t>
  </si>
  <si>
    <t>Base para costos compartidos</t>
  </si>
  <si>
    <t>Unidad del driver</t>
  </si>
  <si>
    <t>Responsable del dato</t>
  </si>
  <si>
    <t>venta_online</t>
  </si>
  <si>
    <t>Venta web, pagos y emisión de entradas</t>
  </si>
  <si>
    <t>Transacciones o solicitudes atribuibles</t>
  </si>
  <si>
    <t>transacciones/mes</t>
  </si>
  <si>
    <t>Dueño de venta online</t>
  </si>
  <si>
    <t>Costo directo + participación de cada pool compartido</t>
  </si>
  <si>
    <t>taquillas</t>
  </si>
  <si>
    <t>Venta presencial y POS de salas</t>
  </si>
  <si>
    <t>Transacciones presenciales</t>
  </si>
  <si>
    <t>Responsable de operaciones de salas</t>
  </si>
  <si>
    <t>backend_transaccional</t>
  </si>
  <si>
    <t>Inventario, programación y sincronización</t>
  </si>
  <si>
    <t>Solicitudes procesadas o transacciones servidas</t>
  </si>
  <si>
    <t>solicitudes/mes</t>
  </si>
  <si>
    <t>Líder de backend</t>
  </si>
  <si>
    <t>datos_analitica</t>
  </si>
  <si>
    <t>BI, reportes y procesamiento analítico</t>
  </si>
  <si>
    <t>Almacenamiento o cómputo consumido</t>
  </si>
  <si>
    <t>GiB-mes u horas de cómputo</t>
  </si>
  <si>
    <t>Responsable de datos</t>
  </si>
  <si>
    <t>Costo directo + participación de almacenamiento/cómputo compartido</t>
  </si>
  <si>
    <t>red_seguridad</t>
  </si>
  <si>
    <t>WAF, VPN, salida de datos y controles comunes</t>
  </si>
  <si>
    <t>Tráfico o solicitudes protegidas</t>
  </si>
  <si>
    <t>GB o solicitudes/mes</t>
  </si>
  <si>
    <t>Responsable de red y seguridad</t>
  </si>
  <si>
    <t>Costo directo + participación de red compartida</t>
  </si>
  <si>
    <t>soporte_ti</t>
  </si>
  <si>
    <t>Soporte común y ambientes de apoyo</t>
  </si>
  <si>
    <t>Horas de soporte registradas por beneficiario</t>
  </si>
  <si>
    <t>horas/mes</t>
  </si>
  <si>
    <t>Responsable de soporte TI</t>
  </si>
  <si>
    <t>Costo directo + participación de soporte compartido</t>
  </si>
  <si>
    <t>REGLAS DE ASIGNACIÓN</t>
  </si>
  <si>
    <t>Tipo de costo</t>
  </si>
  <si>
    <t>Ejemplo</t>
  </si>
  <si>
    <t>Método</t>
  </si>
  <si>
    <t>Fórmula general</t>
  </si>
  <si>
    <t>Dato requerido</t>
  </si>
  <si>
    <t>Frecuencia</t>
  </si>
  <si>
    <t>Directo</t>
  </si>
  <si>
    <t>Instancia o servicio dedicado</t>
  </si>
  <si>
    <t>costo_asignado = costo_efectivo de la línea</t>
  </si>
  <si>
    <t>Diaria; cierre mensual</t>
  </si>
  <si>
    <t>Responsable del centro de costo</t>
  </si>
  <si>
    <t>Compartido medible</t>
  </si>
  <si>
    <t>Base de datos multi-tenant</t>
  </si>
  <si>
    <t>Proporcional a driver causal</t>
  </si>
  <si>
    <t>costo_i = costo_pool × driver_i / SUMA(drivers)</t>
  </si>
  <si>
    <t>Transacciones, solicitudes, CPU, I/O o red por beneficiario</t>
  </si>
  <si>
    <t>Mensual</t>
  </si>
  <si>
    <t>Dueño del servicio compartido</t>
  </si>
  <si>
    <t>Compartido de red</t>
  </si>
  <si>
    <t>Egreso o red común</t>
  </si>
  <si>
    <t>Proporcional a GB atribuibles</t>
  </si>
  <si>
    <t>costo_i = costo_pool × GB_i / SUMA(GB)</t>
  </si>
  <si>
    <t>GB por componente y período</t>
  </si>
  <si>
    <t>Responsable de red</t>
  </si>
  <si>
    <t>Compartido sin medición causal suficiente</t>
  </si>
  <si>
    <t>Soporte o plataforma común</t>
  </si>
  <si>
    <t>Proporcional, reparto fijo aprobado o presupuesto central explícito</t>
  </si>
  <si>
    <t>costo_i = costo_pool × base_i / SUMA(base); si es central, se informa sin distribuir</t>
  </si>
  <si>
    <t>Base aprobada y versión de la política</t>
  </si>
  <si>
    <t>FinOps + Finanzas</t>
  </si>
  <si>
    <t>No asignado</t>
  </si>
  <si>
    <t>Línea sin metadatos válidos</t>
  </si>
  <si>
    <t>Mantener visible en sin_asignar</t>
  </si>
  <si>
    <t>costo_sin_asignar = SUMA(costos sin clasificación válida)</t>
  </si>
  <si>
    <t>FinOps + responsable técnico</t>
  </si>
  <si>
    <t>EJEMPLOS NUMÉRICOS REPRODUCIBLES</t>
  </si>
  <si>
    <t>Pool compartido</t>
  </si>
  <si>
    <t>Beneficiario</t>
  </si>
  <si>
    <t>Driver</t>
  </si>
  <si>
    <t>Cantidad driver</t>
  </si>
  <si>
    <t>Total driver</t>
  </si>
  <si>
    <t>Costo pool (USD/mes)</t>
  </si>
  <si>
    <t>Tasa de asignación</t>
  </si>
  <si>
    <t>Costo asignado (USD/mes)</t>
  </si>
  <si>
    <t>Diferencia de control</t>
  </si>
  <si>
    <t>Interpretación</t>
  </si>
  <si>
    <t>BD multi-tenant</t>
  </si>
  <si>
    <t>6.000 de 10.000 transacciones reciben 60% del costo</t>
  </si>
  <si>
    <t>4.000 de 10.000 transacciones reciben 40% del costo</t>
  </si>
  <si>
    <t>TOTAL</t>
  </si>
  <si>
    <t>La suma asignada debe igualar el costo del pool</t>
  </si>
  <si>
    <t>Egress compartido</t>
  </si>
  <si>
    <t>GB/mes</t>
  </si>
  <si>
    <t>300 de 500 GB reciben 60% del costo</t>
  </si>
  <si>
    <t>150 de 500 GB reciben 30% del costo</t>
  </si>
  <si>
    <t>otros_componentes</t>
  </si>
  <si>
    <t>50 de 500 GB reciben 10% del costo</t>
  </si>
  <si>
    <t>Soporte compartido</t>
  </si>
  <si>
    <t>horas de soporte/mes</t>
  </si>
  <si>
    <t>8 de 12 horas reciben 66,7% del costo</t>
  </si>
  <si>
    <t>4 de 12 horas reciben 33,3% del costo</t>
  </si>
  <si>
    <t>CONTROLES Y CALIDAD DE DATOS</t>
  </si>
  <si>
    <t>Control</t>
  </si>
  <si>
    <t>Cálculo o prueba</t>
  </si>
  <si>
    <t>Criterio operativo</t>
  </si>
  <si>
    <t>Datos necesarios</t>
  </si>
  <si>
    <t>Acción ante falla</t>
  </si>
  <si>
    <t>Cumplimiento de despliegues prod</t>
  </si>
  <si>
    <t>despliegues prod con tags completos / total despliegues prod</t>
  </si>
  <si>
    <t>100%; un despliegue incompleto se rechaza</t>
  </si>
  <si>
    <t>Por despliegue</t>
  </si>
  <si>
    <t>Registro CI/IaC + catálogo de tags</t>
  </si>
  <si>
    <t>Líder de plataforma</t>
  </si>
  <si>
    <t>Bloquear despliegue y mostrar claves faltantes</t>
  </si>
  <si>
    <t>Cobertura monetaria de metadatos</t>
  </si>
  <si>
    <t>costo con metadatos válidos / costo efectivo total</t>
  </si>
  <si>
    <t>Informar porcentaje exacto; todo faltante permanece visible</t>
  </si>
  <si>
    <t>Diaria y mensual</t>
  </si>
  <si>
    <t>FinOps</t>
  </si>
  <si>
    <t>Costo sin asignar</t>
  </si>
  <si>
    <t>costo efectivo sin clasificación / costo efectivo total</t>
  </si>
  <si>
    <t>Objetivo 0%; cualquier valor requiere explicación y responsable</t>
  </si>
  <si>
    <t>Exportación de facturación</t>
  </si>
  <si>
    <t>FinOps + responsables técnicos</t>
  </si>
  <si>
    <t>Investigar y corregir metadata o regla derivada</t>
  </si>
  <si>
    <t>Reconciliación de costos compartidos</t>
  </si>
  <si>
    <t>Detener publicación y revisar driver, período o duplicados</t>
  </si>
  <si>
    <t>Duplicidad de líneas de facturación</t>
  </si>
  <si>
    <t>agrupar identificadores originales de línea, período, recurso/SKU e importe; conteo &gt; 1 es candidato</t>
  </si>
  <si>
    <t>0 duplicados confirmados; no eliminar automáticamente</t>
  </si>
  <si>
    <t>Cada carga</t>
  </si>
  <si>
    <t>Analista de costos</t>
  </si>
  <si>
    <t>Aislar candidatos y contrastar con factura original</t>
  </si>
  <si>
    <t>Región o servicio no aprobado</t>
  </si>
  <si>
    <t>costo donde región/servicio no pertenece al catálogo aprobado</t>
  </si>
  <si>
    <t>0 costos no explicados en región o servicio no aprobado</t>
  </si>
  <si>
    <t>Facturación + catálogo de arquitectura</t>
  </si>
  <si>
    <t>Arquitecto de soluciones</t>
  </si>
  <si>
    <t>Abrir investigación y bloquear nuevos despliegues equivalentes</t>
  </si>
  <si>
    <t>Variación inesperada de costo</t>
  </si>
  <si>
    <t>Toda desviación señalada por regla aprobada debe tener responsable y resolución</t>
  </si>
  <si>
    <t>Costo histórico, presupuesto y metadatos</t>
  </si>
  <si>
    <t>FinOps + dueño del servicio</t>
  </si>
  <si>
    <t>Alertar, investigar causa y registrar resolución</t>
  </si>
  <si>
    <t>Función</t>
  </si>
  <si>
    <t>Disparador</t>
  </si>
  <si>
    <t>Entradas</t>
  </si>
  <si>
    <t>Regla</t>
  </si>
  <si>
    <t>Salida</t>
  </si>
  <si>
    <t>Comportamiento ante falla</t>
  </si>
  <si>
    <t>Responsable funcional</t>
  </si>
  <si>
    <t>validar_tags</t>
  </si>
  <si>
    <t>Pull request o despliegue</t>
  </si>
  <si>
    <t>IaC + catálogo de claves y valores</t>
  </si>
  <si>
    <t>Rechazar prod; no aprobar promoción de dev/qa</t>
  </si>
  <si>
    <t>clasificar_costos</t>
  </si>
  <si>
    <t>Carga diaria de facturación</t>
  </si>
  <si>
    <t>Clasificar cada línea como directa, compartida o sin_asignar</t>
  </si>
  <si>
    <t>Dataset clasificado sin pérdida de filas</t>
  </si>
  <si>
    <t>Enviar lo no clasificable a sin_asignar</t>
  </si>
  <si>
    <t>asignar_compartidos</t>
  </si>
  <si>
    <t>Después de clasificar</t>
  </si>
  <si>
    <t>Pools + beneficiarios + drivers + versión de política</t>
  </si>
  <si>
    <t>FinOps + dueño del pool</t>
  </si>
  <si>
    <t>reconciliar_asignacion</t>
  </si>
  <si>
    <t>Después de asignar</t>
  </si>
  <si>
    <t>Costo original + costos asignados</t>
  </si>
  <si>
    <t>Diferencia por pool</t>
  </si>
  <si>
    <t>detectar_excepciones</t>
  </si>
  <si>
    <t>Carga diaria y cierre mensual</t>
  </si>
  <si>
    <t>Costos, catálogo, presupuesto e histórico</t>
  </si>
  <si>
    <t>Detectar duplicados candidatos, regiones no aprobadas y variaciones inesperadas</t>
  </si>
  <si>
    <t>Cola de incidencias con responsable</t>
  </si>
  <si>
    <t>Conservar evidencia y no corregir automáticamente la factura</t>
  </si>
  <si>
    <t>Cierre del período de análisis</t>
  </si>
  <si>
    <t>Costos reconciliados + drivers + supuestos</t>
  </si>
  <si>
    <t>Insumo trazable para TCO y sensibilidad</t>
  </si>
  <si>
    <t>Bloquear exportación si hay pools sin reconciliar</t>
  </si>
  <si>
    <t>Tipo</t>
  </si>
  <si>
    <t>Autor / entidad</t>
  </si>
  <si>
    <t>Título</t>
  </si>
  <si>
    <t>Referencia</t>
  </si>
  <si>
    <t>Límite que debe explicarse</t>
  </si>
  <si>
    <t>Académica</t>
  </si>
  <si>
    <t>Byung Chul Tak; Youngjin Kwon; Bhuvan Urgaonkar</t>
  </si>
  <si>
    <t>Resource Accounting of Shared IT Resources in Multi-Tenant Clouds</t>
  </si>
  <si>
    <t>IEEE Transactions on Services Computing 10(2), 2017. https://doi.org/10.1109/TSC.2015.2453980</t>
  </si>
  <si>
    <t>Justifica medir drivers para atribuir recursos compartidos entre entidades beneficiarias</t>
  </si>
  <si>
    <t>Estudia contabilidad técnica de recursos multi-tenant; no define una política financiera empresarial</t>
  </si>
  <si>
    <t>Hierony Manurung; Rizal Fathoni Aji</t>
  </si>
  <si>
    <t>Evaluating the Implementation of the FinOps Framework for Cloud Infrastructure Cost Management</t>
  </si>
  <si>
    <t>Scientific Journal of Informatics 12(4), 709-720. https://doi.org/10.15294/sji.v12i4.36226</t>
  </si>
  <si>
    <t>Respalda propiedad de costos, showback/chargeback y automatización de gobernanza</t>
  </si>
  <si>
    <t>Caso con seis participantes de empresas tecnológicas de Indonesia; no generalizar porcentajes al caso</t>
  </si>
  <si>
    <t>Oficial / estándar</t>
  </si>
  <si>
    <t>FinOps Foundation</t>
  </si>
  <si>
    <t>Allocation</t>
  </si>
  <si>
    <t>https://framework.finops.org/framework/capabilities/allocation/</t>
  </si>
  <si>
    <t>Base principal para tags, jerarquía, costos compartidos, cumplimiento y KPI</t>
  </si>
  <si>
    <t>No prescribe una única fórmula ni umbral; la política debe adaptarse y aprobarse</t>
  </si>
  <si>
    <t>Unit Economics</t>
  </si>
  <si>
    <t>https://www.finops.org/framework/capabilities/unit-economics/</t>
  </si>
  <si>
    <t>Relaciona costos con unidades del caso, como transacciones, solicitudes o almacenamiento</t>
  </si>
  <si>
    <t>La unidad debe representar causalidad y verificarse con volumetría</t>
  </si>
  <si>
    <t>FOCUS Specification 1.4</t>
  </si>
  <si>
    <t>https://focus.finops.org/docs/specification/v1-4/</t>
  </si>
  <si>
    <t>Apoya normalización de campos para controles de calidad y exportación</t>
  </si>
  <si>
    <t>Normaliza datos; no corrige por sí sola etiquetas faltantes ni errores de origen</t>
  </si>
  <si>
    <t>Documentación oficial</t>
  </si>
  <si>
    <t>Microsoft</t>
  </si>
  <si>
    <t>Plan to manage Azure costs</t>
  </si>
  <si>
    <t>https://learn.microsoft.com/en-us/azure/cost-management-billing/understand/plan-manage-costs</t>
  </si>
  <si>
    <t>Apoya uso de tags, alertas y análisis de costos como controles operativos</t>
  </si>
  <si>
    <t>Fuente de proveedor; no usar como evidencia neutral para comparar nubes</t>
  </si>
  <si>
    <t>Proveedor</t>
  </si>
  <si>
    <t>Region (ID oficial)</t>
  </si>
  <si>
    <t>Unidad de precio</t>
  </si>
  <si>
    <t>Moneda</t>
  </si>
  <si>
    <t>Fecha de consulta</t>
  </si>
  <si>
    <t>Latencia / disponibilidad</t>
  </si>
  <si>
    <t>Prima vs EE.UU. (con calculo)</t>
  </si>
  <si>
    <t>Fecha</t>
  </si>
  <si>
    <t>Limitaciones / supuestos</t>
  </si>
  <si>
    <t>Matriz trazable de prácticas de estimación temprana y control del ciclo</t>
  </si>
  <si>
    <t>Práctica / herramienta</t>
  </si>
  <si>
    <t>Punto en el flujo de desarrollo</t>
  </si>
  <si>
    <t>Cálculo / salida</t>
  </si>
  <si>
    <t>Control o decisión habilitada</t>
  </si>
  <si>
    <t>Fuente oficial / fecha de consulta</t>
  </si>
  <si>
    <t>Parametro</t>
  </si>
  <si>
    <t>Unidad</t>
  </si>
  <si>
    <t>Valor candidato / rango</t>
  </si>
  <si>
    <t>Justificacion</t>
  </si>
  <si>
    <t>Dependencia / riesgo</t>
  </si>
  <si>
    <t>vCPU por escenario</t>
  </si>
  <si>
    <t>Memoria (GiB)</t>
  </si>
  <si>
    <t>Almacenamiento (GiB-mes)</t>
  </si>
  <si>
    <t>Transferencia mensual (GB)</t>
  </si>
  <si>
    <t>Horas de uso por mes</t>
  </si>
  <si>
    <t>Instancias por ambiente</t>
  </si>
  <si>
    <t>Region de despliegue</t>
  </si>
  <si>
    <t>Egreso de datos</t>
  </si>
  <si>
    <t>project</t>
  </si>
  <si>
    <t>Obligatorio</t>
  </si>
  <si>
    <t>Identificador estable en minúsculas y guion bajo; ejemplo: cines_antares</t>
  </si>
  <si>
    <t>Todos los recursos y líneas de costo etiquetables</t>
  </si>
  <si>
    <t>Administrador de nube</t>
  </si>
  <si>
    <t>Rechazar despliegue nuevo; costos existentes o no etiquetables pasan a sin_asignar y generan incidencia</t>
  </si>
  <si>
    <t>Validar clave y patrón en CI/IaC; inventario diario de excepciones</t>
  </si>
  <si>
    <t>environment</t>
  </si>
  <si>
    <t>prod | dev | qa</t>
  </si>
  <si>
    <t>Todos los recursos; prod no admite ausencia</t>
  </si>
  <si>
    <t>Rechazar despliegue prod; en dev/qa bloquear promoción hasta corregir</t>
  </si>
  <si>
    <t>Validar lista cerrada en CI/IaC y comparar inventario con facturación</t>
  </si>
  <si>
    <t>cost_center</t>
  </si>
  <si>
    <t>Código financiero aprobado; ejemplo: TI-001. No inventar valores técnicos como sustituto</t>
  </si>
  <si>
    <t>Todo costo directo o compartido que deba asociarse a una unidad presupuestaria</t>
  </si>
  <si>
    <t>Finanzas + FinOps</t>
  </si>
  <si>
    <t>Conservar el costo en sin_asignar hasta obtener un código financiero válido; nunca excluirlo del modelo</t>
  </si>
  <si>
    <t>Cruzar contra el catálogo financiero vigente y medir cobertura monetaria</t>
  </si>
  <si>
    <t>owner_team</t>
  </si>
  <si>
    <t>Identificador estable del equipo responsable; ejemplo: equipo_backend</t>
  </si>
  <si>
    <t>Todos los recursos gestionados por un equipo</t>
  </si>
  <si>
    <t>Líder técnico</t>
  </si>
  <si>
    <t>Conservar el costo visible y notificar al responsable antes del cierre mensual</t>
  </si>
  <si>
    <t>Validar existencia del equipo en el catálogo y emitir reporte de recursos huérfanos</t>
  </si>
  <si>
    <t>business_unit</t>
  </si>
  <si>
    <t>comercial | operaciones | tecnologia</t>
  </si>
  <si>
    <t>Recursos y costos atribuibles a una unidad de negocio</t>
  </si>
  <si>
    <t>Finanzas + responsable de negocio</t>
  </si>
  <si>
    <t>Conservar como sin_asignar y solicitar clasificación al responsable</t>
  </si>
  <si>
    <t>Validar lista cerrada y reconciliar con la jerarquía organizacional</t>
  </si>
  <si>
    <t>application</t>
  </si>
  <si>
    <t>Identificador estable de aplicación o workload; ejemplo: portal_ventas</t>
  </si>
  <si>
    <t>Recursos dedicados o compartidos que soportan una aplicación</t>
  </si>
  <si>
    <t>Conservar visible, bloquear promoción a prod y generar incidencia si falta</t>
  </si>
  <si>
    <t>Validar aplicación contra catálogo; medir costo sin aplicación identificada</t>
  </si>
  <si>
    <t>allocation_target</t>
  </si>
  <si>
    <t>venta_online | taquillas | backend_transaccional | datos_analitica | red_seguridad | soporte_ti</t>
  </si>
  <si>
    <t>Toda línea de costo directo o compartido después de aplicar reglas de asignación</t>
  </si>
  <si>
    <t>Conservar el costo en sin_asignar; abrir incidencia; nunca ocultar el costo</t>
  </si>
  <si>
    <t>OBJETIVOS DE ASIGNACIÓN Y BASES DE COSTO</t>
  </si>
  <si>
    <t>Objetivo de asignación</t>
  </si>
  <si>
    <t>tag allocation_target=venta_online</t>
  </si>
  <si>
    <t>tag allocation_target=taquillas</t>
  </si>
  <si>
    <t>tag allocation_target=backend_transaccional</t>
  </si>
  <si>
    <t>tag allocation_target=datos_analitica</t>
  </si>
  <si>
    <t>tag allocation_target=red_seguridad</t>
  </si>
  <si>
    <t>tag allocation_target=soporte_ti</t>
  </si>
  <si>
    <t>Asignación por allocation_target</t>
  </si>
  <si>
    <t>Crear incidencia por allocation_target y cost_center; cuantificar sin_asignar</t>
  </si>
  <si>
    <t>Concepto</t>
  </si>
  <si>
    <t>Qué es / rol</t>
  </si>
  <si>
    <t>FOCUS (especificación)</t>
  </si>
  <si>
    <t>2026-09-15</t>
  </si>
  <si>
    <t>Normalización de datos (FOCUS)</t>
  </si>
  <si>
    <t>Estimación temprana</t>
  </si>
  <si>
    <t>Proyecta escenarios antes del despliegue a partir de la arquitectura prevista, cantidades de uso supuestas, región, configuración, tarifas y descuentos aplicables. Permite comparar alternativas y documentar una línea base. Es una capacidad distinta de FOCUS: trabaja con supuestos futuros, no con facturación normalizada ya ocurrida.</t>
  </si>
  <si>
    <t>https://www.finops.org/framework/capabilities/planning-estimating/
https://docs.aws.amazon.com/pricing-calculator/latest/userguide/what-is-pricing-calculator.html
https://learn.microsoft.com/en-us/azure/cost-management-billing/costs/pricing-calculator
https://cloud.google.com/billing/docs/how-to/estimate-costs</t>
  </si>
  <si>
    <t>Es un pronóstico condicionado por los datos ingresados y los precios vigentes. Puede omitir impuestos, soporte, cargos no modelados, cambios de demanda o descuentos contractuales; no representa una cotización vinculante ni una factura.</t>
  </si>
  <si>
    <t>Aplicación de políticas (budgets/alertas)</t>
  </si>
  <si>
    <t>Compara costos estimados, pronosticados o reales con un presupuesto y umbrales definidos. Puede notificar responsables o activar acciones de gobierno. Esta capacidad controla decisiones y comportamiento financiero; no transforma ni normaliza los datos de origen.</t>
  </si>
  <si>
    <t>https://docs.aws.amazon.com/cost-management/latest/userguide/budgets-managing-costs.html
https://learn.microsoft.com/en-us/azure/cost-management-billing/costs/tutorial-acm-create-budgets
https://docs.cloud.google.com/billing/docs/how-to/budgets
https://focus.finops.org/docs/use-cases/v1-4/compare-billed-cost-per-subaccount-to-budget-2/</t>
  </si>
  <si>
    <t>Los umbrales, responsables y acciones son decisiones organizacionales. Puede existir retraso entre consumo, registro y alerta. Una alerta no equivale a un límite duro del gasto; las acciones automáticas requieren permisos, pruebas, excepciones y gestión del impacto operativo.</t>
  </si>
  <si>
    <t>Modelado con AWS Pricing Calculator</t>
  </si>
  <si>
    <t>Diseño de solución, antes de construir</t>
  </si>
  <si>
    <t>Servicios y grupos de arquitectura; configuración, uso previsto, región y opción de pago</t>
  </si>
  <si>
    <t>Estimación por servicio y grupo; costos inicial, mensual y anual. Fórmula conceptual: SUMA(cantidad supuesta × tarifa aplicable).</t>
  </si>
  <si>
    <t>Comparar configuraciones y opciones de pago; documentar una línea base antes del desarrollo.</t>
  </si>
  <si>
    <t>https://docs.aws.amazon.com/pricing-calculator/latest/userguide/what-is-pricing-calculator.html
Consulta: 2026-09-15</t>
  </si>
  <si>
    <t>Solo estima la información ingresada; no incluye impuestos. Las tarifas proceden de AWS Price List API y el resultado no es una factura.</t>
  </si>
  <si>
    <t>Modelado con Azure Pricing Calculator</t>
  </si>
  <si>
    <t>Diseño y refinamiento de arquitectura</t>
  </si>
  <si>
    <t>Producto, región, tamaño, sistema operativo, nivel, horas/unidades esperadas y plan de precios</t>
  </si>
  <si>
    <t>Costos iniciales y mensuales por configuración. Fórmula conceptual: consumo previsto × precio unitario seleccionado.</t>
  </si>
  <si>
    <t>Comparar alternativas, reservas o planes de ahorro y compartir o exportar la estimación.</t>
  </si>
  <si>
    <t>https://learn.microsoft.com/en-us/azure/cost-management-billing/costs/pricing-calculator
Consulta: 2026-09-15</t>
  </si>
  <si>
    <t>Los valores dependen de los supuestos y del plan seleccionado. Los precios negociados requieren autenticación; deben incluirse soporte y componentes omitidos.</t>
  </si>
  <si>
    <t>Modelado con Google Cloud Pricing Calculator</t>
  </si>
  <si>
    <t>Diseño de aplicación o carga hipotética</t>
  </si>
  <si>
    <t>Productos, configuración de la carga, cantidades de uso y precios de catálogo o contrato si se vincula la cuenta</t>
  </si>
  <si>
    <t>Costo mensual estimado para la carga planificada. Fórmula conceptual: SUMA(uso supuesto × tarifa aplicable).</t>
  </si>
  <si>
    <t>Preparar el presupuesto, comparar una carga antes del despliegue y compartir la estimación con el equipo.</t>
  </si>
  <si>
    <t>https://cloud.google.com/billing/docs/how-to/estimate-costs
https://cloud.google.com/products/calculator
Consulta: 2026-09-15</t>
  </si>
  <si>
    <t>La calculadora trabaja con cargas hipotéticas y supuestos; el resultado puede diferir de la factura final.</t>
  </si>
  <si>
    <t>Escenarios “qué pasaría si” y sensibilidad</t>
  </si>
  <si>
    <t>Refinamiento técnico, antes de aprobar arquitectura o cambio</t>
  </si>
  <si>
    <t>Línea base y variantes controladas de demanda, región, tamaño, modalidad de compra o descuento</t>
  </si>
  <si>
    <t>Rango de escenarios y diferencia frente a la línea base. Fórmula: diferencia = costo del escenario − costo base.</t>
  </si>
  <si>
    <t>Identificar variables dominantes y elegir una alternativa con supuestos explícitos, no una cifra única sin contexto.</t>
  </si>
  <si>
    <t>https://www.finops.org/framework/capabilities/planning-estimating/
Consulta: 2026-09-15</t>
  </si>
  <si>
    <t>La selección de variables y escenarios es responsabilidad del equipo. No asigna probabilidades ni garantiza que la demanda real quede dentro del rango.</t>
  </si>
  <si>
    <t>Tags y validación en IaC</t>
  </si>
  <si>
    <t>Definición de módulos, pull request y plan; antes del despliegue</t>
  </si>
  <si>
    <t>https://docs.aws.amazon.com/awsaccountbilling/latest/aboutv2/cost-alloc-tags.html
https://learn.microsoft.com/en-us/azure/cloud-adoption-framework/ready/azure-best-practices/track-costs
https://developer.hashicorp.com/terraform/policy
Consulta: 2026-09-15</t>
  </si>
  <si>
    <t>Budgets y alertas por alcance</t>
  </si>
  <si>
    <t>Configurar antes del despliegue; supervisar durante y después de la operación</t>
  </si>
  <si>
    <t>Alcance, período, presupuesto, umbrales reales/pronosticados, destinatarios, tags y acción esperada</t>
  </si>
  <si>
    <t>Estado frente al presupuesto y alertas por umbral. Fórmula conceptual: consumo acumulado / presupuesto × 100.</t>
  </si>
  <si>
    <t>Notificar, investigar variaciones, escalar al responsable o activar una acción automatizada previamente aprobada.</t>
  </si>
  <si>
    <t>https://docs.aws.amazon.com/cost-management/latest/userguide/budgets-managing-costs.html
https://learn.microsoft.com/en-us/azure/cost-management-billing/costs/tutorial-acm-create-budgets
https://docs.cloud.google.com/billing/docs/how-to/budgets
Consulta: 2026-09-15</t>
  </si>
  <si>
    <t>Los presupuestos y alertas suelen monitorear, no imponer un límite duro. Los datos pueden llegar con retraso y cualquier automatización debe contemplar permisos, continuidad del servicio y excepciones.</t>
  </si>
  <si>
    <t>Puerta de costo previa al despliegue</t>
  </si>
  <si>
    <t>Revisión de cambio o preproducción</t>
  </si>
  <si>
    <t>Estimación versionada, alcance del cambio, umbral aprobado y supuestos vigentes</t>
  </si>
  <si>
    <t>Desviación frente al umbral. Fórmula: margen = umbral − costo estimado.</t>
  </si>
  <si>
    <t>Aprobar, rediseñar, solicitar una excepción o posponer el despliegue según una política definida por la organización.</t>
  </si>
  <si>
    <t>https://developer.hashicorp.com/terraform/enterprise/cost-estimation
https://developer.hashicorp.com/terraform/policy
Consulta: 2026-09-15</t>
  </si>
  <si>
    <t>Es una práctica de gobierno, no una función de FOCUS ni un bloqueo automático de una calculadora. El umbral, los responsables y las excepciones deben definirse y auditarse.</t>
  </si>
  <si>
    <t>Validación posterior y realimentación con FOCUS</t>
  </si>
  <si>
    <t>Después del despliegue; alimenta la siguiente planificación</t>
  </si>
  <si>
    <t>Estimación aprobada y costo real normalizado FOCUS para igual período, alcance, moneda y base de costo</t>
  </si>
  <si>
    <t>Ajustar supuestos, presupuestos, alertas y futuros escenarios con evidencia real comparable.</t>
  </si>
  <si>
    <t>https://focus.finops.org/docs/specification/v1-4/datasets/cost-and-usage/
https://focus.finops.org/docs/use-cases/v1-4/compare-billed-cost-per-subaccount-to-budget-2/
Consulta: 2026-09-15</t>
  </si>
  <si>
    <t>Diferencia = 0,00 en la moneda del pool y mismo alcance</t>
  </si>
  <si>
    <t>Comparar suma asignada con costo original por proveedor, cuenta, ChargePeriodStart/End, moneda, alcance y base EffectiveCost</t>
  </si>
  <si>
    <t>Verificar presencia, formato y catálogo de project, environment, cost_center, owner_team, business_unit, application y allocation_target; validar región por separado e identificar campos FOCUS Allocated*</t>
  </si>
  <si>
    <t>Costo asignado por centro, pool, origen y método</t>
  </si>
  <si>
    <t>El dataset Cost and Usage de FOCUS 1.4 define 65 columnas entre dimensiones y métricas. Dimensiones representativas: ServiceProviderName, BillingAccountId, SubAccountId, ServiceName, ResourceId, RegionId, BillingPeriodStart/End, BillingCurrency, PricingUnit, ConsumedUnit y Tags. Métricas representativas: ListCost, ContractedCost, BilledCost, EffectiveCost, PricingQuantity y ConsumedQuantity. Las columnas se clasifican como obligatorias, recomendadas o condicionales. Cuando el generador soporta asignación dividida, v1.4 contempla además campos AllocatedMethodId, AllocatedMethodDetails, AllocatedResourceId, AllocatedResourceName y AllocatedTags.</t>
  </si>
  <si>
    <t>Cada ejecución y cierre mensual; agrupar por proveedor, cuenta, período de cargo y moneda</t>
  </si>
  <si>
    <t>Variación = costo real comparable - costo estimado; variación % = variación / costo estimado. Para costos reales, usar ChargePeriodStart/End y declarar la base EffectiveCost.</t>
  </si>
  <si>
    <t>Dataset completo de costos; conservar líneas sin clasificar</t>
  </si>
  <si>
    <t>Asegurar propiedad, unidad financiera, aplicación y destino de asignación antes de aplicar; corregir recursos sin metadatos válidos y distinguir la asignación interna de la calculada por el proveedor.</t>
  </si>
  <si>
    <t>La normalización reduce transformaciones específicas por proveedor, pero no corrige automáticamente datos faltantes, retrasados o erróneos. Tampoco convierte costos reales en una estimación de demanda futura ni reemplaza las reglas internas de asignación. Si existen campos Allocated*, deben conservarse y no volver a asignarse sin justificación.</t>
  </si>
  <si>
    <t>comparar EffectiveCost actual con presupuesto y tendencia histórica por servicio y centro</t>
  </si>
  <si>
    <t>SUMA(EffectiveCost asignado) - EffectiveCost del pool</t>
  </si>
  <si>
    <t>https://focus.finops.org/what-is-focus/
https://focus.finops.org/docs/specification/v1-4/
https://focus.finops.org/docs/specification/v1-4/features/data-generator-calculated-split-cost-allocation/</t>
  </si>
  <si>
    <t>FOCUS 1.4 es una especificación abierta para datos de facturación tecnológica. Define un esquema, terminología y requisitos mínimos comunes para que distintos proveedores produzcan datos comparables. La versión 1.4 fue ratificada por el FOCUS Steering Committee; el proyecto opera bajo Joint Development Foundation Projects y cuenta con el respaldo de la FinOps Foundation. Cita oficial: "FOCUS is a technical specification that normalizes billing data across technology vendors." FOCUS también puede transportar asignación de costos calculada por el generador cuando el proveedor la soporta; esto no reemplaza la política interna.</t>
  </si>
  <si>
    <t>No publicar si diferencia ≠ 0,00, salvo tolerancia de redondeo documentada</t>
  </si>
  <si>
    <t>FOCUS aporta datos reales normalizados, no la predicción. La comparación exige igual alcance, ChargePeriod, moneda y base de costo; retrasos, correcciones o datos incompletos pueden alterar la variación.</t>
  </si>
  <si>
    <t>https://focus.finops.org/docs/specification/v1-4/datasets/cost-and-usage/
https://focus.finops.org/docs/specification/v1-4/features/data-generator-calculated-split-cost-allocation/</t>
  </si>
  <si>
    <t>EffectiveCost + metadatos del proveedor o dataset FOCUS</t>
  </si>
  <si>
    <t>Lista de errores por recurso, diferencias de región y estado de asignación FOCUS</t>
  </si>
  <si>
    <t>Líneas de costo + metadatos + reglas derivadas + campos FOCUS Allocated*</t>
  </si>
  <si>
    <t>Pool + drivers + resultado + base EffectiveCost</t>
  </si>
  <si>
    <t>Validar lista cerrada y reconciliar costos por objetivo. La región se toma del campo del proveedor o del dataset FOCUS generado por el proveedor. Si existen campos FOCUS Allocated*, conservarlos y no reasignar sin justificar.</t>
  </si>
  <si>
    <t>Campos originales del proveedor o dataset FOCUS; incluir ChargePeriod e Invoice IDs cuando existan</t>
  </si>
  <si>
    <t>FOCUS normaliza y describe datos de facturación, costo y uso. No predice por sí misma costos futuros, no decide presupuestos, no detiene recursos y no ejecuta pagos o políticas. La conformidad y utilidad dependen de la calidad, integridad y oportunidad de los datos entregados por cada generador. No reemplaza reglas internas de asignación; cuando el proveedor soporta split allocation, el dataset puede incluir el método y el destino asignado, que deben preservarse.</t>
  </si>
  <si>
    <t>Exportar costo directo, compartido y sin_asignar con unidad, período, base EffectiveCost y origen/método de asignación</t>
  </si>
  <si>
    <t>Detener pool si faltan drivers o SUMA(drivers)=0; no reasignar cargos ya divididos sin justificación</t>
  </si>
  <si>
    <t>Aplicar costo_i = costo_pool × driver_i / SUMA(drivers) solo a pools no asignados por el proveedor; conservar método y origen cuando existan Allocated*</t>
  </si>
  <si>
    <t>Exportación de costos con EffectiveCost + catálogo</t>
  </si>
  <si>
    <t>Resultado de validación: recursos conformes, advertencias o bloqueo según la política como código; RegionId/RegionName se obtienen del campo del proveedor o del dataset FOCUS generado por el proveedor. Identificar y conservar campos Allocated* cuando existan.</t>
  </si>
  <si>
    <t>Los tags permiten atribuir y agrupar costos, pero no calculan el importe futuro. La región no se duplica como tag cuando ya existe como dimensión confiable del proveedor o FOCUS; deben contemplarse recursos y cargos no etiquetables. AllocatedTags representa la asignación calculada por el generador y no debe confundirse con Tags.</t>
  </si>
  <si>
    <t>Microsoft cost governance</t>
  </si>
  <si>
    <t>FinOps Foundation, Allocation y Unit Economics</t>
  </si>
  <si>
    <t>Uso en la política de asignación</t>
  </si>
  <si>
    <t>Evaluating the Implementation of the FinOps Framework; FinOps Foundation, Allocation</t>
  </si>
  <si>
    <t>FinOps Foundation, Allocation</t>
  </si>
  <si>
    <t>Resource Accounting of Shared IT Resources; FinOps Foundation, Allocation</t>
  </si>
  <si>
    <t>FinOps Foundation, Allocation y Microsoft cost governance</t>
  </si>
  <si>
    <t>FinOps Foundation, Allocation; FOCUS Specification 1.4; Microsoft cost governance</t>
  </si>
  <si>
    <t>FinOps Foundation, Allocation y FOCUS Specification 1.4</t>
  </si>
  <si>
    <t>REQUISITOS FUNCIONALES DE LA POLÍTICA</t>
  </si>
  <si>
    <t>Manurung y Aji</t>
  </si>
  <si>
    <t>FinOps Foundation, Unit Economics y Allocation</t>
  </si>
  <si>
    <t>FUENTES UTILIZADAS</t>
  </si>
  <si>
    <t>FinOps Foundation — Allocation</t>
  </si>
  <si>
    <t>FinOps Foundation — Unit Economics</t>
  </si>
  <si>
    <t>Fuente oficial (fila / DOI)</t>
  </si>
  <si>
    <t>Fuente</t>
  </si>
  <si>
    <t>Control automatizable / salida operativa</t>
  </si>
  <si>
    <t>exportar_costos_asignados</t>
  </si>
  <si>
    <t>Tags obligatorios alineados con la política de etiquetado y asignación: project, environment, cost_center, owner_team, business_unit, application y allocation_target</t>
  </si>
  <si>
    <t>Resource Accounting of Shared IT Resources; FinOps Foundation, Allocation y Unit Economics</t>
  </si>
  <si>
    <t>Tak et al. (2017)</t>
  </si>
  <si>
    <t>Salida requerida para la operación</t>
  </si>
  <si>
    <t>Google Cloud</t>
  </si>
  <si>
    <t>southamerica-west1 (Santiago)</t>
  </si>
  <si>
    <t>USD/vCPU-h + GiB-h; discos y red separados</t>
  </si>
  <si>
    <t>USD</t>
  </si>
  <si>
    <t>us-central1 (Council Bluffs, Iowa)</t>
  </si>
  <si>
    <t>Microsoft Azure</t>
  </si>
  <si>
    <t>eastus (Virginia)</t>
  </si>
  <si>
    <t>Amazon Web Services</t>
  </si>
  <si>
    <t>us-east-1 (N. Virginia)</t>
  </si>
  <si>
    <t>URL original</t>
  </si>
  <si>
    <t>Uso / alcance</t>
  </si>
  <si>
    <t>https://cloud.google.com/products/compute/pricing</t>
  </si>
  <si>
    <t>https://azure.microsoft.com/en-us/explore/global-infrastructure/products-by-region/</t>
  </si>
  <si>
    <t>https://azure.microsoft.com/en-us/pricing/calculator/</t>
  </si>
  <si>
    <t>https://aws.amazon.com/ec2/pricing/on-demand/</t>
  </si>
  <si>
    <t>Servicio comparable</t>
  </si>
  <si>
    <t>Residencia / soberania</t>
  </si>
  <si>
    <t>Par ID</t>
  </si>
  <si>
    <t>SKU Chile / regional</t>
  </si>
  <si>
    <t>SKU EE.UU.</t>
  </si>
  <si>
    <t>Uso Chile / regional</t>
  </si>
  <si>
    <t>Uso EE.UU.</t>
  </si>
  <si>
    <t>Moneda regional</t>
  </si>
  <si>
    <t>Moneda EE.UU.</t>
  </si>
  <si>
    <t>Fecha tarifa regional</t>
  </si>
  <si>
    <t>Fecha tarifa EE.UU.</t>
  </si>
  <si>
    <t>Precio regional (USD/unidad)</t>
  </si>
  <si>
    <t>Precio EE.UU. (USD/unidad)</t>
  </si>
  <si>
    <t>Prima calculada</t>
  </si>
  <si>
    <t>Control de comparabilidad</t>
  </si>
  <si>
    <t>Fuente oficial / evidencia</t>
  </si>
  <si>
    <t>Region EE.UU. asociada</t>
  </si>
  <si>
    <t>chilecentral (Santiago)</t>
  </si>
  <si>
    <t>Azure Database for PostgreSQL - Flexible Server; PostgreSQL disponible; geo-backup no confirmado/limitado para esta region</t>
  </si>
  <si>
    <t>USD/vCore-h + GiB-mes; almacenamiento y backup separados</t>
  </si>
  <si>
    <t>Chile Central; validar residencia por servicio y plan</t>
  </si>
  <si>
    <t>Pendiente: medir desde Santiago y confirmar disponibilidad/zones</t>
  </si>
  <si>
    <t>AZ-PG-01</t>
  </si>
  <si>
    <t>Azure Database for PostgreSQL Flexible Server; SKU exacto pendiente</t>
  </si>
  <si>
    <t>Azure Database for PostgreSQL Flexible Server; mismo SKU pendiente</t>
  </si>
  <si>
    <t>Pendiente: vCore, memoria, almacenamiento, horas y backup</t>
  </si>
  <si>
    <t>Pendiente: mismo escenario que Chile</t>
  </si>
  <si>
    <t>Azure regions list; PostgreSQL Flexible Server docs; FP-174 Jira comment 10579</t>
  </si>
  <si>
    <t>eastus</t>
  </si>
  <si>
    <t>Azure Database for PostgreSQL - Flexible Server; PostgreSQL disponible; geo-backup disponible segÃºn evidencia de FP-174, validar plan</t>
  </si>
  <si>
    <t>Estados Unidos; validar residencia por servicio y plan</t>
  </si>
  <si>
    <t>Base US; disponibilidad/zones deben coincidir con el SKU</t>
  </si>
  <si>
    <t>BASE-AZ-PG-01</t>
  </si>
  <si>
    <t>Mismo SKU de fila Chile; pendiente</t>
  </si>
  <si>
    <t>Mismo escenario de fila Chile; pendiente</t>
  </si>
  <si>
    <t>Base US para AZ-PG-01</t>
  </si>
  <si>
    <t>Compute Engine; familias disponibles por zona; confirmar maquina exacta</t>
  </si>
  <si>
    <t>Santiago; residencia efectiva depende del producto y terminos</t>
  </si>
  <si>
    <t>Pendiente: medir desde caso real y validar zona/SKU</t>
  </si>
  <si>
    <t>GCP-COMPUTE-01</t>
  </si>
  <si>
    <t>Pendiente: serie y machine type exactos</t>
  </si>
  <si>
    <t>Pendiente: mismo machine type en us-central1</t>
  </si>
  <si>
    <t>Pendiente: vCPU, memoria, disco, red y horas</t>
  </si>
  <si>
    <t>Pendiente: mismo escenario que Santiago</t>
  </si>
  <si>
    <t>Google regions/zones; Compute pricing</t>
  </si>
  <si>
    <t>us-central1</t>
  </si>
  <si>
    <t>Compute Engine; base estadounidense para el par GCP-COMPUTE-01</t>
  </si>
  <si>
    <t>Iowa; validar residencia y servicio especifico</t>
  </si>
  <si>
    <t>Base US; disponibilidad debe coincidir con southamerica-west1</t>
  </si>
  <si>
    <t>BASE-GCP-COMPUTE-01</t>
  </si>
  <si>
    <t>Mismo machine type de Santiago; pendiente</t>
  </si>
  <si>
    <t>Mismo escenario de Santiago; pendiente</t>
  </si>
  <si>
    <t>Base US para GCP-COMPUTE-01</t>
  </si>
  <si>
    <t>southamerica-east1 (Sao Paulo)</t>
  </si>
  <si>
    <t>Compute Engine; alternativa sudamericana, no sustituye la comparacion Chile-US</t>
  </si>
  <si>
    <t>Sao Paulo; validar residencia y servicio especifico</t>
  </si>
  <si>
    <t>Pendiente: medir desde Santiago y validar disponibilidad</t>
  </si>
  <si>
    <t>GCP-SA-01</t>
  </si>
  <si>
    <t>Pendiente: machine type exacto</t>
  </si>
  <si>
    <t>Pendiente: mismo escenario</t>
  </si>
  <si>
    <t>Alternativa; no usar como prima Chile</t>
  </si>
  <si>
    <t>brazilsouth (Sao Paulo)</t>
  </si>
  <si>
    <t>Azure PostgreSQL/VM: alternativa sudamericana; confirmar producto/SKU</t>
  </si>
  <si>
    <t>USD/vCore-h o VM-h; almacenamiento y backup separados</t>
  </si>
  <si>
    <t>Brasil; validar residencia por servicio</t>
  </si>
  <si>
    <t>AZ-SA-01</t>
  </si>
  <si>
    <t>Pendiente: producto y SKU exactos</t>
  </si>
  <si>
    <t>Pendiente: mismo producto/SKU en eastus</t>
  </si>
  <si>
    <t>sa-east-1 (Sao Paulo)</t>
  </si>
  <si>
    <t>EC2/EBS/RDS y servicios regionales; confirmar producto/SKU</t>
  </si>
  <si>
    <t>USD/instance-h; almacenamiento, red y transferencia separados</t>
  </si>
  <si>
    <t>Sao Paulo; sujeto a reglas del servicio</t>
  </si>
  <si>
    <t>Pendiente: medir desde Santiago y disponibilidad del SKU</t>
  </si>
  <si>
    <t>AWS-SA-01</t>
  </si>
  <si>
    <t>Pendiente: instancia/servicio exacto</t>
  </si>
  <si>
    <t>Pendiente: mismo SKU en us-east-1</t>
  </si>
  <si>
    <t>Pendiente: instancia, almacenamiento, red y horas</t>
  </si>
  <si>
    <t>AWS regions; services by region; pricing</t>
  </si>
  <si>
    <t>us-east-1</t>
  </si>
  <si>
    <t>EC2/EBS/RDS y servicios regionales; base US para AWS-SA-01</t>
  </si>
  <si>
    <t>N. Virginia; validar residencia por servicio</t>
  </si>
  <si>
    <t>Base US; disponibilidad debe coincidir con sa-east-1</t>
  </si>
  <si>
    <t>BASE-AWS-SA-01</t>
  </si>
  <si>
    <t>Mismo SKU de sa-east-1; pendiente</t>
  </si>
  <si>
    <t>Mismo escenario de sa-east-1; pendiente</t>
  </si>
  <si>
    <t>Base US para AWS-SA-01</t>
  </si>
  <si>
    <t>Chile (sin ID operativo confirmado)</t>
  </si>
  <si>
    <t>No existe region AWS operativa con ID publico en la fuente oficial consultada</t>
  </si>
  <si>
    <t>No aplica hasta disponibilidad y publicacion de tarifas</t>
  </si>
  <si>
    <t>No inferir residencia regional mientras no exista region operativa</t>
  </si>
  <si>
    <t>Excluir del calculo; no es una region comparable</t>
  </si>
  <si>
    <t>AWS-CL-NA</t>
  </si>
  <si>
    <t>No aplica</t>
  </si>
  <si>
    <t>No comparable: excluir hasta disponibilidad oficial</t>
  </si>
  <si>
    <t>Base US: completar junto con la fila regional asociada</t>
  </si>
  <si>
    <t>Base US: no representa una prima regional</t>
  </si>
  <si>
    <t>No comparable: excluir del calculo hasta disponibilidad oficial</t>
  </si>
  <si>
    <t>FUENTES LIMPIAS - FP-174</t>
  </si>
  <si>
    <t>Microsoft Azure - regions list</t>
  </si>
  <si>
    <t>https://learn.microsoft.com/en-us/azure/reliability/regions-list</t>
  </si>
  <si>
    <t>Programmatic names chilecentral and eastus; geography and availability zones</t>
  </si>
  <si>
    <t>Microsoft Azure - PostgreSQL Flexible Server</t>
  </si>
  <si>
    <t>https://learn.microsoft.com/en-us/azure/postgresql/flexible-server/overview</t>
  </si>
  <si>
    <t>Service scope; PostgreSQL availability and service constraints</t>
  </si>
  <si>
    <t>Microsoft Azure - products by region</t>
  </si>
  <si>
    <t>Validate product/SKU availability by region</t>
  </si>
  <si>
    <t>Microsoft Azure - pricing calculator</t>
  </si>
  <si>
    <t>Reproducible quote once SKU and usage are fixed</t>
  </si>
  <si>
    <t>Google Cloud - regions and zones</t>
  </si>
  <si>
    <t>https://docs.cloud.google.com/compute/docs/regions-zones</t>
  </si>
  <si>
    <t>Region IDs, zones and machine families</t>
  </si>
  <si>
    <t>Google Cloud - Compute Engine pricing</t>
  </si>
  <si>
    <t>Pricing units and official quote source</t>
  </si>
  <si>
    <t>AWS - regions and availability</t>
  </si>
  <si>
    <t>https://docs.aws.amazon.com/global-infrastructure/latest/regions/aws-regions.html</t>
  </si>
  <si>
    <t>Operational region IDs and absence of Chile region</t>
  </si>
  <si>
    <t>AWS - EC2 On-Demand pricing</t>
  </si>
  <si>
    <t>Pricing unit and quote source</t>
  </si>
  <si>
    <t>ESTADO FP-174 - V6</t>
  </si>
  <si>
    <t>Completitud estimada: 85%. Completado: regiones e IDs oficiales, proveedor/servicio, unidad/moneda/fecha de consulta, residencia, disponibilidad, par regional-US, fuentes y controles de no comparabilidad.</t>
  </si>
  <si>
    <t>Pendiente (15%): medir latencia desde Santiago; fijar SKU y escenario de uso; obtener cotizaciones oficiales con la misma fecha; completar precios y calcular la prima numÃ©rica.</t>
  </si>
  <si>
    <t>Matriz primaria: Azure PostgreSQL Flexible Server chilecentral vs eastus. Google Cloud y AWS quedan como alternativas; AWS Chile se excluye por no tener regiÃ³n operativa confirmada.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</si>
</sst>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;[Red]\(&quot;$&quot;#,##0.00\);&quot;-&quot;"/>
    <numFmt numFmtId="166" formatCode="#,000%"/>
  </numFmts>
  <fonts count="17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sz val="10"/>
      <color rgb="FF1F2937"/>
      <name val="Aptos"/>
      <family val="2"/>
    </font>
    <font>
      <b/>
      <sz val="10"/>
      <color rgb="FF274E13"/>
      <name val="Aptos"/>
      <family val="2"/>
    </font>
    <font>
      <sz val="10"/>
      <color theme="1"/>
      <name val="Aptos Narrow"/>
      <family val="2"/>
    </font>
    <font>
      <b/>
      <sz val="10"/>
      <color rgb="FF333333"/>
      <name val="Aptos Narrow"/>
      <family val="2"/>
    </font>
    <font>
      <b/>
      <sz val="10"/>
      <color rgb="FFFFFFFF"/>
      <name val="Aptos Display"/>
      <family val="2"/>
    </font>
    <font>
      <b/>
      <sz val="14"/>
      <color rgb="FFFFFFFF"/>
      <name val="Aptos Display"/>
      <family val="2"/>
    </font>
    <font>
      <b/>
      <sz val="10"/>
      <color rgb="FF333333"/>
      <name val="Aptos"/>
      <family val="2"/>
    </font>
    <font>
      <b/>
      <sz val="11"/>
      <color rgb="FF333333"/>
      <name val="Aptos"/>
      <family val="2"/>
    </font>
    <font>
      <b/>
      <sz val="12"/>
      <color rgb="FF333333"/>
      <name val="Aptos"/>
      <family val="2"/>
    </font>
    <font>
      <b/>
      <sz val="12"/>
      <color rgb="FF274E13"/>
      <name val="Aptos"/>
      <family val="2"/>
    </font>
    <font>
      <sz val="12"/>
      <color theme="1"/>
      <name val="Aptos Narrow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sz val="9"/>
      <color theme="1"/>
      <name val="Aptos"/>
      <family val="2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9EAD3"/>
      </patternFill>
    </fill>
    <fill>
      <patternFill patternType="solid">
        <fgColor rgb="FF00B0F0"/>
      </patternFill>
    </fill>
    <fill>
      <patternFill patternType="solid">
        <fgColor rgb="FFD9D9D9"/>
      </patternFill>
    </fill>
    <fill>
      <patternFill patternType="solid">
        <fgColor rgb="FF2A43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9" fillId="5" borderId="0" xfId="0" applyFont="1" applyFill="1" applyAlignment="1">
      <alignment horizontal="left" vertical="top" wrapText="1"/>
    </xf>
    <xf numFmtId="0" fontId="8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4" fontId="3" fillId="4" borderId="2" xfId="0" applyNumberFormat="1" applyFont="1" applyFill="1" applyBorder="1" applyAlignment="1">
      <alignment horizontal="left" vertical="top" wrapText="1"/>
    </xf>
    <xf numFmtId="164" fontId="3" fillId="4" borderId="2" xfId="0" applyNumberFormat="1" applyFont="1" applyFill="1" applyBorder="1" applyAlignment="1">
      <alignment horizontal="left" vertical="top" wrapText="1"/>
    </xf>
    <xf numFmtId="165" fontId="3" fillId="4" borderId="2" xfId="0" applyNumberFormat="1" applyFont="1" applyFill="1" applyBorder="1" applyAlignment="1">
      <alignment horizontal="left" vertical="top" wrapText="1"/>
    </xf>
    <xf numFmtId="0" fontId="10" fillId="5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left" vertical="top" wrapText="1"/>
    </xf>
    <xf numFmtId="0" fontId="12" fillId="0" borderId="0" xfId="0" applyFont="1"/>
    <xf numFmtId="0" fontId="13" fillId="0" borderId="3" xfId="0" applyFont="1" applyBorder="1" applyAlignment="1">
      <alignment horizontal="left" vertical="top" wrapText="1"/>
    </xf>
    <xf numFmtId="49" fontId="13" fillId="0" borderId="3" xfId="0" applyNumberFormat="1" applyFont="1" applyBorder="1" applyAlignment="1">
      <alignment horizontal="left" vertical="top" wrapText="1"/>
    </xf>
    <xf numFmtId="0" fontId="13" fillId="0" borderId="3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8" fillId="4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66" fontId="0" fillId="0" borderId="1" xfId="0" applyNumberFormat="1" applyBorder="1" applyAlignment="1">
      <alignment wrapText="1"/>
    </xf>
    <xf numFmtId="0" fontId="14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34.77734375" customWidth="1"/>
    <col min="2" max="2" width="38.77734375" customWidth="1"/>
    <col min="3" max="4" width="34.77734375" customWidth="1"/>
    <col min="5" max="5" width="26.77734375" customWidth="1"/>
    <col min="6" max="6" width="30.77734375" customWidth="1"/>
    <col min="7" max="7" width="14.77734375" customWidth="1"/>
  </cols>
  <sheetData>
    <row r="1" spans="1:7" s="1" customForma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5" t="s">
        <v>8</v>
      </c>
      <c r="B2" s="5"/>
      <c r="C2" s="5"/>
      <c r="D2" s="5"/>
      <c r="E2" s="5"/>
      <c r="F2" s="5"/>
      <c r="G2" s="5"/>
    </row>
    <row r="3" spans="1:7" x14ac:dyDescent="0.3">
      <c r="A3" s="5" t="s">
        <v>9</v>
      </c>
      <c r="B3" s="5"/>
      <c r="C3" s="5"/>
      <c r="D3" s="5"/>
      <c r="E3" s="5"/>
      <c r="F3" s="5"/>
      <c r="G3" s="5"/>
    </row>
    <row r="4" spans="1:7" x14ac:dyDescent="0.3">
      <c r="A4" s="5" t="s">
        <v>10</v>
      </c>
      <c r="B4" s="5"/>
      <c r="C4" s="5"/>
      <c r="D4" s="5"/>
      <c r="E4" s="5"/>
      <c r="F4" s="5"/>
      <c r="G4" s="5"/>
    </row>
    <row r="5" spans="1:7" x14ac:dyDescent="0.3">
      <c r="A5" s="5" t="s">
        <v>11</v>
      </c>
      <c r="B5" s="5"/>
      <c r="C5" s="5"/>
      <c r="D5" s="5"/>
      <c r="E5" s="5"/>
      <c r="F5" s="5"/>
      <c r="G5" s="5"/>
    </row>
    <row r="6" spans="1:7" x14ac:dyDescent="0.3">
      <c r="A6" s="5" t="s">
        <v>12</v>
      </c>
      <c r="B6" s="5"/>
      <c r="C6" s="5"/>
      <c r="D6" s="5"/>
      <c r="E6" s="5"/>
      <c r="F6" s="5"/>
      <c r="G6" s="5"/>
    </row>
    <row r="7" spans="1:7" ht="27.6" x14ac:dyDescent="0.3">
      <c r="A7" s="5" t="s">
        <v>13</v>
      </c>
      <c r="B7" s="5"/>
      <c r="C7" s="5"/>
      <c r="D7" s="5"/>
      <c r="E7" s="5"/>
      <c r="F7" s="5"/>
      <c r="G7" s="5"/>
    </row>
    <row r="8" spans="1:7" x14ac:dyDescent="0.3">
      <c r="A8" s="5" t="s">
        <v>14</v>
      </c>
      <c r="B8" s="5"/>
      <c r="C8" s="5"/>
      <c r="D8" s="5"/>
      <c r="E8" s="5"/>
      <c r="F8" s="5"/>
      <c r="G8" s="5"/>
    </row>
    <row r="9" spans="1:7" x14ac:dyDescent="0.3">
      <c r="A9" s="5" t="s">
        <v>15</v>
      </c>
      <c r="B9" s="5"/>
      <c r="C9" s="5"/>
      <c r="D9" s="5"/>
      <c r="E9" s="5"/>
      <c r="F9" s="5"/>
      <c r="G9" s="5"/>
    </row>
    <row r="10" spans="1:7" x14ac:dyDescent="0.3">
      <c r="A10" s="5" t="s">
        <v>16</v>
      </c>
      <c r="B10" s="5"/>
      <c r="C10" s="5"/>
      <c r="D10" s="5"/>
      <c r="E10" s="5"/>
      <c r="F10" s="5"/>
      <c r="G10" s="5"/>
    </row>
    <row r="11" spans="1:7" x14ac:dyDescent="0.3">
      <c r="A11" s="5" t="s">
        <v>17</v>
      </c>
      <c r="B11" s="5"/>
      <c r="C11" s="5"/>
      <c r="D11" s="5"/>
      <c r="E11" s="5"/>
      <c r="F11" s="5"/>
      <c r="G11" s="5"/>
    </row>
    <row r="12" spans="1:7" x14ac:dyDescent="0.3">
      <c r="A12" s="5" t="s">
        <v>18</v>
      </c>
      <c r="B12" s="5"/>
      <c r="C12" s="5"/>
      <c r="D12" s="5"/>
      <c r="E12" s="5"/>
      <c r="F12" s="5"/>
      <c r="G12" s="5"/>
    </row>
    <row r="13" spans="1:7" x14ac:dyDescent="0.3">
      <c r="A13" s="5" t="s">
        <v>19</v>
      </c>
      <c r="B13" s="5"/>
      <c r="C13" s="5"/>
      <c r="D13" s="5"/>
      <c r="E13" s="5"/>
      <c r="F13" s="5"/>
      <c r="G13" s="5"/>
    </row>
    <row r="14" spans="1:7" x14ac:dyDescent="0.3">
      <c r="A14" s="5" t="s">
        <v>20</v>
      </c>
      <c r="B14" s="5"/>
      <c r="C14" s="5"/>
      <c r="D14" s="5"/>
      <c r="E14" s="5"/>
      <c r="F14" s="5"/>
      <c r="G14" s="5"/>
    </row>
    <row r="15" spans="1:7" x14ac:dyDescent="0.3">
      <c r="A15" s="2"/>
      <c r="B15" s="2"/>
      <c r="C15" s="2"/>
      <c r="D15" s="2"/>
      <c r="E15" s="2"/>
      <c r="F15" s="2"/>
      <c r="G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0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7.77734375" customWidth="1"/>
    <col min="2" max="2" width="26.77734375" customWidth="1"/>
    <col min="3" max="3" width="32.77734375" customWidth="1"/>
    <col min="4" max="4" width="30.77734375" customWidth="1"/>
    <col min="5" max="5" width="24.77734375" customWidth="1"/>
    <col min="6" max="7" width="34.77734375" customWidth="1"/>
    <col min="8" max="8" width="26.77734375" customWidth="1"/>
    <col min="9" max="9" width="15.77734375" customWidth="1"/>
    <col min="10" max="10" width="46.77734375" customWidth="1"/>
  </cols>
  <sheetData>
    <row r="1" spans="1:10" s="1" customFormat="1" ht="90" x14ac:dyDescent="0.3">
      <c r="A1" s="9" t="s">
        <v>21</v>
      </c>
      <c r="B1" s="7"/>
      <c r="C1" s="7"/>
      <c r="D1" s="7"/>
      <c r="E1" s="7"/>
      <c r="F1" s="7"/>
      <c r="G1" s="7"/>
      <c r="H1" s="7"/>
      <c r="I1" s="7"/>
      <c r="J1" s="7"/>
    </row>
    <row r="2" spans="1:10" s="1" customFormat="1" ht="27.6" x14ac:dyDescent="0.3">
      <c r="A2" s="10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429</v>
      </c>
      <c r="H2" s="8" t="s">
        <v>28</v>
      </c>
      <c r="I2" s="7"/>
      <c r="J2" s="7"/>
    </row>
    <row r="3" spans="1:10" s="1" customFormat="1" x14ac:dyDescent="0.3">
      <c r="A3" s="11"/>
      <c r="B3" s="11"/>
      <c r="C3" s="11"/>
      <c r="D3" s="11"/>
      <c r="E3" s="11"/>
      <c r="F3" s="11"/>
      <c r="G3" s="11"/>
      <c r="H3" s="11"/>
      <c r="I3" s="7"/>
      <c r="J3" s="7"/>
    </row>
    <row r="4" spans="1:10" ht="41.4" x14ac:dyDescent="0.3">
      <c r="A4" s="12" t="s">
        <v>270</v>
      </c>
      <c r="B4" s="12" t="s">
        <v>271</v>
      </c>
      <c r="C4" s="12" t="s">
        <v>272</v>
      </c>
      <c r="D4" s="12" t="s">
        <v>273</v>
      </c>
      <c r="E4" s="12" t="s">
        <v>274</v>
      </c>
      <c r="F4" s="12" t="s">
        <v>275</v>
      </c>
      <c r="G4" s="12" t="s">
        <v>276</v>
      </c>
      <c r="H4" s="12" t="s">
        <v>416</v>
      </c>
      <c r="I4" s="6"/>
      <c r="J4" s="6"/>
    </row>
    <row r="5" spans="1:10" ht="27.6" x14ac:dyDescent="0.3">
      <c r="A5" s="12" t="s">
        <v>277</v>
      </c>
      <c r="B5" s="12" t="s">
        <v>271</v>
      </c>
      <c r="C5" s="12" t="s">
        <v>278</v>
      </c>
      <c r="D5" s="12" t="s">
        <v>279</v>
      </c>
      <c r="E5" s="12" t="s">
        <v>140</v>
      </c>
      <c r="F5" s="12" t="s">
        <v>280</v>
      </c>
      <c r="G5" s="12" t="s">
        <v>281</v>
      </c>
      <c r="H5" s="12" t="s">
        <v>416</v>
      </c>
      <c r="I5" s="6"/>
      <c r="J5" s="6"/>
    </row>
    <row r="6" spans="1:10" ht="41.4" x14ac:dyDescent="0.3">
      <c r="A6" s="12" t="s">
        <v>282</v>
      </c>
      <c r="B6" s="12" t="s">
        <v>271</v>
      </c>
      <c r="C6" s="12" t="s">
        <v>283</v>
      </c>
      <c r="D6" s="12" t="s">
        <v>284</v>
      </c>
      <c r="E6" s="12" t="s">
        <v>285</v>
      </c>
      <c r="F6" s="12" t="s">
        <v>286</v>
      </c>
      <c r="G6" s="12" t="s">
        <v>287</v>
      </c>
      <c r="H6" s="12" t="s">
        <v>423</v>
      </c>
      <c r="I6" s="6"/>
      <c r="J6" s="6"/>
    </row>
    <row r="7" spans="1:10" ht="41.4" x14ac:dyDescent="0.3">
      <c r="A7" s="12" t="s">
        <v>288</v>
      </c>
      <c r="B7" s="12" t="s">
        <v>271</v>
      </c>
      <c r="C7" s="12" t="s">
        <v>289</v>
      </c>
      <c r="D7" s="12" t="s">
        <v>290</v>
      </c>
      <c r="E7" s="12" t="s">
        <v>291</v>
      </c>
      <c r="F7" s="12" t="s">
        <v>292</v>
      </c>
      <c r="G7" s="12" t="s">
        <v>293</v>
      </c>
      <c r="H7" s="12" t="s">
        <v>423</v>
      </c>
      <c r="I7" s="6"/>
      <c r="J7" s="6"/>
    </row>
    <row r="8" spans="1:10" ht="27.6" x14ac:dyDescent="0.3">
      <c r="A8" s="12" t="s">
        <v>294</v>
      </c>
      <c r="B8" s="12" t="s">
        <v>271</v>
      </c>
      <c r="C8" s="12" t="s">
        <v>295</v>
      </c>
      <c r="D8" s="12" t="s">
        <v>296</v>
      </c>
      <c r="E8" s="12" t="s">
        <v>297</v>
      </c>
      <c r="F8" s="12" t="s">
        <v>298</v>
      </c>
      <c r="G8" s="12" t="s">
        <v>299</v>
      </c>
      <c r="H8" s="12" t="s">
        <v>418</v>
      </c>
      <c r="I8" s="6"/>
      <c r="J8" s="6"/>
    </row>
    <row r="9" spans="1:10" ht="27.6" x14ac:dyDescent="0.3">
      <c r="A9" s="12" t="s">
        <v>300</v>
      </c>
      <c r="B9" s="12" t="s">
        <v>271</v>
      </c>
      <c r="C9" s="12" t="s">
        <v>301</v>
      </c>
      <c r="D9" s="12" t="s">
        <v>302</v>
      </c>
      <c r="E9" s="12" t="s">
        <v>165</v>
      </c>
      <c r="F9" s="12" t="s">
        <v>303</v>
      </c>
      <c r="G9" s="12" t="s">
        <v>304</v>
      </c>
      <c r="H9" s="12" t="s">
        <v>418</v>
      </c>
      <c r="I9" s="6"/>
      <c r="J9" s="6"/>
    </row>
    <row r="10" spans="1:10" ht="82.8" x14ac:dyDescent="0.3">
      <c r="A10" s="6" t="s">
        <v>305</v>
      </c>
      <c r="B10" s="6" t="s">
        <v>271</v>
      </c>
      <c r="C10" s="6" t="s">
        <v>306</v>
      </c>
      <c r="D10" s="6" t="s">
        <v>307</v>
      </c>
      <c r="E10" s="6" t="s">
        <v>170</v>
      </c>
      <c r="F10" s="6" t="s">
        <v>308</v>
      </c>
      <c r="G10" s="6" t="s">
        <v>403</v>
      </c>
      <c r="H10" s="6" t="s">
        <v>419</v>
      </c>
      <c r="I10" s="6"/>
      <c r="J10" s="6"/>
    </row>
    <row r="11" spans="1:10" ht="43.2" x14ac:dyDescent="0.3">
      <c r="A11" s="10" t="s">
        <v>309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27.6" x14ac:dyDescent="0.3">
      <c r="A12" s="11" t="s">
        <v>310</v>
      </c>
      <c r="B12" s="11" t="s">
        <v>29</v>
      </c>
      <c r="C12" s="11" t="s">
        <v>30</v>
      </c>
      <c r="D12" s="11" t="s">
        <v>31</v>
      </c>
      <c r="E12" s="11" t="s">
        <v>32</v>
      </c>
      <c r="F12" s="11" t="s">
        <v>33</v>
      </c>
      <c r="G12" s="11" t="s">
        <v>434</v>
      </c>
      <c r="H12" s="11" t="s">
        <v>28</v>
      </c>
      <c r="I12" s="6"/>
      <c r="J12" s="6"/>
    </row>
    <row r="13" spans="1:10" ht="27.6" x14ac:dyDescent="0.3">
      <c r="A13" s="12" t="s">
        <v>34</v>
      </c>
      <c r="B13" s="12" t="s">
        <v>35</v>
      </c>
      <c r="C13" s="12" t="s">
        <v>311</v>
      </c>
      <c r="D13" s="12" t="s">
        <v>36</v>
      </c>
      <c r="E13" s="12" t="s">
        <v>37</v>
      </c>
      <c r="F13" s="12" t="s">
        <v>38</v>
      </c>
      <c r="G13" s="12" t="s">
        <v>39</v>
      </c>
      <c r="H13" s="12" t="s">
        <v>413</v>
      </c>
      <c r="I13" s="6"/>
      <c r="J13" s="6"/>
    </row>
    <row r="14" spans="1:10" ht="27.6" x14ac:dyDescent="0.3">
      <c r="A14" s="12" t="s">
        <v>40</v>
      </c>
      <c r="B14" s="12" t="s">
        <v>41</v>
      </c>
      <c r="C14" s="12" t="s">
        <v>312</v>
      </c>
      <c r="D14" s="12" t="s">
        <v>42</v>
      </c>
      <c r="E14" s="12" t="s">
        <v>37</v>
      </c>
      <c r="F14" s="12" t="s">
        <v>43</v>
      </c>
      <c r="G14" s="12" t="s">
        <v>39</v>
      </c>
      <c r="H14" s="12" t="s">
        <v>413</v>
      </c>
      <c r="I14" s="6"/>
      <c r="J14" s="6"/>
    </row>
    <row r="15" spans="1:10" ht="55.2" x14ac:dyDescent="0.3">
      <c r="A15" s="12" t="s">
        <v>44</v>
      </c>
      <c r="B15" s="12" t="s">
        <v>45</v>
      </c>
      <c r="C15" s="12" t="s">
        <v>313</v>
      </c>
      <c r="D15" s="12" t="s">
        <v>46</v>
      </c>
      <c r="E15" s="12" t="s">
        <v>47</v>
      </c>
      <c r="F15" s="12" t="s">
        <v>48</v>
      </c>
      <c r="G15" s="12" t="s">
        <v>39</v>
      </c>
      <c r="H15" s="12" t="s">
        <v>432</v>
      </c>
      <c r="I15" s="6"/>
      <c r="J15" s="6"/>
    </row>
    <row r="16" spans="1:10" ht="55.2" x14ac:dyDescent="0.3">
      <c r="A16" s="12" t="s">
        <v>49</v>
      </c>
      <c r="B16" s="12" t="s">
        <v>50</v>
      </c>
      <c r="C16" s="12" t="s">
        <v>314</v>
      </c>
      <c r="D16" s="12" t="s">
        <v>51</v>
      </c>
      <c r="E16" s="12" t="s">
        <v>52</v>
      </c>
      <c r="F16" s="12" t="s">
        <v>53</v>
      </c>
      <c r="G16" s="12" t="s">
        <v>54</v>
      </c>
      <c r="H16" s="12" t="s">
        <v>432</v>
      </c>
      <c r="I16" s="6"/>
      <c r="J16" s="6"/>
    </row>
    <row r="17" spans="1:10" ht="41.4" x14ac:dyDescent="0.3">
      <c r="A17" s="12" t="s">
        <v>55</v>
      </c>
      <c r="B17" s="12" t="s">
        <v>56</v>
      </c>
      <c r="C17" s="12" t="s">
        <v>315</v>
      </c>
      <c r="D17" s="12" t="s">
        <v>57</v>
      </c>
      <c r="E17" s="12" t="s">
        <v>58</v>
      </c>
      <c r="F17" s="12" t="s">
        <v>59</v>
      </c>
      <c r="G17" s="12" t="s">
        <v>60</v>
      </c>
      <c r="H17" s="12" t="s">
        <v>417</v>
      </c>
      <c r="I17" s="6"/>
      <c r="J17" s="6"/>
    </row>
    <row r="18" spans="1:10" ht="41.4" x14ac:dyDescent="0.3">
      <c r="A18" s="12" t="s">
        <v>61</v>
      </c>
      <c r="B18" s="12" t="s">
        <v>62</v>
      </c>
      <c r="C18" s="12" t="s">
        <v>316</v>
      </c>
      <c r="D18" s="12" t="s">
        <v>63</v>
      </c>
      <c r="E18" s="12" t="s">
        <v>64</v>
      </c>
      <c r="F18" s="12" t="s">
        <v>65</v>
      </c>
      <c r="G18" s="12" t="s">
        <v>66</v>
      </c>
      <c r="H18" s="12" t="s">
        <v>415</v>
      </c>
      <c r="I18" s="6"/>
      <c r="J18" s="6"/>
    </row>
    <row r="19" spans="1:1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28.8" x14ac:dyDescent="0.3">
      <c r="A20" s="10" t="s">
        <v>67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11" t="s">
        <v>68</v>
      </c>
      <c r="B21" s="11" t="s">
        <v>69</v>
      </c>
      <c r="C21" s="11" t="s">
        <v>70</v>
      </c>
      <c r="D21" s="11" t="s">
        <v>71</v>
      </c>
      <c r="E21" s="11" t="s">
        <v>72</v>
      </c>
      <c r="F21" s="11" t="s">
        <v>73</v>
      </c>
      <c r="G21" s="11" t="s">
        <v>0</v>
      </c>
      <c r="H21" s="11" t="s">
        <v>28</v>
      </c>
      <c r="I21" s="6"/>
      <c r="J21" s="6"/>
    </row>
    <row r="22" spans="1:10" ht="41.4" x14ac:dyDescent="0.3">
      <c r="A22" s="12" t="s">
        <v>74</v>
      </c>
      <c r="B22" s="12" t="s">
        <v>75</v>
      </c>
      <c r="C22" s="12" t="s">
        <v>317</v>
      </c>
      <c r="D22" s="12" t="s">
        <v>76</v>
      </c>
      <c r="E22" s="12" t="s">
        <v>399</v>
      </c>
      <c r="F22" s="12" t="s">
        <v>77</v>
      </c>
      <c r="G22" s="12" t="s">
        <v>78</v>
      </c>
      <c r="H22" s="12" t="s">
        <v>416</v>
      </c>
      <c r="I22" s="6"/>
      <c r="J22" s="6"/>
    </row>
    <row r="23" spans="1:10" ht="41.4" x14ac:dyDescent="0.3">
      <c r="A23" s="12" t="s">
        <v>79</v>
      </c>
      <c r="B23" s="12" t="s">
        <v>80</v>
      </c>
      <c r="C23" s="12" t="s">
        <v>81</v>
      </c>
      <c r="D23" s="12" t="s">
        <v>82</v>
      </c>
      <c r="E23" s="12" t="s">
        <v>83</v>
      </c>
      <c r="F23" s="12" t="s">
        <v>84</v>
      </c>
      <c r="G23" s="12" t="s">
        <v>85</v>
      </c>
      <c r="H23" s="12" t="s">
        <v>417</v>
      </c>
      <c r="I23" s="6"/>
      <c r="J23" s="6"/>
    </row>
    <row r="24" spans="1:10" ht="41.4" x14ac:dyDescent="0.3">
      <c r="A24" s="12" t="s">
        <v>86</v>
      </c>
      <c r="B24" s="12" t="s">
        <v>87</v>
      </c>
      <c r="C24" s="12" t="s">
        <v>88</v>
      </c>
      <c r="D24" s="12" t="s">
        <v>89</v>
      </c>
      <c r="E24" s="12" t="s">
        <v>90</v>
      </c>
      <c r="F24" s="12" t="s">
        <v>84</v>
      </c>
      <c r="G24" s="12" t="s">
        <v>91</v>
      </c>
      <c r="H24" s="12" t="s">
        <v>417</v>
      </c>
      <c r="I24" s="6"/>
      <c r="J24" s="6"/>
    </row>
    <row r="25" spans="1:10" ht="41.4" x14ac:dyDescent="0.3">
      <c r="A25" s="12" t="s">
        <v>92</v>
      </c>
      <c r="B25" s="12" t="s">
        <v>93</v>
      </c>
      <c r="C25" s="12" t="s">
        <v>94</v>
      </c>
      <c r="D25" s="12" t="s">
        <v>95</v>
      </c>
      <c r="E25" s="12" t="s">
        <v>96</v>
      </c>
      <c r="F25" s="12" t="s">
        <v>84</v>
      </c>
      <c r="G25" s="12" t="s">
        <v>97</v>
      </c>
      <c r="H25" s="12" t="s">
        <v>416</v>
      </c>
      <c r="I25" s="6"/>
      <c r="J25" s="6"/>
    </row>
    <row r="26" spans="1:10" ht="41.4" x14ac:dyDescent="0.3">
      <c r="A26" s="12" t="s">
        <v>98</v>
      </c>
      <c r="B26" s="12" t="s">
        <v>99</v>
      </c>
      <c r="C26" s="12" t="s">
        <v>100</v>
      </c>
      <c r="D26" s="12" t="s">
        <v>101</v>
      </c>
      <c r="E26" s="12" t="s">
        <v>389</v>
      </c>
      <c r="F26" s="12" t="s">
        <v>77</v>
      </c>
      <c r="G26" s="12" t="s">
        <v>102</v>
      </c>
      <c r="H26" s="12" t="s">
        <v>416</v>
      </c>
      <c r="I26" s="6"/>
      <c r="J26" s="6"/>
    </row>
    <row r="27" spans="1:1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43.2" x14ac:dyDescent="0.3">
      <c r="A28" s="10" t="s">
        <v>103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ht="27.6" x14ac:dyDescent="0.3">
      <c r="A29" s="11" t="s">
        <v>104</v>
      </c>
      <c r="B29" s="11" t="s">
        <v>105</v>
      </c>
      <c r="C29" s="11" t="s">
        <v>106</v>
      </c>
      <c r="D29" s="11" t="s">
        <v>107</v>
      </c>
      <c r="E29" s="11" t="s">
        <v>108</v>
      </c>
      <c r="F29" s="11" t="s">
        <v>109</v>
      </c>
      <c r="G29" s="11" t="s">
        <v>110</v>
      </c>
      <c r="H29" s="11" t="s">
        <v>111</v>
      </c>
      <c r="I29" s="11" t="s">
        <v>112</v>
      </c>
      <c r="J29" s="11" t="s">
        <v>113</v>
      </c>
    </row>
    <row r="30" spans="1:10" x14ac:dyDescent="0.3">
      <c r="A30" s="12" t="s">
        <v>114</v>
      </c>
      <c r="B30" s="12" t="s">
        <v>34</v>
      </c>
      <c r="C30" s="12" t="s">
        <v>37</v>
      </c>
      <c r="D30" s="13">
        <v>6000</v>
      </c>
      <c r="E30" s="13">
        <f>SUM($D$30:$D$31)</f>
        <v>10000</v>
      </c>
      <c r="F30" s="13">
        <v>1000</v>
      </c>
      <c r="G30" s="14">
        <f>D30/E30</f>
        <v>0.6</v>
      </c>
      <c r="H30" s="15">
        <f>F30*G30</f>
        <v>600</v>
      </c>
      <c r="I30" s="15"/>
      <c r="J30" s="12" t="s">
        <v>115</v>
      </c>
    </row>
    <row r="31" spans="1:10" x14ac:dyDescent="0.3">
      <c r="A31" s="12" t="s">
        <v>114</v>
      </c>
      <c r="B31" s="12" t="s">
        <v>44</v>
      </c>
      <c r="C31" s="12" t="s">
        <v>37</v>
      </c>
      <c r="D31" s="13">
        <v>4000</v>
      </c>
      <c r="E31" s="13">
        <f>SUM($D$30:$D$31)</f>
        <v>10000</v>
      </c>
      <c r="F31" s="13">
        <v>1000</v>
      </c>
      <c r="G31" s="14">
        <f>D31/E31</f>
        <v>0.4</v>
      </c>
      <c r="H31" s="15">
        <f>F31*G31</f>
        <v>400</v>
      </c>
      <c r="I31" s="15"/>
      <c r="J31" s="12" t="s">
        <v>116</v>
      </c>
    </row>
    <row r="32" spans="1:10" x14ac:dyDescent="0.3">
      <c r="A32" s="16" t="s">
        <v>114</v>
      </c>
      <c r="B32" s="16" t="s">
        <v>117</v>
      </c>
      <c r="C32" s="16" t="s">
        <v>37</v>
      </c>
      <c r="D32" s="17">
        <f>SUM(D30:D31)</f>
        <v>10000</v>
      </c>
      <c r="E32" s="17">
        <f>MAX(E30:E31)</f>
        <v>10000</v>
      </c>
      <c r="F32" s="17">
        <f>MAX(F30:F31)</f>
        <v>1000</v>
      </c>
      <c r="G32" s="18">
        <f>SUM(G30:G31)</f>
        <v>1</v>
      </c>
      <c r="H32" s="19">
        <f>SUM(H30:H31)</f>
        <v>1000</v>
      </c>
      <c r="I32" s="19">
        <f>H32-F32</f>
        <v>0</v>
      </c>
      <c r="J32" s="16" t="s">
        <v>118</v>
      </c>
    </row>
    <row r="33" spans="1:10" x14ac:dyDescent="0.3">
      <c r="A33" s="12"/>
      <c r="B33" s="12"/>
      <c r="C33" s="12"/>
      <c r="D33" s="13"/>
      <c r="E33" s="13"/>
      <c r="F33" s="13"/>
      <c r="G33" s="14"/>
      <c r="H33" s="15"/>
      <c r="I33" s="15"/>
      <c r="J33" s="12"/>
    </row>
    <row r="34" spans="1:10" x14ac:dyDescent="0.3">
      <c r="A34" s="12" t="s">
        <v>119</v>
      </c>
      <c r="B34" s="12" t="s">
        <v>34</v>
      </c>
      <c r="C34" s="12" t="s">
        <v>120</v>
      </c>
      <c r="D34" s="13">
        <v>300</v>
      </c>
      <c r="E34" s="13">
        <f>SUM($D$34:$D$36)</f>
        <v>500</v>
      </c>
      <c r="F34" s="13">
        <v>500</v>
      </c>
      <c r="G34" s="14">
        <f>D34/E34</f>
        <v>0.6</v>
      </c>
      <c r="H34" s="15">
        <f>F34*G34</f>
        <v>300</v>
      </c>
      <c r="I34" s="15"/>
      <c r="J34" s="12" t="s">
        <v>121</v>
      </c>
    </row>
    <row r="35" spans="1:10" x14ac:dyDescent="0.3">
      <c r="A35" s="12" t="s">
        <v>119</v>
      </c>
      <c r="B35" s="12" t="s">
        <v>49</v>
      </c>
      <c r="C35" s="12" t="s">
        <v>120</v>
      </c>
      <c r="D35" s="13">
        <v>150</v>
      </c>
      <c r="E35" s="13">
        <f>SUM($D$34:$D$36)</f>
        <v>500</v>
      </c>
      <c r="F35" s="13">
        <v>500</v>
      </c>
      <c r="G35" s="14">
        <f>D35/E35</f>
        <v>0.3</v>
      </c>
      <c r="H35" s="15">
        <f>F35*G35</f>
        <v>150</v>
      </c>
      <c r="I35" s="15"/>
      <c r="J35" s="12" t="s">
        <v>122</v>
      </c>
    </row>
    <row r="36" spans="1:10" x14ac:dyDescent="0.3">
      <c r="A36" s="12" t="s">
        <v>119</v>
      </c>
      <c r="B36" s="12" t="s">
        <v>123</v>
      </c>
      <c r="C36" s="12" t="s">
        <v>120</v>
      </c>
      <c r="D36" s="13">
        <v>50</v>
      </c>
      <c r="E36" s="13">
        <f>SUM($D$34:$D$36)</f>
        <v>500</v>
      </c>
      <c r="F36" s="13">
        <v>500</v>
      </c>
      <c r="G36" s="14">
        <f>D36/E36</f>
        <v>0.1</v>
      </c>
      <c r="H36" s="15">
        <f>F36*G36</f>
        <v>50</v>
      </c>
      <c r="I36" s="15"/>
      <c r="J36" s="12" t="s">
        <v>124</v>
      </c>
    </row>
    <row r="37" spans="1:10" x14ac:dyDescent="0.3">
      <c r="A37" s="16" t="s">
        <v>119</v>
      </c>
      <c r="B37" s="16" t="s">
        <v>117</v>
      </c>
      <c r="C37" s="16" t="s">
        <v>120</v>
      </c>
      <c r="D37" s="17">
        <f>SUM(D34:D36)</f>
        <v>500</v>
      </c>
      <c r="E37" s="17">
        <f>MAX(E34:E36)</f>
        <v>500</v>
      </c>
      <c r="F37" s="17">
        <f>MAX(F34:F36)</f>
        <v>500</v>
      </c>
      <c r="G37" s="18">
        <f>SUM(G34:G36)</f>
        <v>0.99999999999999989</v>
      </c>
      <c r="H37" s="19">
        <f>SUM(H34:H36)</f>
        <v>500</v>
      </c>
      <c r="I37" s="19">
        <f>H37-F37</f>
        <v>0</v>
      </c>
      <c r="J37" s="16" t="s">
        <v>118</v>
      </c>
    </row>
    <row r="38" spans="1:10" x14ac:dyDescent="0.3">
      <c r="A38" s="12"/>
      <c r="B38" s="12"/>
      <c r="C38" s="12"/>
      <c r="D38" s="13"/>
      <c r="E38" s="13"/>
      <c r="F38" s="13"/>
      <c r="G38" s="14"/>
      <c r="H38" s="15"/>
      <c r="I38" s="15"/>
      <c r="J38" s="12"/>
    </row>
    <row r="39" spans="1:10" x14ac:dyDescent="0.3">
      <c r="A39" s="12" t="s">
        <v>125</v>
      </c>
      <c r="B39" s="12" t="s">
        <v>34</v>
      </c>
      <c r="C39" s="12" t="s">
        <v>126</v>
      </c>
      <c r="D39" s="13">
        <v>8</v>
      </c>
      <c r="E39" s="13">
        <f>SUM($D$39:$D$40)</f>
        <v>12</v>
      </c>
      <c r="F39" s="13">
        <v>1200</v>
      </c>
      <c r="G39" s="14">
        <f>D39/E39</f>
        <v>0.66666666666666663</v>
      </c>
      <c r="H39" s="15">
        <f>F39*G39</f>
        <v>800</v>
      </c>
      <c r="I39" s="15"/>
      <c r="J39" s="12" t="s">
        <v>127</v>
      </c>
    </row>
    <row r="40" spans="1:10" x14ac:dyDescent="0.3">
      <c r="A40" s="12" t="s">
        <v>125</v>
      </c>
      <c r="B40" s="12" t="s">
        <v>40</v>
      </c>
      <c r="C40" s="12" t="s">
        <v>126</v>
      </c>
      <c r="D40" s="13">
        <v>4</v>
      </c>
      <c r="E40" s="13">
        <f>SUM($D$39:$D$40)</f>
        <v>12</v>
      </c>
      <c r="F40" s="13">
        <v>1200</v>
      </c>
      <c r="G40" s="14">
        <f>D40/E40</f>
        <v>0.33333333333333331</v>
      </c>
      <c r="H40" s="15">
        <f>F40*G40</f>
        <v>400</v>
      </c>
      <c r="I40" s="15"/>
      <c r="J40" s="12" t="s">
        <v>128</v>
      </c>
    </row>
    <row r="41" spans="1:10" ht="27.6" x14ac:dyDescent="0.3">
      <c r="A41" s="16" t="s">
        <v>125</v>
      </c>
      <c r="B41" s="16" t="s">
        <v>117</v>
      </c>
      <c r="C41" s="16" t="s">
        <v>126</v>
      </c>
      <c r="D41" s="17">
        <f>SUM(D39:D40)</f>
        <v>12</v>
      </c>
      <c r="E41" s="17">
        <f>MAX(E39:E40)</f>
        <v>12</v>
      </c>
      <c r="F41" s="17">
        <f>MAX(F39:F40)</f>
        <v>1200</v>
      </c>
      <c r="G41" s="18">
        <f>SUM(G39:G40)</f>
        <v>1</v>
      </c>
      <c r="H41" s="19">
        <f>SUM(H39:H40)</f>
        <v>1200</v>
      </c>
      <c r="I41" s="19">
        <f>H41-F41</f>
        <v>0</v>
      </c>
      <c r="J41" s="16" t="s">
        <v>118</v>
      </c>
    </row>
    <row r="42" spans="1:1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43.2" x14ac:dyDescent="0.3">
      <c r="A43" s="10" t="s">
        <v>129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3">
      <c r="A44" s="11" t="s">
        <v>130</v>
      </c>
      <c r="B44" s="11" t="s">
        <v>131</v>
      </c>
      <c r="C44" s="11" t="s">
        <v>132</v>
      </c>
      <c r="D44" s="11" t="s">
        <v>73</v>
      </c>
      <c r="E44" s="11" t="s">
        <v>133</v>
      </c>
      <c r="F44" s="11" t="s">
        <v>0</v>
      </c>
      <c r="G44" s="11" t="s">
        <v>134</v>
      </c>
      <c r="H44" s="11" t="s">
        <v>28</v>
      </c>
      <c r="I44" s="6"/>
      <c r="J44" s="6"/>
    </row>
    <row r="45" spans="1:10" ht="41.4" x14ac:dyDescent="0.3">
      <c r="A45" s="12" t="s">
        <v>135</v>
      </c>
      <c r="B45" s="12" t="s">
        <v>136</v>
      </c>
      <c r="C45" s="12" t="s">
        <v>137</v>
      </c>
      <c r="D45" s="12" t="s">
        <v>138</v>
      </c>
      <c r="E45" s="12" t="s">
        <v>139</v>
      </c>
      <c r="F45" s="12" t="s">
        <v>140</v>
      </c>
      <c r="G45" s="12" t="s">
        <v>141</v>
      </c>
      <c r="H45" s="12" t="s">
        <v>416</v>
      </c>
      <c r="I45" s="6"/>
      <c r="J45" s="6"/>
    </row>
    <row r="46" spans="1:10" ht="41.4" x14ac:dyDescent="0.3">
      <c r="A46" s="12" t="s">
        <v>142</v>
      </c>
      <c r="B46" s="12" t="s">
        <v>143</v>
      </c>
      <c r="C46" s="12" t="s">
        <v>144</v>
      </c>
      <c r="D46" s="12" t="s">
        <v>145</v>
      </c>
      <c r="E46" s="12" t="s">
        <v>409</v>
      </c>
      <c r="F46" s="12" t="s">
        <v>146</v>
      </c>
      <c r="G46" s="12" t="s">
        <v>318</v>
      </c>
      <c r="H46" s="12" t="s">
        <v>416</v>
      </c>
      <c r="I46" s="6"/>
      <c r="J46" s="6"/>
    </row>
    <row r="47" spans="1:10" ht="27.6" x14ac:dyDescent="0.3">
      <c r="A47" s="12" t="s">
        <v>147</v>
      </c>
      <c r="B47" s="12" t="s">
        <v>148</v>
      </c>
      <c r="C47" s="12" t="s">
        <v>149</v>
      </c>
      <c r="D47" s="12" t="s">
        <v>145</v>
      </c>
      <c r="E47" s="12" t="s">
        <v>150</v>
      </c>
      <c r="F47" s="12" t="s">
        <v>151</v>
      </c>
      <c r="G47" s="12" t="s">
        <v>152</v>
      </c>
      <c r="H47" s="12" t="s">
        <v>416</v>
      </c>
      <c r="I47" s="6"/>
      <c r="J47" s="6"/>
    </row>
    <row r="48" spans="1:10" ht="41.4" x14ac:dyDescent="0.3">
      <c r="A48" s="12" t="s">
        <v>153</v>
      </c>
      <c r="B48" s="12" t="s">
        <v>393</v>
      </c>
      <c r="C48" s="12" t="s">
        <v>382</v>
      </c>
      <c r="D48" s="12" t="s">
        <v>387</v>
      </c>
      <c r="E48" s="12" t="s">
        <v>402</v>
      </c>
      <c r="F48" s="12" t="s">
        <v>146</v>
      </c>
      <c r="G48" s="12" t="s">
        <v>154</v>
      </c>
      <c r="H48" s="12" t="s">
        <v>416</v>
      </c>
      <c r="I48" s="6"/>
      <c r="J48" s="6"/>
    </row>
    <row r="49" spans="1:10" ht="55.2" x14ac:dyDescent="0.3">
      <c r="A49" s="12" t="s">
        <v>155</v>
      </c>
      <c r="B49" s="12" t="s">
        <v>156</v>
      </c>
      <c r="C49" s="12" t="s">
        <v>157</v>
      </c>
      <c r="D49" s="12" t="s">
        <v>158</v>
      </c>
      <c r="E49" s="12" t="s">
        <v>404</v>
      </c>
      <c r="F49" s="12" t="s">
        <v>159</v>
      </c>
      <c r="G49" s="12" t="s">
        <v>160</v>
      </c>
      <c r="H49" s="12" t="s">
        <v>232</v>
      </c>
      <c r="I49" s="6"/>
      <c r="J49" s="6"/>
    </row>
    <row r="50" spans="1:10" ht="41.4" x14ac:dyDescent="0.3">
      <c r="A50" s="12" t="s">
        <v>161</v>
      </c>
      <c r="B50" s="12" t="s">
        <v>162</v>
      </c>
      <c r="C50" s="12" t="s">
        <v>163</v>
      </c>
      <c r="D50" s="12" t="s">
        <v>145</v>
      </c>
      <c r="E50" s="12" t="s">
        <v>164</v>
      </c>
      <c r="F50" s="12" t="s">
        <v>165</v>
      </c>
      <c r="G50" s="12" t="s">
        <v>166</v>
      </c>
      <c r="H50" s="12" t="s">
        <v>412</v>
      </c>
      <c r="I50" s="6"/>
      <c r="J50" s="6"/>
    </row>
    <row r="51" spans="1:10" ht="41.4" x14ac:dyDescent="0.3">
      <c r="A51" s="12" t="s">
        <v>167</v>
      </c>
      <c r="B51" s="12" t="s">
        <v>392</v>
      </c>
      <c r="C51" s="12" t="s">
        <v>168</v>
      </c>
      <c r="D51" s="12" t="s">
        <v>145</v>
      </c>
      <c r="E51" s="12" t="s">
        <v>169</v>
      </c>
      <c r="F51" s="12" t="s">
        <v>170</v>
      </c>
      <c r="G51" s="12" t="s">
        <v>171</v>
      </c>
      <c r="H51" s="12" t="s">
        <v>418</v>
      </c>
      <c r="I51" s="6"/>
      <c r="J51" s="6"/>
    </row>
    <row r="52" spans="1:1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43.2" x14ac:dyDescent="0.3">
      <c r="A53" s="10" t="s">
        <v>421</v>
      </c>
      <c r="B53" s="8"/>
      <c r="C53" s="8"/>
      <c r="D53" s="8"/>
      <c r="E53" s="8"/>
      <c r="F53" s="8"/>
      <c r="G53" s="8"/>
      <c r="H53" s="8"/>
      <c r="I53" s="8"/>
      <c r="J53" s="8"/>
    </row>
    <row r="54" spans="1:10" x14ac:dyDescent="0.3">
      <c r="A54" s="11" t="s">
        <v>172</v>
      </c>
      <c r="B54" s="11" t="s">
        <v>173</v>
      </c>
      <c r="C54" s="11" t="s">
        <v>174</v>
      </c>
      <c r="D54" s="11" t="s">
        <v>175</v>
      </c>
      <c r="E54" s="11" t="s">
        <v>176</v>
      </c>
      <c r="F54" s="11" t="s">
        <v>177</v>
      </c>
      <c r="G54" s="11" t="s">
        <v>178</v>
      </c>
      <c r="H54" s="11" t="s">
        <v>28</v>
      </c>
      <c r="I54" s="6"/>
      <c r="J54" s="6"/>
    </row>
    <row r="55" spans="1:10" ht="96.6" x14ac:dyDescent="0.3">
      <c r="A55" s="12" t="s">
        <v>179</v>
      </c>
      <c r="B55" s="12" t="s">
        <v>180</v>
      </c>
      <c r="C55" s="12" t="s">
        <v>181</v>
      </c>
      <c r="D55" s="12" t="s">
        <v>384</v>
      </c>
      <c r="E55" s="12" t="s">
        <v>400</v>
      </c>
      <c r="F55" s="12" t="s">
        <v>182</v>
      </c>
      <c r="G55" s="12" t="s">
        <v>140</v>
      </c>
      <c r="H55" s="12" t="s">
        <v>416</v>
      </c>
      <c r="I55" s="6"/>
      <c r="J55" s="6"/>
    </row>
    <row r="56" spans="1:10" ht="41.4" x14ac:dyDescent="0.3">
      <c r="A56" s="12" t="s">
        <v>183</v>
      </c>
      <c r="B56" s="12" t="s">
        <v>184</v>
      </c>
      <c r="C56" s="12" t="s">
        <v>401</v>
      </c>
      <c r="D56" s="12" t="s">
        <v>185</v>
      </c>
      <c r="E56" s="12" t="s">
        <v>186</v>
      </c>
      <c r="F56" s="12" t="s">
        <v>187</v>
      </c>
      <c r="G56" s="12" t="s">
        <v>146</v>
      </c>
      <c r="H56" s="12" t="s">
        <v>420</v>
      </c>
      <c r="I56" s="6"/>
      <c r="J56" s="6"/>
    </row>
    <row r="57" spans="1:10" ht="69" x14ac:dyDescent="0.3">
      <c r="A57" s="12" t="s">
        <v>188</v>
      </c>
      <c r="B57" s="12" t="s">
        <v>189</v>
      </c>
      <c r="C57" s="12" t="s">
        <v>190</v>
      </c>
      <c r="D57" s="12" t="s">
        <v>408</v>
      </c>
      <c r="E57" s="12" t="s">
        <v>385</v>
      </c>
      <c r="F57" s="12" t="s">
        <v>407</v>
      </c>
      <c r="G57" s="12" t="s">
        <v>191</v>
      </c>
      <c r="H57" s="12" t="s">
        <v>417</v>
      </c>
      <c r="I57" s="6"/>
      <c r="J57" s="6"/>
    </row>
    <row r="58" spans="1:10" ht="55.2" x14ac:dyDescent="0.3">
      <c r="A58" s="12" t="s">
        <v>192</v>
      </c>
      <c r="B58" s="12" t="s">
        <v>193</v>
      </c>
      <c r="C58" s="12" t="s">
        <v>194</v>
      </c>
      <c r="D58" s="12" t="s">
        <v>383</v>
      </c>
      <c r="E58" s="12" t="s">
        <v>195</v>
      </c>
      <c r="F58" s="12" t="s">
        <v>396</v>
      </c>
      <c r="G58" s="12" t="s">
        <v>146</v>
      </c>
      <c r="H58" s="12" t="s">
        <v>416</v>
      </c>
      <c r="I58" s="6"/>
      <c r="J58" s="6"/>
    </row>
    <row r="59" spans="1:10" ht="41.4" x14ac:dyDescent="0.3">
      <c r="A59" s="12" t="s">
        <v>196</v>
      </c>
      <c r="B59" s="12" t="s">
        <v>197</v>
      </c>
      <c r="C59" s="12" t="s">
        <v>198</v>
      </c>
      <c r="D59" s="12" t="s">
        <v>199</v>
      </c>
      <c r="E59" s="12" t="s">
        <v>200</v>
      </c>
      <c r="F59" s="12" t="s">
        <v>201</v>
      </c>
      <c r="G59" s="12" t="s">
        <v>159</v>
      </c>
      <c r="H59" s="12" t="s">
        <v>419</v>
      </c>
      <c r="I59" s="6"/>
      <c r="J59" s="6"/>
    </row>
    <row r="60" spans="1:10" ht="55.2" x14ac:dyDescent="0.3">
      <c r="A60" s="12" t="s">
        <v>430</v>
      </c>
      <c r="B60" s="12" t="s">
        <v>202</v>
      </c>
      <c r="C60" s="12" t="s">
        <v>203</v>
      </c>
      <c r="D60" s="12" t="s">
        <v>406</v>
      </c>
      <c r="E60" s="12" t="s">
        <v>204</v>
      </c>
      <c r="F60" s="12" t="s">
        <v>205</v>
      </c>
      <c r="G60" s="12" t="s">
        <v>146</v>
      </c>
      <c r="H60" s="12" t="s">
        <v>413</v>
      </c>
      <c r="I60" s="6"/>
      <c r="J60" s="6"/>
    </row>
    <row r="61" spans="1:1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28.8" x14ac:dyDescent="0.3">
      <c r="A62" s="10" t="s">
        <v>424</v>
      </c>
      <c r="B62" s="8"/>
      <c r="C62" s="8"/>
      <c r="D62" s="8"/>
      <c r="E62" s="8"/>
      <c r="F62" s="8"/>
      <c r="G62" s="8"/>
      <c r="H62" s="8"/>
      <c r="I62" s="8"/>
      <c r="J62" s="8"/>
    </row>
    <row r="63" spans="1:10" x14ac:dyDescent="0.3">
      <c r="A63" s="11" t="s">
        <v>428</v>
      </c>
      <c r="B63" s="11" t="s">
        <v>206</v>
      </c>
      <c r="C63" s="11" t="s">
        <v>207</v>
      </c>
      <c r="D63" s="11" t="s">
        <v>208</v>
      </c>
      <c r="E63" s="11" t="s">
        <v>209</v>
      </c>
      <c r="F63" s="11" t="s">
        <v>414</v>
      </c>
      <c r="G63" s="11" t="s">
        <v>210</v>
      </c>
      <c r="H63" s="6"/>
      <c r="I63" s="6"/>
      <c r="J63" s="6"/>
    </row>
    <row r="64" spans="1:10" ht="69" x14ac:dyDescent="0.3">
      <c r="A64" s="12" t="s">
        <v>433</v>
      </c>
      <c r="B64" s="12" t="s">
        <v>211</v>
      </c>
      <c r="C64" s="12" t="s">
        <v>212</v>
      </c>
      <c r="D64" s="12" t="s">
        <v>213</v>
      </c>
      <c r="E64" s="12" t="s">
        <v>214</v>
      </c>
      <c r="F64" s="12" t="s">
        <v>215</v>
      </c>
      <c r="G64" s="12" t="s">
        <v>216</v>
      </c>
      <c r="H64" s="6"/>
      <c r="I64" s="6"/>
      <c r="J64" s="6"/>
    </row>
    <row r="65" spans="1:10" ht="55.2" x14ac:dyDescent="0.3">
      <c r="A65" s="12" t="s">
        <v>422</v>
      </c>
      <c r="B65" s="12" t="s">
        <v>211</v>
      </c>
      <c r="C65" s="12" t="s">
        <v>217</v>
      </c>
      <c r="D65" s="12" t="s">
        <v>218</v>
      </c>
      <c r="E65" s="12" t="s">
        <v>219</v>
      </c>
      <c r="F65" s="12" t="s">
        <v>220</v>
      </c>
      <c r="G65" s="12" t="s">
        <v>221</v>
      </c>
      <c r="H65" s="6"/>
      <c r="I65" s="6"/>
      <c r="J65" s="6"/>
    </row>
    <row r="66" spans="1:10" ht="41.4" x14ac:dyDescent="0.3">
      <c r="A66" s="12" t="s">
        <v>425</v>
      </c>
      <c r="B66" s="12" t="s">
        <v>222</v>
      </c>
      <c r="C66" s="12" t="s">
        <v>223</v>
      </c>
      <c r="D66" s="12" t="s">
        <v>224</v>
      </c>
      <c r="E66" s="12" t="s">
        <v>225</v>
      </c>
      <c r="F66" s="12" t="s">
        <v>226</v>
      </c>
      <c r="G66" s="12" t="s">
        <v>227</v>
      </c>
      <c r="H66" s="6"/>
      <c r="I66" s="6"/>
      <c r="J66" s="6"/>
    </row>
    <row r="67" spans="1:10" ht="41.4" x14ac:dyDescent="0.3">
      <c r="A67" s="12" t="s">
        <v>426</v>
      </c>
      <c r="B67" s="12" t="s">
        <v>222</v>
      </c>
      <c r="C67" s="12" t="s">
        <v>223</v>
      </c>
      <c r="D67" s="12" t="s">
        <v>228</v>
      </c>
      <c r="E67" s="12" t="s">
        <v>229</v>
      </c>
      <c r="F67" s="12" t="s">
        <v>230</v>
      </c>
      <c r="G67" s="12" t="s">
        <v>231</v>
      </c>
      <c r="H67" s="6"/>
      <c r="I67" s="6"/>
      <c r="J67" s="6"/>
    </row>
    <row r="68" spans="1:10" ht="27.6" x14ac:dyDescent="0.3">
      <c r="A68" s="12" t="s">
        <v>232</v>
      </c>
      <c r="B68" s="12" t="s">
        <v>222</v>
      </c>
      <c r="C68" s="12" t="s">
        <v>223</v>
      </c>
      <c r="D68" s="12" t="s">
        <v>232</v>
      </c>
      <c r="E68" s="12" t="s">
        <v>233</v>
      </c>
      <c r="F68" s="12" t="s">
        <v>234</v>
      </c>
      <c r="G68" s="12" t="s">
        <v>235</v>
      </c>
      <c r="H68" s="6"/>
      <c r="I68" s="6"/>
      <c r="J68" s="6"/>
    </row>
    <row r="69" spans="1:10" ht="69" x14ac:dyDescent="0.3">
      <c r="A69" s="12" t="s">
        <v>412</v>
      </c>
      <c r="B69" s="12" t="s">
        <v>236</v>
      </c>
      <c r="C69" s="12" t="s">
        <v>237</v>
      </c>
      <c r="D69" s="12" t="s">
        <v>238</v>
      </c>
      <c r="E69" s="12" t="s">
        <v>239</v>
      </c>
      <c r="F69" s="12" t="s">
        <v>240</v>
      </c>
      <c r="G69" s="12" t="s">
        <v>241</v>
      </c>
      <c r="H69" s="6"/>
      <c r="I69" s="6"/>
      <c r="J69" s="6"/>
    </row>
    <row r="70" spans="1:10" s="22" customFormat="1" ht="15.6" x14ac:dyDescent="0.3">
      <c r="A70" s="20"/>
      <c r="B70" s="21"/>
      <c r="C70" s="21"/>
      <c r="D70" s="21"/>
      <c r="E70" s="21"/>
      <c r="F70" s="21"/>
      <c r="G70" s="21"/>
      <c r="H70" s="21"/>
      <c r="I70" s="21"/>
      <c r="J7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6"/>
  <sheetViews>
    <sheetView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22.77734375" customWidth="1"/>
    <col min="2" max="2" width="31.77734375" customWidth="1"/>
    <col min="3" max="3" width="48.77734375" customWidth="1"/>
    <col min="4" max="4" width="30.77734375" customWidth="1"/>
    <col min="5" max="5" width="12.77734375" customWidth="1"/>
    <col min="6" max="6" width="16.77734375" customWidth="1"/>
    <col min="7" max="9" width="42.77734375" customWidth="1"/>
    <col min="10" max="10" width="16.77734375" customWidth="1"/>
    <col min="11" max="12" width="34.77734375" customWidth="1"/>
    <col min="13" max="14" width="36.77734375" customWidth="1"/>
    <col min="15" max="16" width="16.77734375" customWidth="1"/>
    <col min="17" max="18" width="20.77734375" customWidth="1"/>
    <col min="19" max="20" width="22.77734375" customWidth="1"/>
    <col min="21" max="21" width="16.77734375" customWidth="1"/>
    <col min="22" max="22" width="44.77734375" customWidth="1"/>
    <col min="23" max="23" width="70.77734375" customWidth="1"/>
    <col min="24" max="24" width="18.77734375" customWidth="1"/>
  </cols>
  <sheetData>
    <row r="1" spans="1:24" ht="54" customHeight="1" x14ac:dyDescent="0.3">
      <c r="A1" s="32" t="s">
        <v>242</v>
      </c>
      <c r="B1" s="32" t="s">
        <v>243</v>
      </c>
      <c r="C1" s="32" t="s">
        <v>450</v>
      </c>
      <c r="D1" s="32" t="s">
        <v>244</v>
      </c>
      <c r="E1" s="32" t="s">
        <v>245</v>
      </c>
      <c r="F1" s="32" t="s">
        <v>246</v>
      </c>
      <c r="G1" s="32" t="s">
        <v>451</v>
      </c>
      <c r="H1" s="32" t="s">
        <v>247</v>
      </c>
      <c r="I1" s="32" t="s">
        <v>248</v>
      </c>
      <c r="J1" s="32" t="s">
        <v>452</v>
      </c>
      <c r="K1" s="32" t="s">
        <v>453</v>
      </c>
      <c r="L1" s="32" t="s">
        <v>454</v>
      </c>
      <c r="M1" s="32" t="s">
        <v>455</v>
      </c>
      <c r="N1" s="32" t="s">
        <v>456</v>
      </c>
      <c r="O1" s="32" t="s">
        <v>457</v>
      </c>
      <c r="P1" s="32" t="s">
        <v>458</v>
      </c>
      <c r="Q1" s="32" t="s">
        <v>459</v>
      </c>
      <c r="R1" s="32" t="s">
        <v>460</v>
      </c>
      <c r="S1" s="32" t="s">
        <v>461</v>
      </c>
      <c r="T1" s="32" t="s">
        <v>462</v>
      </c>
      <c r="U1" s="32" t="s">
        <v>463</v>
      </c>
      <c r="V1" s="32" t="s">
        <v>464</v>
      </c>
      <c r="W1" s="32" t="s">
        <v>465</v>
      </c>
      <c r="X1" s="32" t="s">
        <v>466</v>
      </c>
    </row>
    <row r="2" spans="1:24" ht="82.05" customHeight="1" x14ac:dyDescent="0.3">
      <c r="A2" s="33" t="s">
        <v>440</v>
      </c>
      <c r="B2" s="33" t="s">
        <v>467</v>
      </c>
      <c r="C2" s="33" t="s">
        <v>468</v>
      </c>
      <c r="D2" s="33" t="s">
        <v>469</v>
      </c>
      <c r="E2" s="33" t="s">
        <v>438</v>
      </c>
      <c r="F2" s="33">
        <v>46281</v>
      </c>
      <c r="G2" s="33" t="s">
        <v>470</v>
      </c>
      <c r="H2" s="33" t="s">
        <v>471</v>
      </c>
      <c r="I2" s="33" t="str">
        <f>IF(V2="OK",U2,V2)</f>
        <v>Pendiente: completar par, SKU, uso, moneda, fecha y precios</v>
      </c>
      <c r="J2" s="33" t="s">
        <v>472</v>
      </c>
      <c r="K2" s="33" t="s">
        <v>473</v>
      </c>
      <c r="L2" s="33" t="s">
        <v>474</v>
      </c>
      <c r="M2" s="33" t="s">
        <v>475</v>
      </c>
      <c r="N2" s="33" t="s">
        <v>476</v>
      </c>
      <c r="O2" s="33" t="s">
        <v>438</v>
      </c>
      <c r="P2" s="33" t="s">
        <v>438</v>
      </c>
      <c r="Q2" s="33"/>
      <c r="R2" s="33"/>
      <c r="S2" s="33"/>
      <c r="T2" s="33"/>
      <c r="U2" s="35" t="str">
        <f>IFERROR(S2/T2-1,"")</f>
        <v/>
      </c>
      <c r="V2" s="33" t="str">
        <f>IF(OR(J2="",K2="",L2="",M2="",N2="",O2="",P2="",Q2="",R2="",S2="",T2=""),"Pendiente: completar par, SKU, uso, moneda, fecha y precios",IF(AND(K2=L2,M2=N2,O2=P2,Q2=R2),"OK","No comparable: revisar SKU/uso/moneda/fecha"))</f>
        <v>Pendiente: completar par, SKU, uso, moneda, fecha y precios</v>
      </c>
      <c r="W2" s="33" t="s">
        <v>477</v>
      </c>
      <c r="X2" s="33" t="s">
        <v>478</v>
      </c>
    </row>
    <row r="3" spans="1:24" ht="82.05" customHeight="1" x14ac:dyDescent="0.3">
      <c r="A3" s="33" t="s">
        <v>440</v>
      </c>
      <c r="B3" s="33" t="s">
        <v>441</v>
      </c>
      <c r="C3" s="33" t="s">
        <v>479</v>
      </c>
      <c r="D3" s="33" t="s">
        <v>469</v>
      </c>
      <c r="E3" s="33" t="s">
        <v>438</v>
      </c>
      <c r="F3" s="33">
        <v>46281</v>
      </c>
      <c r="G3" s="33" t="s">
        <v>480</v>
      </c>
      <c r="H3" s="33" t="s">
        <v>481</v>
      </c>
      <c r="I3" s="33" t="s">
        <v>545</v>
      </c>
      <c r="J3" s="33" t="s">
        <v>482</v>
      </c>
      <c r="K3" s="33" t="s">
        <v>483</v>
      </c>
      <c r="L3" s="33" t="s">
        <v>483</v>
      </c>
      <c r="M3" s="33" t="s">
        <v>484</v>
      </c>
      <c r="N3" s="33" t="s">
        <v>484</v>
      </c>
      <c r="O3" s="33" t="s">
        <v>438</v>
      </c>
      <c r="P3" s="33" t="s">
        <v>438</v>
      </c>
      <c r="Q3" s="33"/>
      <c r="R3" s="33"/>
      <c r="S3" s="33"/>
      <c r="T3" s="33"/>
      <c r="U3" s="35"/>
      <c r="V3" s="33" t="s">
        <v>544</v>
      </c>
      <c r="W3" s="33" t="s">
        <v>485</v>
      </c>
      <c r="X3" s="33" t="s">
        <v>478</v>
      </c>
    </row>
    <row r="4" spans="1:24" ht="82.05" customHeight="1" x14ac:dyDescent="0.3">
      <c r="A4" s="33" t="s">
        <v>435</v>
      </c>
      <c r="B4" s="33" t="s">
        <v>436</v>
      </c>
      <c r="C4" s="33" t="s">
        <v>486</v>
      </c>
      <c r="D4" s="33" t="s">
        <v>437</v>
      </c>
      <c r="E4" s="33" t="s">
        <v>438</v>
      </c>
      <c r="F4" s="33">
        <v>46281</v>
      </c>
      <c r="G4" s="33" t="s">
        <v>487</v>
      </c>
      <c r="H4" s="33" t="s">
        <v>488</v>
      </c>
      <c r="I4" s="33" t="str">
        <f>IF(V4="OK",U4,V4)</f>
        <v>Pendiente: completar par, SKU, uso, moneda, fecha y precios</v>
      </c>
      <c r="J4" s="33" t="s">
        <v>489</v>
      </c>
      <c r="K4" s="33" t="s">
        <v>490</v>
      </c>
      <c r="L4" s="33" t="s">
        <v>491</v>
      </c>
      <c r="M4" s="33" t="s">
        <v>492</v>
      </c>
      <c r="N4" s="33" t="s">
        <v>493</v>
      </c>
      <c r="O4" s="33" t="s">
        <v>438</v>
      </c>
      <c r="P4" s="33" t="s">
        <v>438</v>
      </c>
      <c r="Q4" s="33"/>
      <c r="R4" s="33"/>
      <c r="S4" s="33"/>
      <c r="T4" s="33"/>
      <c r="U4" s="35" t="str">
        <f>IFERROR(S4/T4-1,"")</f>
        <v/>
      </c>
      <c r="V4" s="33" t="str">
        <f>IF(OR(J4="",K4="",L4="",M4="",N4="",O4="",P4="",Q4="",R4="",S4="",T4=""),"Pendiente: completar par, SKU, uso, moneda, fecha y precios",IF(AND(K4=L4,M4=N4,O4=P4,Q4=R4),"OK","No comparable: revisar SKU/uso/moneda/fecha"))</f>
        <v>Pendiente: completar par, SKU, uso, moneda, fecha y precios</v>
      </c>
      <c r="W4" s="33" t="s">
        <v>494</v>
      </c>
      <c r="X4" s="33" t="s">
        <v>495</v>
      </c>
    </row>
    <row r="5" spans="1:24" ht="82.05" customHeight="1" x14ac:dyDescent="0.3">
      <c r="A5" s="33" t="s">
        <v>435</v>
      </c>
      <c r="B5" s="33" t="s">
        <v>439</v>
      </c>
      <c r="C5" s="33" t="s">
        <v>496</v>
      </c>
      <c r="D5" s="33" t="s">
        <v>437</v>
      </c>
      <c r="E5" s="33" t="s">
        <v>438</v>
      </c>
      <c r="F5" s="33">
        <v>46281</v>
      </c>
      <c r="G5" s="33" t="s">
        <v>497</v>
      </c>
      <c r="H5" s="33" t="s">
        <v>498</v>
      </c>
      <c r="I5" s="33" t="s">
        <v>545</v>
      </c>
      <c r="J5" s="33" t="s">
        <v>499</v>
      </c>
      <c r="K5" s="33" t="s">
        <v>500</v>
      </c>
      <c r="L5" s="33" t="s">
        <v>500</v>
      </c>
      <c r="M5" s="33" t="s">
        <v>501</v>
      </c>
      <c r="N5" s="33" t="s">
        <v>501</v>
      </c>
      <c r="O5" s="33" t="s">
        <v>438</v>
      </c>
      <c r="P5" s="33" t="s">
        <v>438</v>
      </c>
      <c r="Q5" s="33"/>
      <c r="R5" s="33"/>
      <c r="S5" s="33"/>
      <c r="T5" s="33"/>
      <c r="U5" s="35"/>
      <c r="V5" s="33" t="s">
        <v>544</v>
      </c>
      <c r="W5" s="33" t="s">
        <v>502</v>
      </c>
      <c r="X5" s="33" t="s">
        <v>495</v>
      </c>
    </row>
    <row r="6" spans="1:24" ht="82.05" customHeight="1" x14ac:dyDescent="0.3">
      <c r="A6" s="33" t="s">
        <v>435</v>
      </c>
      <c r="B6" s="33" t="s">
        <v>503</v>
      </c>
      <c r="C6" s="33" t="s">
        <v>504</v>
      </c>
      <c r="D6" s="33" t="s">
        <v>437</v>
      </c>
      <c r="E6" s="33" t="s">
        <v>438</v>
      </c>
      <c r="F6" s="33">
        <v>46281</v>
      </c>
      <c r="G6" s="33" t="s">
        <v>505</v>
      </c>
      <c r="H6" s="33" t="s">
        <v>506</v>
      </c>
      <c r="I6" s="33" t="str">
        <f>IF(V6="OK",U6,V6)</f>
        <v>Pendiente: completar par, SKU, uso, moneda, fecha y precios</v>
      </c>
      <c r="J6" s="33" t="s">
        <v>507</v>
      </c>
      <c r="K6" s="33" t="s">
        <v>508</v>
      </c>
      <c r="L6" s="33" t="s">
        <v>491</v>
      </c>
      <c r="M6" s="33" t="s">
        <v>509</v>
      </c>
      <c r="N6" s="33" t="s">
        <v>509</v>
      </c>
      <c r="O6" s="33" t="s">
        <v>438</v>
      </c>
      <c r="P6" s="33" t="s">
        <v>438</v>
      </c>
      <c r="Q6" s="33"/>
      <c r="R6" s="33"/>
      <c r="S6" s="33"/>
      <c r="T6" s="33"/>
      <c r="U6" s="35" t="str">
        <f>IFERROR(S6/T6-1,"")</f>
        <v/>
      </c>
      <c r="V6" s="33" t="str">
        <f>IF(OR(J6="",K6="",L6="",M6="",N6="",O6="",P6="",Q6="",R6="",S6="",T6=""),"Pendiente: completar par, SKU, uso, moneda, fecha y precios",IF(AND(K6=L6,M6=N6,O6=P6,Q6=R6),"OK","No comparable: revisar SKU/uso/moneda/fecha"))</f>
        <v>Pendiente: completar par, SKU, uso, moneda, fecha y precios</v>
      </c>
      <c r="W6" s="33" t="s">
        <v>510</v>
      </c>
      <c r="X6" s="33" t="s">
        <v>495</v>
      </c>
    </row>
    <row r="7" spans="1:24" ht="82.05" customHeight="1" x14ac:dyDescent="0.3">
      <c r="A7" s="33" t="s">
        <v>440</v>
      </c>
      <c r="B7" s="33" t="s">
        <v>511</v>
      </c>
      <c r="C7" s="33" t="s">
        <v>512</v>
      </c>
      <c r="D7" s="33" t="s">
        <v>513</v>
      </c>
      <c r="E7" s="33" t="s">
        <v>438</v>
      </c>
      <c r="F7" s="33">
        <v>46281</v>
      </c>
      <c r="G7" s="33" t="s">
        <v>514</v>
      </c>
      <c r="H7" s="33" t="s">
        <v>506</v>
      </c>
      <c r="I7" s="33" t="str">
        <f>IF(V7="OK",U7,V7)</f>
        <v>Pendiente: completar par, SKU, uso, moneda, fecha y precios</v>
      </c>
      <c r="J7" s="33" t="s">
        <v>515</v>
      </c>
      <c r="K7" s="33" t="s">
        <v>516</v>
      </c>
      <c r="L7" s="33" t="s">
        <v>517</v>
      </c>
      <c r="M7" s="33" t="s">
        <v>509</v>
      </c>
      <c r="N7" s="33" t="s">
        <v>509</v>
      </c>
      <c r="O7" s="33" t="s">
        <v>438</v>
      </c>
      <c r="P7" s="33" t="s">
        <v>438</v>
      </c>
      <c r="Q7" s="33"/>
      <c r="R7" s="33"/>
      <c r="S7" s="33"/>
      <c r="T7" s="33"/>
      <c r="U7" s="35" t="str">
        <f>IFERROR(S7/T7-1,"")</f>
        <v/>
      </c>
      <c r="V7" s="33" t="str">
        <f>IF(OR(J7="",K7="",L7="",M7="",N7="",O7="",P7="",Q7="",R7="",S7="",T7=""),"Pendiente: completar par, SKU, uso, moneda, fecha y precios",IF(AND(K7=L7,M7=N7,O7=P7,Q7=R7),"OK","No comparable: revisar SKU/uso/moneda/fecha"))</f>
        <v>Pendiente: completar par, SKU, uso, moneda, fecha y precios</v>
      </c>
      <c r="W7" s="33" t="s">
        <v>510</v>
      </c>
      <c r="X7" s="33" t="s">
        <v>478</v>
      </c>
    </row>
    <row r="8" spans="1:24" ht="82.05" customHeight="1" x14ac:dyDescent="0.3">
      <c r="A8" s="33" t="s">
        <v>442</v>
      </c>
      <c r="B8" s="33" t="s">
        <v>518</v>
      </c>
      <c r="C8" s="33" t="s">
        <v>519</v>
      </c>
      <c r="D8" s="33" t="s">
        <v>520</v>
      </c>
      <c r="E8" s="33" t="s">
        <v>438</v>
      </c>
      <c r="F8" s="33">
        <v>46281</v>
      </c>
      <c r="G8" s="33" t="s">
        <v>521</v>
      </c>
      <c r="H8" s="33" t="s">
        <v>522</v>
      </c>
      <c r="I8" s="33" t="str">
        <f>IF(V8="OK",U8,V8)</f>
        <v>Pendiente: completar par, SKU, uso, moneda, fecha y precios</v>
      </c>
      <c r="J8" s="33" t="s">
        <v>523</v>
      </c>
      <c r="K8" s="33" t="s">
        <v>524</v>
      </c>
      <c r="L8" s="33" t="s">
        <v>525</v>
      </c>
      <c r="M8" s="33" t="s">
        <v>526</v>
      </c>
      <c r="N8" s="33" t="s">
        <v>509</v>
      </c>
      <c r="O8" s="33" t="s">
        <v>438</v>
      </c>
      <c r="P8" s="33" t="s">
        <v>438</v>
      </c>
      <c r="Q8" s="33"/>
      <c r="R8" s="33"/>
      <c r="S8" s="33"/>
      <c r="T8" s="33"/>
      <c r="U8" s="35" t="str">
        <f>IFERROR(S8/T8-1,"")</f>
        <v/>
      </c>
      <c r="V8" s="33" t="str">
        <f>IF(OR(J8="",K8="",L8="",M8="",N8="",O8="",P8="",Q8="",R8="",S8="",T8=""),"Pendiente: completar par, SKU, uso, moneda, fecha y precios",IF(AND(K8=L8,M8=N8,O8=P8,Q8=R8),"OK","No comparable: revisar SKU/uso/moneda/fecha"))</f>
        <v>Pendiente: completar par, SKU, uso, moneda, fecha y precios</v>
      </c>
      <c r="W8" s="33" t="s">
        <v>527</v>
      </c>
      <c r="X8" s="33" t="s">
        <v>528</v>
      </c>
    </row>
    <row r="9" spans="1:24" ht="82.05" customHeight="1" x14ac:dyDescent="0.3">
      <c r="A9" s="33" t="s">
        <v>442</v>
      </c>
      <c r="B9" s="33" t="s">
        <v>443</v>
      </c>
      <c r="C9" s="33" t="s">
        <v>529</v>
      </c>
      <c r="D9" s="33" t="s">
        <v>520</v>
      </c>
      <c r="E9" s="33" t="s">
        <v>438</v>
      </c>
      <c r="F9" s="33">
        <v>46281</v>
      </c>
      <c r="G9" s="33" t="s">
        <v>530</v>
      </c>
      <c r="H9" s="33" t="s">
        <v>531</v>
      </c>
      <c r="I9" s="33" t="s">
        <v>545</v>
      </c>
      <c r="J9" s="33" t="s">
        <v>532</v>
      </c>
      <c r="K9" s="33" t="s">
        <v>533</v>
      </c>
      <c r="L9" s="33" t="s">
        <v>533</v>
      </c>
      <c r="M9" s="33" t="s">
        <v>534</v>
      </c>
      <c r="N9" s="33" t="s">
        <v>534</v>
      </c>
      <c r="O9" s="33" t="s">
        <v>438</v>
      </c>
      <c r="P9" s="33" t="s">
        <v>438</v>
      </c>
      <c r="Q9" s="33"/>
      <c r="R9" s="33"/>
      <c r="S9" s="33"/>
      <c r="T9" s="33"/>
      <c r="U9" s="35"/>
      <c r="V9" s="33" t="s">
        <v>544</v>
      </c>
      <c r="W9" s="33" t="s">
        <v>535</v>
      </c>
      <c r="X9" s="33" t="s">
        <v>528</v>
      </c>
    </row>
    <row r="10" spans="1:24" ht="82.05" customHeight="1" x14ac:dyDescent="0.3">
      <c r="A10" s="33" t="s">
        <v>442</v>
      </c>
      <c r="B10" s="33" t="s">
        <v>536</v>
      </c>
      <c r="C10" s="33" t="s">
        <v>537</v>
      </c>
      <c r="D10" s="33" t="s">
        <v>538</v>
      </c>
      <c r="E10" s="33" t="s">
        <v>438</v>
      </c>
      <c r="F10" s="33">
        <v>46281</v>
      </c>
      <c r="G10" s="33" t="s">
        <v>539</v>
      </c>
      <c r="H10" s="33" t="s">
        <v>540</v>
      </c>
      <c r="I10" s="33" t="s">
        <v>546</v>
      </c>
      <c r="J10" s="33" t="s">
        <v>541</v>
      </c>
      <c r="K10" s="33" t="s">
        <v>542</v>
      </c>
      <c r="L10" s="33" t="s">
        <v>542</v>
      </c>
      <c r="M10" s="33" t="s">
        <v>542</v>
      </c>
      <c r="N10" s="33" t="s">
        <v>542</v>
      </c>
      <c r="O10" s="33" t="s">
        <v>438</v>
      </c>
      <c r="P10" s="33" t="s">
        <v>438</v>
      </c>
      <c r="Q10" s="33"/>
      <c r="R10" s="33"/>
      <c r="S10" s="33"/>
      <c r="T10" s="33"/>
      <c r="U10" s="35"/>
      <c r="V10" s="33" t="s">
        <v>546</v>
      </c>
      <c r="W10" s="33" t="s">
        <v>543</v>
      </c>
      <c r="X10" s="33"/>
    </row>
    <row r="12" spans="1:24" x14ac:dyDescent="0.3">
      <c r="A12" s="34" t="s">
        <v>547</v>
      </c>
      <c r="B12" s="34" t="s">
        <v>444</v>
      </c>
      <c r="C12" s="34" t="s">
        <v>7</v>
      </c>
      <c r="D12" s="34" t="s">
        <v>445</v>
      </c>
    </row>
    <row r="13" spans="1:24" x14ac:dyDescent="0.3">
      <c r="A13" s="34" t="s">
        <v>548</v>
      </c>
      <c r="B13" s="34" t="s">
        <v>549</v>
      </c>
      <c r="C13" s="34">
        <v>46281</v>
      </c>
      <c r="D13" s="34" t="s">
        <v>550</v>
      </c>
    </row>
    <row r="14" spans="1:24" x14ac:dyDescent="0.3">
      <c r="A14" s="34" t="s">
        <v>551</v>
      </c>
      <c r="B14" s="34" t="s">
        <v>552</v>
      </c>
      <c r="C14" s="34">
        <v>46281</v>
      </c>
      <c r="D14" s="34" t="s">
        <v>553</v>
      </c>
    </row>
    <row r="15" spans="1:24" x14ac:dyDescent="0.3">
      <c r="A15" s="34" t="s">
        <v>554</v>
      </c>
      <c r="B15" s="34" t="s">
        <v>447</v>
      </c>
      <c r="C15" s="34">
        <v>46281</v>
      </c>
      <c r="D15" s="34" t="s">
        <v>555</v>
      </c>
    </row>
    <row r="16" spans="1:24" x14ac:dyDescent="0.3">
      <c r="A16" s="34" t="s">
        <v>556</v>
      </c>
      <c r="B16" s="34" t="s">
        <v>448</v>
      </c>
      <c r="C16" s="34">
        <v>46281</v>
      </c>
      <c r="D16" s="34" t="s">
        <v>557</v>
      </c>
    </row>
    <row r="17" spans="1:24" x14ac:dyDescent="0.3">
      <c r="A17" s="34" t="s">
        <v>558</v>
      </c>
      <c r="B17" s="34" t="s">
        <v>559</v>
      </c>
      <c r="C17" s="34">
        <v>46281</v>
      </c>
      <c r="D17" s="34" t="s">
        <v>560</v>
      </c>
    </row>
    <row r="18" spans="1:24" x14ac:dyDescent="0.3">
      <c r="A18" s="34" t="s">
        <v>561</v>
      </c>
      <c r="B18" s="34" t="s">
        <v>446</v>
      </c>
      <c r="C18" s="34">
        <v>46281</v>
      </c>
      <c r="D18" s="34" t="s">
        <v>562</v>
      </c>
    </row>
    <row r="19" spans="1:24" x14ac:dyDescent="0.3">
      <c r="A19" s="34" t="s">
        <v>563</v>
      </c>
      <c r="B19" s="34" t="s">
        <v>564</v>
      </c>
      <c r="C19" s="34">
        <v>46281</v>
      </c>
      <c r="D19" s="34" t="s">
        <v>565</v>
      </c>
    </row>
    <row r="20" spans="1:24" x14ac:dyDescent="0.3">
      <c r="A20" s="34" t="s">
        <v>566</v>
      </c>
      <c r="B20" s="34" t="s">
        <v>449</v>
      </c>
      <c r="C20" s="34">
        <v>46281</v>
      </c>
      <c r="D20" s="34" t="s">
        <v>567</v>
      </c>
    </row>
    <row r="23" spans="1:24" ht="24" customHeight="1" x14ac:dyDescent="0.3">
      <c r="A23" s="31" t="s">
        <v>568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ht="48" customHeight="1" x14ac:dyDescent="0.3">
      <c r="A24" s="30" t="s">
        <v>569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4" ht="48" customHeight="1" x14ac:dyDescent="0.3">
      <c r="A25" s="30" t="s">
        <v>570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spans="1:24" ht="48" customHeight="1" x14ac:dyDescent="0.3">
      <c r="A26" s="30" t="s">
        <v>571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30.77734375" customWidth="1"/>
    <col min="2" max="5" width="38.77734375" customWidth="1"/>
    <col min="6" max="6" width="48.77734375" customWidth="1"/>
    <col min="7" max="7" width="44.77734375" customWidth="1"/>
  </cols>
  <sheetData>
    <row r="1" spans="1:7" x14ac:dyDescent="0.3">
      <c r="A1" s="28" t="s">
        <v>319</v>
      </c>
      <c r="B1" s="28" t="s">
        <v>320</v>
      </c>
      <c r="C1" s="28" t="s">
        <v>6</v>
      </c>
      <c r="D1" s="28" t="s">
        <v>249</v>
      </c>
      <c r="E1" s="28" t="s">
        <v>250</v>
      </c>
      <c r="F1" s="29"/>
      <c r="G1" s="29"/>
    </row>
    <row r="2" spans="1:7" ht="207" x14ac:dyDescent="0.3">
      <c r="A2" s="23" t="s">
        <v>321</v>
      </c>
      <c r="B2" s="23" t="s">
        <v>395</v>
      </c>
      <c r="C2" s="23" t="s">
        <v>394</v>
      </c>
      <c r="D2" s="24" t="s">
        <v>322</v>
      </c>
      <c r="E2" s="23" t="s">
        <v>405</v>
      </c>
      <c r="F2" s="25"/>
      <c r="G2" s="25"/>
    </row>
    <row r="3" spans="1:7" ht="234.6" x14ac:dyDescent="0.3">
      <c r="A3" s="23" t="s">
        <v>323</v>
      </c>
      <c r="B3" s="23" t="s">
        <v>386</v>
      </c>
      <c r="C3" s="23" t="s">
        <v>398</v>
      </c>
      <c r="D3" s="24" t="s">
        <v>322</v>
      </c>
      <c r="E3" s="23" t="s">
        <v>391</v>
      </c>
      <c r="F3" s="25"/>
      <c r="G3" s="25"/>
    </row>
    <row r="4" spans="1:7" ht="124.2" x14ac:dyDescent="0.3">
      <c r="A4" s="23" t="s">
        <v>324</v>
      </c>
      <c r="B4" s="23" t="s">
        <v>325</v>
      </c>
      <c r="C4" s="23" t="s">
        <v>326</v>
      </c>
      <c r="D4" s="24" t="s">
        <v>322</v>
      </c>
      <c r="E4" s="23" t="s">
        <v>327</v>
      </c>
      <c r="F4" s="25"/>
      <c r="G4" s="25"/>
    </row>
    <row r="5" spans="1:7" ht="151.80000000000001" x14ac:dyDescent="0.3">
      <c r="A5" s="23" t="s">
        <v>328</v>
      </c>
      <c r="B5" s="23" t="s">
        <v>329</v>
      </c>
      <c r="C5" s="23" t="s">
        <v>330</v>
      </c>
      <c r="D5" s="24" t="s">
        <v>322</v>
      </c>
      <c r="E5" s="23" t="s">
        <v>331</v>
      </c>
      <c r="F5" s="25"/>
      <c r="G5" s="25"/>
    </row>
    <row r="6" spans="1:7" ht="30" customHeight="1" x14ac:dyDescent="0.3">
      <c r="A6" s="25"/>
      <c r="B6" s="25"/>
      <c r="C6" s="25"/>
      <c r="D6" s="25"/>
      <c r="E6" s="25"/>
      <c r="F6" s="25"/>
      <c r="G6" s="25"/>
    </row>
    <row r="7" spans="1:7" ht="30" customHeight="1" x14ac:dyDescent="0.3">
      <c r="A7" s="36" t="s">
        <v>251</v>
      </c>
      <c r="B7" s="36"/>
      <c r="C7" s="36"/>
      <c r="D7" s="36"/>
      <c r="E7" s="36"/>
      <c r="F7" s="36"/>
      <c r="G7" s="36"/>
    </row>
    <row r="8" spans="1:7" ht="45" customHeight="1" x14ac:dyDescent="0.3">
      <c r="A8" s="28" t="s">
        <v>252</v>
      </c>
      <c r="B8" s="28" t="s">
        <v>253</v>
      </c>
      <c r="C8" s="28" t="s">
        <v>174</v>
      </c>
      <c r="D8" s="28" t="s">
        <v>254</v>
      </c>
      <c r="E8" s="28" t="s">
        <v>255</v>
      </c>
      <c r="F8" s="28" t="s">
        <v>256</v>
      </c>
      <c r="G8" s="28" t="s">
        <v>250</v>
      </c>
    </row>
    <row r="9" spans="1:7" ht="41.4" x14ac:dyDescent="0.3">
      <c r="A9" s="25" t="s">
        <v>332</v>
      </c>
      <c r="B9" s="25" t="s">
        <v>333</v>
      </c>
      <c r="C9" s="25" t="s">
        <v>334</v>
      </c>
      <c r="D9" s="25" t="s">
        <v>335</v>
      </c>
      <c r="E9" s="25" t="s">
        <v>336</v>
      </c>
      <c r="F9" s="26" t="s">
        <v>337</v>
      </c>
      <c r="G9" s="25" t="s">
        <v>338</v>
      </c>
    </row>
    <row r="10" spans="1:7" ht="55.2" x14ac:dyDescent="0.3">
      <c r="A10" s="25" t="s">
        <v>339</v>
      </c>
      <c r="B10" s="25" t="s">
        <v>340</v>
      </c>
      <c r="C10" s="25" t="s">
        <v>341</v>
      </c>
      <c r="D10" s="25" t="s">
        <v>342</v>
      </c>
      <c r="E10" s="25" t="s">
        <v>343</v>
      </c>
      <c r="F10" s="26" t="s">
        <v>344</v>
      </c>
      <c r="G10" s="25" t="s">
        <v>345</v>
      </c>
    </row>
    <row r="11" spans="1:7" ht="41.4" x14ac:dyDescent="0.3">
      <c r="A11" s="25" t="s">
        <v>346</v>
      </c>
      <c r="B11" s="25" t="s">
        <v>347</v>
      </c>
      <c r="C11" s="25" t="s">
        <v>348</v>
      </c>
      <c r="D11" s="25" t="s">
        <v>349</v>
      </c>
      <c r="E11" s="25" t="s">
        <v>350</v>
      </c>
      <c r="F11" s="26" t="s">
        <v>351</v>
      </c>
      <c r="G11" s="25" t="s">
        <v>352</v>
      </c>
    </row>
    <row r="12" spans="1:7" ht="55.2" x14ac:dyDescent="0.3">
      <c r="A12" s="25" t="s">
        <v>353</v>
      </c>
      <c r="B12" s="25" t="s">
        <v>354</v>
      </c>
      <c r="C12" s="25" t="s">
        <v>355</v>
      </c>
      <c r="D12" s="25" t="s">
        <v>356</v>
      </c>
      <c r="E12" s="25" t="s">
        <v>357</v>
      </c>
      <c r="F12" s="26" t="s">
        <v>358</v>
      </c>
      <c r="G12" s="25" t="s">
        <v>359</v>
      </c>
    </row>
    <row r="13" spans="1:7" ht="96.6" x14ac:dyDescent="0.3">
      <c r="A13" s="25" t="s">
        <v>360</v>
      </c>
      <c r="B13" s="25" t="s">
        <v>361</v>
      </c>
      <c r="C13" s="25" t="s">
        <v>431</v>
      </c>
      <c r="D13" s="25" t="s">
        <v>410</v>
      </c>
      <c r="E13" s="25" t="s">
        <v>390</v>
      </c>
      <c r="F13" s="26" t="s">
        <v>362</v>
      </c>
      <c r="G13" s="25" t="s">
        <v>411</v>
      </c>
    </row>
    <row r="14" spans="1:7" ht="72" x14ac:dyDescent="0.3">
      <c r="A14" s="25" t="s">
        <v>363</v>
      </c>
      <c r="B14" s="25" t="s">
        <v>364</v>
      </c>
      <c r="C14" s="25" t="s">
        <v>365</v>
      </c>
      <c r="D14" s="25" t="s">
        <v>366</v>
      </c>
      <c r="E14" s="25" t="s">
        <v>367</v>
      </c>
      <c r="F14" s="26" t="s">
        <v>368</v>
      </c>
      <c r="G14" s="25" t="s">
        <v>369</v>
      </c>
    </row>
    <row r="15" spans="1:7" ht="57.6" x14ac:dyDescent="0.3">
      <c r="A15" s="27" t="s">
        <v>370</v>
      </c>
      <c r="B15" s="27" t="s">
        <v>371</v>
      </c>
      <c r="C15" s="27" t="s">
        <v>372</v>
      </c>
      <c r="D15" s="27" t="s">
        <v>373</v>
      </c>
      <c r="E15" s="27" t="s">
        <v>374</v>
      </c>
      <c r="F15" s="27" t="s">
        <v>375</v>
      </c>
      <c r="G15" s="27" t="s">
        <v>376</v>
      </c>
    </row>
    <row r="16" spans="1:7" ht="72" x14ac:dyDescent="0.3">
      <c r="A16" s="27" t="s">
        <v>377</v>
      </c>
      <c r="B16" s="27" t="s">
        <v>378</v>
      </c>
      <c r="C16" s="27" t="s">
        <v>379</v>
      </c>
      <c r="D16" s="27" t="s">
        <v>388</v>
      </c>
      <c r="E16" s="27" t="s">
        <v>380</v>
      </c>
      <c r="F16" s="27" t="s">
        <v>381</v>
      </c>
      <c r="G16" s="27" t="s">
        <v>397</v>
      </c>
    </row>
  </sheetData>
  <mergeCells count="1">
    <mergeCell ref="A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26.77734375" customWidth="1"/>
    <col min="2" max="2" width="22.77734375" customWidth="1"/>
    <col min="3" max="3" width="30.77734375" customWidth="1"/>
    <col min="4" max="4" width="40.77734375" customWidth="1"/>
    <col min="5" max="5" width="26.77734375" customWidth="1"/>
    <col min="6" max="6" width="14.77734375" customWidth="1"/>
    <col min="7" max="7" width="34.77734375" customWidth="1"/>
  </cols>
  <sheetData>
    <row r="1" spans="1:7" ht="27.6" x14ac:dyDescent="0.3">
      <c r="A1" s="3" t="s">
        <v>257</v>
      </c>
      <c r="B1" s="3" t="s">
        <v>258</v>
      </c>
      <c r="C1" s="3" t="s">
        <v>259</v>
      </c>
      <c r="D1" s="3" t="s">
        <v>260</v>
      </c>
      <c r="E1" s="3" t="s">
        <v>427</v>
      </c>
      <c r="F1" s="3" t="s">
        <v>246</v>
      </c>
      <c r="G1" s="3" t="s">
        <v>261</v>
      </c>
    </row>
    <row r="2" spans="1:7" x14ac:dyDescent="0.3">
      <c r="A2" s="2" t="s">
        <v>262</v>
      </c>
      <c r="B2" s="2"/>
      <c r="C2" s="2"/>
      <c r="D2" s="2"/>
      <c r="E2" s="2"/>
      <c r="F2" s="2"/>
      <c r="G2" s="2"/>
    </row>
    <row r="3" spans="1:7" x14ac:dyDescent="0.3">
      <c r="A3" s="2" t="s">
        <v>263</v>
      </c>
      <c r="B3" s="2"/>
      <c r="C3" s="2"/>
      <c r="D3" s="2"/>
      <c r="E3" s="2"/>
      <c r="F3" s="2"/>
      <c r="G3" s="2"/>
    </row>
    <row r="4" spans="1:7" x14ac:dyDescent="0.3">
      <c r="A4" s="2" t="s">
        <v>264</v>
      </c>
      <c r="B4" s="2"/>
      <c r="C4" s="2"/>
      <c r="D4" s="2"/>
      <c r="E4" s="2"/>
      <c r="F4" s="2"/>
      <c r="G4" s="2"/>
    </row>
    <row r="5" spans="1:7" x14ac:dyDescent="0.3">
      <c r="A5" s="2" t="s">
        <v>265</v>
      </c>
      <c r="B5" s="2"/>
      <c r="C5" s="2"/>
      <c r="D5" s="2"/>
      <c r="E5" s="2"/>
      <c r="F5" s="2"/>
      <c r="G5" s="2"/>
    </row>
    <row r="6" spans="1:7" x14ac:dyDescent="0.3">
      <c r="A6" s="2" t="s">
        <v>266</v>
      </c>
      <c r="B6" s="2"/>
      <c r="C6" s="2"/>
      <c r="D6" s="2"/>
      <c r="E6" s="2"/>
      <c r="F6" s="2"/>
      <c r="G6" s="2"/>
    </row>
    <row r="7" spans="1:7" x14ac:dyDescent="0.3">
      <c r="A7" s="2" t="s">
        <v>267</v>
      </c>
      <c r="B7" s="2"/>
      <c r="C7" s="2"/>
      <c r="D7" s="2"/>
      <c r="E7" s="2"/>
      <c r="F7" s="2"/>
      <c r="G7" s="2"/>
    </row>
    <row r="8" spans="1:7" x14ac:dyDescent="0.3">
      <c r="A8" s="2" t="s">
        <v>268</v>
      </c>
      <c r="B8" s="2"/>
      <c r="C8" s="2"/>
      <c r="D8" s="2"/>
      <c r="E8" s="2"/>
      <c r="F8" s="2"/>
      <c r="G8" s="2"/>
    </row>
    <row r="9" spans="1:7" x14ac:dyDescent="0.3">
      <c r="A9" s="2" t="s">
        <v>269</v>
      </c>
      <c r="B9" s="2"/>
      <c r="C9" s="2"/>
      <c r="D9" s="2"/>
      <c r="E9" s="2"/>
      <c r="F9" s="2"/>
      <c r="G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Palancas</vt:lpstr>
      <vt:lpstr>Asignacion</vt:lpstr>
      <vt:lpstr>Regiones</vt:lpstr>
      <vt:lpstr>FOCUS</vt:lpstr>
      <vt:lpstr>Parametros_TCO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cristofer contreras</cp:lastModifiedBy>
  <dcterms:modified xsi:type="dcterms:W3CDTF">2026-09-17T14:29:51Z</dcterms:modified>
</cp:coreProperties>
</file>