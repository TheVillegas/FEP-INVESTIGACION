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531c49caa141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" sheetId="1" r:id="Rcbac032e6cac4f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.00"/>
    <x:numFmt numFmtId="202" formatCode="0.0%"/>
    <x:numFmt numFmtId="203" formatCode="&quot;$&quot;0.0000"/>
    <x:numFmt numFmtId="204" formatCode="&quot;$&quot;#,##0.00;[Red](&quot;$&quot;#,##0.00);-"/>
  </x:numFmts>
  <x:fonts count="9">
    <x:font>
      <x:sz val="11"/>
      <x:name val="Carlito"/>
    </x:font>
    <x:font>
      <x:b/>
      <x:sz val="15"/>
      <x:color rgb="FF17365D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b/>
      <x:sz val="12"/>
      <x:color rgb="FF17365D"/>
      <x:name val="Arial"/>
    </x:font>
    <x:font>
      <x:b/>
      <x:sz val="10"/>
      <x:color rgb="FF7F6000"/>
      <x:name val="Arial"/>
    </x:font>
    <x:font>
      <x:sz val="9"/>
      <x:color rgb="FF222222"/>
      <x:name val="Arial"/>
    </x:font>
    <x:font>
      <x:b/>
      <x:sz val="9"/>
      <x:color rgb="FFFFFFFF"/>
      <x:name val="Arial"/>
    </x:font>
    <x:font>
      <x:b/>
      <x:sz val="9"/>
      <x:color rgb="FF1F4E7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03864"/>
      </x:patternFill>
    </x:fill>
  </x:fills>
  <x:borders count="5"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/>
    </x:xf>
    <x:xf numFmtId="0" fontId="4" fillId="3" borderId="3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200" fontId="4" fillId="3" borderId="3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4" xfId="0" applyNumberFormat="1" applyFont="1" applyFill="1" applyBorder="1"/>
    <x:xf numFmtId="0" fontId="7" fillId="4" borderId="4" xfId="0" applyNumberFormat="1" applyFont="1" applyFill="1" applyBorder="1" applyAlignment="1">
      <x:alignment wrapText="1"/>
    </x:xf>
    <x:xf numFmtId="0" fontId="7" fillId="4" borderId="4" xfId="0" applyNumberFormat="1" applyFont="1" applyFill="1" applyBorder="1" applyAlignment="1">
      <x:alignment horizontal="center" wrapText="1"/>
    </x:xf>
    <x:xf numFmtId="0" fontId="7" fillId="4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horizontal="right" vertical="center" wrapText="1"/>
    </x:xf>
    <x:xf numFmtId="0" fontId="8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horizontal="right" vertical="center" wrapText="1"/>
    </x:xf>
    <x:xf numFmtId="202" fontId="6" fillId="0" borderId="0" xfId="0" applyNumberFormat="1" applyFont="1" applyFill="1" applyBorder="1" applyAlignment="1">
      <x:alignment horizontal="right" vertical="center" wrapText="1"/>
    </x:xf>
    <x:xf numFmtId="203" fontId="6" fillId="0" borderId="0" xfId="0" applyNumberFormat="1" applyFont="1" applyFill="1" applyBorder="1" applyAlignment="1">
      <x:alignment horizontal="right" vertical="center" wrapText="1"/>
    </x:xf>
    <x:xf numFmtId="204" fontId="6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7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4ce28b060e4abc" /><Relationship Type="http://schemas.openxmlformats.org/officeDocument/2006/relationships/theme" Target="/xl/theme/theme1.xml" Id="Rf933bacd0e2a4911" /><Relationship Type="http://schemas.openxmlformats.org/officeDocument/2006/relationships/sharedStrings" Target="/xl/sharedStrings.xml" Id="R72451f9fc67f4f11" /><Relationship Type="http://schemas.openxmlformats.org/officeDocument/2006/relationships/worksheet" Target="/xl/worksheets/sheet1.xml" Id="Rcbac032e6cac4f94" /></Relationships>
</file>

<file path=xl/tables/table1.xml><?xml version="1.0" encoding="utf-8"?>
<x:table xmlns:x="http://schemas.openxmlformats.org/spreadsheetml/2006/main" id="1" name="InputsTINV06" displayName="InputsTINV06" ref="A10:M104" headerRowCount="1" totalsRowCount="0" totalsRowShown="0">
  <x:autoFilter ref="A10:M104"/>
  <x:tableColumns count="13">
    <x:tableColumn id="1" name="ID"/>
    <x:tableColumn id="2" name="Grupo"/>
    <x:tableColumn id="3" name="Entrada"/>
    <x:tableColumn id="4" name="Región / alcance"/>
    <x:tableColumn id="5" name="Valor utilizado"/>
    <x:tableColumn id="6" name="Unidad"/>
    <x:tableColumn id="7" name="Estado de evidencia"/>
    <x:tableColumn id="8" name="Fuente / evidencia"/>
    <x:tableColumn id="9" name="Fecha de corte"/>
    <x:tableColumn id="10" name="Responsable"/>
    <x:tableColumn id="11" name="Jira"/>
    <x:tableColumn id="12" name="Validación / acción restante"/>
    <x:tableColumn id="13" name="Impacto / us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87204dc9b64d3a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10" topLeftCell="D11" activePane="bottomRight" state="frozen"/>
    </x:sheetView>
  </x:sheetViews>
  <x:sheetFormatPr defaultRowHeight="15"/>
  <x:cols>
    <x:col min="1" max="1" width="11" hidden="0" customWidth="1"/>
    <x:col min="2" max="2" width="19" hidden="0" customWidth="1"/>
    <x:col min="3" max="3" width="29" hidden="0" customWidth="1"/>
    <x:col min="4" max="4" width="16" hidden="0" customWidth="1"/>
    <x:col min="5" max="5" width="24" hidden="0" customWidth="1"/>
    <x:col min="6" max="6" width="17" hidden="0" customWidth="1"/>
    <x:col min="7" max="7" width="23" hidden="0" customWidth="1"/>
    <x:col min="8" max="8" width="48" hidden="0" customWidth="1"/>
    <x:col min="9" max="9" width="20" hidden="0" customWidth="1"/>
    <x:col min="10" max="10" width="24" hidden="0" customWidth="1"/>
    <x:col min="11" max="11" width="15" hidden="0" customWidth="1"/>
    <x:col min="12" max="12" width="46" hidden="0" customWidth="1"/>
    <x:col min="13" max="13" width="28" hidden="0" customWidth="1"/>
  </x:cols>
  <x:sheetData>
    <x:row r="2" ht="25" customHeight="1">
      <x:c r="A2" s="1" t="str">
        <x:v>Matriz de entradas y validaciones — TINV-06 / FP-52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18" customHeight="1">
      <x:c r="A3" s="2" t="str">
        <x:v>Consolidación local de FP-172 y FP-182 a FP-188. Corte y auditoría de pendientes: 2026-09-21. Los vacíos pendientes no se interpretan como cero.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5" ht="24" customHeight="1">
      <x:c r="A5" s="6" t="str">
        <x:v>Total</x:v>
      </x:c>
      <x:c r="B5" s="6" t="str">
        <x:v>Oficial</x:v>
      </x:c>
      <x:c r="C5" s="6" t="str">
        <x:v>Supuesto</x:v>
      </x:c>
      <x:c r="D5" s="6" t="str">
        <x:v>Proxy público</x:v>
      </x:c>
      <x:c r="E5" s="6" t="str">
        <x:v>Estimación</x:v>
      </x:c>
      <x:c r="F5" s="6" t="str">
        <x:v>Derivado</x:v>
      </x:c>
      <x:c r="G5" s="6" t="str">
        <x:v>Pendiente humano</x:v>
      </x:c>
      <x:c r="H5" s="6" t="str">
        <x:v>No aplica</x:v>
      </x:c>
      <x:c r="I5" s="6" t="str">
        <x:v>Fecha de consolidación</x:v>
      </x:c>
    </x:row>
    <x:row r="6" ht="24" customHeight="1">
      <x:c r="A6" s="15" t="n">
        <x:f>COUNTA($A$11:$A$104)</x:f>
        <x:v>94</x:v>
      </x:c>
      <x:c r="B6" s="16" t="n">
        <x:f>COUNTIF($G$11:$G$104,"Oficial")</x:f>
        <x:v>25</x:v>
      </x:c>
      <x:c r="C6" s="16" t="n">
        <x:f>COUNTIF($G$11:$G$104,"Supuesto documentado")</x:f>
        <x:v>25</x:v>
      </x:c>
      <x:c r="D6" s="16" t="n">
        <x:f>COUNTIF($G$11:$G$104,"Proxy público")</x:f>
        <x:v>3</x:v>
      </x:c>
      <x:c r="E6" s="16" t="n">
        <x:f>COUNTIF($G$11:$G$104,"Estimación de ingeniería")</x:f>
        <x:v>6</x:v>
      </x:c>
      <x:c r="F6" s="16" t="n">
        <x:f>COUNTIF($G$11:$G$104,"Derivado verificado")</x:f>
        <x:v>15</x:v>
      </x:c>
      <x:c r="G6" s="16" t="n">
        <x:f>COUNTIF($G$11:$G$104,"Pendiente humano")</x:f>
        <x:v>17</x:v>
      </x:c>
      <x:c r="H6" s="16" t="n">
        <x:f>COUNTIF($G$11:$G$104,"No aplica justificado")</x:f>
        <x:v>3</x:v>
      </x:c>
      <x:c r="I6" s="18" t="n">
        <x:v>46286</x:v>
      </x:c>
    </x:row>
    <x:row r="8" ht="20" customHeight="1">
      <x:c r="A8" s="19" t="str">
        <x:v>Regla de cierre: 13 validaciones tienen precarga respaldada y 4 permanecen sin valor. Las 17 conservan estado pendiente hasta recibir medición, dato interno o aprobación formal. El PRI ya es reproducible en FP-187.</x:v>
      </x:c>
      <x:c r="B8" s="19"/>
      <x:c r="C8" s="19"/>
      <x:c r="D8" s="19"/>
      <x:c r="E8" s="19"/>
      <x:c r="F8" s="19"/>
      <x:c r="G8" s="19"/>
      <x:c r="H8" s="19"/>
      <x:c r="I8" s="19"/>
      <x:c r="J8" s="19"/>
      <x:c r="K8" s="19"/>
      <x:c r="L8" s="19"/>
      <x:c r="M8" s="19"/>
    </x:row>
    <x:row r="10" ht="32" customHeight="1">
      <x:c r="A10" s="26" t="str">
        <x:v>ID</x:v>
      </x:c>
      <x:c r="B10" s="26" t="str">
        <x:v>Grupo</x:v>
      </x:c>
      <x:c r="C10" s="26" t="str">
        <x:v>Entrada</x:v>
      </x:c>
      <x:c r="D10" s="26" t="str">
        <x:v>Región / alcance</x:v>
      </x:c>
      <x:c r="E10" s="26" t="str">
        <x:v>Valor utilizado</x:v>
      </x:c>
      <x:c r="F10" s="26" t="str">
        <x:v>Unidad</x:v>
      </x:c>
      <x:c r="G10" s="26" t="str">
        <x:v>Estado de evidencia</x:v>
      </x:c>
      <x:c r="H10" s="26" t="str">
        <x:v>Fuente / evidencia</x:v>
      </x:c>
      <x:c r="I10" s="26" t="str">
        <x:v>Fecha de corte</x:v>
      </x:c>
      <x:c r="J10" s="26" t="str">
        <x:v>Responsable</x:v>
      </x:c>
      <x:c r="K10" s="26" t="str">
        <x:v>Jira</x:v>
      </x:c>
      <x:c r="L10" s="26" t="str">
        <x:v>Validación / acción restante</x:v>
      </x:c>
      <x:c r="M10" s="26" t="str">
        <x:v>Impacto / uso</x:v>
      </x:c>
    </x:row>
    <x:row r="11" ht="43" customHeight="1">
      <x:c r="A11" s="31" t="str">
        <x:v>ARC-01</x:v>
      </x:c>
      <x:c r="B11" s="28" t="str">
        <x:v>Arquitectura</x:v>
      </x:c>
      <x:c r="C11" s="28" t="str">
        <x:v>Escenario de referencia</x:v>
      </x:c>
      <x:c r="D11" s="28" t="str">
        <x:v>Común</x:v>
      </x:c>
      <x:c r="E11" s="30" t="str">
        <x:v>API web contenedorizada en Azure Container Apps Consumption</x:v>
      </x:c>
      <x:c r="F11" s="27" t="str">
        <x:v>arquitectura</x:v>
      </x:c>
      <x:c r="G11" s="28" t="str">
        <x:v>Supuesto documentado</x:v>
      </x:c>
      <x:c r="H11" s="28" t="str">
        <x:v>docs/fp-182/arquitectura-y-supuestos-borrador.md</x:v>
      </x:c>
      <x:c r="I11" s="29" t="n">
        <x:v>46281</x:v>
      </x:c>
      <x:c r="J11" s="28" t="str">
        <x:v>Equipo técnico</x:v>
      </x:c>
      <x:c r="K11" s="28" t="str">
        <x:v>FP-182</x:v>
      </x:c>
      <x:c r="L11" s="28" t="str">
        <x:v>Confirmar que representa el caso que el equipo defenderá</x:v>
      </x:c>
      <x:c r="M11" s="28" t="str">
        <x:v>Base común de FP-183 a FP-188</x:v>
      </x:c>
    </x:row>
    <x:row r="12" ht="43" customHeight="1">
      <x:c r="A12" s="31" t="str">
        <x:v>ARC-02</x:v>
      </x:c>
      <x:c r="B12" s="28" t="str">
        <x:v>Arquitectura</x:v>
      </x:c>
      <x:c r="C12" s="28" t="str">
        <x:v>Regiones comparadas</x:v>
      </x:c>
      <x:c r="D12" s="28" t="str">
        <x:v>Común</x:v>
      </x:c>
      <x:c r="E12" s="30" t="str">
        <x:v>Chile Central / East US</x:v>
      </x:c>
      <x:c r="F12" s="27" t="str">
        <x:v>regiones</x:v>
      </x:c>
      <x:c r="G12" s="28" t="str">
        <x:v>Supuesto documentado</x:v>
      </x:c>
      <x:c r="H12" s="28" t="str">
        <x:v>docs/fp-182/arquitectura-y-supuestos-borrador.md; docs/fp-185/comparacion-regional-santiago-eastus.xlsx</x:v>
      </x:c>
      <x:c r="I12" s="29" t="n">
        <x:v>46281</x:v>
      </x:c>
      <x:c r="J12" s="28" t="str">
        <x:v>Arquitectura / FinOps</x:v>
      </x:c>
      <x:c r="K12" s="28" t="str">
        <x:v>FP-182 / FP-185</x:v>
      </x:c>
      <x:c r="L12" s="28" t="str">
        <x:v>Mantener diseño lógico equivalente</x:v>
      </x:c>
      <x:c r="M12" s="28" t="str">
        <x:v>Comparación regional</x:v>
      </x:c>
    </x:row>
    <x:row r="13" ht="43" customHeight="1">
      <x:c r="A13" s="31" t="str">
        <x:v>ARC-03</x:v>
      </x:c>
      <x:c r="B13" s="28" t="str">
        <x:v>Arquitectura</x:v>
      </x:c>
      <x:c r="C13" s="28" t="str">
        <x:v>Horizonte de evaluación</x:v>
      </x:c>
      <x:c r="D13" s="28" t="str">
        <x:v>Común</x:v>
      </x:c>
      <x:c r="E13" s="32" t="n">
        <x:v>60</x:v>
      </x:c>
      <x:c r="F13" s="27" t="str">
        <x:v>meses</x:v>
      </x:c>
      <x:c r="G13" s="28" t="str">
        <x:v>Supuesto documentado</x:v>
      </x:c>
      <x:c r="H13" s="28" t="str">
        <x:v>docs/fp-183/modelo-tco-linea-base-5-anos.xlsx — Supuestos!B7</x:v>
      </x:c>
      <x:c r="I13" s="29" t="n">
        <x:v>46281</x:v>
      </x:c>
      <x:c r="J13" s="28" t="str">
        <x:v>Finanzas</x:v>
      </x:c>
      <x:c r="K13" s="28" t="str">
        <x:v>FP-183 / FP-187</x:v>
      </x:c>
      <x:c r="L13" s="28" t="str">
        <x:v>Mantener 60 meses al recalcular</x:v>
      </x:c>
      <x:c r="M13" s="28" t="str">
        <x:v>TCO, VAN, TIR y PRI</x:v>
      </x:c>
    </x:row>
    <x:row r="14" ht="43" customHeight="1">
      <x:c r="A14" s="31" t="str">
        <x:v>ARC-04</x:v>
      </x:c>
      <x:c r="B14" s="28" t="str">
        <x:v>Arquitectura</x:v>
      </x:c>
      <x:c r="C14" s="28" t="str">
        <x:v>Moneda del modelo</x:v>
      </x:c>
      <x:c r="D14" s="28" t="str">
        <x:v>Común</x:v>
      </x:c>
      <x:c r="E14" s="30" t="str">
        <x:v>USD</x:v>
      </x:c>
      <x:c r="F14" s="27" t="str">
        <x:v>moneda</x:v>
      </x:c>
      <x:c r="G14" s="28" t="str">
        <x:v>Supuesto documentado</x:v>
      </x:c>
      <x:c r="H14" s="28" t="str">
        <x:v>docs/fp-183/modelo-tco-linea-base-5-anos.xlsx — Supuestos!B32</x:v>
      </x:c>
      <x:c r="I14" s="29" t="n">
        <x:v>46281</x:v>
      </x:c>
      <x:c r="J14" s="28" t="str">
        <x:v>Finanzas</x:v>
      </x:c>
      <x:c r="K14" s="28" t="str">
        <x:v>FP-183</x:v>
      </x:c>
      <x:c r="L14" s="28" t="str">
        <x:v>Definir tratamiento de FX, impuestos e inflación si cambia el alcance</x:v>
      </x:c>
      <x:c r="M14" s="28" t="str">
        <x:v>Comparabilidad económica</x:v>
      </x:c>
    </x:row>
    <x:row r="15" ht="43" customHeight="1">
      <x:c r="A15" s="31" t="str">
        <x:v>APP-01</x:v>
      </x:c>
      <x:c r="B15" s="28" t="str">
        <x:v>Aplicación productiva</x:v>
      </x:c>
      <x:c r="C15" s="28" t="str">
        <x:v>vCPU producción</x:v>
      </x:c>
      <x:c r="D15" s="28" t="str">
        <x:v>Común</x:v>
      </x:c>
      <x:c r="E15" s="32" t="n">
        <x:v>1</x:v>
      </x:c>
      <x:c r="F15" s="27" t="str">
        <x:v>vCPU</x:v>
      </x:c>
      <x:c r="G15" s="28" t="str">
        <x:v>Supuesto documentado</x:v>
      </x:c>
      <x:c r="H15" s="28" t="str">
        <x:v>docs/fp-183/modelo-tco-linea-base-5-anos.xlsx — Supuestos!B11</x:v>
      </x:c>
      <x:c r="I15" s="29" t="n">
        <x:v>46281</x:v>
      </x:c>
      <x:c r="J15" s="28" t="str">
        <x:v>Arquitectura / SRE</x:v>
      </x:c>
      <x:c r="K15" s="28" t="str">
        <x:v>FP-182 / FP-186</x:v>
      </x:c>
      <x:c r="L15" s="28" t="str">
        <x:v>Validar con telemetría y prueba de carga</x:v>
      </x:c>
      <x:c r="M15" s="28" t="str">
        <x:v>Costo y rendimiento</x:v>
      </x:c>
    </x:row>
    <x:row r="16" ht="43" customHeight="1">
      <x:c r="A16" s="31" t="str">
        <x:v>APP-02</x:v>
      </x:c>
      <x:c r="B16" s="28" t="str">
        <x:v>Aplicación productiva</x:v>
      </x:c>
      <x:c r="C16" s="28" t="str">
        <x:v>Memoria producción</x:v>
      </x:c>
      <x:c r="D16" s="28" t="str">
        <x:v>Común</x:v>
      </x:c>
      <x:c r="E16" s="32" t="n">
        <x:v>2</x:v>
      </x:c>
      <x:c r="F16" s="27" t="str">
        <x:v>GiB</x:v>
      </x:c>
      <x:c r="G16" s="28" t="str">
        <x:v>Supuesto documentado</x:v>
      </x:c>
      <x:c r="H16" s="28" t="str">
        <x:v>docs/fp-183/modelo-tco-linea-base-5-anos.xlsx — Supuestos!B12</x:v>
      </x:c>
      <x:c r="I16" s="29" t="n">
        <x:v>46281</x:v>
      </x:c>
      <x:c r="J16" s="28" t="str">
        <x:v>Arquitectura / SRE</x:v>
      </x:c>
      <x:c r="K16" s="28" t="str">
        <x:v>FP-182 / FP-186</x:v>
      </x:c>
      <x:c r="L16" s="28" t="str">
        <x:v>Validar OOM, percentiles y límites</x:v>
      </x:c>
      <x:c r="M16" s="28" t="str">
        <x:v>Costo y rendimiento</x:v>
      </x:c>
    </x:row>
    <x:row r="17" ht="43" customHeight="1">
      <x:c r="A17" s="31" t="str">
        <x:v>APP-03</x:v>
      </x:c>
      <x:c r="B17" s="28" t="str">
        <x:v>Aplicación productiva</x:v>
      </x:c>
      <x:c r="C17" s="28" t="str">
        <x:v>Horas producción</x:v>
      </x:c>
      <x:c r="D17" s="28" t="str">
        <x:v>Común</x:v>
      </x:c>
      <x:c r="E17" s="32" t="n">
        <x:v>730</x:v>
      </x:c>
      <x:c r="F17" s="27" t="str">
        <x:v>h/mes</x:v>
      </x:c>
      <x:c r="G17" s="28" t="str">
        <x:v>Supuesto documentado</x:v>
      </x:c>
      <x:c r="H17" s="28" t="str">
        <x:v>docs/fp-183/modelo-tco-linea-base-5-anos.xlsx — Supuestos!B8</x:v>
      </x:c>
      <x:c r="I17" s="29" t="n">
        <x:v>46281</x:v>
      </x:c>
      <x:c r="J17" s="28" t="str">
        <x:v>Arquitectura / FinOps</x:v>
      </x:c>
      <x:c r="K17" s="28" t="str">
        <x:v>FP-182 / FP-183</x:v>
      </x:c>
      <x:c r="L17" s="28" t="str">
        <x:v>Confirmar convención mensual</x:v>
      </x:c>
      <x:c r="M17" s="28" t="str">
        <x:v>Consumo de cómputo</x:v>
      </x:c>
    </x:row>
    <x:row r="18" ht="43" customHeight="1">
      <x:c r="A18" s="31" t="str">
        <x:v>APP-04</x:v>
      </x:c>
      <x:c r="B18" s="28" t="str">
        <x:v>Aplicación productiva</x:v>
      </x:c>
      <x:c r="C18" s="28" t="str">
        <x:v>Solicitudes producción</x:v>
      </x:c>
      <x:c r="D18" s="28" t="str">
        <x:v>Común</x:v>
      </x:c>
      <x:c r="E18" s="32" t="n">
        <x:v>1000000</x:v>
      </x:c>
      <x:c r="F18" s="27" t="str">
        <x:v>solicitudes/mes</x:v>
      </x:c>
      <x:c r="G18" s="28" t="str">
        <x:v>Supuesto documentado</x:v>
      </x:c>
      <x:c r="H18" s="28" t="str">
        <x:v>docs/fp-183/modelo-tco-linea-base-5-anos.xlsx — Supuestos!B13</x:v>
      </x:c>
      <x:c r="I18" s="29" t="n">
        <x:v>46281</x:v>
      </x:c>
      <x:c r="J18" s="28" t="str">
        <x:v>Producto / SRE</x:v>
      </x:c>
      <x:c r="K18" s="28" t="str">
        <x:v>FP-182 / FP-183</x:v>
      </x:c>
      <x:c r="L18" s="28" t="str">
        <x:v>Sustituir por telemetría real si existe</x:v>
      </x:c>
      <x:c r="M18" s="28" t="str">
        <x:v>Franquicia y costo por solicitudes</x:v>
      </x:c>
    </x:row>
    <x:row r="19" ht="43" customHeight="1">
      <x:c r="A19" s="31" t="str">
        <x:v>APP-05</x:v>
      </x:c>
      <x:c r="B19" s="28" t="str">
        <x:v>Aplicación no productiva</x:v>
      </x:c>
      <x:c r="C19" s="28" t="str">
        <x:v>vCPU no producción</x:v>
      </x:c>
      <x:c r="D19" s="28" t="str">
        <x:v>Común</x:v>
      </x:c>
      <x:c r="E19" s="32" t="n">
        <x:v>0.5</x:v>
      </x:c>
      <x:c r="F19" s="27" t="str">
        <x:v>vCPU</x:v>
      </x:c>
      <x:c r="G19" s="28" t="str">
        <x:v>Supuesto documentado</x:v>
      </x:c>
      <x:c r="H19" s="28" t="str">
        <x:v>docs/fp-183/modelo-tco-linea-base-5-anos.xlsx — Supuestos!B20</x:v>
      </x:c>
      <x:c r="I19" s="29" t="n">
        <x:v>46281</x:v>
      </x:c>
      <x:c r="J19" s="28" t="str">
        <x:v>Arquitectura / SRE</x:v>
      </x:c>
      <x:c r="K19" s="28" t="str">
        <x:v>FP-182 / FP-184</x:v>
      </x:c>
      <x:c r="L19" s="28" t="str">
        <x:v>Confirmar capacidad de pruebas</x:v>
      </x:c>
      <x:c r="M19" s="28" t="str">
        <x:v>Costo no productivo</x:v>
      </x:c>
    </x:row>
    <x:row r="20" ht="43" customHeight="1">
      <x:c r="A20" s="31" t="str">
        <x:v>APP-06</x:v>
      </x:c>
      <x:c r="B20" s="28" t="str">
        <x:v>Aplicación no productiva</x:v>
      </x:c>
      <x:c r="C20" s="28" t="str">
        <x:v>Memoria no producción</x:v>
      </x:c>
      <x:c r="D20" s="28" t="str">
        <x:v>Común</x:v>
      </x:c>
      <x:c r="E20" s="32" t="n">
        <x:v>1</x:v>
      </x:c>
      <x:c r="F20" s="27" t="str">
        <x:v>GiB</x:v>
      </x:c>
      <x:c r="G20" s="28" t="str">
        <x:v>Supuesto documentado</x:v>
      </x:c>
      <x:c r="H20" s="28" t="str">
        <x:v>docs/fp-183/modelo-tco-linea-base-5-anos.xlsx — Supuestos!B21</x:v>
      </x:c>
      <x:c r="I20" s="29" t="n">
        <x:v>46281</x:v>
      </x:c>
      <x:c r="J20" s="28" t="str">
        <x:v>Arquitectura / SRE</x:v>
      </x:c>
      <x:c r="K20" s="28" t="str">
        <x:v>FP-182 / FP-184</x:v>
      </x:c>
      <x:c r="L20" s="28" t="str">
        <x:v>Confirmar capacidad de pruebas</x:v>
      </x:c>
      <x:c r="M20" s="28" t="str">
        <x:v>Costo no productivo</x:v>
      </x:c>
    </x:row>
    <x:row r="21" ht="43" customHeight="1">
      <x:c r="A21" s="31" t="str">
        <x:v>APP-07</x:v>
      </x:c>
      <x:c r="B21" s="28" t="str">
        <x:v>Aplicación no productiva</x:v>
      </x:c>
      <x:c r="C21" s="28" t="str">
        <x:v>Horas no producción</x:v>
      </x:c>
      <x:c r="D21" s="28" t="str">
        <x:v>Común</x:v>
      </x:c>
      <x:c r="E21" s="32" t="n">
        <x:v>264</x:v>
      </x:c>
      <x:c r="F21" s="27" t="str">
        <x:v>h/mes</x:v>
      </x:c>
      <x:c r="G21" s="28" t="str">
        <x:v>Supuesto documentado</x:v>
      </x:c>
      <x:c r="H21" s="28" t="str">
        <x:v>docs/fp-183/modelo-tco-linea-base-5-anos.xlsx — Supuestos!B19</x:v>
      </x:c>
      <x:c r="I21" s="29" t="n">
        <x:v>46281</x:v>
      </x:c>
      <x:c r="J21" s="28" t="str">
        <x:v>Equipo técnico</x:v>
      </x:c>
      <x:c r="K21" s="28" t="str">
        <x:v>FP-182 / FP-184</x:v>
      </x:c>
      <x:c r="L21" s="28" t="str">
        <x:v>Validar calendario de 12 h × 22 días</x:v>
      </x:c>
      <x:c r="M21" s="28" t="str">
        <x:v>Palanca de apagado</x:v>
      </x:c>
    </x:row>
    <x:row r="22" ht="43" customHeight="1">
      <x:c r="A22" s="31" t="str">
        <x:v>APP-08</x:v>
      </x:c>
      <x:c r="B22" s="28" t="str">
        <x:v>Aplicación no productiva</x:v>
      </x:c>
      <x:c r="C22" s="28" t="str">
        <x:v>Solicitudes no producción</x:v>
      </x:c>
      <x:c r="D22" s="28" t="str">
        <x:v>Común</x:v>
      </x:c>
      <x:c r="E22" s="32" t="n">
        <x:v>100000</x:v>
      </x:c>
      <x:c r="F22" s="27" t="str">
        <x:v>solicitudes/mes</x:v>
      </x:c>
      <x:c r="G22" s="28" t="str">
        <x:v>Supuesto documentado</x:v>
      </x:c>
      <x:c r="H22" s="28" t="str">
        <x:v>docs/fp-183/modelo-tco-linea-base-5-anos.xlsx — Supuestos!B22</x:v>
      </x:c>
      <x:c r="I22" s="29" t="n">
        <x:v>46281</x:v>
      </x:c>
      <x:c r="J22" s="28" t="str">
        <x:v>Producto / SRE</x:v>
      </x:c>
      <x:c r="K22" s="28" t="str">
        <x:v>FP-182 / FP-183</x:v>
      </x:c>
      <x:c r="L22" s="28" t="str">
        <x:v>Sustituir por telemetría real si existe</x:v>
      </x:c>
      <x:c r="M22" s="28" t="str">
        <x:v>Franquicia y costo por solicitudes</x:v>
      </x:c>
    </x:row>
    <x:row r="23" ht="43" customHeight="1">
      <x:c r="A23" s="31" t="str">
        <x:v>APP-09</x:v>
      </x:c>
      <x:c r="B23" s="28" t="str">
        <x:v>Franquicias</x:v>
      </x:c>
      <x:c r="C23" s="28" t="str">
        <x:v>CPU sin cargo Container Apps</x:v>
      </x:c>
      <x:c r="D23" s="28" t="str">
        <x:v>Común</x:v>
      </x:c>
      <x:c r="E23" s="32" t="n">
        <x:v>50</x:v>
      </x:c>
      <x:c r="F23" s="27" t="str">
        <x:v>vCPU-h/mes</x:v>
      </x:c>
      <x:c r="G23" s="28" t="str">
        <x:v>Oficial</x:v>
      </x:c>
      <x:c r="H23" s="28" t="str">
        <x:v>https://learn.microsoft.com/en-us/azure/container-apps/billing; FP-183 Supuestos!B23</x:v>
      </x:c>
      <x:c r="I23" s="29" t="n">
        <x:v>46281</x:v>
      </x:c>
      <x:c r="J23" s="28" t="str">
        <x:v>FinOps</x:v>
      </x:c>
      <x:c r="K23" s="28" t="str">
        <x:v>FP-183</x:v>
      </x:c>
      <x:c r="L23" s="28" t="str">
        <x:v>Revalidar antes de decisión contractual</x:v>
      </x:c>
      <x:c r="M23" s="28" t="str">
        <x:v>Cálculo de CPU facturable</x:v>
      </x:c>
    </x:row>
    <x:row r="24" ht="43" customHeight="1">
      <x:c r="A24" s="31" t="str">
        <x:v>APP-10</x:v>
      </x:c>
      <x:c r="B24" s="28" t="str">
        <x:v>Franquicias</x:v>
      </x:c>
      <x:c r="C24" s="28" t="str">
        <x:v>Memoria sin cargo Container Apps</x:v>
      </x:c>
      <x:c r="D24" s="28" t="str">
        <x:v>Común</x:v>
      </x:c>
      <x:c r="E24" s="32" t="n">
        <x:v>100</x:v>
      </x:c>
      <x:c r="F24" s="27" t="str">
        <x:v>GiB-h/mes</x:v>
      </x:c>
      <x:c r="G24" s="28" t="str">
        <x:v>Oficial</x:v>
      </x:c>
      <x:c r="H24" s="28" t="str">
        <x:v>https://learn.microsoft.com/en-us/azure/container-apps/billing; FP-183 Supuestos!B24</x:v>
      </x:c>
      <x:c r="I24" s="29" t="n">
        <x:v>46281</x:v>
      </x:c>
      <x:c r="J24" s="28" t="str">
        <x:v>FinOps</x:v>
      </x:c>
      <x:c r="K24" s="28" t="str">
        <x:v>FP-183</x:v>
      </x:c>
      <x:c r="L24" s="28" t="str">
        <x:v>Revalidar antes de decisión contractual</x:v>
      </x:c>
      <x:c r="M24" s="28" t="str">
        <x:v>Cálculo de memoria facturable</x:v>
      </x:c>
    </x:row>
    <x:row r="25" ht="43" customHeight="1">
      <x:c r="A25" s="31" t="str">
        <x:v>APP-11</x:v>
      </x:c>
      <x:c r="B25" s="28" t="str">
        <x:v>Franquicias</x:v>
      </x:c>
      <x:c r="C25" s="28" t="str">
        <x:v>Solicitudes sin cargo Container Apps</x:v>
      </x:c>
      <x:c r="D25" s="28" t="str">
        <x:v>Común</x:v>
      </x:c>
      <x:c r="E25" s="32" t="n">
        <x:v>2000000</x:v>
      </x:c>
      <x:c r="F25" s="27" t="str">
        <x:v>solicitudes/mes</x:v>
      </x:c>
      <x:c r="G25" s="28" t="str">
        <x:v>Oficial</x:v>
      </x:c>
      <x:c r="H25" s="28" t="str">
        <x:v>https://learn.microsoft.com/en-us/azure/container-apps/billing; FP-183 Supuestos!B25</x:v>
      </x:c>
      <x:c r="I25" s="29" t="n">
        <x:v>46281</x:v>
      </x:c>
      <x:c r="J25" s="28" t="str">
        <x:v>FinOps</x:v>
      </x:c>
      <x:c r="K25" s="28" t="str">
        <x:v>FP-183</x:v>
      </x:c>
      <x:c r="L25" s="28" t="str">
        <x:v>Revalidar antes de decisión contractual</x:v>
      </x:c>
      <x:c r="M25" s="28" t="str">
        <x:v>Cálculo de solicitudes facturables</x:v>
      </x:c>
    </x:row>
    <x:row r="26" ht="43" customHeight="1">
      <x:c r="A26" s="31" t="str">
        <x:v>DB-01</x:v>
      </x:c>
      <x:c r="B26" s="28" t="str">
        <x:v>Base de datos</x:v>
      </x:c>
      <x:c r="C26" s="28" t="str">
        <x:v>PostgreSQL General Purpose</x:v>
      </x:c>
      <x:c r="D26" s="28" t="str">
        <x:v>Común</x:v>
      </x:c>
      <x:c r="E26" s="32" t="n">
        <x:v>2</x:v>
      </x:c>
      <x:c r="F26" s="27" t="str">
        <x:v>vCore</x:v>
      </x:c>
      <x:c r="G26" s="28" t="str">
        <x:v>Supuesto documentado</x:v>
      </x:c>
      <x:c r="H26" s="28" t="str">
        <x:v>docs/fp-182/arquitectura-y-supuestos-borrador.md; https://learn.microsoft.com/en-us/azure/postgresql/compute-storage/concepts-compute</x:v>
      </x:c>
      <x:c r="I26" s="29" t="n">
        <x:v>46281</x:v>
      </x:c>
      <x:c r="J26" s="28" t="str">
        <x:v>Arquitectura / DBA</x:v>
      </x:c>
      <x:c r="K26" s="28" t="str">
        <x:v>FP-182 / FP-186</x:v>
      </x:c>
      <x:c r="L26" s="28" t="str">
        <x:v>Probar 2, 4 y 8 vCores con carga representativa</x:v>
      </x:c>
      <x:c r="M26" s="28" t="str">
        <x:v>Driver principal de costo</x:v>
      </x:c>
    </x:row>
    <x:row r="27" ht="43" customHeight="1">
      <x:c r="A27" s="31" t="str">
        <x:v>DB-02</x:v>
      </x:c>
      <x:c r="B27" s="28" t="str">
        <x:v>Base de datos</x:v>
      </x:c>
      <x:c r="C27" s="28" t="str">
        <x:v>Almacenamiento PostgreSQL</x:v>
      </x:c>
      <x:c r="D27" s="28" t="str">
        <x:v>Común</x:v>
      </x:c>
      <x:c r="E27" s="32" t="n">
        <x:v>100</x:v>
      </x:c>
      <x:c r="F27" s="27" t="str">
        <x:v>GiB</x:v>
      </x:c>
      <x:c r="G27" s="28" t="str">
        <x:v>Supuesto documentado</x:v>
      </x:c>
      <x:c r="H27" s="28" t="str">
        <x:v>docs/fp-183/modelo-tco-linea-base-5-anos.xlsx — Supuestos!B14</x:v>
      </x:c>
      <x:c r="I27" s="29" t="n">
        <x:v>46281</x:v>
      </x:c>
      <x:c r="J27" s="28" t="str">
        <x:v>DBA</x:v>
      </x:c>
      <x:c r="K27" s="28" t="str">
        <x:v>FP-182 / FP-183</x:v>
      </x:c>
      <x:c r="L27" s="28" t="str">
        <x:v>Confirmar capacidad, IOPS y crecimiento</x:v>
      </x:c>
      <x:c r="M27" s="28" t="str">
        <x:v>Costo de datos</x:v>
      </x:c>
    </x:row>
    <x:row r="28" ht="43" customHeight="1">
      <x:c r="A28" s="31" t="str">
        <x:v>DB-03</x:v>
      </x:c>
      <x:c r="B28" s="28" t="str">
        <x:v>Base de datos</x:v>
      </x:c>
      <x:c r="C28" s="28" t="str">
        <x:v>Alta disponibilidad</x:v>
      </x:c>
      <x:c r="D28" s="28" t="str">
        <x:v>Común</x:v>
      </x:c>
      <x:c r="E28" s="30" t="str">
        <x:v>Desactivada</x:v>
      </x:c>
      <x:c r="F28" s="27" t="str">
        <x:v>booleano</x:v>
      </x:c>
      <x:c r="G28" s="28" t="str">
        <x:v>Supuesto documentado</x:v>
      </x:c>
      <x:c r="H28" s="28" t="str">
        <x:v>docs/fp-182/arquitectura-y-supuestos-borrador.md</x:v>
      </x:c>
      <x:c r="I28" s="29" t="n">
        <x:v>46281</x:v>
      </x:c>
      <x:c r="J28" s="28" t="str">
        <x:v>Arquitectura / Continuidad</x:v>
      </x:c>
      <x:c r="K28" s="28" t="str">
        <x:v>FP-182 / FP-185</x:v>
      </x:c>
      <x:c r="L28" s="28" t="str">
        <x:v>Aprobar requisito de HA antes de cerrar TCO</x:v>
      </x:c>
      <x:c r="M28" s="28" t="str">
        <x:v>SLA, resiliencia y costo</x:v>
      </x:c>
    </x:row>
    <x:row r="29" ht="43" customHeight="1">
      <x:c r="A29" s="31" t="str">
        <x:v>DB-04</x:v>
      </x:c>
      <x:c r="B29" s="28" t="str">
        <x:v>Respaldo</x:v>
      </x:c>
      <x:c r="C29" s="28" t="str">
        <x:v>Retención backup automático</x:v>
      </x:c>
      <x:c r="D29" s="28" t="str">
        <x:v>Común</x:v>
      </x:c>
      <x:c r="E29" s="32" t="n">
        <x:v>7</x:v>
      </x:c>
      <x:c r="F29" s="27" t="str">
        <x:v>días</x:v>
      </x:c>
      <x:c r="G29" s="28" t="str">
        <x:v>Supuesto documentado</x:v>
      </x:c>
      <x:c r="H29" s="28" t="str">
        <x:v>docs/fp-183/modelo-tco-linea-base-5-anos.xlsx — Supuestos!B28</x:v>
      </x:c>
      <x:c r="I29" s="29" t="n">
        <x:v>46281</x:v>
      </x:c>
      <x:c r="J29" s="28" t="str">
        <x:v>DBA / Continuidad</x:v>
      </x:c>
      <x:c r="K29" s="28" t="str">
        <x:v>FP-182 / FP-183</x:v>
      </x:c>
      <x:c r="L29" s="28" t="str">
        <x:v>Validar RPO/RTO y política de retención</x:v>
      </x:c>
      <x:c r="M29" s="28" t="str">
        <x:v>Continuidad y costo</x:v>
      </x:c>
    </x:row>
    <x:row r="30" ht="43" customHeight="1">
      <x:c r="A30" s="31" t="str">
        <x:v>DB-05</x:v>
      </x:c>
      <x:c r="B30" s="28" t="str">
        <x:v>Respaldo</x:v>
      </x:c>
      <x:c r="C30" s="28" t="str">
        <x:v>Backup automático excedente</x:v>
      </x:c>
      <x:c r="D30" s="28" t="str">
        <x:v>Común</x:v>
      </x:c>
      <x:c r="E30" s="32" t="n">
        <x:v>0</x:v>
      </x:c>
      <x:c r="F30" s="27" t="str">
        <x:v>GiB-mes</x:v>
      </x:c>
      <x:c r="G30" s="28" t="str">
        <x:v>Supuesto documentado</x:v>
      </x:c>
      <x:c r="H30" s="28" t="str">
        <x:v>docs/fp-183/modelo-tco-linea-base-5-anos.xlsx — Supuestos!B27</x:v>
      </x:c>
      <x:c r="I30" s="29" t="n">
        <x:v>46281</x:v>
      </x:c>
      <x:c r="J30" s="28" t="str">
        <x:v>DBA / FinOps</x:v>
      </x:c>
      <x:c r="K30" s="28" t="str">
        <x:v>FP-183</x:v>
      </x:c>
      <x:c r="L30" s="28" t="str">
        <x:v>Confirmar que no se supera 100% del storage provisionado</x:v>
      </x:c>
      <x:c r="M30" s="28" t="str">
        <x:v>Costo de backup</x:v>
      </x:c>
    </x:row>
    <x:row r="31" ht="43" customHeight="1">
      <x:c r="A31" s="31" t="str">
        <x:v>DB-06</x:v>
      </x:c>
      <x:c r="B31" s="28" t="str">
        <x:v>Base de datos</x:v>
      </x:c>
      <x:c r="C31" s="28" t="str">
        <x:v>SLA referencia sin HA</x:v>
      </x:c>
      <x:c r="D31" s="28" t="str">
        <x:v>Común</x:v>
      </x:c>
      <x:c r="E31" s="33" t="n">
        <x:v>0.999</x:v>
      </x:c>
      <x:c r="F31" s="27" t="str">
        <x:v>%</x:v>
      </x:c>
      <x:c r="G31" s="28" t="str">
        <x:v>Oficial</x:v>
      </x:c>
      <x:c r="H31" s="28" t="str">
        <x:v>docs/fp-182/arquitectura-y-supuestos-borrador.md; documentación Microsoft PostgreSQL</x:v>
      </x:c>
      <x:c r="I31" s="29" t="n">
        <x:v>46281</x:v>
      </x:c>
      <x:c r="J31" s="28" t="str">
        <x:v>Arquitectura / Continuidad</x:v>
      </x:c>
      <x:c r="K31" s="28" t="str">
        <x:v>FP-182 / FP-185</x:v>
      </x:c>
      <x:c r="L31" s="28" t="str">
        <x:v>Confirmar que satisface el SLO requerido</x:v>
      </x:c>
      <x:c r="M31" s="28" t="str">
        <x:v>Gate técnico regional</x:v>
      </x:c>
    </x:row>
    <x:row r="32" ht="43" customHeight="1">
      <x:c r="A32" s="31" t="str">
        <x:v>STO-01</x:v>
      </x:c>
      <x:c r="B32" s="28" t="str">
        <x:v>Objetos</x:v>
      </x:c>
      <x:c r="C32" s="28" t="str">
        <x:v>Blob Storage Hot LRS inicial</x:v>
      </x:c>
      <x:c r="D32" s="28" t="str">
        <x:v>Común</x:v>
      </x:c>
      <x:c r="E32" s="32" t="n">
        <x:v>500</x:v>
      </x:c>
      <x:c r="F32" s="27" t="str">
        <x:v>GB</x:v>
      </x:c>
      <x:c r="G32" s="28" t="str">
        <x:v>Supuesto documentado</x:v>
      </x:c>
      <x:c r="H32" s="28" t="str">
        <x:v>docs/fp-183/modelo-tco-linea-base-5-anos.xlsx — Supuestos!B15</x:v>
      </x:c>
      <x:c r="I32" s="29" t="n">
        <x:v>46281</x:v>
      </x:c>
      <x:c r="J32" s="28" t="str">
        <x:v>Arquitectura / Datos</x:v>
      </x:c>
      <x:c r="K32" s="28" t="str">
        <x:v>FP-182 / FP-183</x:v>
      </x:c>
      <x:c r="L32" s="28" t="str">
        <x:v>Sustituir por inventario real</x:v>
      </x:c>
      <x:c r="M32" s="28" t="str">
        <x:v>Costo de objetos</x:v>
      </x:c>
    </x:row>
    <x:row r="33" ht="43" customHeight="1">
      <x:c r="A33" s="31" t="str">
        <x:v>STO-02</x:v>
      </x:c>
      <x:c r="B33" s="28" t="str">
        <x:v>Objetos</x:v>
      </x:c>
      <x:c r="C33" s="28" t="str">
        <x:v>Crecimiento anual Blob</x:v>
      </x:c>
      <x:c r="D33" s="28" t="str">
        <x:v>Común</x:v>
      </x:c>
      <x:c r="E33" s="33" t="n">
        <x:v>0.2</x:v>
      </x:c>
      <x:c r="F33" s="27" t="str">
        <x:v>%</x:v>
      </x:c>
      <x:c r="G33" s="28" t="str">
        <x:v>Supuesto documentado</x:v>
      </x:c>
      <x:c r="H33" s="28" t="str">
        <x:v>docs/fp-183/modelo-tco-linea-base-5-anos.xlsx — Supuestos!B16</x:v>
      </x:c>
      <x:c r="I33" s="29" t="n">
        <x:v>46281</x:v>
      </x:c>
      <x:c r="J33" s="28" t="str">
        <x:v>Datos / Finanzas</x:v>
      </x:c>
      <x:c r="K33" s="28" t="str">
        <x:v>FP-182 / FP-183</x:v>
      </x:c>
      <x:c r="L33" s="28" t="str">
        <x:v>Validar con históricos o forecast</x:v>
      </x:c>
      <x:c r="M33" s="28" t="str">
        <x:v>Proyección mensual de storage</x:v>
      </x:c>
    </x:row>
    <x:row r="34" ht="58" customHeight="1">
      <x:c r="A34" s="31" t="str">
        <x:v>STO-03</x:v>
      </x:c>
      <x:c r="B34" s="28" t="str">
        <x:v>Objetos</x:v>
      </x:c>
      <x:c r="C34" s="28" t="str">
        <x:v>Operaciones Blob</x:v>
      </x:c>
      <x:c r="D34" s="28" t="str">
        <x:v>Común</x:v>
      </x:c>
      <x:c r="E34" s="30" t="str">
        <x:v>500 GB base; +20% anual; operaciones sin medir</x:v>
      </x:c>
      <x:c r="F34" s="27" t="str">
        <x:v>contexto / operaciones</x:v>
      </x:c>
      <x:c r="G34" s="28" t="str">
        <x:v>Pendiente humano</x:v>
      </x:c>
      <x:c r="H34" s="28" t="str">
        <x:v>docs/fp-182/arquitectura-y-supuestos-borrador.md</x:v>
      </x:c>
      <x:c r="I34" s="29" t="n">
        <x:v>46286</x:v>
      </x:c>
      <x:c r="J34" s="28" t="str">
        <x:v>Datos / Aplicación</x:v>
      </x:c>
      <x:c r="K34" s="28" t="str">
        <x:v>FP-182 / FP-183</x:v>
      </x:c>
      <x:c r="L34" s="28" t="str">
        <x:v>Precarga 2026-09-21: 500 GB base y 20% anual documentados; operaciones sin medir. Obtener escrituras, lecturas, listados y recuperación.</x:v>
      </x:c>
      <x:c r="M34" s="28" t="str">
        <x:v>Completar TCO de objetos</x:v>
      </x:c>
    </x:row>
    <x:row r="35" ht="43" customHeight="1">
      <x:c r="A35" s="31" t="str">
        <x:v>NET-01</x:v>
      </x:c>
      <x:c r="B35" s="28" t="str">
        <x:v>Red</x:v>
      </x:c>
      <x:c r="C35" s="28" t="str">
        <x:v>Egreso a Internet base</x:v>
      </x:c>
      <x:c r="D35" s="28" t="str">
        <x:v>Común</x:v>
      </x:c>
      <x:c r="E35" s="32" t="n">
        <x:v>200</x:v>
      </x:c>
      <x:c r="F35" s="27" t="str">
        <x:v>GB/mes</x:v>
      </x:c>
      <x:c r="G35" s="28" t="str">
        <x:v>Supuesto documentado</x:v>
      </x:c>
      <x:c r="H35" s="28" t="str">
        <x:v>docs/fp-183/modelo-tco-linea-base-5-anos.xlsx — Supuestos!B17</x:v>
      </x:c>
      <x:c r="I35" s="29" t="n">
        <x:v>46281</x:v>
      </x:c>
      <x:c r="J35" s="28" t="str">
        <x:v>Redes / FinOps</x:v>
      </x:c>
      <x:c r="K35" s="28" t="str">
        <x:v>FP-182 / FP-184</x:v>
      </x:c>
      <x:c r="L35" s="28" t="str">
        <x:v>Sustituir por telemetría real por destino</x:v>
      </x:c>
      <x:c r="M35" s="28" t="str">
        <x:v>TCO y palanca de egress</x:v>
      </x:c>
    </x:row>
    <x:row r="36" ht="43" customHeight="1">
      <x:c r="A36" s="31" t="str">
        <x:v>NET-02</x:v>
      </x:c>
      <x:c r="B36" s="28" t="str">
        <x:v>Red</x:v>
      </x:c>
      <x:c r="C36" s="28" t="str">
        <x:v>Franquicia egress Internet</x:v>
      </x:c>
      <x:c r="D36" s="28" t="str">
        <x:v>Común</x:v>
      </x:c>
      <x:c r="E36" s="32" t="n">
        <x:v>100</x:v>
      </x:c>
      <x:c r="F36" s="27" t="str">
        <x:v>GB/mes</x:v>
      </x:c>
      <x:c r="G36" s="28" t="str">
        <x:v>Oficial</x:v>
      </x:c>
      <x:c r="H36" s="28" t="str">
        <x:v>https://azure.microsoft.com/en-us/pricing/details/bandwidth/; FP-183 Supuestos!B29</x:v>
      </x:c>
      <x:c r="I36" s="29" t="n">
        <x:v>46281</x:v>
      </x:c>
      <x:c r="J36" s="28" t="str">
        <x:v>FinOps</x:v>
      </x:c>
      <x:c r="K36" s="28" t="str">
        <x:v>FP-183 / FP-184</x:v>
      </x:c>
      <x:c r="L36" s="28" t="str">
        <x:v>Revalidar tramo y modalidad</x:v>
      </x:c>
      <x:c r="M36" s="28" t="str">
        <x:v>GB facturables</x:v>
      </x:c>
    </x:row>
    <x:row r="37" ht="43" customHeight="1">
      <x:c r="A37" s="31" t="str">
        <x:v>NET-03</x:v>
      </x:c>
      <x:c r="B37" s="28" t="str">
        <x:v>Red</x:v>
      </x:c>
      <x:c r="C37" s="28" t="str">
        <x:v>Tráfico interzona</x:v>
      </x:c>
      <x:c r="D37" s="28" t="str">
        <x:v>Común</x:v>
      </x:c>
      <x:c r="E37" s="32" t="n">
        <x:v>0</x:v>
      </x:c>
      <x:c r="F37" s="27" t="str">
        <x:v>GB/mes</x:v>
      </x:c>
      <x:c r="G37" s="28" t="str">
        <x:v>No aplica justificado</x:v>
      </x:c>
      <x:c r="H37" s="28" t="str">
        <x:v>docs/fp-182/arquitectura-y-supuestos-borrador.md</x:v>
      </x:c>
      <x:c r="I37" s="29" t="n">
        <x:v>46281</x:v>
      </x:c>
      <x:c r="J37" s="28" t="str">
        <x:v>Arquitectura / Redes</x:v>
      </x:c>
      <x:c r="K37" s="28" t="str">
        <x:v>FP-182 / FP-183</x:v>
      </x:c>
      <x:c r="L37" s="28" t="str">
        <x:v>Reabrir si se activa HA o topología multizona</x:v>
      </x:c>
      <x:c r="M37" s="28" t="str">
        <x:v>Costo de red</x:v>
      </x:c>
    </x:row>
    <x:row r="38" ht="43" customHeight="1">
      <x:c r="A38" s="31" t="str">
        <x:v>OBS-01</x:v>
      </x:c>
      <x:c r="B38" s="28" t="str">
        <x:v>Observabilidad</x:v>
      </x:c>
      <x:c r="C38" s="28" t="str">
        <x:v>Ingesta Basic Logs</x:v>
      </x:c>
      <x:c r="D38" s="28" t="str">
        <x:v>Común</x:v>
      </x:c>
      <x:c r="E38" s="32" t="n">
        <x:v>50</x:v>
      </x:c>
      <x:c r="F38" s="27" t="str">
        <x:v>GB/mes</x:v>
      </x:c>
      <x:c r="G38" s="28" t="str">
        <x:v>Supuesto documentado</x:v>
      </x:c>
      <x:c r="H38" s="28" t="str">
        <x:v>docs/fp-183/modelo-tco-linea-base-5-anos.xlsx — Supuestos!B18</x:v>
      </x:c>
      <x:c r="I38" s="29" t="n">
        <x:v>46281</x:v>
      </x:c>
      <x:c r="J38" s="28" t="str">
        <x:v>SRE / Seguridad</x:v>
      </x:c>
      <x:c r="K38" s="28" t="str">
        <x:v>FP-182 / FP-184</x:v>
      </x:c>
      <x:c r="L38" s="28" t="str">
        <x:v>Medir ingesta por tabla y criticidad</x:v>
      </x:c>
      <x:c r="M38" s="28" t="str">
        <x:v>TCO y optimización de logs</x:v>
      </x:c>
    </x:row>
    <x:row r="39" ht="43" customHeight="1">
      <x:c r="A39" s="31" t="str">
        <x:v>OBS-02</x:v>
      </x:c>
      <x:c r="B39" s="28" t="str">
        <x:v>Observabilidad</x:v>
      </x:c>
      <x:c r="C39" s="28" t="str">
        <x:v>Retención base</x:v>
      </x:c>
      <x:c r="D39" s="28" t="str">
        <x:v>Común</x:v>
      </x:c>
      <x:c r="E39" s="32" t="n">
        <x:v>30</x:v>
      </x:c>
      <x:c r="F39" s="27" t="str">
        <x:v>días</x:v>
      </x:c>
      <x:c r="G39" s="28" t="str">
        <x:v>Supuesto documentado</x:v>
      </x:c>
      <x:c r="H39" s="28" t="str">
        <x:v>docs/fp-182/arquitectura-y-supuestos-borrador.md</x:v>
      </x:c>
      <x:c r="I39" s="29" t="n">
        <x:v>46281</x:v>
      </x:c>
      <x:c r="J39" s="28" t="str">
        <x:v>SRE / Seguridad</x:v>
      </x:c>
      <x:c r="K39" s="28" t="str">
        <x:v>FP-182 / FP-184</x:v>
      </x:c>
      <x:c r="L39" s="28" t="str">
        <x:v>Aprobar contra auditoría y operación</x:v>
      </x:c>
      <x:c r="M39" s="28" t="str">
        <x:v>Costo y cumplimiento</x:v>
      </x:c>
    </x:row>
    <x:row r="40" ht="58" customHeight="1">
      <x:c r="A40" s="31" t="str">
        <x:v>OBS-03</x:v>
      </x:c>
      <x:c r="B40" s="28" t="str">
        <x:v>Observabilidad</x:v>
      </x:c>
      <x:c r="C40" s="28" t="str">
        <x:v>Consultas y retención adicional</x:v>
      </x:c>
      <x:c r="D40" s="28" t="str">
        <x:v>Común</x:v>
      </x:c>
      <x:c r="E40" s="30" t="str">
        <x:v>50 GB/mes; 30 días; consultas sin medir</x:v>
      </x:c>
      <x:c r="F40" s="27" t="str">
        <x:v>contexto</x:v>
      </x:c>
      <x:c r="G40" s="28" t="str">
        <x:v>Pendiente humano</x:v>
      </x:c>
      <x:c r="H40" s="28" t="str">
        <x:v>docs/fp-182/arquitectura-y-supuestos-borrador.md</x:v>
      </x:c>
      <x:c r="I40" s="29" t="n">
        <x:v>46286</x:v>
      </x:c>
      <x:c r="J40" s="28" t="str">
        <x:v>SRE / Seguridad</x:v>
      </x:c>
      <x:c r="K40" s="28" t="str">
        <x:v>FP-182 / FP-183</x:v>
      </x:c>
      <x:c r="L40" s="28" t="str">
        <x:v>Precarga 2026-09-21: 50 GB/mes y 30 días documentados; consultas y retención adicional sin medir.</x:v>
      </x:c>
      <x:c r="M40" s="28" t="str">
        <x:v>Completar TCO de observabilidad</x:v>
      </x:c>
    </x:row>
    <x:row r="41" ht="43" customHeight="1">
      <x:c r="A41" s="31" t="str">
        <x:v>OTH-01</x:v>
      </x:c>
      <x:c r="B41" s="28" t="str">
        <x:v>Otros costos</x:v>
      </x:c>
      <x:c r="C41" s="28" t="str">
        <x:v>Azure Basic Support</x:v>
      </x:c>
      <x:c r="D41" s="28" t="str">
        <x:v>Común</x:v>
      </x:c>
      <x:c r="E41" s="34" t="n">
        <x:v>0</x:v>
      </x:c>
      <x:c r="F41" s="27" t="str">
        <x:v>USD/mes</x:v>
      </x:c>
      <x:c r="G41" s="28" t="str">
        <x:v>No aplica justificado</x:v>
      </x:c>
      <x:c r="H41" s="28" t="str">
        <x:v>docs/fp-183/modelo-tco-linea-base-5-anos.xlsx — Fuentes y Cotizaciones</x:v>
      </x:c>
      <x:c r="I41" s="29" t="n">
        <x:v>46281</x:v>
      </x:c>
      <x:c r="J41" s="28" t="str">
        <x:v>Operación / Finanzas</x:v>
      </x:c>
      <x:c r="K41" s="28" t="str">
        <x:v>FP-182 / FP-183</x:v>
      </x:c>
      <x:c r="L41" s="28" t="str">
        <x:v>Reabrir si se exige soporte pagado</x:v>
      </x:c>
      <x:c r="M41" s="28" t="str">
        <x:v>TCO y SLA operativo</x:v>
      </x:c>
    </x:row>
    <x:row r="42" ht="43" customHeight="1">
      <x:c r="A42" s="31" t="str">
        <x:v>OTH-02</x:v>
      </x:c>
      <x:c r="B42" s="28" t="str">
        <x:v>Otros costos</x:v>
      </x:c>
      <x:c r="C42" s="28" t="str">
        <x:v>Licencias de terceros</x:v>
      </x:c>
      <x:c r="D42" s="28" t="str">
        <x:v>Común</x:v>
      </x:c>
      <x:c r="E42" s="34" t="n">
        <x:v>0</x:v>
      </x:c>
      <x:c r="F42" s="27" t="str">
        <x:v>USD/mes</x:v>
      </x:c>
      <x:c r="G42" s="28" t="str">
        <x:v>No aplica justificado</x:v>
      </x:c>
      <x:c r="H42" s="28" t="str">
        <x:v>docs/fp-182/arquitectura-y-supuestos-borrador.md</x:v>
      </x:c>
      <x:c r="I42" s="29" t="n">
        <x:v>46281</x:v>
      </x:c>
      <x:c r="J42" s="28" t="str">
        <x:v>Arquitectura / Legal</x:v>
      </x:c>
      <x:c r="K42" s="28" t="str">
        <x:v>FP-182 / FP-183</x:v>
      </x:c>
      <x:c r="L42" s="28" t="str">
        <x:v>Reabrir si se incorpora software licenciado</x:v>
      </x:c>
      <x:c r="M42" s="28" t="str">
        <x:v>TCO contractual</x:v>
      </x:c>
    </x:row>
    <x:row r="43" ht="43" customHeight="1">
      <x:c r="A43" s="31" t="str">
        <x:v>PRI-CL-01</x:v>
      </x:c>
      <x:c r="B43" s="28" t="str">
        <x:v>Precios cloud</x:v>
      </x:c>
      <x:c r="C43" s="28" t="str">
        <x:v>Container Apps CPU activa</x:v>
      </x:c>
      <x:c r="D43" s="28" t="str">
        <x:v>Chile Central</x:v>
      </x:c>
      <x:c r="E43" s="34" t="n">
        <x:v>0.1224</x:v>
      </x:c>
      <x:c r="F43" s="27" t="str">
        <x:v>USD/vCPU-h</x:v>
      </x:c>
      <x:c r="G43" s="28" t="str">
        <x:v>Oficial</x:v>
      </x:c>
      <x:c r="H43" s="28" t="str">
        <x:v>https://learn.microsoft.com/en-us/azure/container-apps/billing; FP-183 Fuentes y Cotizaciones!F7</x:v>
      </x:c>
      <x:c r="I43" s="29" t="n">
        <x:v>46281</x:v>
      </x:c>
      <x:c r="J43" s="28" t="str">
        <x:v>FinOps</x:v>
      </x:c>
      <x:c r="K43" s="28" t="str">
        <x:v>FP-183</x:v>
      </x:c>
      <x:c r="L43" s="28" t="str">
        <x:v>Refrescar cotización antes de decidir</x:v>
      </x:c>
      <x:c r="M43" s="28" t="str">
        <x:v>Costo de aplicación</x:v>
      </x:c>
    </x:row>
    <x:row r="44" ht="43" customHeight="1">
      <x:c r="A44" s="31" t="str">
        <x:v>PRI-CL-02</x:v>
      </x:c>
      <x:c r="B44" s="28" t="str">
        <x:v>Precios cloud</x:v>
      </x:c>
      <x:c r="C44" s="28" t="str">
        <x:v>Container Apps memoria activa</x:v>
      </x:c>
      <x:c r="D44" s="28" t="str">
        <x:v>Chile Central</x:v>
      </x:c>
      <x:c r="E44" s="34" t="n">
        <x:v>0.0144</x:v>
      </x:c>
      <x:c r="F44" s="27" t="str">
        <x:v>USD/GiB-h</x:v>
      </x:c>
      <x:c r="G44" s="28" t="str">
        <x:v>Oficial</x:v>
      </x:c>
      <x:c r="H44" s="28" t="str">
        <x:v>https://learn.microsoft.com/en-us/azure/container-apps/billing; FP-183 Fuentes y Cotizaciones!F8</x:v>
      </x:c>
      <x:c r="I44" s="29" t="n">
        <x:v>46281</x:v>
      </x:c>
      <x:c r="J44" s="28" t="str">
        <x:v>FinOps</x:v>
      </x:c>
      <x:c r="K44" s="28" t="str">
        <x:v>FP-183</x:v>
      </x:c>
      <x:c r="L44" s="28" t="str">
        <x:v>Refrescar cotización antes de decidir</x:v>
      </x:c>
      <x:c r="M44" s="28" t="str">
        <x:v>Costo de aplicación</x:v>
      </x:c>
    </x:row>
    <x:row r="45" ht="43" customHeight="1">
      <x:c r="A45" s="31" t="str">
        <x:v>PRI-CL-03</x:v>
      </x:c>
      <x:c r="B45" s="28" t="str">
        <x:v>Precios cloud</x:v>
      </x:c>
      <x:c r="C45" s="28" t="str">
        <x:v>Container Apps solicitudes</x:v>
      </x:c>
      <x:c r="D45" s="28" t="str">
        <x:v>Chile Central</x:v>
      </x:c>
      <x:c r="E45" s="34" t="n">
        <x:v>0.4</x:v>
      </x:c>
      <x:c r="F45" s="27" t="str">
        <x:v>USD/millón solicitudes</x:v>
      </x:c>
      <x:c r="G45" s="28" t="str">
        <x:v>Oficial</x:v>
      </x:c>
      <x:c r="H45" s="28" t="str">
        <x:v>https://learn.microsoft.com/en-us/azure/container-apps/billing; FP-183 Fuentes y Cotizaciones!F9</x:v>
      </x:c>
      <x:c r="I45" s="29" t="n">
        <x:v>46281</x:v>
      </x:c>
      <x:c r="J45" s="28" t="str">
        <x:v>FinOps</x:v>
      </x:c>
      <x:c r="K45" s="28" t="str">
        <x:v>FP-183</x:v>
      </x:c>
      <x:c r="L45" s="28" t="str">
        <x:v>Refrescar cotización antes de decidir</x:v>
      </x:c>
      <x:c r="M45" s="28" t="str">
        <x:v>Costo de solicitudes</x:v>
      </x:c>
    </x:row>
    <x:row r="46" ht="43" customHeight="1">
      <x:c r="A46" s="31" t="str">
        <x:v>PRI-CL-04</x:v>
      </x:c>
      <x:c r="B46" s="28" t="str">
        <x:v>Precios cloud</x:v>
      </x:c>
      <x:c r="C46" s="28" t="str">
        <x:v>PostgreSQL GP Dsv3</x:v>
      </x:c>
      <x:c r="D46" s="28" t="str">
        <x:v>Chile Central</x:v>
      </x:c>
      <x:c r="E46" s="34" t="n">
        <x:v>0.1197</x:v>
      </x:c>
      <x:c r="F46" s="27" t="str">
        <x:v>USD/vCore-h</x:v>
      </x:c>
      <x:c r="G46" s="28" t="str">
        <x:v>Oficial</x:v>
      </x:c>
      <x:c r="H46" s="28" t="str">
        <x:v>https://learn.microsoft.com/en-us/azure/postgresql/compute-storage/concepts-compute; FP-183 F10</x:v>
      </x:c>
      <x:c r="I46" s="29" t="n">
        <x:v>46281</x:v>
      </x:c>
      <x:c r="J46" s="28" t="str">
        <x:v>FinOps / DBA</x:v>
      </x:c>
      <x:c r="K46" s="28" t="str">
        <x:v>FP-183</x:v>
      </x:c>
      <x:c r="L46" s="28" t="str">
        <x:v>Refrescar SKU y precio exacto</x:v>
      </x:c>
      <x:c r="M46" s="28" t="str">
        <x:v>Costo principal de base de datos</x:v>
      </x:c>
    </x:row>
    <x:row r="47" ht="43" customHeight="1">
      <x:c r="A47" s="31" t="str">
        <x:v>PRI-CL-05</x:v>
      </x:c>
      <x:c r="B47" s="28" t="str">
        <x:v>Precios cloud</x:v>
      </x:c>
      <x:c r="C47" s="28" t="str">
        <x:v>Storage PostgreSQL</x:v>
      </x:c>
      <x:c r="D47" s="28" t="str">
        <x:v>Chile Central</x:v>
      </x:c>
      <x:c r="E47" s="34" t="n">
        <x:v>0.161</x:v>
      </x:c>
      <x:c r="F47" s="27" t="str">
        <x:v>USD/GiB-mes</x:v>
      </x:c>
      <x:c r="G47" s="28" t="str">
        <x:v>Oficial</x:v>
      </x:c>
      <x:c r="H47" s="28" t="str">
        <x:v>https://azure.microsoft.com/en-us/pricing/details/postgresql/flexible-server/; FP-183 F11</x:v>
      </x:c>
      <x:c r="I47" s="29" t="n">
        <x:v>46281</x:v>
      </x:c>
      <x:c r="J47" s="28" t="str">
        <x:v>FinOps / DBA</x:v>
      </x:c>
      <x:c r="K47" s="28" t="str">
        <x:v>FP-183</x:v>
      </x:c>
      <x:c r="L47" s="28" t="str">
        <x:v>Refrescar cotización</x:v>
      </x:c>
      <x:c r="M47" s="28" t="str">
        <x:v>Costo de datos</x:v>
      </x:c>
    </x:row>
    <x:row r="48" ht="43" customHeight="1">
      <x:c r="A48" s="31" t="str">
        <x:v>PRI-CL-06</x:v>
      </x:c>
      <x:c r="B48" s="28" t="str">
        <x:v>Precios cloud</x:v>
      </x:c>
      <x:c r="C48" s="28" t="str">
        <x:v>Blob Hot LRS</x:v>
      </x:c>
      <x:c r="D48" s="28" t="str">
        <x:v>Chile Central</x:v>
      </x:c>
      <x:c r="E48" s="34" t="n">
        <x:v>0.02576</x:v>
      </x:c>
      <x:c r="F48" s="27" t="str">
        <x:v>USD/GB-mes</x:v>
      </x:c>
      <x:c r="G48" s="28" t="str">
        <x:v>Oficial</x:v>
      </x:c>
      <x:c r="H48" s="28" t="str">
        <x:v>https://azure.microsoft.com/en-us/pricing/details/storage/blobs/; FP-183 F12</x:v>
      </x:c>
      <x:c r="I48" s="29" t="n">
        <x:v>46281</x:v>
      </x:c>
      <x:c r="J48" s="28" t="str">
        <x:v>FinOps</x:v>
      </x:c>
      <x:c r="K48" s="28" t="str">
        <x:v>FP-183</x:v>
      </x:c>
      <x:c r="L48" s="28" t="str">
        <x:v>Agregar operaciones cuando exista volumen</x:v>
      </x:c>
      <x:c r="M48" s="28" t="str">
        <x:v>Costo de objetos</x:v>
      </x:c>
    </x:row>
    <x:row r="49" ht="43" customHeight="1">
      <x:c r="A49" s="31" t="str">
        <x:v>PRI-CL-07</x:v>
      </x:c>
      <x:c r="B49" s="28" t="str">
        <x:v>Precios cloud</x:v>
      </x:c>
      <x:c r="C49" s="28" t="str">
        <x:v>Egress Premium Global Network</x:v>
      </x:c>
      <x:c r="D49" s="28" t="str">
        <x:v>Chile Central</x:v>
      </x:c>
      <x:c r="E49" s="34" t="n">
        <x:v>0.181</x:v>
      </x:c>
      <x:c r="F49" s="27" t="str">
        <x:v>USD/GB</x:v>
      </x:c>
      <x:c r="G49" s="28" t="str">
        <x:v>Oficial</x:v>
      </x:c>
      <x:c r="H49" s="28" t="str">
        <x:v>https://azure.microsoft.com/en-us/pricing/details/bandwidth/; FP-183 F13</x:v>
      </x:c>
      <x:c r="I49" s="29" t="n">
        <x:v>46281</x:v>
      </x:c>
      <x:c r="J49" s="28" t="str">
        <x:v>FinOps / Redes</x:v>
      </x:c>
      <x:c r="K49" s="28" t="str">
        <x:v>FP-183 / FP-184</x:v>
      </x:c>
      <x:c r="L49" s="28" t="str">
        <x:v>Refrescar tramo continental</x:v>
      </x:c>
      <x:c r="M49" s="28" t="str">
        <x:v>Costo de red</x:v>
      </x:c>
    </x:row>
    <x:row r="50" ht="43" customHeight="1">
      <x:c r="A50" s="31" t="str">
        <x:v>PRI-CL-08</x:v>
      </x:c>
      <x:c r="B50" s="28" t="str">
        <x:v>Precios cloud</x:v>
      </x:c>
      <x:c r="C50" s="28" t="str">
        <x:v>Basic Logs ingestion</x:v>
      </x:c>
      <x:c r="D50" s="28" t="str">
        <x:v>Chile Central</x:v>
      </x:c>
      <x:c r="E50" s="34" t="n">
        <x:v>0.7</x:v>
      </x:c>
      <x:c r="F50" s="27" t="str">
        <x:v>USD/GB</x:v>
      </x:c>
      <x:c r="G50" s="28" t="str">
        <x:v>Oficial</x:v>
      </x:c>
      <x:c r="H50" s="28" t="str">
        <x:v>https://azure.microsoft.com/en-us/pricing/details/monitor/; FP-183 F14</x:v>
      </x:c>
      <x:c r="I50" s="29" t="n">
        <x:v>46281</x:v>
      </x:c>
      <x:c r="J50" s="28" t="str">
        <x:v>FinOps / SRE</x:v>
      </x:c>
      <x:c r="K50" s="28" t="str">
        <x:v>FP-183 / FP-184</x:v>
      </x:c>
      <x:c r="L50" s="28" t="str">
        <x:v>Refrescar tarifa</x:v>
      </x:c>
      <x:c r="M50" s="28" t="str">
        <x:v>Costo de observabilidad</x:v>
      </x:c>
    </x:row>
    <x:row r="51" ht="43" customHeight="1">
      <x:c r="A51" s="31" t="str">
        <x:v>PRI-CL-09</x:v>
      </x:c>
      <x:c r="B51" s="28" t="str">
        <x:v>Precios cloud</x:v>
      </x:c>
      <x:c r="C51" s="28" t="str">
        <x:v>Backup PostgreSQL excedente</x:v>
      </x:c>
      <x:c r="D51" s="28" t="str">
        <x:v>Chile Central</x:v>
      </x:c>
      <x:c r="E51" s="34" t="n">
        <x:v>0.095</x:v>
      </x:c>
      <x:c r="F51" s="27" t="str">
        <x:v>USD/GiB-mes</x:v>
      </x:c>
      <x:c r="G51" s="28" t="str">
        <x:v>Oficial</x:v>
      </x:c>
      <x:c r="H51" s="28" t="str">
        <x:v>https://azure.microsoft.com/en-us/pricing/details/postgresql/flexible-server/; FP-183 F15</x:v>
      </x:c>
      <x:c r="I51" s="29" t="n">
        <x:v>46281</x:v>
      </x:c>
      <x:c r="J51" s="28" t="str">
        <x:v>FinOps / DBA</x:v>
      </x:c>
      <x:c r="K51" s="28" t="str">
        <x:v>FP-183</x:v>
      </x:c>
      <x:c r="L51" s="28" t="str">
        <x:v>Aplicar solo al excedente real</x:v>
      </x:c>
      <x:c r="M51" s="28" t="str">
        <x:v>Costo de backup</x:v>
      </x:c>
    </x:row>
    <x:row r="52" ht="43" customHeight="1">
      <x:c r="A52" s="31" t="str">
        <x:v>PRI-US-01</x:v>
      </x:c>
      <x:c r="B52" s="28" t="str">
        <x:v>Precios cloud</x:v>
      </x:c>
      <x:c r="C52" s="28" t="str">
        <x:v>Container Apps CPU activa</x:v>
      </x:c>
      <x:c r="D52" s="28" t="str">
        <x:v>East US</x:v>
      </x:c>
      <x:c r="E52" s="34" t="n">
        <x:v>0.0864</x:v>
      </x:c>
      <x:c r="F52" s="27" t="str">
        <x:v>USD/vCPU-h</x:v>
      </x:c>
      <x:c r="G52" s="28" t="str">
        <x:v>Oficial</x:v>
      </x:c>
      <x:c r="H52" s="28" t="str">
        <x:v>https://learn.microsoft.com/en-us/azure/container-apps/billing; FP-183 F19</x:v>
      </x:c>
      <x:c r="I52" s="29" t="n">
        <x:v>46281</x:v>
      </x:c>
      <x:c r="J52" s="28" t="str">
        <x:v>FinOps</x:v>
      </x:c>
      <x:c r="K52" s="28" t="str">
        <x:v>FP-183</x:v>
      </x:c>
      <x:c r="L52" s="28" t="str">
        <x:v>Refrescar cotización antes de decidir</x:v>
      </x:c>
      <x:c r="M52" s="28" t="str">
        <x:v>Costo de aplicación</x:v>
      </x:c>
    </x:row>
    <x:row r="53" ht="43" customHeight="1">
      <x:c r="A53" s="31" t="str">
        <x:v>PRI-US-02</x:v>
      </x:c>
      <x:c r="B53" s="28" t="str">
        <x:v>Precios cloud</x:v>
      </x:c>
      <x:c r="C53" s="28" t="str">
        <x:v>Container Apps memoria activa</x:v>
      </x:c>
      <x:c r="D53" s="28" t="str">
        <x:v>East US</x:v>
      </x:c>
      <x:c r="E53" s="34" t="n">
        <x:v>0.0108</x:v>
      </x:c>
      <x:c r="F53" s="27" t="str">
        <x:v>USD/GiB-h</x:v>
      </x:c>
      <x:c r="G53" s="28" t="str">
        <x:v>Oficial</x:v>
      </x:c>
      <x:c r="H53" s="28" t="str">
        <x:v>https://learn.microsoft.com/en-us/azure/container-apps/billing; FP-183 F20</x:v>
      </x:c>
      <x:c r="I53" s="29" t="n">
        <x:v>46281</x:v>
      </x:c>
      <x:c r="J53" s="28" t="str">
        <x:v>FinOps</x:v>
      </x:c>
      <x:c r="K53" s="28" t="str">
        <x:v>FP-183</x:v>
      </x:c>
      <x:c r="L53" s="28" t="str">
        <x:v>Refrescar cotización antes de decidir</x:v>
      </x:c>
      <x:c r="M53" s="28" t="str">
        <x:v>Costo de aplicación</x:v>
      </x:c>
    </x:row>
    <x:row r="54" ht="43" customHeight="1">
      <x:c r="A54" s="31" t="str">
        <x:v>PRI-US-03</x:v>
      </x:c>
      <x:c r="B54" s="28" t="str">
        <x:v>Precios cloud</x:v>
      </x:c>
      <x:c r="C54" s="28" t="str">
        <x:v>Container Apps solicitudes</x:v>
      </x:c>
      <x:c r="D54" s="28" t="str">
        <x:v>East US</x:v>
      </x:c>
      <x:c r="E54" s="34" t="n">
        <x:v>0.4</x:v>
      </x:c>
      <x:c r="F54" s="27" t="str">
        <x:v>USD/millón solicitudes</x:v>
      </x:c>
      <x:c r="G54" s="28" t="str">
        <x:v>Oficial</x:v>
      </x:c>
      <x:c r="H54" s="28" t="str">
        <x:v>https://learn.microsoft.com/en-us/azure/container-apps/billing; FP-183 F21</x:v>
      </x:c>
      <x:c r="I54" s="29" t="n">
        <x:v>46281</x:v>
      </x:c>
      <x:c r="J54" s="28" t="str">
        <x:v>FinOps</x:v>
      </x:c>
      <x:c r="K54" s="28" t="str">
        <x:v>FP-183</x:v>
      </x:c>
      <x:c r="L54" s="28" t="str">
        <x:v>Refrescar cotización antes de decidir</x:v>
      </x:c>
      <x:c r="M54" s="28" t="str">
        <x:v>Costo de solicitudes</x:v>
      </x:c>
    </x:row>
    <x:row r="55" ht="43" customHeight="1">
      <x:c r="A55" s="31" t="str">
        <x:v>PRI-US-04</x:v>
      </x:c>
      <x:c r="B55" s="28" t="str">
        <x:v>Precios cloud</x:v>
      </x:c>
      <x:c r="C55" s="28" t="str">
        <x:v>PostgreSQL GP Dsv3</x:v>
      </x:c>
      <x:c r="D55" s="28" t="str">
        <x:v>East US</x:v>
      </x:c>
      <x:c r="E55" s="34" t="n">
        <x:v>0.0855</x:v>
      </x:c>
      <x:c r="F55" s="27" t="str">
        <x:v>USD/vCore-h</x:v>
      </x:c>
      <x:c r="G55" s="28" t="str">
        <x:v>Oficial</x:v>
      </x:c>
      <x:c r="H55" s="28" t="str">
        <x:v>https://learn.microsoft.com/en-us/azure/postgresql/compute-storage/concepts-compute; FP-183 F22</x:v>
      </x:c>
      <x:c r="I55" s="29" t="n">
        <x:v>46281</x:v>
      </x:c>
      <x:c r="J55" s="28" t="str">
        <x:v>FinOps / DBA</x:v>
      </x:c>
      <x:c r="K55" s="28" t="str">
        <x:v>FP-183</x:v>
      </x:c>
      <x:c r="L55" s="28" t="str">
        <x:v>Refrescar SKU y precio exacto</x:v>
      </x:c>
      <x:c r="M55" s="28" t="str">
        <x:v>Costo principal de base de datos</x:v>
      </x:c>
    </x:row>
    <x:row r="56" ht="43" customHeight="1">
      <x:c r="A56" s="31" t="str">
        <x:v>PRI-US-05</x:v>
      </x:c>
      <x:c r="B56" s="28" t="str">
        <x:v>Precios cloud</x:v>
      </x:c>
      <x:c r="C56" s="28" t="str">
        <x:v>Storage PostgreSQL</x:v>
      </x:c>
      <x:c r="D56" s="28" t="str">
        <x:v>East US</x:v>
      </x:c>
      <x:c r="E56" s="34" t="n">
        <x:v>0.115</x:v>
      </x:c>
      <x:c r="F56" s="27" t="str">
        <x:v>USD/GiB-mes</x:v>
      </x:c>
      <x:c r="G56" s="28" t="str">
        <x:v>Oficial</x:v>
      </x:c>
      <x:c r="H56" s="28" t="str">
        <x:v>https://azure.microsoft.com/en-us/pricing/details/postgresql/flexible-server/; FP-183 F23</x:v>
      </x:c>
      <x:c r="I56" s="29" t="n">
        <x:v>46281</x:v>
      </x:c>
      <x:c r="J56" s="28" t="str">
        <x:v>FinOps / DBA</x:v>
      </x:c>
      <x:c r="K56" s="28" t="str">
        <x:v>FP-183</x:v>
      </x:c>
      <x:c r="L56" s="28" t="str">
        <x:v>Refrescar cotización</x:v>
      </x:c>
      <x:c r="M56" s="28" t="str">
        <x:v>Costo de datos</x:v>
      </x:c>
    </x:row>
    <x:row r="57" ht="43" customHeight="1">
      <x:c r="A57" s="31" t="str">
        <x:v>PRI-US-06</x:v>
      </x:c>
      <x:c r="B57" s="28" t="str">
        <x:v>Precios cloud</x:v>
      </x:c>
      <x:c r="C57" s="28" t="str">
        <x:v>Blob Hot LRS</x:v>
      </x:c>
      <x:c r="D57" s="28" t="str">
        <x:v>East US</x:v>
      </x:c>
      <x:c r="E57" s="34" t="n">
        <x:v>0.0208</x:v>
      </x:c>
      <x:c r="F57" s="27" t="str">
        <x:v>USD/GB-mes</x:v>
      </x:c>
      <x:c r="G57" s="28" t="str">
        <x:v>Oficial</x:v>
      </x:c>
      <x:c r="H57" s="28" t="str">
        <x:v>https://azure.microsoft.com/en-us/pricing/details/storage/blobs/; FP-183 F24</x:v>
      </x:c>
      <x:c r="I57" s="29" t="n">
        <x:v>46281</x:v>
      </x:c>
      <x:c r="J57" s="28" t="str">
        <x:v>FinOps</x:v>
      </x:c>
      <x:c r="K57" s="28" t="str">
        <x:v>FP-183</x:v>
      </x:c>
      <x:c r="L57" s="28" t="str">
        <x:v>Agregar operaciones cuando exista volumen</x:v>
      </x:c>
      <x:c r="M57" s="28" t="str">
        <x:v>Costo de objetos</x:v>
      </x:c>
    </x:row>
    <x:row r="58" ht="43" customHeight="1">
      <x:c r="A58" s="31" t="str">
        <x:v>PRI-US-07</x:v>
      </x:c>
      <x:c r="B58" s="28" t="str">
        <x:v>Precios cloud</x:v>
      </x:c>
      <x:c r="C58" s="28" t="str">
        <x:v>Egress Premium Global Network</x:v>
      </x:c>
      <x:c r="D58" s="28" t="str">
        <x:v>East US</x:v>
      </x:c>
      <x:c r="E58" s="34" t="n">
        <x:v>0.087</x:v>
      </x:c>
      <x:c r="F58" s="27" t="str">
        <x:v>USD/GB</x:v>
      </x:c>
      <x:c r="G58" s="28" t="str">
        <x:v>Oficial</x:v>
      </x:c>
      <x:c r="H58" s="28" t="str">
        <x:v>https://azure.microsoft.com/en-us/pricing/details/bandwidth/; FP-183 F25</x:v>
      </x:c>
      <x:c r="I58" s="29" t="n">
        <x:v>46281</x:v>
      </x:c>
      <x:c r="J58" s="28" t="str">
        <x:v>FinOps / Redes</x:v>
      </x:c>
      <x:c r="K58" s="28" t="str">
        <x:v>FP-183 / FP-184</x:v>
      </x:c>
      <x:c r="L58" s="28" t="str">
        <x:v>Refrescar tramo continental</x:v>
      </x:c>
      <x:c r="M58" s="28" t="str">
        <x:v>Costo de red</x:v>
      </x:c>
    </x:row>
    <x:row r="59" ht="43" customHeight="1">
      <x:c r="A59" s="31" t="str">
        <x:v>PRI-US-08</x:v>
      </x:c>
      <x:c r="B59" s="28" t="str">
        <x:v>Precios cloud</x:v>
      </x:c>
      <x:c r="C59" s="28" t="str">
        <x:v>Basic Logs ingestion</x:v>
      </x:c>
      <x:c r="D59" s="28" t="str">
        <x:v>East US</x:v>
      </x:c>
      <x:c r="E59" s="34" t="n">
        <x:v>0.5</x:v>
      </x:c>
      <x:c r="F59" s="27" t="str">
        <x:v>USD/GB</x:v>
      </x:c>
      <x:c r="G59" s="28" t="str">
        <x:v>Oficial</x:v>
      </x:c>
      <x:c r="H59" s="28" t="str">
        <x:v>https://azure.microsoft.com/en-us/pricing/details/monitor/; FP-183 F26</x:v>
      </x:c>
      <x:c r="I59" s="29" t="n">
        <x:v>46281</x:v>
      </x:c>
      <x:c r="J59" s="28" t="str">
        <x:v>FinOps / SRE</x:v>
      </x:c>
      <x:c r="K59" s="28" t="str">
        <x:v>FP-183 / FP-184</x:v>
      </x:c>
      <x:c r="L59" s="28" t="str">
        <x:v>Refrescar tarifa</x:v>
      </x:c>
      <x:c r="M59" s="28" t="str">
        <x:v>Costo de observabilidad</x:v>
      </x:c>
    </x:row>
    <x:row r="60" ht="43" customHeight="1">
      <x:c r="A60" s="31" t="str">
        <x:v>PRI-US-09</x:v>
      </x:c>
      <x:c r="B60" s="28" t="str">
        <x:v>Precios cloud</x:v>
      </x:c>
      <x:c r="C60" s="28" t="str">
        <x:v>Backup PostgreSQL excedente</x:v>
      </x:c>
      <x:c r="D60" s="28" t="str">
        <x:v>East US</x:v>
      </x:c>
      <x:c r="E60" s="34" t="n">
        <x:v>0.095</x:v>
      </x:c>
      <x:c r="F60" s="27" t="str">
        <x:v>USD/GiB-mes</x:v>
      </x:c>
      <x:c r="G60" s="28" t="str">
        <x:v>Oficial</x:v>
      </x:c>
      <x:c r="H60" s="28" t="str">
        <x:v>https://azure.microsoft.com/en-us/pricing/details/postgresql/flexible-server/; FP-183 F27</x:v>
      </x:c>
      <x:c r="I60" s="29" t="n">
        <x:v>46281</x:v>
      </x:c>
      <x:c r="J60" s="28" t="str">
        <x:v>FinOps / DBA</x:v>
      </x:c>
      <x:c r="K60" s="28" t="str">
        <x:v>FP-183</x:v>
      </x:c>
      <x:c r="L60" s="28" t="str">
        <x:v>Aplicar solo al excedente real</x:v>
      </x:c>
      <x:c r="M60" s="28" t="str">
        <x:v>Costo de backup</x:v>
      </x:c>
    </x:row>
    <x:row r="61" ht="43" customHeight="1">
      <x:c r="A61" s="31" t="str">
        <x:v>OPT-01</x:v>
      </x:c>
      <x:c r="B61" s="28" t="str">
        <x:v>Optimización</x:v>
      </x:c>
      <x:c r="C61" s="28" t="str">
        <x:v>Horas no producción optimizadas</x:v>
      </x:c>
      <x:c r="D61" s="28" t="str">
        <x:v>Común</x:v>
      </x:c>
      <x:c r="E61" s="32" t="n">
        <x:v>132</x:v>
      </x:c>
      <x:c r="F61" s="27" t="str">
        <x:v>h/mes</x:v>
      </x:c>
      <x:c r="G61" s="28" t="str">
        <x:v>Estimación de ingeniería</x:v>
      </x:c>
      <x:c r="H61" s="28" t="str">
        <x:v>docs/fp-184/escenario-optimizado-fp-184.xlsx — Palancas!D5</x:v>
      </x:c>
      <x:c r="I61" s="29" t="n">
        <x:v>46281</x:v>
      </x:c>
      <x:c r="J61" s="28" t="str">
        <x:v>Equipo técnico</x:v>
      </x:c>
      <x:c r="K61" s="28" t="str">
        <x:v>FP-184</x:v>
      </x:c>
      <x:c r="L61" s="28" t="str">
        <x:v>Validar ventana con pruebas y soporte</x:v>
      </x:c>
      <x:c r="M61" s="28" t="str">
        <x:v>Ahorro por apagado</x:v>
      </x:c>
    </x:row>
    <x:row r="62" ht="43" customHeight="1">
      <x:c r="A62" s="31" t="str">
        <x:v>OPT-02</x:v>
      </x:c>
      <x:c r="B62" s="28" t="str">
        <x:v>Optimización</x:v>
      </x:c>
      <x:c r="C62" s="28" t="str">
        <x:v>Logs optimizados</x:v>
      </x:c>
      <x:c r="D62" s="28" t="str">
        <x:v>Común</x:v>
      </x:c>
      <x:c r="E62" s="32" t="n">
        <x:v>40</x:v>
      </x:c>
      <x:c r="F62" s="27" t="str">
        <x:v>GB/mes</x:v>
      </x:c>
      <x:c r="G62" s="28" t="str">
        <x:v>Estimación de ingeniería</x:v>
      </x:c>
      <x:c r="H62" s="28" t="str">
        <x:v>docs/fp-184/escenario-optimizado-fp-184.xlsx — Palancas!D6</x:v>
      </x:c>
      <x:c r="I62" s="29" t="n">
        <x:v>46281</x:v>
      </x:c>
      <x:c r="J62" s="28" t="str">
        <x:v>SRE / Seguridad</x:v>
      </x:c>
      <x:c r="K62" s="28" t="str">
        <x:v>FP-184</x:v>
      </x:c>
      <x:c r="L62" s="28" t="str">
        <x:v>Aprobar política de telemetría</x:v>
      </x:c>
      <x:c r="M62" s="28" t="str">
        <x:v>Ahorro de observabilidad</x:v>
      </x:c>
    </x:row>
    <x:row r="63" ht="43" customHeight="1">
      <x:c r="A63" s="31" t="str">
        <x:v>OPT-03</x:v>
      </x:c>
      <x:c r="B63" s="28" t="str">
        <x:v>Optimización</x:v>
      </x:c>
      <x:c r="C63" s="28" t="str">
        <x:v>Egress optimizado</x:v>
      </x:c>
      <x:c r="D63" s="28" t="str">
        <x:v>Común</x:v>
      </x:c>
      <x:c r="E63" s="32" t="n">
        <x:v>160</x:v>
      </x:c>
      <x:c r="F63" s="27" t="str">
        <x:v>GB/mes</x:v>
      </x:c>
      <x:c r="G63" s="28" t="str">
        <x:v>Estimación de ingeniería</x:v>
      </x:c>
      <x:c r="H63" s="28" t="str">
        <x:v>docs/fp-184/escenario-optimizado-fp-184.xlsx — Palancas!D7</x:v>
      </x:c>
      <x:c r="I63" s="29" t="n">
        <x:v>46281</x:v>
      </x:c>
      <x:c r="J63" s="28" t="str">
        <x:v>Arquitectura / Redes</x:v>
      </x:c>
      <x:c r="K63" s="28" t="str">
        <x:v>FP-184</x:v>
      </x:c>
      <x:c r="L63" s="28" t="str">
        <x:v>Validar compresión, caché y efecto en latencia</x:v>
      </x:c>
      <x:c r="M63" s="28" t="str">
        <x:v>Ahorro de red</x:v>
      </x:c>
    </x:row>
    <x:row r="64" ht="58" customHeight="1">
      <x:c r="A64" s="31" t="str">
        <x:v>OPT-04</x:v>
      </x:c>
      <x:c r="B64" s="28" t="str">
        <x:v>Optimización</x:v>
      </x:c>
      <x:c r="C64" s="28" t="str">
        <x:v>Costo por palanca</x:v>
      </x:c>
      <x:c r="D64" s="28" t="str">
        <x:v>Por región</x:v>
      </x:c>
      <x:c r="E64" s="30" t="str">
        <x:v>50 h total; 10 h no prod.; 8 h logs; egress/comunes pendientes</x:v>
      </x:c>
      <x:c r="F64" s="27" t="str">
        <x:v>horas estimadas</x:v>
      </x:c>
      <x:c r="G64" s="28" t="str">
        <x:v>Pendiente humano</x:v>
      </x:c>
      <x:c r="H64" s="28" t="str">
        <x:v>docs/fp-187/flujo-caja-van-tir-fp-187.xlsx — Supuestos!A34:C40; docs/fp-184/escenario-optimizado-fp-184.xlsx — Fuentes!B17:C19</x:v>
      </x:c>
      <x:c r="I64" s="29" t="n">
        <x:v>46286</x:v>
      </x:c>
      <x:c r="J64" s="28" t="str">
        <x:v>Equipo técnico / Finanzas</x:v>
      </x:c>
      <x:c r="K64" s="28" t="str">
        <x:v>FP-184 / FP-187</x:v>
      </x:c>
      <x:c r="L64" s="28" t="str">
        <x:v>Precarga 2026-09-21: 50 h totales, 10 h no producción y 8 h logs. Separar egress y horas comunes antes de costear B17:C19.</x:v>
      </x:c>
      <x:c r="M64" s="28" t="str">
        <x:v>Ahorro neto por palanca</x:v>
      </x:c>
    </x:row>
    <x:row r="65" ht="43" customHeight="1">
      <x:c r="A65" s="31" t="str">
        <x:v>OPT-05</x:v>
      </x:c>
      <x:c r="B65" s="28" t="str">
        <x:v>Optimización</x:v>
      </x:c>
      <x:c r="C65" s="28" t="str">
        <x:v>Ahorro bruto combinado 60 meses</x:v>
      </x:c>
      <x:c r="D65" s="28" t="str">
        <x:v>Chile Central</x:v>
      </x:c>
      <x:c r="E65" s="35" t="n">
        <x:v>1453.152</x:v>
      </x:c>
      <x:c r="F65" s="27" t="str">
        <x:v>USD</x:v>
      </x:c>
      <x:c r="G65" s="28" t="str">
        <x:v>Derivado verificado</x:v>
      </x:c>
      <x:c r="H65" s="28" t="str">
        <x:v>docs/fp-184/escenario-optimizado-fp-184.xlsx — Resumen!B9</x:v>
      </x:c>
      <x:c r="I65" s="29" t="n">
        <x:v>46281</x:v>
      </x:c>
      <x:c r="J65" s="28" t="str">
        <x:v>FinOps</x:v>
      </x:c>
      <x:c r="K65" s="28" t="str">
        <x:v>FP-184 / FP-187</x:v>
      </x:c>
      <x:c r="L65" s="28" t="str">
        <x:v>Recalcular al cambiar consumos o precios</x:v>
      </x:c>
      <x:c r="M65" s="28" t="str">
        <x:v>Flujo incremental</x:v>
      </x:c>
    </x:row>
    <x:row r="66" ht="43" customHeight="1">
      <x:c r="A66" s="31" t="str">
        <x:v>OPT-06</x:v>
      </x:c>
      <x:c r="B66" s="28" t="str">
        <x:v>Optimización</x:v>
      </x:c>
      <x:c r="C66" s="28" t="str">
        <x:v>Ahorro bruto combinado 60 meses</x:v>
      </x:c>
      <x:c r="D66" s="28" t="str">
        <x:v>East US</x:v>
      </x:c>
      <x:c r="E66" s="35" t="n">
        <x:v>936.48</x:v>
      </x:c>
      <x:c r="F66" s="27" t="str">
        <x:v>USD</x:v>
      </x:c>
      <x:c r="G66" s="28" t="str">
        <x:v>Derivado verificado</x:v>
      </x:c>
      <x:c r="H66" s="28" t="str">
        <x:v>docs/fp-184/escenario-optimizado-fp-184.xlsx — Resumen!C9</x:v>
      </x:c>
      <x:c r="I66" s="29" t="n">
        <x:v>46281</x:v>
      </x:c>
      <x:c r="J66" s="28" t="str">
        <x:v>FinOps</x:v>
      </x:c>
      <x:c r="K66" s="28" t="str">
        <x:v>FP-184 / FP-187</x:v>
      </x:c>
      <x:c r="L66" s="28" t="str">
        <x:v>Recalcular al cambiar consumos o precios</x:v>
      </x:c>
      <x:c r="M66" s="28" t="str">
        <x:v>Flujo incremental</x:v>
      </x:c>
    </x:row>
    <x:row r="67" ht="43" customHeight="1">
      <x:c r="A67" s="31" t="str">
        <x:v>SEN-01</x:v>
      </x:c>
      <x:c r="B67" s="28" t="str">
        <x:v>Sensibilidad</x:v>
      </x:c>
      <x:c r="C67" s="28" t="str">
        <x:v>Rango de variables continuas</x:v>
      </x:c>
      <x:c r="D67" s="28" t="str">
        <x:v>Común</x:v>
      </x:c>
      <x:c r="E67" s="33" t="n">
        <x:v>0.2</x:v>
      </x:c>
      <x:c r="F67" s="27" t="str">
        <x:v>± %</x:v>
      </x:c>
      <x:c r="G67" s="28" t="str">
        <x:v>Estimación de ingeniería</x:v>
      </x:c>
      <x:c r="H67" s="28" t="str">
        <x:v>docs/fp-186/trazabilidad-fp186.md</x:v>
      </x:c>
      <x:c r="I67" s="29" t="n">
        <x:v>46281</x:v>
      </x:c>
      <x:c r="J67" s="28" t="str">
        <x:v>Equipo técnico / Finanzas</x:v>
      </x:c>
      <x:c r="K67" s="28" t="str">
        <x:v>FP-186</x:v>
      </x:c>
      <x:c r="L67" s="28" t="str">
        <x:v>Validar rango con volatilidad y métricas reales</x:v>
      </x:c>
      <x:c r="M67" s="28" t="str">
        <x:v>Robustez de la decisión</x:v>
      </x:c>
    </x:row>
    <x:row r="68" ht="43" customHeight="1">
      <x:c r="A68" s="31" t="str">
        <x:v>SEN-02</x:v>
      </x:c>
      <x:c r="B68" s="28" t="str">
        <x:v>Sensibilidad</x:v>
      </x:c>
      <x:c r="C68" s="28" t="str">
        <x:v>Escenarios vCores PostgreSQL</x:v>
      </x:c>
      <x:c r="D68" s="28" t="str">
        <x:v>Común</x:v>
      </x:c>
      <x:c r="E68" s="30" t="str">
        <x:v>2 / 4 / 8</x:v>
      </x:c>
      <x:c r="F68" s="27" t="str">
        <x:v>vCore</x:v>
      </x:c>
      <x:c r="G68" s="28" t="str">
        <x:v>Supuesto documentado</x:v>
      </x:c>
      <x:c r="H68" s="28" t="str">
        <x:v>docs/fp-186/trazabilidad-fp186.md</x:v>
      </x:c>
      <x:c r="I68" s="29" t="n">
        <x:v>46281</x:v>
      </x:c>
      <x:c r="J68" s="28" t="str">
        <x:v>DBA / Arquitectura</x:v>
      </x:c>
      <x:c r="K68" s="28" t="str">
        <x:v>FP-186</x:v>
      </x:c>
      <x:c r="L68" s="28" t="str">
        <x:v>Confirmar SKUs disponibles y equivalentes</x:v>
      </x:c>
      <x:c r="M68" s="28" t="str">
        <x:v>Sensibilidad discreta</x:v>
      </x:c>
    </x:row>
    <x:row r="69" ht="43" customHeight="1">
      <x:c r="A69" s="31" t="str">
        <x:v>SEN-03</x:v>
      </x:c>
      <x:c r="B69" s="28" t="str">
        <x:v>Sensibilidad</x:v>
      </x:c>
      <x:c r="C69" s="28" t="str">
        <x:v>Driver principal 1</x:v>
      </x:c>
      <x:c r="D69" s="28" t="str">
        <x:v>Común</x:v>
      </x:c>
      <x:c r="E69" s="30" t="str">
        <x:v>vCores PostgreSQL producción</x:v>
      </x:c>
      <x:c r="F69" s="27" t="str">
        <x:v>driver</x:v>
      </x:c>
      <x:c r="G69" s="28" t="str">
        <x:v>Derivado verificado</x:v>
      </x:c>
      <x:c r="H69" s="28" t="str">
        <x:v>docs/fp-186/resultados.json; docs/fp-186/trazabilidad-fp186.md</x:v>
      </x:c>
      <x:c r="I69" s="29" t="n">
        <x:v>46281</x:v>
      </x:c>
      <x:c r="J69" s="28" t="str">
        <x:v>Arquitectura / FinOps</x:v>
      </x:c>
      <x:c r="K69" s="28" t="str">
        <x:v>FP-186</x:v>
      </x:c>
      <x:c r="L69" s="28" t="str">
        <x:v>Priorizar medición y prueba de base de datos</x:v>
      </x:c>
      <x:c r="M69" s="28" t="str">
        <x:v>Riesgo del TCO</x:v>
      </x:c>
    </x:row>
    <x:row r="70" ht="43" customHeight="1">
      <x:c r="A70" s="31" t="str">
        <x:v>SEN-04</x:v>
      </x:c>
      <x:c r="B70" s="28" t="str">
        <x:v>Sensibilidad</x:v>
      </x:c>
      <x:c r="C70" s="28" t="str">
        <x:v>Driver principal 2</x:v>
      </x:c>
      <x:c r="D70" s="28" t="str">
        <x:v>Común</x:v>
      </x:c>
      <x:c r="E70" s="30" t="str">
        <x:v>vCPU producción</x:v>
      </x:c>
      <x:c r="F70" s="27" t="str">
        <x:v>driver</x:v>
      </x:c>
      <x:c r="G70" s="28" t="str">
        <x:v>Derivado verificado</x:v>
      </x:c>
      <x:c r="H70" s="28" t="str">
        <x:v>docs/fp-186/resultados.json; docs/fp-186/trazabilidad-fp186.md</x:v>
      </x:c>
      <x:c r="I70" s="29" t="n">
        <x:v>46281</x:v>
      </x:c>
      <x:c r="J70" s="28" t="str">
        <x:v>Arquitectura / FinOps</x:v>
      </x:c>
      <x:c r="K70" s="28" t="str">
        <x:v>FP-186</x:v>
      </x:c>
      <x:c r="L70" s="28" t="str">
        <x:v>Priorizar telemetría de cómputo</x:v>
      </x:c>
      <x:c r="M70" s="28" t="str">
        <x:v>Riesgo del TCO</x:v>
      </x:c>
    </x:row>
    <x:row r="71" ht="43" customHeight="1">
      <x:c r="A71" s="31" t="str">
        <x:v>FIN-01</x:v>
      </x:c>
      <x:c r="B71" s="28" t="str">
        <x:v>Finanzas</x:v>
      </x:c>
      <x:c r="C71" s="28" t="str">
        <x:v>Tasa de descuento anual</x:v>
      </x:c>
      <x:c r="D71" s="28" t="str">
        <x:v>Común</x:v>
      </x:c>
      <x:c r="E71" s="33" t="n">
        <x:v>0.055</x:v>
      </x:c>
      <x:c r="F71" s="27" t="str">
        <x:v>%</x:v>
      </x:c>
      <x:c r="G71" s="28" t="str">
        <x:v>Proxy público</x:v>
      </x:c>
      <x:c r="H71" s="28" t="str">
        <x:v>docs/fp-187/flujo-caja-van-tir-fp-187.xlsx — Supuestos!B8; https://sni.gob.cl/wp-content/uploads/Precios-Sociales-2026.pdf</x:v>
      </x:c>
      <x:c r="I71" s="29" t="n">
        <x:v>46282</x:v>
      </x:c>
      <x:c r="J71" s="28" t="str">
        <x:v>Finanzas</x:v>
      </x:c>
      <x:c r="K71" s="28" t="str">
        <x:v>FP-187</x:v>
      </x:c>
      <x:c r="L71" s="28" t="str">
        <x:v>Sustituir por WACC o tasa interna aprobada</x:v>
      </x:c>
      <x:c r="M71" s="28" t="str">
        <x:v>VAN</x:v>
      </x:c>
    </x:row>
    <x:row r="72" ht="43" customHeight="1">
      <x:c r="A72" s="31" t="str">
        <x:v>FIN-02</x:v>
      </x:c>
      <x:c r="B72" s="28" t="str">
        <x:v>Finanzas</x:v>
      </x:c>
      <x:c r="C72" s="28" t="str">
        <x:v>Tipo de cambio observado</x:v>
      </x:c>
      <x:c r="D72" s="28" t="str">
        <x:v>Común</x:v>
      </x:c>
      <x:c r="E72" s="32" t="n">
        <x:v>954.85</x:v>
      </x:c>
      <x:c r="F72" s="27" t="str">
        <x:v>CLP/USD</x:v>
      </x:c>
      <x:c r="G72" s="28" t="str">
        <x:v>Oficial</x:v>
      </x:c>
      <x:c r="H72" s="28" t="str">
        <x:v>docs/fp-187/flujo-caja-van-tir-fp-187.xlsx — Supuestos!B24; Banco Central de Chile</x:v>
      </x:c>
      <x:c r="I72" s="29" t="n">
        <x:v>46282</x:v>
      </x:c>
      <x:c r="J72" s="28" t="str">
        <x:v>Finanzas</x:v>
      </x:c>
      <x:c r="K72" s="28" t="str">
        <x:v>FP-187</x:v>
      </x:c>
      <x:c r="L72" s="28" t="str">
        <x:v>Actualizar si se recalcula en otra fecha</x:v>
      </x:c>
      <x:c r="M72" s="28" t="str">
        <x:v>Tarifa horaria proxy</x:v>
      </x:c>
    </x:row>
    <x:row r="73" ht="43" customHeight="1">
      <x:c r="A73" s="31" t="str">
        <x:v>FIN-03</x:v>
      </x:c>
      <x:c r="B73" s="28" t="str">
        <x:v>Finanzas</x:v>
      </x:c>
      <x:c r="C73" s="28" t="str">
        <x:v>Ingreso neto mensual universitario</x:v>
      </x:c>
      <x:c r="D73" s="28" t="str">
        <x:v>Común</x:v>
      </x:c>
      <x:c r="E73" s="32" t="n">
        <x:v>1483153</x:v>
      </x:c>
      <x:c r="F73" s="27" t="str">
        <x:v>CLP/mes</x:v>
      </x:c>
      <x:c r="G73" s="28" t="str">
        <x:v>Proxy público</x:v>
      </x:c>
      <x:c r="H73" s="28" t="str">
        <x:v>docs/fp-187/flujo-caja-van-tir-fp-187.xlsx — Supuestos!B25; INE ESI 2024</x:v>
      </x:c>
      <x:c r="I73" s="29" t="n">
        <x:v>46282</x:v>
      </x:c>
      <x:c r="J73" s="28" t="str">
        <x:v>Finanzas / RR. HH.</x:v>
      </x:c>
      <x:c r="K73" s="28" t="str">
        <x:v>FP-187</x:v>
      </x:c>
      <x:c r="L73" s="28" t="str">
        <x:v>Sustituir por costo empresa del rol real</x:v>
      </x:c>
      <x:c r="M73" s="28" t="str">
        <x:v>Tarifa horaria proxy</x:v>
      </x:c>
    </x:row>
    <x:row r="74" ht="43" customHeight="1">
      <x:c r="A74" s="31" t="str">
        <x:v>FIN-04</x:v>
      </x:c>
      <x:c r="B74" s="28" t="str">
        <x:v>Finanzas</x:v>
      </x:c>
      <x:c r="C74" s="28" t="str">
        <x:v>Jornada semanal</x:v>
      </x:c>
      <x:c r="D74" s="28" t="str">
        <x:v>Común</x:v>
      </x:c>
      <x:c r="E74" s="32" t="n">
        <x:v>42</x:v>
      </x:c>
      <x:c r="F74" s="27" t="str">
        <x:v>h/semana</x:v>
      </x:c>
      <x:c r="G74" s="28" t="str">
        <x:v>Oficial</x:v>
      </x:c>
      <x:c r="H74" s="28" t="str">
        <x:v>docs/fp-187/flujo-caja-van-tir-fp-187.xlsx — Supuestos!B26; Dirección del Trabajo</x:v>
      </x:c>
      <x:c r="I74" s="29" t="n">
        <x:v>46282</x:v>
      </x:c>
      <x:c r="J74" s="28" t="str">
        <x:v>Finanzas / RR. HH.</x:v>
      </x:c>
      <x:c r="K74" s="28" t="str">
        <x:v>FP-187</x:v>
      </x:c>
      <x:c r="L74" s="28" t="str">
        <x:v>Confirmar jornada aplicable al equipo</x:v>
      </x:c>
      <x:c r="M74" s="28" t="str">
        <x:v>Tarifa horaria proxy</x:v>
      </x:c>
    </x:row>
    <x:row r="75" ht="43" customHeight="1">
      <x:c r="A75" s="31" t="str">
        <x:v>FIN-05</x:v>
      </x:c>
      <x:c r="B75" s="28" t="str">
        <x:v>Finanzas</x:v>
      </x:c>
      <x:c r="C75" s="28" t="str">
        <x:v>Tarifa horaria derivada</x:v>
      </x:c>
      <x:c r="D75" s="28" t="str">
        <x:v>Común</x:v>
      </x:c>
      <x:c r="E75" s="34" t="n">
        <x:v>8.534526164</x:v>
      </x:c>
      <x:c r="F75" s="27" t="str">
        <x:v>USD/h</x:v>
      </x:c>
      <x:c r="G75" s="28" t="str">
        <x:v>Proxy público</x:v>
      </x:c>
      <x:c r="H75" s="28" t="str">
        <x:v>docs/fp-187/flujo-caja-van-tir-fp-187.xlsx — Supuestos!B28</x:v>
      </x:c>
      <x:c r="I75" s="29" t="n">
        <x:v>46282</x:v>
      </x:c>
      <x:c r="J75" s="28" t="str">
        <x:v>Finanzas / RR. HH.</x:v>
      </x:c>
      <x:c r="K75" s="28" t="str">
        <x:v>FP-187</x:v>
      </x:c>
      <x:c r="L75" s="28" t="str">
        <x:v>Sustituir por costo empresa cargado</x:v>
      </x:c>
      <x:c r="M75" s="28" t="str">
        <x:v>Implementación y operación</x:v>
      </x:c>
    </x:row>
    <x:row r="76" ht="43" customHeight="1">
      <x:c r="A76" s="31" t="str">
        <x:v>FIN-06</x:v>
      </x:c>
      <x:c r="B76" s="28" t="str">
        <x:v>Finanzas</x:v>
      </x:c>
      <x:c r="C76" s="28" t="str">
        <x:v>Esfuerzo implementación por escenario</x:v>
      </x:c>
      <x:c r="D76" s="28" t="str">
        <x:v>Por región</x:v>
      </x:c>
      <x:c r="E76" s="32" t="n">
        <x:v>50</x:v>
      </x:c>
      <x:c r="F76" s="27" t="str">
        <x:v>horas</x:v>
      </x:c>
      <x:c r="G76" s="28" t="str">
        <x:v>Estimación de ingeniería</x:v>
      </x:c>
      <x:c r="H76" s="28" t="str">
        <x:v>docs/fp-187/flujo-caja-van-tir-fp-187.xlsx — Supuestos!B35:B40</x:v>
      </x:c>
      <x:c r="I76" s="29" t="n">
        <x:v>46282</x:v>
      </x:c>
      <x:c r="J76" s="28" t="str">
        <x:v>Equipo técnico</x:v>
      </x:c>
      <x:c r="K76" s="28" t="str">
        <x:v>FP-187</x:v>
      </x:c>
      <x:c r="L76" s="28" t="str">
        <x:v>Validar con responsable y timesheets</x:v>
      </x:c>
      <x:c r="M76" s="28" t="str">
        <x:v>Costo inicial de optimización</x:v>
      </x:c>
    </x:row>
    <x:row r="77" ht="43" customHeight="1">
      <x:c r="A77" s="31" t="str">
        <x:v>FIN-07</x:v>
      </x:c>
      <x:c r="B77" s="28" t="str">
        <x:v>Finanzas</x:v>
      </x:c>
      <x:c r="C77" s="28" t="str">
        <x:v>Operación FinOps mensual</x:v>
      </x:c>
      <x:c r="D77" s="28" t="str">
        <x:v>Por región</x:v>
      </x:c>
      <x:c r="E77" s="32" t="n">
        <x:v>1</x:v>
      </x:c>
      <x:c r="F77" s="27" t="str">
        <x:v>h/mes</x:v>
      </x:c>
      <x:c r="G77" s="28" t="str">
        <x:v>Estimación de ingeniería</x:v>
      </x:c>
      <x:c r="H77" s="28" t="str">
        <x:v>docs/fp-187/flujo-caja-van-tir-fp-187.xlsx — Supuestos!B44:B47</x:v>
      </x:c>
      <x:c r="I77" s="29" t="n">
        <x:v>46282</x:v>
      </x:c>
      <x:c r="J77" s="28" t="str">
        <x:v>FinOps / Operación</x:v>
      </x:c>
      <x:c r="K77" s="28" t="str">
        <x:v>FP-187</x:v>
      </x:c>
      <x:c r="L77" s="28" t="str">
        <x:v>Validar con responsable y timesheets</x:v>
      </x:c>
      <x:c r="M77" s="28" t="str">
        <x:v>Costo operativo incremental</x:v>
      </x:c>
    </x:row>
    <x:row r="78" ht="43" customHeight="1">
      <x:c r="A78" s="31" t="str">
        <x:v>FIN-08</x:v>
      </x:c>
      <x:c r="B78" s="28" t="str">
        <x:v>Finanzas</x:v>
      </x:c>
      <x:c r="C78" s="28" t="str">
        <x:v>Inversión inicial de migración</x:v>
      </x:c>
      <x:c r="D78" s="28" t="str">
        <x:v>Por región</x:v>
      </x:c>
      <x:c r="E78" s="35" t="n">
        <x:v>0</x:v>
      </x:c>
      <x:c r="F78" s="27" t="str">
        <x:v>USD</x:v>
      </x:c>
      <x:c r="G78" s="28" t="str">
        <x:v>Supuesto documentado</x:v>
      </x:c>
      <x:c r="H78" s="28" t="str">
        <x:v>docs/fp-187/flujo-caja-van-tir-fp-187.xlsx — Supuestos!B11:B12</x:v>
      </x:c>
      <x:c r="I78" s="29" t="n">
        <x:v>46282</x:v>
      </x:c>
      <x:c r="J78" s="28" t="str">
        <x:v>Arquitectura / Finanzas</x:v>
      </x:c>
      <x:c r="K78" s="28" t="str">
        <x:v>FP-187</x:v>
      </x:c>
      <x:c r="L78" s="28" t="str">
        <x:v>Reabrir si la decisión incluye migración regional</x:v>
      </x:c>
      <x:c r="M78" s="28" t="str">
        <x:v>Flujo mes 0</x:v>
      </x:c>
    </x:row>
    <x:row r="79" ht="43" customHeight="1">
      <x:c r="A79" s="31" t="str">
        <x:v>FIN-09</x:v>
      </x:c>
      <x:c r="B79" s="28" t="str">
        <x:v>Finanzas</x:v>
      </x:c>
      <x:c r="C79" s="28" t="str">
        <x:v>Impuestos, inflación y valor residual</x:v>
      </x:c>
      <x:c r="D79" s="28" t="str">
        <x:v>Común</x:v>
      </x:c>
      <x:c r="E79" s="30" t="str">
        <x:v>Excluidos</x:v>
      </x:c>
      <x:c r="F79" s="27" t="str">
        <x:v>alcance</x:v>
      </x:c>
      <x:c r="G79" s="28" t="str">
        <x:v>Supuesto documentado</x:v>
      </x:c>
      <x:c r="H79" s="28" t="str">
        <x:v>docs/fp-187/flujo-caja-van-tir-fp-187.xlsx — Supuestos!B31</x:v>
      </x:c>
      <x:c r="I79" s="29" t="n">
        <x:v>46282</x:v>
      </x:c>
      <x:c r="J79" s="28" t="str">
        <x:v>Finanzas</x:v>
      </x:c>
      <x:c r="K79" s="28" t="str">
        <x:v>FP-187</x:v>
      </x:c>
      <x:c r="L79" s="28" t="str">
        <x:v>Aprobar alcance o incorporar ajustes</x:v>
      </x:c>
      <x:c r="M79" s="28" t="str">
        <x:v>Comparabilidad financiera</x:v>
      </x:c>
    </x:row>
    <x:row r="80" ht="58" customHeight="1">
      <x:c r="A80" s="31" t="str">
        <x:v>FIN-10</x:v>
      </x:c>
      <x:c r="B80" s="28" t="str">
        <x:v>Finanzas</x:v>
      </x:c>
      <x:c r="C80" s="28" t="str">
        <x:v>WACC o tasa interna</x:v>
      </x:c>
      <x:c r="D80" s="28" t="str">
        <x:v>Común</x:v>
      </x:c>
      <x:c r="E80" s="33" t="n">
        <x:v>0.055</x:v>
      </x:c>
      <x:c r="F80" s="27" t="str">
        <x:v>%</x:v>
      </x:c>
      <x:c r="G80" s="28" t="str">
        <x:v>Pendiente humano</x:v>
      </x:c>
      <x:c r="H80" s="28" t="str">
        <x:v>docs/fp-187/flujo-caja-van-tir-fp-187.xlsx — Supuestos!B8; docs/fp-187/trazabilidad-fp187.md</x:v>
      </x:c>
      <x:c r="I80" s="29" t="n">
        <x:v>46286</x:v>
      </x:c>
      <x:c r="J80" s="28" t="str">
        <x:v>Finanzas</x:v>
      </x:c>
      <x:c r="K80" s="28" t="str">
        <x:v>FP-187 / FP-188</x:v>
      </x:c>
      <x:c r="L80" s="28" t="str">
        <x:v>Precarga 2026-09-21: TSD pública de 5,5% como proxy académico; sustituir por WACC o tasa interna aprobada.</x:v>
      </x:c>
      <x:c r="M80" s="28" t="str">
        <x:v>VAN y recomendación</x:v>
      </x:c>
    </x:row>
    <x:row r="81" ht="58" customHeight="1">
      <x:c r="A81" s="31" t="str">
        <x:v>FIN-11</x:v>
      </x:c>
      <x:c r="B81" s="28" t="str">
        <x:v>Finanzas</x:v>
      </x:c>
      <x:c r="C81" s="28" t="str">
        <x:v>Costo empresa cargado</x:v>
      </x:c>
      <x:c r="D81" s="28" t="str">
        <x:v>Común</x:v>
      </x:c>
      <x:c r="E81" s="34" t="n">
        <x:v>8.534526164</x:v>
      </x:c>
      <x:c r="F81" s="27" t="str">
        <x:v>USD/h</x:v>
      </x:c>
      <x:c r="G81" s="28" t="str">
        <x:v>Pendiente humano</x:v>
      </x:c>
      <x:c r="H81" s="28" t="str">
        <x:v>docs/fp-187/flujo-caja-van-tir-fp-187.xlsx — Supuestos!B28; docs/fp-187/trazabilidad-fp187.md</x:v>
      </x:c>
      <x:c r="I81" s="29" t="n">
        <x:v>46286</x:v>
      </x:c>
      <x:c r="J81" s="28" t="str">
        <x:v>Finanzas / RR. HH.</x:v>
      </x:c>
      <x:c r="K81" s="28" t="str">
        <x:v>FP-187 / FP-188</x:v>
      </x:c>
      <x:c r="L81" s="28" t="str">
        <x:v>Precarga 2026-09-21: USD 8,534526164/h como proxy de ingreso neto; sustituir por costo empresa cargado.</x:v>
      </x:c>
      <x:c r="M81" s="28" t="str">
        <x:v>VAN y presupuesto</x:v>
      </x:c>
    </x:row>
    <x:row r="82" ht="58" customHeight="1">
      <x:c r="A82" s="31" t="str">
        <x:v>FIN-12</x:v>
      </x:c>
      <x:c r="B82" s="28" t="str">
        <x:v>Finanzas</x:v>
      </x:c>
      <x:c r="C82" s="28" t="str">
        <x:v>Horas reales de implementación</x:v>
      </x:c>
      <x:c r="D82" s="28" t="str">
        <x:v>Por región</x:v>
      </x:c>
      <x:c r="E82" s="32" t="n">
        <x:v>50</x:v>
      </x:c>
      <x:c r="F82" s="27" t="str">
        <x:v>horas</x:v>
      </x:c>
      <x:c r="G82" s="28" t="str">
        <x:v>Pendiente humano</x:v>
      </x:c>
      <x:c r="H82" s="28" t="str">
        <x:v>docs/fp-187/flujo-caja-van-tir-fp-187.xlsx — Supuestos!B35:B40</x:v>
      </x:c>
      <x:c r="I82" s="29" t="n">
        <x:v>46286</x:v>
      </x:c>
      <x:c r="J82" s="28" t="str">
        <x:v>Equipo técnico</x:v>
      </x:c>
      <x:c r="K82" s="28" t="str">
        <x:v>FP-187 / FP-188</x:v>
      </x:c>
      <x:c r="L82" s="28" t="str">
        <x:v>Precarga 2026-09-21: 50 h estimadas bottom-up; validar con responsable o timesheets reales.</x:v>
      </x:c>
      <x:c r="M82" s="28" t="str">
        <x:v>Costo inicial real</x:v>
      </x:c>
    </x:row>
    <x:row r="83" ht="58" customHeight="1">
      <x:c r="A83" s="31" t="str">
        <x:v>FIN-13</x:v>
      </x:c>
      <x:c r="B83" s="28" t="str">
        <x:v>Finanzas</x:v>
      </x:c>
      <x:c r="C83" s="28" t="str">
        <x:v>Horas reales de operación</x:v>
      </x:c>
      <x:c r="D83" s="28" t="str">
        <x:v>Por región</x:v>
      </x:c>
      <x:c r="E83" s="32" t="n">
        <x:v>1</x:v>
      </x:c>
      <x:c r="F83" s="27" t="str">
        <x:v>h/mes</x:v>
      </x:c>
      <x:c r="G83" s="28" t="str">
        <x:v>Pendiente humano</x:v>
      </x:c>
      <x:c r="H83" s="28" t="str">
        <x:v>docs/fp-187/flujo-caja-van-tir-fp-187.xlsx — Supuestos!B44:B47</x:v>
      </x:c>
      <x:c r="I83" s="29" t="n">
        <x:v>46286</x:v>
      </x:c>
      <x:c r="J83" s="28" t="str">
        <x:v>Operación / FinOps</x:v>
      </x:c>
      <x:c r="K83" s="28" t="str">
        <x:v>FP-187 / FP-188</x:v>
      </x:c>
      <x:c r="L83" s="28" t="str">
        <x:v>Precarga 2026-09-21: 1 h/mes estimada bottom-up; validar al menos tres ciclos o aprobar el runbook.</x:v>
      </x:c>
      <x:c r="M83" s="28" t="str">
        <x:v>TCO económico completo</x:v>
      </x:c>
    </x:row>
    <x:row r="84" ht="43" customHeight="1">
      <x:c r="A84" s="31" t="str">
        <x:v>RES-01</x:v>
      </x:c>
      <x:c r="B84" s="28" t="str">
        <x:v>Resultados heredados</x:v>
      </x:c>
      <x:c r="C84" s="28" t="str">
        <x:v>TCO cloud base 60 meses</x:v>
      </x:c>
      <x:c r="D84" s="28" t="str">
        <x:v>Chile Central</x:v>
      </x:c>
      <x:c r="E84" s="35" t="n">
        <x:v>23256.321466174068</x:v>
      </x:c>
      <x:c r="F84" s="27" t="str">
        <x:v>USD</x:v>
      </x:c>
      <x:c r="G84" s="28" t="str">
        <x:v>Derivado verificado</x:v>
      </x:c>
      <x:c r="H84" s="28" t="str">
        <x:v>docs/fp-183/modelo-tco-linea-base-5-anos.xlsx — Resumen!B7</x:v>
      </x:c>
      <x:c r="I84" s="29" t="n">
        <x:v>46281</x:v>
      </x:c>
      <x:c r="J84" s="28" t="str">
        <x:v>FinOps / Finanzas</x:v>
      </x:c>
      <x:c r="K84" s="28" t="str">
        <x:v>FP-183 / FP-188</x:v>
      </x:c>
      <x:c r="L84" s="28" t="str">
        <x:v>Recalcular al cambiar inputs</x:v>
      </x:c>
      <x:c r="M84" s="28" t="str">
        <x:v>Línea base regional</x:v>
      </x:c>
    </x:row>
    <x:row r="85" ht="43" customHeight="1">
      <x:c r="A85" s="31" t="str">
        <x:v>RES-02</x:v>
      </x:c>
      <x:c r="B85" s="28" t="str">
        <x:v>Resultados heredados</x:v>
      </x:c>
      <x:c r="C85" s="28" t="str">
        <x:v>TCO cloud base 60 meses</x:v>
      </x:c>
      <x:c r="D85" s="28" t="str">
        <x:v>East US</x:v>
      </x:c>
      <x:c r="E85" s="35" t="n">
        <x:v>16474.602674550486</x:v>
      </x:c>
      <x:c r="F85" s="27" t="str">
        <x:v>USD</x:v>
      </x:c>
      <x:c r="G85" s="28" t="str">
        <x:v>Derivado verificado</x:v>
      </x:c>
      <x:c r="H85" s="28" t="str">
        <x:v>docs/fp-183/modelo-tco-linea-base-5-anos.xlsx — Resumen!C7</x:v>
      </x:c>
      <x:c r="I85" s="29" t="n">
        <x:v>46281</x:v>
      </x:c>
      <x:c r="J85" s="28" t="str">
        <x:v>FinOps / Finanzas</x:v>
      </x:c>
      <x:c r="K85" s="28" t="str">
        <x:v>FP-183 / FP-188</x:v>
      </x:c>
      <x:c r="L85" s="28" t="str">
        <x:v>Recalcular al cambiar inputs</x:v>
      </x:c>
      <x:c r="M85" s="28" t="str">
        <x:v>Línea base regional</x:v>
      </x:c>
    </x:row>
    <x:row r="86" ht="43" customHeight="1">
      <x:c r="A86" s="31" t="str">
        <x:v>RES-03</x:v>
      </x:c>
      <x:c r="B86" s="28" t="str">
        <x:v>Resultados heredados</x:v>
      </x:c>
      <x:c r="C86" s="28" t="str">
        <x:v>Ahorro relativo East US vs Chile</x:v>
      </x:c>
      <x:c r="D86" s="28" t="str">
        <x:v>East US</x:v>
      </x:c>
      <x:c r="E86" s="33" t="n">
        <x:v>0.2916075443</x:v>
      </x:c>
      <x:c r="F86" s="27" t="str">
        <x:v>%</x:v>
      </x:c>
      <x:c r="G86" s="28" t="str">
        <x:v>Derivado verificado</x:v>
      </x:c>
      <x:c r="H86" s="28" t="str">
        <x:v>docs/fp-185/comparacion-regional-santiago-eastus.xlsx — FP-185 Comparación!D6</x:v>
      </x:c>
      <x:c r="I86" s="29" t="n">
        <x:v>46281</x:v>
      </x:c>
      <x:c r="J86" s="28" t="str">
        <x:v>FinOps / Finanzas</x:v>
      </x:c>
      <x:c r="K86" s="28" t="str">
        <x:v>FP-185 / FP-188</x:v>
      </x:c>
      <x:c r="L86" s="28" t="str">
        <x:v>No decidir solo por precio</x:v>
      </x:c>
      <x:c r="M86" s="28" t="str">
        <x:v>Comparación regional</x:v>
      </x:c>
    </x:row>
    <x:row r="87" ht="43" customHeight="1">
      <x:c r="A87" s="31" t="str">
        <x:v>RES-04</x:v>
      </x:c>
      <x:c r="B87" s="28" t="str">
        <x:v>Resultados heredados</x:v>
      </x:c>
      <x:c r="C87" s="28" t="str">
        <x:v>Costo optimizado total comparable</x:v>
      </x:c>
      <x:c r="D87" s="28" t="str">
        <x:v>Chile Central</x:v>
      </x:c>
      <x:c r="E87" s="35" t="n">
        <x:v>22741.97</x:v>
      </x:c>
      <x:c r="F87" s="27" t="str">
        <x:v>USD</x:v>
      </x:c>
      <x:c r="G87" s="28" t="str">
        <x:v>Derivado verificado</x:v>
      </x:c>
      <x:c r="H87" s="28" t="str">
        <x:v>docs/fp-188/recomendacion-tecnica-economica.md — sección 2</x:v>
      </x:c>
      <x:c r="I87" s="29" t="n">
        <x:v>46286</x:v>
      </x:c>
      <x:c r="J87" s="28" t="str">
        <x:v>Finanzas</x:v>
      </x:c>
      <x:c r="K87" s="28" t="str">
        <x:v>FP-187 / FP-188</x:v>
      </x:c>
      <x:c r="L87" s="28" t="str">
        <x:v>Recalcular con inputs internos</x:v>
      </x:c>
      <x:c r="M87" s="28" t="str">
        <x:v>Recomendación</x:v>
      </x:c>
    </x:row>
    <x:row r="88" ht="43" customHeight="1">
      <x:c r="A88" s="31" t="str">
        <x:v>RES-05</x:v>
      </x:c>
      <x:c r="B88" s="28" t="str">
        <x:v>Resultados heredados</x:v>
      </x:c>
      <x:c r="C88" s="28" t="str">
        <x:v>Costo optimizado total comparable</x:v>
      </x:c>
      <x:c r="D88" s="28" t="str">
        <x:v>East US</x:v>
      </x:c>
      <x:c r="E88" s="35" t="n">
        <x:v>16476.92</x:v>
      </x:c>
      <x:c r="F88" s="27" t="str">
        <x:v>USD</x:v>
      </x:c>
      <x:c r="G88" s="28" t="str">
        <x:v>Derivado verificado</x:v>
      </x:c>
      <x:c r="H88" s="28" t="str">
        <x:v>docs/fp-188/recomendacion-tecnica-economica.md — sección 2</x:v>
      </x:c>
      <x:c r="I88" s="29" t="n">
        <x:v>46286</x:v>
      </x:c>
      <x:c r="J88" s="28" t="str">
        <x:v>Finanzas</x:v>
      </x:c>
      <x:c r="K88" s="28" t="str">
        <x:v>FP-187 / FP-188</x:v>
      </x:c>
      <x:c r="L88" s="28" t="str">
        <x:v>Recalcular con inputs internos</x:v>
      </x:c>
      <x:c r="M88" s="28" t="str">
        <x:v>Recomendación</x:v>
      </x:c>
    </x:row>
    <x:row r="89" ht="43" customHeight="1">
      <x:c r="A89" s="31" t="str">
        <x:v>RES-06</x:v>
      </x:c>
      <x:c r="B89" s="28" t="str">
        <x:v>Resultados heredados</x:v>
      </x:c>
      <x:c r="C89" s="28" t="str">
        <x:v>VAN incremental</x:v>
      </x:c>
      <x:c r="D89" s="28" t="str">
        <x:v>Chile Central</x:v>
      </x:c>
      <x:c r="E89" s="35" t="n">
        <x:v>397.07</x:v>
      </x:c>
      <x:c r="F89" s="27" t="str">
        <x:v>USD</x:v>
      </x:c>
      <x:c r="G89" s="28" t="str">
        <x:v>Derivado verificado</x:v>
      </x:c>
      <x:c r="H89" s="28" t="str">
        <x:v>docs/fp-188/recomendacion-tecnica-economica.md — sección 2</x:v>
      </x:c>
      <x:c r="I89" s="29" t="n">
        <x:v>46286</x:v>
      </x:c>
      <x:c r="J89" s="28" t="str">
        <x:v>Finanzas</x:v>
      </x:c>
      <x:c r="K89" s="28" t="str">
        <x:v>FP-187 / FP-188</x:v>
      </x:c>
      <x:c r="L89" s="28" t="str">
        <x:v>Recalcular con WACC y costos internos</x:v>
      </x:c>
      <x:c r="M89" s="28" t="str">
        <x:v>Decisión de optimización</x:v>
      </x:c>
    </x:row>
    <x:row r="90" ht="43" customHeight="1">
      <x:c r="A90" s="31" t="str">
        <x:v>RES-07</x:v>
      </x:c>
      <x:c r="B90" s="28" t="str">
        <x:v>Resultados heredados</x:v>
      </x:c>
      <x:c r="C90" s="28" t="str">
        <x:v>VAN incremental</x:v>
      </x:c>
      <x:c r="D90" s="28" t="str">
        <x:v>East US</x:v>
      </x:c>
      <x:c r="E90" s="35" t="n">
        <x:v>-55.21</x:v>
      </x:c>
      <x:c r="F90" s="27" t="str">
        <x:v>USD</x:v>
      </x:c>
      <x:c r="G90" s="28" t="str">
        <x:v>Derivado verificado</x:v>
      </x:c>
      <x:c r="H90" s="28" t="str">
        <x:v>docs/fp-188/recomendacion-tecnica-economica.md — sección 2</x:v>
      </x:c>
      <x:c r="I90" s="29" t="n">
        <x:v>46286</x:v>
      </x:c>
      <x:c r="J90" s="28" t="str">
        <x:v>Finanzas</x:v>
      </x:c>
      <x:c r="K90" s="28" t="str">
        <x:v>FP-187 / FP-188</x:v>
      </x:c>
      <x:c r="L90" s="28" t="str">
        <x:v>Reducir costo, aumentar ahorro o rediseñar paquete</x:v>
      </x:c>
      <x:c r="M90" s="28" t="str">
        <x:v>Decisión de optimización</x:v>
      </x:c>
    </x:row>
    <x:row r="91" ht="43" customHeight="1">
      <x:c r="A91" s="31" t="str">
        <x:v>RES-08</x:v>
      </x:c>
      <x:c r="B91" s="28" t="str">
        <x:v>Resultados heredados</x:v>
      </x:c>
      <x:c r="C91" s="28" t="str">
        <x:v>TIR incremental anual</x:v>
      </x:c>
      <x:c r="D91" s="28" t="str">
        <x:v>Chile Central</x:v>
      </x:c>
      <x:c r="E91" s="33" t="n">
        <x:v>0.4391</x:v>
      </x:c>
      <x:c r="F91" s="27" t="str">
        <x:v>%</x:v>
      </x:c>
      <x:c r="G91" s="28" t="str">
        <x:v>Derivado verificado</x:v>
      </x:c>
      <x:c r="H91" s="28" t="str">
        <x:v>docs/fp-188/recomendacion-tecnica-economica.md — sección 2</x:v>
      </x:c>
      <x:c r="I91" s="29" t="n">
        <x:v>46286</x:v>
      </x:c>
      <x:c r="J91" s="28" t="str">
        <x:v>Finanzas</x:v>
      </x:c>
      <x:c r="K91" s="28" t="str">
        <x:v>FP-187 / FP-188</x:v>
      </x:c>
      <x:c r="L91" s="28" t="str">
        <x:v>Usar como complemento del VAN</x:v>
      </x:c>
      <x:c r="M91" s="28" t="str">
        <x:v>Decisión de optimización</x:v>
      </x:c>
    </x:row>
    <x:row r="92" ht="43" customHeight="1">
      <x:c r="A92" s="31" t="str">
        <x:v>RES-09</x:v>
      </x:c>
      <x:c r="B92" s="28" t="str">
        <x:v>Resultados heredados</x:v>
      </x:c>
      <x:c r="C92" s="28" t="str">
        <x:v>TIR incremental anual</x:v>
      </x:c>
      <x:c r="D92" s="28" t="str">
        <x:v>East US</x:v>
      </x:c>
      <x:c r="E92" s="33" t="n">
        <x:v>-0.0021</x:v>
      </x:c>
      <x:c r="F92" s="27" t="str">
        <x:v>%</x:v>
      </x:c>
      <x:c r="G92" s="28" t="str">
        <x:v>Derivado verificado</x:v>
      </x:c>
      <x:c r="H92" s="28" t="str">
        <x:v>docs/fp-188/recomendacion-tecnica-economica.md — sección 2</x:v>
      </x:c>
      <x:c r="I92" s="29" t="n">
        <x:v>46286</x:v>
      </x:c>
      <x:c r="J92" s="28" t="str">
        <x:v>Finanzas</x:v>
      </x:c>
      <x:c r="K92" s="28" t="str">
        <x:v>FP-187 / FP-188</x:v>
      </x:c>
      <x:c r="L92" s="28" t="str">
        <x:v>Usar como complemento del VAN</x:v>
      </x:c>
      <x:c r="M92" s="28" t="str">
        <x:v>Decisión de optimización</x:v>
      </x:c>
    </x:row>
    <x:row r="93" ht="43" customHeight="1">
      <x:c r="A93" s="31" t="str">
        <x:v>RES-10</x:v>
      </x:c>
      <x:c r="B93" s="28" t="str">
        <x:v>Resultados heredados</x:v>
      </x:c>
      <x:c r="C93" s="28" t="str">
        <x:v>PRI descontado</x:v>
      </x:c>
      <x:c r="D93" s="28" t="str">
        <x:v>Chile Central</x:v>
      </x:c>
      <x:c r="E93" s="32" t="n">
        <x:v>30</x:v>
      </x:c>
      <x:c r="F93" s="27" t="str">
        <x:v>mes</x:v>
      </x:c>
      <x:c r="G93" s="28" t="str">
        <x:v>Derivado verificado</x:v>
      </x:c>
      <x:c r="H93" s="28" t="str">
        <x:v>docs/fp-187/flujo-caja-van-tir-fp-187.xlsx — Resumen!K5; Flujo mensual!X7:Z67</x:v>
      </x:c>
      <x:c r="I93" s="29" t="n">
        <x:v>46286</x:v>
      </x:c>
      <x:c r="J93" s="28" t="str">
        <x:v>Finanzas</x:v>
      </x:c>
      <x:c r="K93" s="28" t="str">
        <x:v>FP-187 / FP-188</x:v>
      </x:c>
      <x:c r="L93" s="28" t="str">
        <x:v>PRI reproducible: primer cruce no negativo del flujo descontado acumulado; mes 30.</x:v>
      </x:c>
      <x:c r="M93" s="28" t="str">
        <x:v>Recuperación de inversión</x:v>
      </x:c>
    </x:row>
    <x:row r="94" ht="43" customHeight="1">
      <x:c r="A94" s="31" t="str">
        <x:v>RES-11</x:v>
      </x:c>
      <x:c r="B94" s="28" t="str">
        <x:v>Resultados heredados</x:v>
      </x:c>
      <x:c r="C94" s="28" t="str">
        <x:v>PRI descontado</x:v>
      </x:c>
      <x:c r="D94" s="28" t="str">
        <x:v>East US</x:v>
      </x:c>
      <x:c r="E94" s="30" t="str">
        <x:v>No recupera en 60 meses</x:v>
      </x:c>
      <x:c r="F94" s="27" t="str">
        <x:v>resultado</x:v>
      </x:c>
      <x:c r="G94" s="28" t="str">
        <x:v>Derivado verificado</x:v>
      </x:c>
      <x:c r="H94" s="28" t="str">
        <x:v>docs/fp-187/flujo-caja-van-tir-fp-187.xlsx — Resumen!K6; Flujo mensual!Y7:AA67</x:v>
      </x:c>
      <x:c r="I94" s="29" t="n">
        <x:v>46286</x:v>
      </x:c>
      <x:c r="J94" s="28" t="str">
        <x:v>Finanzas</x:v>
      </x:c>
      <x:c r="K94" s="28" t="str">
        <x:v>FP-187 / FP-188</x:v>
      </x:c>
      <x:c r="L94" s="28" t="str">
        <x:v>PRI reproducible: el flujo descontado acumulado no cruza cero dentro de 60 meses.</x:v>
      </x:c>
      <x:c r="M94" s="28" t="str">
        <x:v>Recuperación de inversión</x:v>
      </x:c>
    </x:row>
    <x:row r="95" ht="43" customHeight="1">
      <x:c r="A95" s="31" t="str">
        <x:v>VAL-01</x:v>
      </x:c>
      <x:c r="B95" s="28" t="str">
        <x:v>Validaciones humanas</x:v>
      </x:c>
      <x:c r="C95" s="28" t="str">
        <x:v>Latencia medida</x:v>
      </x:c>
      <x:c r="D95" s="28" t="str">
        <x:v>Chile Central</x:v>
      </x:c>
      <x:c r="E95" s="30"/>
      <x:c r="F95" s="27" t="str">
        <x:v>ms / percentil</x:v>
      </x:c>
      <x:c r="G95" s="28" t="str">
        <x:v>Pendiente humano</x:v>
      </x:c>
      <x:c r="H95" s="28" t="str">
        <x:v>docs/fp-185/comparacion-regional-santiago-eastus.xlsx — FP-185 Comparación!B15</x:v>
      </x:c>
      <x:c r="I95" s="29" t="n">
        <x:v>46286</x:v>
      </x:c>
      <x:c r="J95" s="28" t="str">
        <x:v>SRE / Redes</x:v>
      </x:c>
      <x:c r="K95" s="28" t="str">
        <x:v>FP-185 / FP-188</x:v>
      </x:c>
      <x:c r="L95" s="28" t="str">
        <x:v>Auditoría 2026-09-21: no se encontró medición de latencia para Chile Central desde la población objetivo.</x:v>
      </x:c>
      <x:c r="M95" s="28" t="str">
        <x:v>Gate regional</x:v>
      </x:c>
    </x:row>
    <x:row r="96" ht="43" customHeight="1">
      <x:c r="A96" s="31" t="str">
        <x:v>VAL-02</x:v>
      </x:c>
      <x:c r="B96" s="28" t="str">
        <x:v>Validaciones humanas</x:v>
      </x:c>
      <x:c r="C96" s="28" t="str">
        <x:v>Latencia medida</x:v>
      </x:c>
      <x:c r="D96" s="28" t="str">
        <x:v>East US</x:v>
      </x:c>
      <x:c r="E96" s="30"/>
      <x:c r="F96" s="27" t="str">
        <x:v>ms / percentil</x:v>
      </x:c>
      <x:c r="G96" s="28" t="str">
        <x:v>Pendiente humano</x:v>
      </x:c>
      <x:c r="H96" s="28" t="str">
        <x:v>docs/fp-185/comparacion-regional-santiago-eastus.xlsx — FP-185 Comparación!C15</x:v>
      </x:c>
      <x:c r="I96" s="29" t="n">
        <x:v>46286</x:v>
      </x:c>
      <x:c r="J96" s="28" t="str">
        <x:v>SRE / Redes</x:v>
      </x:c>
      <x:c r="K96" s="28" t="str">
        <x:v>FP-185 / FP-188</x:v>
      </x:c>
      <x:c r="L96" s="28" t="str">
        <x:v>Auditoría 2026-09-21: no se encontró medición de latencia para East US desde la población objetivo.</x:v>
      </x:c>
      <x:c r="M96" s="28" t="str">
        <x:v>Gate regional</x:v>
      </x:c>
    </x:row>
    <x:row r="97" ht="58" customHeight="1">
      <x:c r="A97" s="31" t="str">
        <x:v>VAL-03</x:v>
      </x:c>
      <x:c r="B97" s="28" t="str">
        <x:v>Validaciones humanas</x:v>
      </x:c>
      <x:c r="C97" s="28" t="str">
        <x:v>Residencia de datos aprobada</x:v>
      </x:c>
      <x:c r="D97" s="28" t="str">
        <x:v>Chile Central</x:v>
      </x:c>
      <x:c r="E97" s="30" t="str">
        <x:v>Servicios objetivo inventariados; aprobación pendiente</x:v>
      </x:c>
      <x:c r="F97" s="27" t="str">
        <x:v>estado</x:v>
      </x:c>
      <x:c r="G97" s="28" t="str">
        <x:v>Pendiente humano</x:v>
      </x:c>
      <x:c r="H97" s="28" t="str">
        <x:v>docs/fp-182/arquitectura-y-supuestos-borrador.md; docs/fp-188/recomendacion-tecnica-economica.md — sección 3</x:v>
      </x:c>
      <x:c r="I97" s="29" t="n">
        <x:v>46286</x:v>
      </x:c>
      <x:c r="J97" s="28" t="str">
        <x:v>Legal / Seguridad / Datos</x:v>
      </x:c>
      <x:c r="K97" s="28" t="str">
        <x:v>FP-185 / FP-188</x:v>
      </x:c>
      <x:c r="L97" s="28" t="str">
        <x:v>Precarga 2026-09-21: servicios objetivo inventariados en Chile Central; falta aprobación por servicio, réplicas, logs, backup y exportaciones.</x:v>
      </x:c>
      <x:c r="M97" s="28" t="str">
        <x:v>Gate regulatorio</x:v>
      </x:c>
    </x:row>
    <x:row r="98" ht="58" customHeight="1">
      <x:c r="A98" s="31" t="str">
        <x:v>VAL-04</x:v>
      </x:c>
      <x:c r="B98" s="28" t="str">
        <x:v>Validaciones humanas</x:v>
      </x:c>
      <x:c r="C98" s="28" t="str">
        <x:v>Residencia de datos aprobada</x:v>
      </x:c>
      <x:c r="D98" s="28" t="str">
        <x:v>East US</x:v>
      </x:c>
      <x:c r="E98" s="30" t="str">
        <x:v>Servicios inventariados; transferencia identificada; aprobación pendiente</x:v>
      </x:c>
      <x:c r="F98" s="27" t="str">
        <x:v>estado</x:v>
      </x:c>
      <x:c r="G98" s="28" t="str">
        <x:v>Pendiente humano</x:v>
      </x:c>
      <x:c r="H98" s="28" t="str">
        <x:v>docs/fp-172/TINV-04_FinOps_maestro_2026-09-15_v1_FP-172.xlsx — Regiones; docs/fp-188/recomendacion-tecnica-economica.md — sección 3</x:v>
      </x:c>
      <x:c r="I98" s="29" t="n">
        <x:v>46286</x:v>
      </x:c>
      <x:c r="J98" s="28" t="str">
        <x:v>Legal / Seguridad / Datos</x:v>
      </x:c>
      <x:c r="K98" s="28" t="str">
        <x:v>FP-185 / FP-188</x:v>
      </x:c>
      <x:c r="L98" s="28" t="str">
        <x:v>Precarga 2026-09-21: servicios y transferencia internacional identificados para East US; falta aprobación contractual/legal.</x:v>
      </x:c>
      <x:c r="M98" s="28" t="str">
        <x:v>Gate regulatorio</x:v>
      </x:c>
    </x:row>
    <x:row r="99" ht="58" customHeight="1">
      <x:c r="A99" s="31" t="str">
        <x:v>VAL-05</x:v>
      </x:c>
      <x:c r="B99" s="28" t="str">
        <x:v>Validaciones humanas</x:v>
      </x:c>
      <x:c r="C99" s="28" t="str">
        <x:v>RPO/RTO aprobados</x:v>
      </x:c>
      <x:c r="D99" s="28" t="str">
        <x:v>Común</x:v>
      </x:c>
      <x:c r="E99" s="30" t="str">
        <x:v>Backup 7 días; sin LTR/GRS; RPO/RTO sin definir</x:v>
      </x:c>
      <x:c r="F99" s="27" t="str">
        <x:v>configuración</x:v>
      </x:c>
      <x:c r="G99" s="28" t="str">
        <x:v>Pendiente humano</x:v>
      </x:c>
      <x:c r="H99" s="28" t="str">
        <x:v>docs/fp-182/arquitectura-y-supuestos-borrador.md; docs/fp-183/modelo-tco-linea-base-5-anos.xlsx — Supuestos</x:v>
      </x:c>
      <x:c r="I99" s="29" t="n">
        <x:v>46286</x:v>
      </x:c>
      <x:c r="J99" s="28" t="str">
        <x:v>Continuidad / Negocio</x:v>
      </x:c>
      <x:c r="K99" s="28" t="str">
        <x:v>FP-182 / FP-188</x:v>
      </x:c>
      <x:c r="L99" s="28" t="str">
        <x:v>Precarga 2026-09-21: backup de 7 días sin LTR/GRS; RPO, RTO y retención obligatoria siguen sin aprobar.</x:v>
      </x:c>
      <x:c r="M99" s="28" t="str">
        <x:v>HA y backup</x:v>
      </x:c>
    </x:row>
    <x:row r="100" ht="58" customHeight="1">
      <x:c r="A100" s="31" t="str">
        <x:v>VAL-06</x:v>
      </x:c>
      <x:c r="B100" s="28" t="str">
        <x:v>Validaciones humanas</x:v>
      </x:c>
      <x:c r="C100" s="28" t="str">
        <x:v>Requisito de HA</x:v>
      </x:c>
      <x:c r="D100" s="28" t="str">
        <x:v>Común</x:v>
      </x:c>
      <x:c r="E100" s="30" t="str">
        <x:v>Sin HA en línea base; SLA público 99,9%</x:v>
      </x:c>
      <x:c r="F100" s="27" t="str">
        <x:v>configuración</x:v>
      </x:c>
      <x:c r="G100" s="28" t="str">
        <x:v>Pendiente humano</x:v>
      </x:c>
      <x:c r="H100" s="28" t="str">
        <x:v>docs/fp-182/arquitectura-y-supuestos-borrador.md — Disponibilidad, SLA y continuidad</x:v>
      </x:c>
      <x:c r="I100" s="29" t="n">
        <x:v>46286</x:v>
      </x:c>
      <x:c r="J100" s="28" t="str">
        <x:v>Arquitectura / Continuidad</x:v>
      </x:c>
      <x:c r="K100" s="28" t="str">
        <x:v>FP-182 / FP-188</x:v>
      </x:c>
      <x:c r="L100" s="28" t="str">
        <x:v>Precarga 2026-09-21: línea base sin HA y SLA público 99,9%; falta aceptación de Arquitectura/Continuidad.</x:v>
      </x:c>
      <x:c r="M100" s="28" t="str">
        <x:v>TCO, SLA y topología</x:v>
      </x:c>
    </x:row>
    <x:row r="101" ht="58" customHeight="1">
      <x:c r="A101" s="31" t="str">
        <x:v>VAL-07</x:v>
      </x:c>
      <x:c r="B101" s="28" t="str">
        <x:v>Validaciones humanas</x:v>
      </x:c>
      <x:c r="C101" s="28" t="str">
        <x:v>Requisito de soporte pagado</x:v>
      </x:c>
      <x:c r="D101" s="28" t="str">
        <x:v>Común</x:v>
      </x:c>
      <x:c r="E101" s="30" t="str">
        <x:v>Azure Basic Support; USD 0 adicional en escenario base</x:v>
      </x:c>
      <x:c r="F101" s="27" t="str">
        <x:v>plan / costo</x:v>
      </x:c>
      <x:c r="G101" s="28" t="str">
        <x:v>Pendiente humano</x:v>
      </x:c>
      <x:c r="H101" s="28" t="str">
        <x:v>docs/fp-183/contrato-de-entrada-fp-182.md; docs/fp-182/arquitectura-y-supuestos-borrador.md</x:v>
      </x:c>
      <x:c r="I101" s="29" t="n">
        <x:v>46286</x:v>
      </x:c>
      <x:c r="J101" s="28" t="str">
        <x:v>Operación / Finanzas</x:v>
      </x:c>
      <x:c r="K101" s="28" t="str">
        <x:v>FP-182 / FP-188</x:v>
      </x:c>
      <x:c r="L101" s="28" t="str">
        <x:v>Precarga 2026-09-21: Azure Basic Support y USD 0 adicional en el escenario base; falta aprobar cobertura y tiempos de respuesta.</x:v>
      </x:c>
      <x:c r="M101" s="28" t="str">
        <x:v>TCO y respuesta a incidentes</x:v>
      </x:c>
    </x:row>
    <x:row r="102" ht="43" customHeight="1">
      <x:c r="A102" s="31" t="str">
        <x:v>VAL-08</x:v>
      </x:c>
      <x:c r="B102" s="28" t="str">
        <x:v>Validaciones humanas</x:v>
      </x:c>
      <x:c r="C102" s="28" t="str">
        <x:v>SLO de latencia</x:v>
      </x:c>
      <x:c r="D102" s="28" t="str">
        <x:v>Común</x:v>
      </x:c>
      <x:c r="E102" s="30"/>
      <x:c r="F102" s="27" t="str">
        <x:v>ms / percentil</x:v>
      </x:c>
      <x:c r="G102" s="28" t="str">
        <x:v>Pendiente humano</x:v>
      </x:c>
      <x:c r="H102" s="28" t="str">
        <x:v>docs/fp-188/recomendacion-tecnica-economica.md</x:v>
      </x:c>
      <x:c r="I102" s="29" t="n">
        <x:v>46286</x:v>
      </x:c>
      <x:c r="J102" s="28" t="str">
        <x:v>Producto / SRE</x:v>
      </x:c>
      <x:c r="K102" s="28" t="str">
        <x:v>FP-188</x:v>
      </x:c>
      <x:c r="L102" s="28" t="str">
        <x:v>Auditoría 2026-09-21: no se encontró SLO de latencia con umbral y percentil aprobados.</x:v>
      </x:c>
      <x:c r="M102" s="28" t="str">
        <x:v>Gate regional</x:v>
      </x:c>
    </x:row>
    <x:row r="103" ht="43" customHeight="1">
      <x:c r="A103" s="31" t="str">
        <x:v>VAL-09</x:v>
      </x:c>
      <x:c r="B103" s="28" t="str">
        <x:v>Validaciones humanas</x:v>
      </x:c>
      <x:c r="C103" s="28" t="str">
        <x:v>Métricas de rendimiento reales</x:v>
      </x:c>
      <x:c r="D103" s="28" t="str">
        <x:v>Común</x:v>
      </x:c>
      <x:c r="E103" s="30"/>
      <x:c r="F103" s="27" t="str">
        <x:v>telemetría</x:v>
      </x:c>
      <x:c r="G103" s="28" t="str">
        <x:v>Pendiente humano</x:v>
      </x:c>
      <x:c r="H103" s="28" t="str">
        <x:v>docs/fp-188/recomendacion-tecnica-economica.md — sección 4</x:v>
      </x:c>
      <x:c r="I103" s="29" t="n">
        <x:v>46286</x:v>
      </x:c>
      <x:c r="J103" s="28" t="str">
        <x:v>SRE / DBA</x:v>
      </x:c>
      <x:c r="K103" s="28" t="str">
        <x:v>FP-186 / FP-188</x:v>
      </x:c>
      <x:c r="L103" s="28" t="str">
        <x:v>Auditoría 2026-09-21: no se encontró telemetría real de CPU, memoria, conexiones, errores, throughput y latencia.</x:v>
      </x:c>
      <x:c r="M103" s="28" t="str">
        <x:v>Rightsizing seguro</x:v>
      </x:c>
    </x:row>
    <x:row r="104" ht="58" customHeight="1">
      <x:c r="A104" s="31" t="str">
        <x:v>VAL-10</x:v>
      </x:c>
      <x:c r="B104" s="28" t="str">
        <x:v>Validaciones humanas</x:v>
      </x:c>
      <x:c r="C104" s="28" t="str">
        <x:v>Aprobación del escenario ilustrativo</x:v>
      </x:c>
      <x:c r="D104" s="28" t="str">
        <x:v>Común</x:v>
      </x:c>
      <x:c r="E104" s="30" t="str">
        <x:v>Escenario Azure; 2 regiones; 60 meses; USD; aprobación pendiente</x:v>
      </x:c>
      <x:c r="F104" s="27" t="str">
        <x:v>estado</x:v>
      </x:c>
      <x:c r="G104" s="28" t="str">
        <x:v>Pendiente humano</x:v>
      </x:c>
      <x:c r="H104" s="28" t="str">
        <x:v>docs/fp-182/arquitectura-y-supuestos-borrador.md</x:v>
      </x:c>
      <x:c r="I104" s="29" t="n">
        <x:v>46286</x:v>
      </x:c>
      <x:c r="J104" s="28" t="str">
        <x:v>Equipo del proyecto</x:v>
      </x:c>
      <x:c r="K104" s="28" t="str">
        <x:v>FP-182 / FP-188</x:v>
      </x:c>
      <x:c r="L104" s="28" t="str">
        <x:v>Precarga 2026-09-21: escenario Azure, regiones, horizonte y moneda documentados; falta aprobación formal y congelar versión/hash.</x:v>
      </x:c>
      <x:c r="M104" s="28" t="str">
        <x:v>Cierre de TINV-06</x:v>
      </x:c>
    </x:row>
  </x:sheetData>
  <x:conditionalFormatting sqref="G11:G104">
    <x:cfRule type="containsText" dxfId="0" priority="1" operator="containsText" text="Oficial"/>
    <x:cfRule type="containsText" dxfId="1" priority="2" operator="containsText" text="Supuesto documentado"/>
    <x:cfRule type="containsText" dxfId="2" priority="3" operator="containsText" text="Proxy público"/>
    <x:cfRule type="containsText" dxfId="3" priority="4" operator="containsText" text="Estimación de ingeniería"/>
    <x:cfRule type="containsText" dxfId="4" priority="5" operator="containsText" text="Derivado verificado"/>
    <x:cfRule type="containsText" dxfId="5" priority="6" operator="containsText" text="Pendiente humano"/>
    <x:cfRule type="containsText" dxfId="6" priority="7" operator="containsText" text="No aplica justificado"/>
  </x:conditionalFormatting>
  <x:dataValidations count="1">
    <x:dataValidation type="list" sqref="G11:G104">
      <x:formula1>"Oficial,Supuesto documentado,Proxy público,Estimación de ingeniería,Derivado verificado,Pendiente humano,No aplica justificado"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87204dc9b64d3a"/>
  </x:tableParts>
</x:worksheet>
</file>