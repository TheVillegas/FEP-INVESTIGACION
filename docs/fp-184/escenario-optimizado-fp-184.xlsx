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656dd3447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5537365784044ac"/>
    <x:sheet xmlns:r="http://schemas.openxmlformats.org/officeDocument/2006/relationships" name="Palancas" sheetId="2" r:id="Rfbfe76c664274084"/>
    <x:sheet xmlns:r="http://schemas.openxmlformats.org/officeDocument/2006/relationships" name="Fuentes" sheetId="3" r:id="R3a7e1f2faae6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;[Red]($#,##0.00);-"/>
    <x:numFmt numFmtId="201" formatCode="0.0%"/>
    <x:numFmt numFmtId="202" formatCode="$0.0000"/>
    <x:numFmt numFmtId="203" formatCode="0.0000"/>
    <x:numFmt numFmtId="204" formatCode="$#,##0.00;($#,##0.00);-"/>
    <x:numFmt numFmtId="205" formatCode="yyyy-mm-dd"/>
  </x:numFmts>
  <x:fonts count="11">
    <x:font>
      <x:sz val="11"/>
      <x:name val="Carlito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b/>
      <x:sz val="10"/>
      <x:color rgb="FF1F1F1F"/>
      <x:name val="Arial"/>
    </x:font>
    <x:font>
      <x:sz val="10"/>
      <x:color rgb="FF008000"/>
      <x:name val="Arial"/>
    </x:font>
    <x:font>
      <x:b/>
      <x:sz val="16"/>
      <x:color rgb="FF17324D"/>
      <x:name val="Aptos"/>
    </x:font>
    <x:font>
      <x:b/>
      <x:sz val="10"/>
      <x:color rgb="FFFFFFFF"/>
      <x:name val="Aptos"/>
    </x:font>
    <x:font>
      <x:b/>
      <x:sz val="10"/>
      <x:color rgb="FF1F2937"/>
      <x:name val="Aptos"/>
    </x:font>
    <x:font>
      <x:sz val="10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2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FFFFFF"/>
      </x:left>
      <x:right style="thin">
        <x:color rgb="FFD9D9D9"/>
      </x:right>
      <x:top style="thin">
        <x:color rgb="FFFFFFFF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FFFFFF"/>
      </x:top>
      <x:bottom style="thin">
        <x:color rgb="FFD9D9D9"/>
      </x:bottom>
    </x:border>
    <x:border>
      <x:left style="thin">
        <x:color rgb="FFD9D9D9"/>
      </x:left>
      <x:right style="thin">
        <x:color rgb="FFFFFFFF"/>
      </x:right>
      <x:top style="thin">
        <x:color rgb="FFFFFFFF"/>
      </x:top>
      <x:bottom style="thin">
        <x:color rgb="FFD9D9D9"/>
      </x:bottom>
    </x:border>
    <x:border>
      <x:left style="thin">
        <x:color rgb="FFFFFFF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FFFFFF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D9D9D9"/>
      </x:right>
      <x:top style="thin">
        <x:color rgb="FFD9D9D9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FFFFFF"/>
      </x:bottom>
    </x:border>
    <x:border>
      <x:left style="thin">
        <x:color rgb="FFD9D9D9"/>
      </x:left>
      <x:right style="thin">
        <x:color rgb="FFFFFFFF"/>
      </x:right>
      <x:top style="thin">
        <x:color rgb="FFD9D9D9"/>
      </x:top>
      <x:bottom style="thin">
        <x:color rgb="FFFFFFFF"/>
      </x:bottom>
    </x:border>
  </x:borders>
  <x:cellStyleXfs count="1">
    <x:xf numFmtId="0" fontId="0" fillId="0" borderId="0"/>
  </x:cellStyleXfs>
  <x:cellXfs count="18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200" fontId="5" fillId="3" borderId="12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202" fontId="6" fillId="0" borderId="18" xfId="0" applyNumberFormat="1" applyFont="1" applyFill="1" applyBorder="1" applyAlignment="1">
      <x:alignment vertical="center" wrapText="1"/>
    </x:xf>
    <x:xf numFmtId="20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4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202" fontId="6" fillId="0" borderId="21" xfId="0" applyNumberFormat="1" applyFont="1" applyFill="1" applyBorder="1" applyAlignment="1">
      <x:alignment vertical="center" wrapText="1"/>
    </x:xf>
    <x:xf numFmtId="20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0" borderId="20" xfId="0" applyNumberFormat="1" applyFont="1" applyFill="1" applyBorder="1" applyAlignment="1">
      <x:alignment vertical="center"/>
    </x:xf>
    <x:xf numFmtId="0" fontId="1" fillId="0" borderId="21" xfId="0" applyNumberFormat="1" applyFont="1" applyFill="1" applyBorder="1" applyAlignment="1">
      <x:alignment vertical="center"/>
    </x:xf>
    <x:xf numFmtId="0" fontId="1" fillId="0" borderId="22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203" fontId="1" fillId="0" borderId="18" xfId="0" applyNumberFormat="1" applyFont="1" applyFill="1" applyBorder="1" applyAlignment="1">
      <x:alignment vertical="center" wrapText="1"/>
    </x:xf>
    <x:xf numFmtId="203" fontId="1" fillId="0" borderId="2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6" xfId="0" applyNumberFormat="1" applyFont="1" applyFill="1" applyBorder="1" applyAlignment="1">
      <x:alignment horizontal="center" vertical="center" wrapText="1"/>
    </x:xf>
    <x:xf numFmtId="0" fontId="9" fillId="4" borderId="6" xfId="0" applyNumberFormat="1" applyFont="1" applyFill="1" applyBorder="1" applyAlignment="1">
      <x:alignment horizontal="center" vertical="center" wrapText="1"/>
    </x:xf>
    <x:xf numFmtId="0" fontId="10" fillId="0" borderId="2" xfId="0" applyNumberFormat="1" applyFont="1" applyFill="1" applyBorder="1" applyAlignment="1">
      <x:alignment vertical="center"/>
    </x:xf>
    <x:xf numFmtId="200" fontId="10" fillId="0" borderId="3" xfId="0" applyNumberFormat="1" applyFont="1" applyFill="1" applyBorder="1" applyAlignment="1">
      <x:alignment vertical="center"/>
    </x:xf>
    <x:xf numFmtId="200" fontId="10" fillId="0" borderId="4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200" fontId="10" fillId="0" borderId="6" xfId="0" applyNumberFormat="1" applyFont="1" applyFill="1" applyBorder="1" applyAlignment="1">
      <x:alignment vertical="center"/>
    </x:xf>
    <x:xf numFmtId="200" fontId="10" fillId="0" borderId="7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200" fontId="9" fillId="0" borderId="6" xfId="0" applyNumberFormat="1" applyFont="1" applyFill="1" applyBorder="1" applyAlignment="1">
      <x:alignment vertical="center"/>
    </x:xf>
    <x:xf numFmtId="200" fontId="9" fillId="0" borderId="7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200" fontId="9" fillId="0" borderId="9" xfId="0" applyNumberFormat="1" applyFont="1" applyFill="1" applyBorder="1" applyAlignment="1">
      <x:alignment vertical="center"/>
    </x:xf>
    <x:xf numFmtId="200" fontId="9" fillId="0" borderId="1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horizontal="center" vertical="center" wrapText="1"/>
    </x:xf>
    <x:xf numFmtId="201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9" fillId="4" borderId="6" xfId="0" applyNumberFormat="1" applyFont="1" applyFill="1" applyBorder="1" applyAlignment="1">
      <x:alignment horizontal="center" vertical="top" wrapText="1"/>
    </x:xf>
    <x:xf numFmtId="0" fontId="10" fillId="0" borderId="2" xfId="0" applyNumberFormat="1" applyFont="1" applyFill="1" applyBorder="1" applyAlignment="1">
      <x:alignment vertical="top"/>
    </x:xf>
    <x:xf numFmtId="200" fontId="10" fillId="0" borderId="3" xfId="0" applyNumberFormat="1" applyFont="1" applyFill="1" applyBorder="1" applyAlignment="1">
      <x:alignment vertical="top"/>
    </x:xf>
    <x:xf numFmtId="200" fontId="10" fillId="0" borderId="4" xfId="0" applyNumberFormat="1" applyFont="1" applyFill="1" applyBorder="1" applyAlignment="1">
      <x:alignment vertical="top"/>
    </x:xf>
    <x:xf numFmtId="0" fontId="10" fillId="0" borderId="5" xfId="0" applyNumberFormat="1" applyFont="1" applyFill="1" applyBorder="1" applyAlignment="1">
      <x:alignment vertical="top"/>
    </x:xf>
    <x:xf numFmtId="200" fontId="10" fillId="0" borderId="6" xfId="0" applyNumberFormat="1" applyFont="1" applyFill="1" applyBorder="1" applyAlignment="1">
      <x:alignment vertical="top"/>
    </x:xf>
    <x:xf numFmtId="200" fontId="10" fillId="0" borderId="7" xfId="0" applyNumberFormat="1" applyFont="1" applyFill="1" applyBorder="1" applyAlignment="1">
      <x:alignment vertical="top"/>
    </x:xf>
    <x:xf numFmtId="0" fontId="9" fillId="0" borderId="5" xfId="0" applyNumberFormat="1" applyFont="1" applyFill="1" applyBorder="1" applyAlignment="1">
      <x:alignment vertical="top"/>
    </x:xf>
    <x:xf numFmtId="200" fontId="9" fillId="0" borderId="6" xfId="0" applyNumberFormat="1" applyFont="1" applyFill="1" applyBorder="1" applyAlignment="1">
      <x:alignment vertical="top"/>
    </x:xf>
    <x:xf numFmtId="200" fontId="9" fillId="0" borderId="7" xfId="0" applyNumberFormat="1" applyFont="1" applyFill="1" applyBorder="1" applyAlignment="1">
      <x:alignment vertical="top"/>
    </x:xf>
    <x:xf numFmtId="0" fontId="9" fillId="0" borderId="8" xfId="0" applyNumberFormat="1" applyFont="1" applyFill="1" applyBorder="1" applyAlignment="1">
      <x:alignment vertical="top"/>
    </x:xf>
    <x:xf numFmtId="200" fontId="9" fillId="0" borderId="9" xfId="0" applyNumberFormat="1" applyFont="1" applyFill="1" applyBorder="1" applyAlignment="1">
      <x:alignment vertical="top"/>
    </x:xf>
    <x:xf numFmtId="200" fontId="9" fillId="0" borderId="1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/>
    </x:xf>
    <x:xf numFmtId="0" fontId="9" fillId="2" borderId="1" xfId="0" applyNumberFormat="1" applyFont="1" applyFill="1" applyBorder="1" applyAlignment="1">
      <x:alignment horizontal="center" vertical="top" wrapText="1"/>
    </x:xf>
    <x:xf numFmtId="201" fontId="10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  <x:xf numFmtId="200" fontId="10" fillId="0" borderId="3" xfId="0" applyNumberFormat="1" applyFont="1" applyFill="1" applyBorder="1" applyAlignment="1">
      <x:alignment vertical="top" wrapText="1"/>
    </x:xf>
    <x:xf numFmtId="200" fontId="10" fillId="0" borderId="4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200" fontId="10" fillId="0" borderId="6" xfId="0" applyNumberFormat="1" applyFont="1" applyFill="1" applyBorder="1" applyAlignment="1">
      <x:alignment vertical="top" wrapText="1"/>
    </x:xf>
    <x:xf numFmtId="200" fontId="10" fillId="0" borderId="7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200" fontId="9" fillId="0" borderId="6" xfId="0" applyNumberFormat="1" applyFont="1" applyFill="1" applyBorder="1" applyAlignment="1">
      <x:alignment vertical="top" wrapText="1"/>
    </x:xf>
    <x:xf numFmtId="20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200" fontId="9" fillId="0" borderId="9" xfId="0" applyNumberFormat="1" applyFont="1" applyFill="1" applyBorder="1" applyAlignment="1">
      <x:alignment vertical="top" wrapText="1"/>
    </x:xf>
    <x:xf numFmtId="200" fontId="9" fillId="0" borderId="10" xfId="0" applyNumberFormat="1" applyFont="1" applyFill="1" applyBorder="1" applyAlignment="1">
      <x:alignment vertical="top" wrapText="1"/>
    </x:xf>
    <x:xf numFmtId="201" fontId="10" fillId="0" borderId="0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2" borderId="6" xfId="0" applyNumberFormat="1" applyFont="1" applyFill="1" applyBorder="1" applyAlignment="1">
      <x:alignment horizontal="center" vertical="top" wrapText="1"/>
    </x:xf>
    <x:xf numFmtId="201" fontId="10" fillId="0" borderId="6" xfId="0" applyNumberFormat="1" applyFont="1" applyFill="1" applyBorder="1" applyAlignment="1">
      <x:alignment vertical="top" wrapText="1"/>
    </x:xf>
    <x:xf numFmtId="204" fontId="10" fillId="0" borderId="6" xfId="0" applyNumberFormat="1" applyFont="1" applyFill="1" applyBorder="1" applyAlignment="1">
      <x:alignment vertical="top" wrapText="1"/>
    </x:xf>
    <x:xf numFmtId="204" fontId="9" fillId="0" borderId="6" xfId="0" applyNumberFormat="1" applyFont="1" applyFill="1" applyBorder="1" applyAlignment="1">
      <x:alignment vertical="top" wrapText="1"/>
    </x:xf>
    <x:xf numFmtId="204" fontId="9" fillId="2" borderId="6" xfId="0" applyNumberFormat="1" applyFont="1" applyFill="1" applyBorder="1" applyAlignment="1">
      <x:alignment horizontal="center" vertical="top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8" fillId="4" borderId="14" xfId="0" applyNumberFormat="1" applyFont="1" applyFill="1" applyBorder="1" applyAlignment="1">
      <x:alignment horizontal="center" vertical="center" wrapText="1"/>
    </x:xf>
    <x:xf numFmtId="0" fontId="8" fillId="4" borderId="15" xfId="0" applyNumberFormat="1" applyFont="1" applyFill="1" applyBorder="1" applyAlignment="1">
      <x:alignment horizontal="center" vertical="center" wrapText="1"/>
    </x:xf>
    <x:xf numFmtId="0" fontId="8" fillId="4" borderId="16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6" xfId="0" applyNumberFormat="1" applyFont="1" applyFill="1" applyBorder="1" applyAlignment="1">
      <x:alignment vertical="center" wrapText="1"/>
    </x:xf>
    <x:xf numFmtId="0" fontId="10" fillId="0" borderId="17" xfId="0" applyNumberFormat="1" applyFont="1" applyFill="1" applyBorder="1" applyAlignment="1">
      <x:alignment vertical="center" wrapText="1"/>
    </x:xf>
    <x:xf numFmtId="203" fontId="10" fillId="0" borderId="18" xfId="0" applyNumberFormat="1" applyFont="1" applyFill="1" applyBorder="1" applyAlignment="1">
      <x:alignment vertical="center" wrapText="1"/>
    </x:xf>
    <x:xf numFmtId="0" fontId="10" fillId="0" borderId="18" xfId="0" applyNumberFormat="1" applyFont="1" applyFill="1" applyBorder="1" applyAlignment="1">
      <x:alignment vertical="center" wrapText="1"/>
    </x:xf>
    <x:xf numFmtId="0" fontId="10" fillId="0" borderId="19" xfId="0" applyNumberFormat="1" applyFont="1" applyFill="1" applyBorder="1" applyAlignment="1">
      <x:alignment vertical="center" wrapText="1"/>
    </x:xf>
    <x:xf numFmtId="0" fontId="10" fillId="0" borderId="20" xfId="0" applyNumberFormat="1" applyFont="1" applyFill="1" applyBorder="1" applyAlignment="1">
      <x:alignment vertical="center" wrapText="1"/>
    </x:xf>
    <x:xf numFmtId="203" fontId="10" fillId="0" borderId="21" xfId="0" applyNumberFormat="1" applyFont="1" applyFill="1" applyBorder="1" applyAlignment="1">
      <x:alignment vertical="center" wrapText="1"/>
    </x:xf>
    <x:xf numFmtId="0" fontId="10" fillId="0" borderId="21" xfId="0" applyNumberFormat="1" applyFont="1" applyFill="1" applyBorder="1" applyAlignment="1">
      <x:alignment vertical="center" wrapText="1"/>
    </x:xf>
    <x:xf numFmtId="0" fontId="10" fillId="0" borderId="22" xfId="0" applyNumberFormat="1" applyFont="1" applyFill="1" applyBorder="1" applyAlignment="1">
      <x:alignment vertical="center" wrapText="1"/>
    </x:xf>
    <x:xf numFmtId="0" fontId="10" fillId="0" borderId="17" xfId="0" applyNumberFormat="1" applyFont="1" applyFill="1" applyBorder="1" applyAlignment="1">
      <x:alignment vertical="top" wrapText="1"/>
    </x:xf>
    <x:xf numFmtId="203" fontId="10" fillId="0" borderId="18" xfId="0" applyNumberFormat="1" applyFont="1" applyFill="1" applyBorder="1" applyAlignment="1">
      <x:alignment vertical="top" wrapText="1"/>
    </x:xf>
    <x:xf numFmtId="0" fontId="10" fillId="0" borderId="18" xfId="0" applyNumberFormat="1" applyFont="1" applyFill="1" applyBorder="1" applyAlignment="1">
      <x:alignment vertical="top" wrapText="1"/>
    </x:xf>
    <x:xf numFmtId="0" fontId="10" fillId="0" borderId="19" xfId="0" applyNumberFormat="1" applyFont="1" applyFill="1" applyBorder="1" applyAlignment="1">
      <x:alignment vertical="top" wrapText="1"/>
    </x:xf>
    <x:xf numFmtId="0" fontId="10" fillId="0" borderId="20" xfId="0" applyNumberFormat="1" applyFont="1" applyFill="1" applyBorder="1" applyAlignment="1">
      <x:alignment vertical="top" wrapText="1"/>
    </x:xf>
    <x:xf numFmtId="203" fontId="10" fillId="0" borderId="21" xfId="0" applyNumberFormat="1" applyFont="1" applyFill="1" applyBorder="1" applyAlignment="1">
      <x:alignment vertical="top" wrapText="1"/>
    </x:xf>
    <x:xf numFmtId="0" fontId="10" fillId="0" borderId="21" xfId="0" applyNumberFormat="1" applyFont="1" applyFill="1" applyBorder="1" applyAlignment="1">
      <x:alignment vertical="top" wrapText="1"/>
    </x:xf>
    <x:xf numFmtId="0" fontId="10" fillId="0" borderId="22" xfId="0" applyNumberFormat="1" applyFont="1" applyFill="1" applyBorder="1" applyAlignment="1">
      <x:alignment vertical="top" wrapText="1"/>
    </x:xf>
    <x:xf numFmtId="203" fontId="10" fillId="0" borderId="6" xfId="0" applyNumberFormat="1" applyFont="1" applyFill="1" applyBorder="1" applyAlignment="1">
      <x:alignment vertical="top" wrapText="1"/>
    </x:xf>
    <x:xf numFmtId="0" fontId="9" fillId="4" borderId="6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9" fillId="4" borderId="6" xfId="0" applyNumberFormat="1" applyFont="1" applyFill="1" applyBorder="1" applyAlignment="1">
      <x:alignment vertical="top" wrapText="1"/>
    </x:xf>
    <x:xf numFmtId="205" fontId="10" fillId="0" borderId="6" xfId="0" applyNumberFormat="1" applyFont="1" applyFill="1" applyBorder="1" applyAlignment="1">
      <x:alignment vertical="top" wrapText="1"/>
    </x:xf>
    <x:xf numFmtId="205" fontId="9" fillId="2" borderId="6" xfId="0" applyNumberFormat="1" applyFont="1" applyFill="1" applyBorder="1" applyAlignment="1">
      <x:alignment horizontal="center" vertical="top" wrapText="1"/>
    </x:xf>
    <x:xf numFmtId="205" fontId="1" fillId="0" borderId="0" xfId="0" applyNumberFormat="1" applyFont="1" applyFill="1" applyBorder="1" applyAlignment="1">
      <x:alignment vertical="center" wrapText="1"/>
    </x:xf>
    <x:xf numFmtId="205" fontId="9" fillId="4" borderId="6" xfId="0" applyNumberFormat="1" applyFont="1" applyFill="1" applyBorder="1" applyAlignment="1">
      <x:alignment vertical="top" wrapText="1"/>
    </x:xf>
    <x:xf numFmtId="0" fontId="10" fillId="5" borderId="6" xfId="0" applyNumberFormat="1" applyFont="1" applyFill="1" applyBorder="1" applyAlignment="1">
      <x:alignment vertical="top" wrapText="1"/>
    </x:xf>
    <x:xf numFmtId="204" fontId="10" fillId="5" borderId="6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vertical="top" wrapText="1"/>
    </x:xf>
    <x:xf numFmtId="204" fontId="9" fillId="5" borderId="6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horizontal="center" vertical="top" wrapText="1"/>
    </x:xf>
    <x:xf numFmtId="204" fontId="9" fillId="5" borderId="6" xfId="0" applyNumberFormat="1" applyFont="1" applyFill="1" applyBorder="1" applyAlignment="1">
      <x:alignment horizontal="center" vertical="top" wrapText="1"/>
    </x:xf>
    <x:xf numFmtId="201" fontId="10" fillId="5" borderId="6" xfId="0" applyNumberFormat="1" applyFont="1" applyFill="1" applyBorder="1" applyAlignment="1">
      <x:alignment vertical="top" wrapText="1"/>
    </x:xf>
    <x:xf numFmtId="0" fontId="9" fillId="6" borderId="6" xfId="0" applyNumberFormat="1" applyFont="1" applyFill="1" applyBorder="1" applyAlignment="1">
      <x:alignment horizontal="center" vertical="top" wrapText="1"/>
    </x:xf>
    <x:xf numFmtId="0" fontId="8" fillId="6" borderId="6" xfId="0" applyNumberFormat="1" applyFont="1" applyFill="1" applyBorder="1" applyAlignment="1">
      <x:alignment horizontal="center" vertical="top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9" fillId="2" borderId="6" xfId="0" applyNumberFormat="1" applyFont="1" applyFill="1" applyBorder="1" applyAlignment="1">
      <x:alignment vertical="top" wrapText="1"/>
    </x:xf>
    <x:xf numFmtId="205" fontId="9" fillId="2" borderId="6" xfId="0" applyNumberFormat="1" applyFont="1" applyFill="1" applyBorder="1" applyAlignment="1">
      <x:alignment vertical="top" wrapText="1"/>
    </x:xf>
    <x:xf numFmtId="0" fontId="9" fillId="6" borderId="6" xfId="0" applyNumberFormat="1" applyFont="1" applyFill="1" applyBorder="1" applyAlignment="1">
      <x:alignment vertical="top" wrapText="1"/>
    </x:xf>
    <x:xf numFmtId="205" fontId="9" fillId="6" borderId="6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top" wrapText="1"/>
    </x:xf>
    <x:xf numFmtId="205" fontId="8" fillId="6" borderId="6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center" wrapText="1"/>
    </x:xf>
    <x:xf numFmtId="205" fontId="8" fillId="6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d67694f5749b0" /><Relationship Type="http://schemas.openxmlformats.org/officeDocument/2006/relationships/theme" Target="/xl/theme/theme1.xml" Id="R6847946c631b44c1" /><Relationship Type="http://schemas.openxmlformats.org/officeDocument/2006/relationships/sharedStrings" Target="/xl/sharedStrings.xml" Id="R6920f283c0c546ae" /><Relationship Type="http://schemas.openxmlformats.org/officeDocument/2006/relationships/worksheet" Target="/xl/worksheets/sheet1.xml" Id="Rb5537365784044ac" /><Relationship Type="http://schemas.openxmlformats.org/officeDocument/2006/relationships/worksheet" Target="/xl/worksheets/sheet2.xml" Id="Rfbfe76c664274084" /><Relationship Type="http://schemas.openxmlformats.org/officeDocument/2006/relationships/worksheet" Target="/xl/worksheets/sheet3.xml" Id="R3a7e1f2faae640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28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71" t="str">
        <x:v>FP-184 — Impacto de tres palancas FinOps</x:v>
      </x:c>
      <x:c r="B1" s="71"/>
      <x:c r="C1" s="71"/>
      <x:c r="D1" s="3"/>
      <x:c r="E1" s="3"/>
      <x:c r="F1" s="3"/>
    </x:row>
    <x:row r="2">
      <x:c r="A2" s="2" t="str">
        <x:v>Escenario técnico sobre FP-183 corregido. El ahorro neto queda pendiente hasta informar costos de implementación.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171" t="str">
        <x:v>Indicador</x:v>
      </x:c>
      <x:c r="B4" s="171" t="str">
        <x:v>Chile Central</x:v>
      </x:c>
      <x:c r="C4" s="171" t="str">
        <x:v>East US</x:v>
      </x:c>
      <x:c r="D4" s="2"/>
      <x:c r="E4" s="2"/>
      <x:c r="F4" s="2"/>
    </x:row>
    <x:row r="5">
      <x:c r="A5" s="162" t="str">
        <x:v>Costo base modelado 60 meses</x:v>
      </x:c>
      <x:c r="B5" s="163" t="n">
        <x:f>'Fuentes'!B4</x:f>
        <x:v>23256.321466174068</x:v>
      </x:c>
      <x:c r="C5" s="163" t="n">
        <x:f>'Fuentes'!C4</x:f>
        <x:v>16474.602674550486</x:v>
      </x:c>
      <x:c r="D5" s="2"/>
      <x:c r="E5" s="2"/>
      <x:c r="F5" s="2"/>
    </x:row>
    <x:row r="6">
      <x:c r="A6" s="162" t="str">
        <x:v>Ahorro bruto no producción</x:v>
      </x:c>
      <x:c r="B6" s="163" t="n">
        <x:f>'Palancas'!J5</x:f>
        <x:v>598.7520000000001</x:v>
      </x:c>
      <x:c r="C6" s="163" t="n">
        <x:f>'Palancas'!L5</x:f>
        <x:v>427.68</x:v>
      </x:c>
      <x:c r="D6" s="2"/>
      <x:c r="E6" s="2"/>
      <x:c r="F6" s="2"/>
    </x:row>
    <x:row r="7">
      <x:c r="A7" s="162" t="str">
        <x:v>Ahorro bruto logs</x:v>
      </x:c>
      <x:c r="B7" s="163" t="n">
        <x:f>'Palancas'!J6</x:f>
        <x:v>420</x:v>
      </x:c>
      <x:c r="C7" s="163" t="n">
        <x:f>'Palancas'!L6</x:f>
        <x:v>300</x:v>
      </x:c>
      <x:c r="D7" s="2"/>
      <x:c r="E7" s="2"/>
      <x:c r="F7" s="2"/>
    </x:row>
    <x:row r="8">
      <x:c r="A8" s="162" t="str">
        <x:v>Ahorro bruto egress</x:v>
      </x:c>
      <x:c r="B8" s="163" t="n">
        <x:f>'Palancas'!J7</x:f>
        <x:v>434.40000000000003</x:v>
      </x:c>
      <x:c r="C8" s="163" t="n">
        <x:f>'Palancas'!L7</x:f>
        <x:v>208.79999999999998</x:v>
      </x:c>
      <x:c r="D8" s="2"/>
      <x:c r="E8" s="2"/>
      <x:c r="F8" s="2"/>
    </x:row>
    <x:row r="9">
      <x:c r="A9" s="164" t="str">
        <x:v>Ahorro bruto combinado</x:v>
      </x:c>
      <x:c r="B9" s="165" t="n">
        <x:f>'Palancas'!J9</x:f>
        <x:v>1453.152</x:v>
      </x:c>
      <x:c r="C9" s="165" t="n">
        <x:f>'Palancas'!L9</x:f>
        <x:v>936.48</x:v>
      </x:c>
      <x:c r="D9" s="2"/>
      <x:c r="E9" s="2"/>
      <x:c r="F9" s="2"/>
    </x:row>
    <x:row r="10">
      <x:c r="A10" s="164" t="str">
        <x:v>Costo de implementación</x:v>
      </x:c>
      <x:c r="B10" s="165" t="str">
        <x:f>IF(COUNT('Fuentes'!B17:B19)&lt;3,"",SUM('Fuentes'!B17:B19))</x:f>
      </x:c>
      <x:c r="C10" s="165" t="str">
        <x:f>IF(COUNT('Fuentes'!C17:C19)&lt;3,"",SUM('Fuentes'!C17:C19))</x:f>
      </x:c>
      <x:c r="D10" s="2"/>
      <x:c r="E10" s="2"/>
      <x:c r="F10" s="2"/>
    </x:row>
    <x:row r="11">
      <x:c r="A11" s="162" t="str">
        <x:v>Ahorro neto</x:v>
      </x:c>
      <x:c r="B11" s="163" t="str">
        <x:f>IF(B10="","",B9-B10)</x:f>
      </x:c>
      <x:c r="C11" s="163" t="str">
        <x:f>IF(C10="","",C9-C10)</x:f>
      </x:c>
      <x:c r="D11" s="2"/>
      <x:c r="E11" s="2"/>
      <x:c r="F11" s="2"/>
    </x:row>
    <x:row r="12">
      <x:c r="A12" s="166" t="str">
        <x:v>Costo optimizado neto</x:v>
      </x:c>
      <x:c r="B12" s="167" t="str">
        <x:f>IF(B11="","",B5-B11)</x:f>
      </x:c>
      <x:c r="C12" s="167" t="str">
        <x:f>IF(C11="","",C5-C11)</x:f>
      </x:c>
      <x:c r="D12" s="2"/>
      <x:c r="E12" s="2"/>
      <x:c r="F12" s="2"/>
    </x:row>
    <x:row r="13">
      <x:c r="A13" s="162" t="str">
        <x:v>Ahorro neto porcentual</x:v>
      </x:c>
      <x:c r="B13" s="168" t="str">
        <x:f>IF(B11="","",B11/B5)</x:f>
      </x:c>
      <x:c r="C13" s="168" t="str">
        <x:f>IF(C11="","",C11/C5)</x:f>
      </x:c>
      <x:c r="D13" s="2"/>
      <x:c r="E13" s="2"/>
      <x:c r="F13" s="2"/>
    </x:row>
    <x:row r="14" ht="34" customHeight="1">
      <x:c r="A14" s="162" t="str">
        <x:v>Estado</x:v>
      </x:c>
      <x:c r="B14" s="162" t="str">
        <x:v>Pendiente de costo de implementación</x:v>
      </x:c>
      <x:c r="C14" s="162" t="str">
        <x:v>Pendiente de costo de implementación</x:v>
      </x:c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34" t="str">
        <x:v>Lectura</x:v>
      </x:c>
      <x:c r="B16" s="34"/>
      <x:c r="C16" s="34"/>
      <x:c r="D16" s="34"/>
      <x:c r="E16" s="34"/>
      <x:c r="F16" s="34"/>
    </x:row>
    <x:row r="17" ht="34" customHeight="1">
      <x:c r="A17" s="35" t="str">
        <x:v>Las tres palancas afectan partidas distintas. El egress se calcula después de los 100 GB gratuitos y con tarifa continental.</x:v>
      </x:c>
      <x:c r="B17" s="35"/>
      <x:c r="C17" s="35"/>
      <x:c r="D17" s="35"/>
      <x:c r="E17" s="35"/>
      <x:c r="F17" s="35"/>
    </x:row>
    <x:row r="18" ht="34" customHeight="1">
      <x:c r="A18" s="35" t="str">
        <x:v>No se presenta ahorro neto ni costo optimizado final hasta ingresar costos de implementación por palanca.</x:v>
      </x:c>
      <x:c r="B18" s="35"/>
      <x:c r="C18" s="35"/>
      <x:c r="D18" s="35"/>
      <x:c r="E18" s="35"/>
      <x:c r="F18" s="35"/>
    </x:row>
    <x:row r="19" ht="34" customHeight="1">
      <x:c r="A19" s="35" t="str">
        <x:v>Los rangos y reducciones son escenarios del equipo; los papers respaldan el método, no estos porcentajes ni precios.</x:v>
      </x:c>
      <x:c r="B19" s="35"/>
      <x:c r="C19" s="35"/>
      <x:c r="D19" s="35"/>
      <x:c r="E19" s="35"/>
      <x:c r="F19" s="3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1" hidden="0" customWidth="1"/>
    <x:col min="2" max="2" width="23" hidden="0" customWidth="1"/>
    <x:col min="3" max="3" width="13" hidden="0" customWidth="1"/>
    <x:col min="4" max="4" width="13" hidden="0" customWidth="1"/>
    <x:col min="5" max="5" width="12" hidden="0" customWidth="1"/>
    <x:col min="6" max="6" width="14" hidden="0" customWidth="1"/>
    <x:col min="7" max="7" width="1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8" hidden="0" customWidth="1"/>
    <x:col min="14" max="14" width="38" hidden="0" customWidth="1"/>
    <x:col min="15" max="15" width="38" hidden="0" customWidth="1"/>
  </x:cols>
  <x:sheetData>
    <x:row r="1">
      <x:c r="A1" s="3" t="str">
        <x:v>FP-184 — Escenario optimizado y efecto acumulado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2" t="str">
        <x:v>Escenario hipotético construido sobre FP-183. Las reducciones requieren validación humana y no son compromisos de ahorro.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48" t="str">
        <x:v>Palanca FP-172</x:v>
      </x:c>
      <x:c r="B4" s="49" t="str">
        <x:v>Variable</x:v>
      </x:c>
      <x:c r="C4" s="49" t="str">
        <x:v>Línea base</x:v>
      </x:c>
      <x:c r="D4" s="49" t="str">
        <x:v>Optimizado</x:v>
      </x:c>
      <x:c r="E4" s="49" t="str">
        <x:v>Unidad</x:v>
      </x:c>
      <x:c r="F4" s="49" t="str">
        <x:v>Precio Chile</x:v>
      </x:c>
      <x:c r="G4" s="49" t="str">
        <x:v>Precio East US</x:v>
      </x:c>
      <x:c r="H4" s="49" t="str">
        <x:v>Fórmula</x:v>
      </x:c>
      <x:c r="I4" s="49" t="str">
        <x:v>Ahorro mensual Chile</x:v>
      </x:c>
      <x:c r="J4" s="49" t="str">
        <x:v>Ahorro 60m Chile</x:v>
      </x:c>
      <x:c r="K4" s="49" t="str">
        <x:v>Ahorro mensual East</x:v>
      </x:c>
      <x:c r="L4" s="49" t="str">
        <x:v>Ahorro 60m East</x:v>
      </x:c>
      <x:c r="M4" s="49" t="str">
        <x:v>Mecanismo y riesgo</x:v>
      </x:c>
      <x:c r="N4" s="49" t="str">
        <x:v>Control de solapamiento</x:v>
      </x:c>
      <x:c r="O4" s="50" t="str">
        <x:v>Evidencia</x:v>
      </x:c>
    </x:row>
    <x:row r="5" ht="78" customHeight="1">
      <x:c r="A5" s="51" t="str">
        <x:v>Apagado de recursos ociosos / ambientes no productivos</x:v>
      </x:c>
      <x:c r="B5" s="52" t="str">
        <x:v>Horas no producción</x:v>
      </x:c>
      <x:c r="C5" s="52" t="n">
        <x:v>264</x:v>
      </x:c>
      <x:c r="D5" s="52" t="n">
        <x:v>132</x:v>
      </x:c>
      <x:c r="E5" s="52" t="str">
        <x:v>h/mes</x:v>
      </x:c>
      <x:c r="F5" s="53" t="n">
        <x:v>0.0756</x:v>
      </x:c>
      <x:c r="G5" s="53" t="n">
        <x:v>0.054</x:v>
      </x:c>
      <x:c r="H5" s="52" t="str">
        <x:v>(horas base − horas optimizadas) × (vCPU × tarifa CPU + GiB × tarifa memoria)</x:v>
      </x:c>
      <x:c r="I5" s="54" t="n">
        <x:f>(C5-D5)*F5</x:f>
        <x:v>9.9792</x:v>
      </x:c>
      <x:c r="J5" s="54" t="n">
        <x:f>I5*60</x:f>
        <x:v>598.7520000000001</x:v>
      </x:c>
      <x:c r="K5" s="54" t="n">
        <x:f>(C5-D5)*G5</x:f>
        <x:v>7.128</x:v>
      </x:c>
      <x:c r="L5" s="54" t="n">
        <x:f>K5*60</x:f>
        <x:v>427.68</x:v>
      </x:c>
      <x:c r="M5" s="52" t="str">
        <x:v>Programar escala a cero fuera de ventana. Riesgo: indisponibilidad y cold start; excluir pruebas programadas.</x:v>
      </x:c>
      <x:c r="N5" s="52" t="str">
        <x:v>Solo CPU y memoria no productivas; no modifica solicitudes, producción, logs ni egress.</x:v>
      </x:c>
      <x:c r="O5" s="55" t="str">
        <x:v>FP-172; papers 01, 03 y 05; Microsoft Learn Container Apps scaling</x:v>
      </x:c>
    </x:row>
    <x:row r="6" ht="78" customHeight="1">
      <x:c r="A6" s="51" t="str">
        <x:v>Monitoreo y observabilidad</x:v>
      </x:c>
      <x:c r="B6" s="52" t="str">
        <x:v>Ingesta de logs</x:v>
      </x:c>
      <x:c r="C6" s="52" t="n">
        <x:v>50</x:v>
      </x:c>
      <x:c r="D6" s="52" t="n">
        <x:v>40</x:v>
      </x:c>
      <x:c r="E6" s="52" t="str">
        <x:v>GB/mes</x:v>
      </x:c>
      <x:c r="F6" s="53" t="n">
        <x:v>0.7</x:v>
      </x:c>
      <x:c r="G6" s="53" t="n">
        <x:v>0.5</x:v>
      </x:c>
      <x:c r="H6" s="52" t="str">
        <x:v>(GB base − GB optimizados) × tarifa por GB</x:v>
      </x:c>
      <x:c r="I6" s="54" t="n">
        <x:f>(C6-D6)*F6</x:f>
        <x:v>7</x:v>
      </x:c>
      <x:c r="J6" s="54" t="n">
        <x:f>I6*60</x:f>
        <x:v>420</x:v>
      </x:c>
      <x:c r="K6" s="54" t="n">
        <x:f>(C6-D6)*G6</x:f>
        <x:v>5</x:v>
      </x:c>
      <x:c r="L6" s="54" t="n">
        <x:f>K6*60</x:f>
        <x:v>300</x:v>
      </x:c>
      <x:c r="M6" s="52" t="str">
        <x:v>Filtrar telemetría no necesaria mediante reglas de colección. Riesgo: pérdida de evidencia o detección tardía.</x:v>
      </x:c>
      <x:c r="N6" s="52" t="str">
        <x:v>Solo fila Logs y monitoreo; no altera cómputo ni red.</x:v>
      </x:c>
      <x:c r="O6" s="55" t="str">
        <x:v>FP-172; papers 01 y 03; Azure Monitor DCR</x:v>
      </x:c>
    </x:row>
    <x:row r="7" ht="78" customHeight="1">
      <x:c r="A7" s="56" t="str">
        <x:v>Salida de datos (egress)</x:v>
      </x:c>
      <x:c r="B7" s="57" t="str">
        <x:v>Egreso a Internet</x:v>
      </x:c>
      <x:c r="C7" s="57" t="n">
        <x:v>200</x:v>
      </x:c>
      <x:c r="D7" s="57" t="n">
        <x:v>160</x:v>
      </x:c>
      <x:c r="E7" s="57" t="str">
        <x:v>GB/mes</x:v>
      </x:c>
      <x:c r="F7" s="58" t="n">
        <x:v>0.181</x:v>
      </x:c>
      <x:c r="G7" s="58" t="n">
        <x:v>0.087</x:v>
      </x:c>
      <x:c r="H7" s="57" t="str">
        <x:v>(MAX(base−100,0) − MAX(optimizado−100,0)) × tarifa regional</x:v>
      </x:c>
      <x:c r="I7" s="59" t="n">
        <x:f>(MAX(C7-100,0)-MAX(D7-100,0))*F7</x:f>
        <x:v>7.24</x:v>
      </x:c>
      <x:c r="J7" s="59" t="n">
        <x:f>I7*60</x:f>
        <x:v>434.40000000000003</x:v>
      </x:c>
      <x:c r="K7" s="59" t="n">
        <x:f>(MAX(C7-100,0)-MAX(D7-100,0))*G7</x:f>
        <x:v>3.4799999999999995</x:v>
      </x:c>
      <x:c r="L7" s="59" t="n">
        <x:f>K7*60</x:f>
        <x:v>208.79999999999998</x:v>
      </x:c>
      <x:c r="M7" s="57" t="str">
        <x:v>Reducir transferencia con compresión, caché o ubicación. Riesgo: latencia, datos obsoletos y costo de implementación.</x:v>
      </x:c>
      <x:c r="N7" s="57" t="str">
        <x:v>Solo egress a Internet; no incluye tráfico interzona.</x:v>
      </x:c>
      <x:c r="O7" s="60" t="str">
        <x:v>FP-172; paper ATLAS; Azure Bandwidth Pricing</x:v>
      </x:c>
    </x:row>
    <x:row r="8">
      <x:c r="A8" s="35"/>
      <x:c r="B8" s="35"/>
      <x:c r="C8" s="35"/>
      <x:c r="D8" s="35"/>
      <x:c r="E8" s="35"/>
      <x:c r="F8" s="35"/>
      <x:c r="G8" s="35"/>
      <x:c r="H8" s="35"/>
      <x:c r="I8" s="39"/>
      <x:c r="J8" s="39"/>
      <x:c r="K8" s="39"/>
      <x:c r="L8" s="39"/>
      <x:c r="M8" s="35"/>
      <x:c r="N8" s="35"/>
      <x:c r="O8" s="35"/>
    </x:row>
    <x:row r="9" ht="54" customHeight="1">
      <x:c r="A9" s="44" t="str">
        <x:v>Ahorro combinado</x:v>
      </x:c>
      <x:c r="B9" s="45"/>
      <x:c r="C9" s="45"/>
      <x:c r="D9" s="45"/>
      <x:c r="E9" s="45"/>
      <x:c r="F9" s="45"/>
      <x:c r="G9" s="45"/>
      <x:c r="H9" s="45" t="str">
        <x:v>Suma solo de partidas distintas</x:v>
      </x:c>
      <x:c r="I9" s="46" t="n">
        <x:f>SUM(I5:I7)</x:f>
        <x:v>24.2192</x:v>
      </x:c>
      <x:c r="J9" s="46" t="n">
        <x:f>SUM(J5:J7)</x:f>
        <x:v>1453.152</x:v>
      </x:c>
      <x:c r="K9" s="46" t="n">
        <x:f>SUM(K5:K7)</x:f>
        <x:v>15.608</x:v>
      </x:c>
      <x:c r="L9" s="46" t="n">
        <x:f>SUM(L5:L7)</x:f>
        <x:v>936.48</x:v>
      </x:c>
      <x:c r="M9" s="45" t="str">
        <x:v>No se suman efectos incompatibles; las tres palancas afectan filas diferentes del TCO.</x:v>
      </x:c>
      <x:c r="N9" s="45"/>
      <x:c r="O9" s="47"/>
    </x:row>
    <x:row r="10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</x:row>
    <x:row r="11">
      <x:c r="A11" s="8" t="str">
        <x:v>Control</x:v>
      </x:c>
      <x:c r="B11" s="8" t="str">
        <x:v>Resultado</x:v>
      </x:c>
      <x:c r="C11" s="8" t="str">
        <x:v>Estado</x:v>
      </x:c>
      <x:c r="D11" s="8" t="str">
        <x:v>Tolerancia / regla</x:v>
      </x:c>
      <x:c r="E11" s="8" t="str">
        <x:v>Acción humana</x:v>
      </x:c>
      <x:c r="F11" s="8" t="str">
        <x:v>Fuente</x:v>
      </x:c>
      <x:c r="G11" s="35"/>
      <x:c r="H11" s="35"/>
      <x:c r="I11" s="35"/>
      <x:c r="J11" s="35"/>
      <x:c r="K11" s="35"/>
      <x:c r="L11" s="35"/>
      <x:c r="M11" s="35"/>
      <x:c r="N11" s="35"/>
      <x:c r="O11" s="35"/>
    </x:row>
    <x:row r="12">
      <x:c r="A12" s="35" t="str">
        <x:v>Ahorro bruto combinado = suma de palancas</x:v>
      </x:c>
      <x:c r="B12" s="35" t="n">
        <x:f>ABS(J9-SUM(J5:J7))+ABS(L9-SUM(L5:L7))</x:f>
        <x:v>0</x:v>
      </x:c>
      <x:c r="C12" s="35" t="str">
        <x:v>Completo</x:v>
      </x:c>
      <x:c r="D12" s="35" t="n">
        <x:v>0</x:v>
      </x:c>
      <x:c r="E12" s="35" t="str">
        <x:v>Revisar si la diferencia supera tolerancia</x:v>
      </x:c>
      <x:c r="F12" s="35" t="str">
        <x:v>FP-184</x:v>
      </x:c>
      <x:c r="G12" s="35"/>
      <x:c r="H12" s="35"/>
      <x:c r="I12" s="35"/>
      <x:c r="J12" s="35"/>
      <x:c r="K12" s="35"/>
      <x:c r="L12" s="35"/>
      <x:c r="M12" s="35"/>
      <x:c r="N12" s="35"/>
      <x:c r="O12" s="35"/>
    </x:row>
    <x:row r="13">
      <x:c r="A13" s="35" t="str">
        <x:v>Palancas con partidas superpuestas</x:v>
      </x:c>
      <x:c r="B13" s="35" t="n">
        <x:v>0</x:v>
      </x:c>
      <x:c r="C13" s="35" t="str">
        <x:v>Sin superposición</x:v>
      </x:c>
      <x:c r="D13" s="35" t="n">
        <x:v>0</x:v>
      </x:c>
      <x:c r="E13" s="35" t="str">
        <x:v>Mantener 0</x:v>
      </x:c>
      <x:c r="F13" s="35" t="str">
        <x:v>Mapeo FP-183</x:v>
      </x:c>
      <x:c r="G13" s="35"/>
      <x:c r="H13" s="35"/>
      <x:c r="I13" s="35"/>
      <x:c r="J13" s="35"/>
      <x:c r="K13" s="35"/>
      <x:c r="L13" s="35"/>
      <x:c r="M13" s="35"/>
      <x:c r="N13" s="35"/>
      <x:c r="O13" s="35"/>
    </x:row>
    <x:row r="14">
      <x:c r="A14" s="35" t="str">
        <x:v>Horizonte</x:v>
      </x:c>
      <x:c r="B14" s="35" t="n">
        <x:v>60</x:v>
      </x:c>
      <x:c r="C14" s="35" t="str">
        <x:v>Completo</x:v>
      </x:c>
      <x:c r="D14" s="35" t="n">
        <x:v>60</x:v>
      </x:c>
      <x:c r="E14" s="35" t="str">
        <x:v>Mantener 60 meses</x:v>
      </x:c>
      <x:c r="F14" s="35" t="str">
        <x:v>FP-183</x:v>
      </x:c>
      <x:c r="G14" s="35"/>
      <x:c r="H14" s="35"/>
      <x:c r="I14" s="35"/>
      <x:c r="J14" s="35"/>
      <x:c r="K14" s="35"/>
      <x:c r="L14" s="35"/>
      <x:c r="M14" s="35"/>
      <x:c r="N14" s="35"/>
      <x:c r="O14" s="35"/>
    </x:row>
    <x:row r="15">
      <x:c r="A15" s="35" t="str">
        <x:v>Costos de implementación informados</x:v>
      </x:c>
      <x:c r="B15" s="35" t="n">
        <x:v>0</x:v>
      </x:c>
      <x:c r="C15" s="35" t="str">
        <x:v>Pendiente</x:v>
      </x:c>
      <x:c r="D15" s="35" t="n">
        <x:v>3</x:v>
      </x:c>
      <x:c r="E15" s="35" t="str">
        <x:v>Completar una cifra por palanca y región</x:v>
      </x:c>
      <x:c r="F15" s="35" t="str">
        <x:v>Fuentes!B17:C19</x:v>
      </x:c>
      <x:c r="G15" s="35"/>
      <x:c r="H15" s="35"/>
      <x:c r="I15" s="35"/>
      <x:c r="J15" s="35"/>
      <x:c r="K15" s="35"/>
      <x:c r="L15" s="35"/>
      <x:c r="M15" s="35"/>
      <x:c r="N15" s="35"/>
      <x:c r="O15" s="3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4" hidden="0" customWidth="1"/>
    <x:col min="5" max="5" width="3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71" t="str">
        <x:v>FP-184 — Fuentes e inputs</x:v>
      </x:c>
      <x:c r="B1" s="71"/>
      <x:c r="C1" s="71"/>
      <x:c r="D1" s="71"/>
      <x:c r="E1" s="71"/>
      <x:c r="F1" s="71"/>
      <x:c r="G1" s="71"/>
      <x:c r="H1" s="71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171" t="str">
        <x:v>Input</x:v>
      </x:c>
      <x:c r="B3" s="171" t="str">
        <x:v>Chile Central</x:v>
      </x:c>
      <x:c r="C3" s="171" t="str">
        <x:v>East US</x:v>
      </x:c>
      <x:c r="D3" s="171" t="str">
        <x:v>Unidad</x:v>
      </x:c>
      <x:c r="E3" s="171" t="str">
        <x:v>Fuente</x:v>
      </x:c>
      <x:c r="F3" s="171" t="str">
        <x:v>Fecha</x:v>
      </x:c>
      <x:c r="G3" s="171" t="str">
        <x:v>Estado</x:v>
      </x:c>
      <x:c r="H3" s="171" t="str">
        <x:v>Nota</x:v>
      </x:c>
    </x:row>
    <x:row r="4" ht="30" customHeight="1">
      <x:c r="A4" s="122" t="str">
        <x:v>Costo línea base modelado 60 meses</x:v>
      </x:c>
      <x:c r="B4" s="154" t="n">
        <x:v>23256.321466174068</x:v>
      </x:c>
      <x:c r="C4" s="154" t="n">
        <x:v>16474.602674550486</x:v>
      </x:c>
      <x:c r="D4" s="122" t="str">
        <x:v>USD</x:v>
      </x:c>
      <x:c r="E4" s="122" t="str">
        <x:v>FP-183 Resumen/Modelo TCO</x:v>
      </x:c>
      <x:c r="F4" s="158" t="n">
        <x:v>46281</x:v>
      </x:c>
      <x:c r="G4" s="122" t="str">
        <x:v>Verificado</x:v>
      </x:c>
      <x:c r="H4" s="122" t="str">
        <x:v>Excluye esfuerzo operativo pendiente</x:v>
      </x:c>
    </x:row>
    <x:row r="5" ht="30" customHeight="1">
      <x:c r="A5" s="122" t="str">
        <x:v>Horas no producción</x:v>
      </x:c>
      <x:c r="B5" s="154" t="n">
        <x:v>264</x:v>
      </x:c>
      <x:c r="C5" s="154" t="n">
        <x:v>264</x:v>
      </x:c>
      <x:c r="D5" s="122" t="str">
        <x:v>h/mes</x:v>
      </x:c>
      <x:c r="E5" s="122" t="str">
        <x:v>FP-183 Supuestos</x:v>
      </x:c>
      <x:c r="F5" s="158" t="n">
        <x:v>46281</x:v>
      </x:c>
      <x:c r="G5" s="122" t="str">
        <x:v>Supuesto editable</x:v>
      </x:c>
      <x:c r="H5" s="122" t="str">
        <x:v>12 h × 22 días</x:v>
      </x:c>
    </x:row>
    <x:row r="6" ht="30" customHeight="1">
      <x:c r="A6" s="122" t="str">
        <x:v>Horas no producción optimizadas</x:v>
      </x:c>
      <x:c r="B6" s="154" t="n">
        <x:v>132</x:v>
      </x:c>
      <x:c r="C6" s="154" t="n">
        <x:v>132</x:v>
      </x:c>
      <x:c r="D6" s="122" t="str">
        <x:v>h/mes</x:v>
      </x:c>
      <x:c r="E6" s="122" t="str">
        <x:v>Escenario FP-184</x:v>
      </x:c>
      <x:c r="F6" s="158" t="n">
        <x:v>46281</x:v>
      </x:c>
      <x:c r="G6" s="122" t="str">
        <x:v>Requiere validación</x:v>
      </x:c>
      <x:c r="H6" s="122" t="str">
        <x:v>Reducción del 50%</x:v>
      </x:c>
    </x:row>
    <x:row r="7" ht="30" customHeight="1">
      <x:c r="A7" s="122" t="str">
        <x:v>vCPU no producción</x:v>
      </x:c>
      <x:c r="B7" s="154" t="n">
        <x:v>0.5</x:v>
      </x:c>
      <x:c r="C7" s="154" t="n">
        <x:v>0.5</x:v>
      </x:c>
      <x:c r="D7" s="122" t="str">
        <x:v>vCPU</x:v>
      </x:c>
      <x:c r="E7" s="122" t="str">
        <x:v>FP-183 Supuestos</x:v>
      </x:c>
      <x:c r="F7" s="158" t="n">
        <x:v>46281</x:v>
      </x:c>
      <x:c r="G7" s="122" t="str">
        <x:v>Supuesto editable</x:v>
      </x:c>
      <x:c r="H7" s="122" t="str">
        <x:v>Sin cambio</x:v>
      </x:c>
    </x:row>
    <x:row r="8" ht="30" customHeight="1">
      <x:c r="A8" s="122" t="str">
        <x:v>Memoria no producción</x:v>
      </x:c>
      <x:c r="B8" s="154" t="n">
        <x:v>1</x:v>
      </x:c>
      <x:c r="C8" s="154" t="n">
        <x:v>1</x:v>
      </x:c>
      <x:c r="D8" s="122" t="str">
        <x:v>GiB</x:v>
      </x:c>
      <x:c r="E8" s="122" t="str">
        <x:v>FP-183 Supuestos</x:v>
      </x:c>
      <x:c r="F8" s="158" t="n">
        <x:v>46281</x:v>
      </x:c>
      <x:c r="G8" s="122" t="str">
        <x:v>Supuesto editable</x:v>
      </x:c>
      <x:c r="H8" s="122" t="str">
        <x:v>Sin cambio</x:v>
      </x:c>
    </x:row>
    <x:row r="9" ht="30" customHeight="1">
      <x:c r="A9" s="122" t="str">
        <x:v>Precio CPU no producción</x:v>
      </x:c>
      <x:c r="B9" s="154" t="n">
        <x:v>0.1224</x:v>
      </x:c>
      <x:c r="C9" s="154" t="n">
        <x:v>0.0864</x:v>
      </x:c>
      <x:c r="D9" s="122" t="str">
        <x:v>USD/vCPU-h</x:v>
      </x:c>
      <x:c r="E9" s="122" t="str">
        <x:v>FP-183</x:v>
      </x:c>
      <x:c r="F9" s="158" t="n">
        <x:v>46281</x:v>
      </x:c>
      <x:c r="G9" s="122" t="str">
        <x:v>Verificado</x:v>
      </x:c>
      <x:c r="H9" s="122" t="str">
        <x:v>Precio público</x:v>
      </x:c>
    </x:row>
    <x:row r="10" ht="30" customHeight="1">
      <x:c r="A10" s="122" t="str">
        <x:v>Precio memoria no producción</x:v>
      </x:c>
      <x:c r="B10" s="154" t="n">
        <x:v>0.0144</x:v>
      </x:c>
      <x:c r="C10" s="154" t="n">
        <x:v>0.0108</x:v>
      </x:c>
      <x:c r="D10" s="122" t="str">
        <x:v>USD/GiB-h</x:v>
      </x:c>
      <x:c r="E10" s="122" t="str">
        <x:v>FP-183</x:v>
      </x:c>
      <x:c r="F10" s="158" t="n">
        <x:v>46281</x:v>
      </x:c>
      <x:c r="G10" s="122" t="str">
        <x:v>Verificado</x:v>
      </x:c>
      <x:c r="H10" s="122" t="str">
        <x:v>Precio público</x:v>
      </x:c>
    </x:row>
    <x:row r="11" ht="30" customHeight="1">
      <x:c r="A11" s="122" t="str">
        <x:v>Ingesta de logs base</x:v>
      </x:c>
      <x:c r="B11" s="154" t="n">
        <x:v>50</x:v>
      </x:c>
      <x:c r="C11" s="154" t="n">
        <x:v>50</x:v>
      </x:c>
      <x:c r="D11" s="122" t="str">
        <x:v>GB/mes</x:v>
      </x:c>
      <x:c r="E11" s="122" t="str">
        <x:v>FP-183 Supuestos</x:v>
      </x:c>
      <x:c r="F11" s="158" t="n">
        <x:v>46281</x:v>
      </x:c>
      <x:c r="G11" s="122" t="str">
        <x:v>Supuesto editable</x:v>
      </x:c>
      <x:c r="H11" s="122" t="str">
        <x:v>Basic Logs</x:v>
      </x:c>
    </x:row>
    <x:row r="12" ht="30" customHeight="1">
      <x:c r="A12" s="122" t="str">
        <x:v>Ingesta de logs optimizada</x:v>
      </x:c>
      <x:c r="B12" s="154" t="n">
        <x:v>40</x:v>
      </x:c>
      <x:c r="C12" s="154" t="n">
        <x:v>40</x:v>
      </x:c>
      <x:c r="D12" s="122" t="str">
        <x:v>GB/mes</x:v>
      </x:c>
      <x:c r="E12" s="122" t="str">
        <x:v>Escenario FP-184</x:v>
      </x:c>
      <x:c r="F12" s="158" t="n">
        <x:v>46281</x:v>
      </x:c>
      <x:c r="G12" s="122" t="str">
        <x:v>Requiere validación</x:v>
      </x:c>
      <x:c r="H12" s="122" t="str">
        <x:v>Reducción del 20%</x:v>
      </x:c>
    </x:row>
    <x:row r="13" ht="30" customHeight="1">
      <x:c r="A13" s="122" t="str">
        <x:v>Precio logs</x:v>
      </x:c>
      <x:c r="B13" s="154" t="n">
        <x:v>0.7</x:v>
      </x:c>
      <x:c r="C13" s="154" t="n">
        <x:v>0.5</x:v>
      </x:c>
      <x:c r="D13" s="122" t="str">
        <x:v>USD/GB</x:v>
      </x:c>
      <x:c r="E13" s="122" t="str">
        <x:v>FP-183</x:v>
      </x:c>
      <x:c r="F13" s="158" t="n">
        <x:v>46281</x:v>
      </x:c>
      <x:c r="G13" s="122" t="str">
        <x:v>Verificado</x:v>
      </x:c>
      <x:c r="H13" s="122" t="str">
        <x:v>Basic Logs Data Ingestion</x:v>
      </x:c>
    </x:row>
    <x:row r="14" ht="30" customHeight="1">
      <x:c r="A14" s="122" t="str">
        <x:v>Egreso base</x:v>
      </x:c>
      <x:c r="B14" s="154" t="n">
        <x:v>200</x:v>
      </x:c>
      <x:c r="C14" s="154" t="n">
        <x:v>200</x:v>
      </x:c>
      <x:c r="D14" s="122" t="str">
        <x:v>GB/mes</x:v>
      </x:c>
      <x:c r="E14" s="122" t="str">
        <x:v>FP-183 Supuestos</x:v>
      </x:c>
      <x:c r="F14" s="158" t="n">
        <x:v>46281</x:v>
      </x:c>
      <x:c r="G14" s="122" t="str">
        <x:v>Supuesto editable</x:v>
      </x:c>
      <x:c r="H14" s="122" t="str">
        <x:v>100 GB gratis</x:v>
      </x:c>
    </x:row>
    <x:row r="15" ht="30" customHeight="1">
      <x:c r="A15" s="122" t="str">
        <x:v>Egreso optimizado</x:v>
      </x:c>
      <x:c r="B15" s="154" t="n">
        <x:v>160</x:v>
      </x:c>
      <x:c r="C15" s="154" t="n">
        <x:v>160</x:v>
      </x:c>
      <x:c r="D15" s="122" t="str">
        <x:v>GB/mes</x:v>
      </x:c>
      <x:c r="E15" s="122" t="str">
        <x:v>Escenario FP-184</x:v>
      </x:c>
      <x:c r="F15" s="158" t="n">
        <x:v>46281</x:v>
      </x:c>
      <x:c r="G15" s="122" t="str">
        <x:v>Requiere validación</x:v>
      </x:c>
      <x:c r="H15" s="122" t="str">
        <x:v>Reducción del 20%</x:v>
      </x:c>
    </x:row>
    <x:row r="16" ht="30" customHeight="1">
      <x:c r="A16" s="122" t="str">
        <x:v>Precio egress</x:v>
      </x:c>
      <x:c r="B16" s="154" t="n">
        <x:v>0.181</x:v>
      </x:c>
      <x:c r="C16" s="154" t="n">
        <x:v>0.087</x:v>
      </x:c>
      <x:c r="D16" s="122" t="str">
        <x:v>USD/GB</x:v>
      </x:c>
      <x:c r="E16" s="122" t="str">
        <x:v>Azure Bandwidth Pricing</x:v>
      </x:c>
      <x:c r="F16" s="158" t="n">
        <x:v>46281</x:v>
      </x:c>
      <x:c r="G16" s="122" t="str">
        <x:v>Verificado</x:v>
      </x:c>
      <x:c r="H16" s="122" t="str">
        <x:v>Premium Global Network; después de 100 GB gratis</x:v>
      </x:c>
    </x:row>
    <x:row r="17">
      <x:c r="A17" s="122" t="str">
        <x:v>Costo implementación no producción</x:v>
      </x:c>
      <x:c r="B17" s="122"/>
      <x:c r="C17" s="122"/>
      <x:c r="D17" s="122" t="str">
        <x:v>USD una vez</x:v>
      </x:c>
      <x:c r="E17" s="122" t="str">
        <x:v>Entrada humana</x:v>
      </x:c>
      <x:c r="F17" s="158" t="n">
        <x:v>46281</x:v>
      </x:c>
      <x:c r="G17" s="122" t="str">
        <x:v>Pendiente</x:v>
      </x:c>
      <x:c r="H17" s="122" t="str">
        <x:v>Automatización, pruebas y cambio</x:v>
      </x:c>
    </x:row>
    <x:row r="18">
      <x:c r="A18" s="124" t="str">
        <x:v>Costo implementación logs</x:v>
      </x:c>
      <x:c r="B18" s="124"/>
      <x:c r="C18" s="124"/>
      <x:c r="D18" s="124" t="str">
        <x:v>USD una vez</x:v>
      </x:c>
      <x:c r="E18" s="124" t="str">
        <x:v>Entrada humana</x:v>
      </x:c>
      <x:c r="F18" s="159" t="n">
        <x:v>46281</x:v>
      </x:c>
      <x:c r="G18" s="122" t="str">
        <x:v>Pendiente</x:v>
      </x:c>
      <x:c r="H18" s="122" t="str">
        <x:v>Diseño y validación de reglas</x:v>
      </x:c>
    </x:row>
    <x:row r="19" ht="48" customHeight="1">
      <x:c r="A19" s="122" t="str">
        <x:v>Costo implementación egress</x:v>
      </x:c>
      <x:c r="B19" s="122"/>
      <x:c r="C19" s="122"/>
      <x:c r="D19" s="122" t="str">
        <x:v>USD una vez</x:v>
      </x:c>
      <x:c r="E19" s="122" t="str">
        <x:v>Entrada humana</x:v>
      </x:c>
      <x:c r="F19" s="158" t="n">
        <x:v>46281</x:v>
      </x:c>
      <x:c r="G19" s="122" t="str">
        <x:v>Pendiente</x:v>
      </x:c>
      <x:c r="H19" s="122" t="str">
        <x:v>Compresión/caché/arquitectura</x:v>
      </x:c>
    </x:row>
    <x:row r="20" ht="48" customHeight="1">
      <x:c r="A20" s="35"/>
      <x:c r="B20" s="35"/>
      <x:c r="C20" s="35"/>
      <x:c r="D20" s="35"/>
      <x:c r="E20" s="35"/>
      <x:c r="F20" s="160"/>
      <x:c r="G20" s="35"/>
      <x:c r="H20" s="35"/>
    </x:row>
    <x:row r="21" ht="48" customHeight="1">
      <x:c r="A21" s="178" t="str">
        <x:v>Referencia</x:v>
      </x:c>
      <x:c r="B21" s="178" t="str">
        <x:v>Pilar</x:v>
      </x:c>
      <x:c r="C21" s="178" t="str">
        <x:v>Uso en FP-184</x:v>
      </x:c>
      <x:c r="D21" s="178" t="str">
        <x:v>Archivo / URL</x:v>
      </x:c>
      <x:c r="E21" s="178" t="str">
        <x:v>Fecha consulta</x:v>
      </x:c>
      <x:c r="F21" s="179" t="str">
        <x:v>Limitación</x:v>
      </x:c>
      <x:c r="G21" s="35"/>
      <x:c r="H21" s="35"/>
    </x:row>
    <x:row r="22" ht="48" customHeight="1">
      <x:c r="A22" s="122" t="str">
        <x:v>Optimization of Resource Provisioning Cost in Cloud Computing</x:v>
      </x:c>
      <x:c r="B22" s="122" t="str">
        <x:v>P2</x:v>
      </x:c>
      <x:c r="C22" s="122" t="str">
        <x:v>Decisiones de consumo bajo incertidumbre</x:v>
      </x:c>
      <x:c r="D22" s="122" t="str">
        <x:v>FP-48 paper 05</x:v>
      </x:c>
      <x:c r="E22" s="122" t="n">
        <x:v>46281</x:v>
      </x:c>
      <x:c r="F22" s="158" t="str">
        <x:v>No reutilizar precios históricos</x:v>
      </x:c>
      <x:c r="G22" s="35"/>
      <x:c r="H22" s="35"/>
    </x:row>
    <x:row r="23">
      <x:c r="A23" s="122" t="str">
        <x:v>FinOps-Aware Budget-Constrained Optimization</x:v>
      </x:c>
      <x:c r="B23" s="122" t="str">
        <x:v>P2</x:v>
      </x:c>
      <x:c r="C23" s="122" t="str">
        <x:v>Optimización bajo restricciones</x:v>
      </x:c>
      <x:c r="D23" s="122" t="str">
        <x:v>FP-48 paper 03</x:v>
      </x:c>
      <x:c r="E23" s="122" t="n">
        <x:v>46281</x:v>
      </x:c>
      <x:c r="F23" s="158" t="str">
        <x:v>Resultados simulados</x:v>
      </x:c>
    </x:row>
    <x:row r="24">
      <x:c r="A24" s="122" t="str">
        <x:v>Evaluating the Implementation of the FinOps Framework</x:v>
      </x:c>
      <x:c r="B24" s="122" t="str">
        <x:v>P1</x:v>
      </x:c>
      <x:c r="C24" s="122" t="str">
        <x:v>Gobernanza y validación humana</x:v>
      </x:c>
      <x:c r="D24" s="122" t="str">
        <x:v>FP-48 paper 01</x:v>
      </x:c>
      <x:c r="E24" s="122" t="n">
        <x:v>46281</x:v>
      </x:c>
      <x:c r="F24" s="158" t="str">
        <x:v>Muestra pequeña</x:v>
      </x:c>
    </x:row>
    <x:row r="25">
      <x:c r="A25" s="122" t="str">
        <x:v>TCO of Google Cloud Resources for ATLAS</x:v>
      </x:c>
      <x:c r="B25" s="122" t="str">
        <x:v>P3</x:v>
      </x:c>
      <x:c r="C25" s="122" t="str">
        <x:v>Egress como factor material del TCO</x:v>
      </x:c>
      <x:c r="D25" s="122" t="str">
        <x:v>FP-48 paper ATLAS</x:v>
      </x:c>
      <x:c r="E25" s="122" t="n">
        <x:v>46281</x:v>
      </x:c>
      <x:c r="F25" s="158" t="str">
        <x:v>Tarifa negociada; no reutilizar cifras</x:v>
      </x:c>
    </x:row>
  </x:sheetData>
  <x:pageMargins left="0.7" right="0.7" top="0.75" bottom="0.75" header="0.3" footer="0.3"/>
</x:worksheet>
</file>