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esos" sheetId="2" state="visible" r:id="rId2"/>
    <sheet xmlns:r="http://schemas.openxmlformats.org/officeDocument/2006/relationships" name="Puntuacion" sheetId="3" state="visible" r:id="rId3"/>
    <sheet xmlns:r="http://schemas.openxmlformats.org/officeDocument/2006/relationships" name="Calculo" sheetId="4" state="visible" r:id="rId4"/>
    <sheet xmlns:r="http://schemas.openxmlformats.org/officeDocument/2006/relationships" name="Resultados" sheetId="5" state="visible" r:id="rId5"/>
    <sheet xmlns:r="http://schemas.openxmlformats.org/officeDocument/2006/relationships" name="Graficos" sheetId="6" state="visible" r:id="rId6"/>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sz val="14"/>
    </font>
    <font>
      <b val="1"/>
      <color rgb="00FFFFFF"/>
    </font>
    <font>
      <b val="1"/>
      <sz val="13"/>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164" fontId="0" fillId="0" borderId="0" pivotButton="0" quotePrefix="0" xfId="0"/>
    <xf numFmtId="2"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E1 - S linea base y S sensibilidad por producto</a:t>
            </a:r>
          </a:p>
        </rich>
      </tx>
    </title>
    <plotArea>
      <barChart>
        <barDir val="col"/>
        <grouping val="clustered"/>
        <ser>
          <idx val="0"/>
          <order val="0"/>
          <tx>
            <strRef>
              <f>'Resultados'!F1</f>
            </strRef>
          </tx>
          <spPr>
            <a:ln xmlns:a="http://schemas.openxmlformats.org/drawingml/2006/main">
              <a:prstDash val="solid"/>
            </a:ln>
          </spPr>
          <cat>
            <numRef>
              <f>'Resultados'!$C$2:$C$48</f>
            </numRef>
          </cat>
          <val>
            <numRef>
              <f>'Resultados'!$F$2:$F$48</f>
            </numRef>
          </val>
        </ser>
        <ser>
          <idx val="1"/>
          <order val="1"/>
          <tx>
            <strRef>
              <f>'Resultados'!G1</f>
            </strRef>
          </tx>
          <spPr>
            <a:ln xmlns:a="http://schemas.openxmlformats.org/drawingml/2006/main">
              <a:prstDash val="solid"/>
            </a:ln>
          </spPr>
          <cat>
            <numRef>
              <f>'Resultados'!$C$2:$C$48</f>
            </numRef>
          </cat>
          <val>
            <numRef>
              <f>'Resultados'!$G$2:$G$48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Producto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 (0-100)</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E2 - S linea base y S sensibilidad por producto</a:t>
            </a:r>
          </a:p>
        </rich>
      </tx>
    </title>
    <plotArea>
      <barChart>
        <barDir val="col"/>
        <grouping val="clustered"/>
        <ser>
          <idx val="0"/>
          <order val="0"/>
          <tx>
            <strRef>
              <f>'Resultados'!F1</f>
            </strRef>
          </tx>
          <spPr>
            <a:ln xmlns:a="http://schemas.openxmlformats.org/drawingml/2006/main">
              <a:prstDash val="solid"/>
            </a:ln>
          </spPr>
          <cat>
            <numRef>
              <f>'Resultados'!$C$3:$C$49</f>
            </numRef>
          </cat>
          <val>
            <numRef>
              <f>'Resultados'!$F$2:$F$49</f>
            </numRef>
          </val>
        </ser>
        <ser>
          <idx val="1"/>
          <order val="1"/>
          <tx>
            <strRef>
              <f>'Resultados'!G1</f>
            </strRef>
          </tx>
          <spPr>
            <a:ln xmlns:a="http://schemas.openxmlformats.org/drawingml/2006/main">
              <a:prstDash val="solid"/>
            </a:ln>
          </spPr>
          <cat>
            <numRef>
              <f>'Resultados'!$C$3:$C$49</f>
            </numRef>
          </cat>
          <val>
            <numRef>
              <f>'Resultados'!$G$2:$G$49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Producto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 (0-100)</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E3 - S linea base y S sensibilidad por producto</a:t>
            </a:r>
          </a:p>
        </rich>
      </tx>
    </title>
    <plotArea>
      <barChart>
        <barDir val="col"/>
        <grouping val="clustered"/>
        <ser>
          <idx val="0"/>
          <order val="0"/>
          <tx>
            <strRef>
              <f>'Resultados'!F1</f>
            </strRef>
          </tx>
          <spPr>
            <a:ln xmlns:a="http://schemas.openxmlformats.org/drawingml/2006/main">
              <a:prstDash val="solid"/>
            </a:ln>
          </spPr>
          <cat>
            <numRef>
              <f>'Resultados'!$C$4:$C$58</f>
            </numRef>
          </cat>
          <val>
            <numRef>
              <f>'Resultados'!$F$2:$F$58</f>
            </numRef>
          </val>
        </ser>
        <ser>
          <idx val="1"/>
          <order val="1"/>
          <tx>
            <strRef>
              <f>'Resultados'!G1</f>
            </strRef>
          </tx>
          <spPr>
            <a:ln xmlns:a="http://schemas.openxmlformats.org/drawingml/2006/main">
              <a:prstDash val="solid"/>
            </a:ln>
          </spPr>
          <cat>
            <numRef>
              <f>'Resultados'!$C$4:$C$58</f>
            </numRef>
          </cat>
          <val>
            <numRef>
              <f>'Resultados'!$G$2:$G$58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Producto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 (0-100)</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E4 - S linea base y S sensibilidad por producto</a:t>
            </a:r>
          </a:p>
        </rich>
      </tx>
    </title>
    <plotArea>
      <barChart>
        <barDir val="col"/>
        <grouping val="clustered"/>
        <ser>
          <idx val="0"/>
          <order val="0"/>
          <tx>
            <strRef>
              <f>'Resultados'!F1</f>
            </strRef>
          </tx>
          <spPr>
            <a:ln xmlns:a="http://schemas.openxmlformats.org/drawingml/2006/main">
              <a:prstDash val="solid"/>
            </a:ln>
          </spPr>
          <cat>
            <numRef>
              <f>'Resultados'!$C$60:$C$61</f>
            </numRef>
          </cat>
          <val>
            <numRef>
              <f>'Resultados'!$F$2:$F$61</f>
            </numRef>
          </val>
        </ser>
        <ser>
          <idx val="1"/>
          <order val="1"/>
          <tx>
            <strRef>
              <f>'Resultados'!G1</f>
            </strRef>
          </tx>
          <spPr>
            <a:ln xmlns:a="http://schemas.openxmlformats.org/drawingml/2006/main">
              <a:prstDash val="solid"/>
            </a:ln>
          </spPr>
          <cat>
            <numRef>
              <f>'Resultados'!$C$60:$C$61</f>
            </numRef>
          </cat>
          <val>
            <numRef>
              <f>'Resultados'!$G$2:$G$61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Producto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 (0-100)</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E5 - S linea base y S sensibilidad por producto</a:t>
            </a:r>
          </a:p>
        </rich>
      </tx>
    </title>
    <plotArea>
      <barChart>
        <barDir val="col"/>
        <grouping val="clustered"/>
        <ser>
          <idx val="0"/>
          <order val="0"/>
          <tx>
            <strRef>
              <f>'Resultados'!F1</f>
            </strRef>
          </tx>
          <spPr>
            <a:ln xmlns:a="http://schemas.openxmlformats.org/drawingml/2006/main">
              <a:prstDash val="solid"/>
            </a:ln>
          </spPr>
          <cat>
            <numRef>
              <f>'Resultados'!$C$5:$C$59</f>
            </numRef>
          </cat>
          <val>
            <numRef>
              <f>'Resultados'!$F$2:$F$59</f>
            </numRef>
          </val>
        </ser>
        <ser>
          <idx val="1"/>
          <order val="1"/>
          <tx>
            <strRef>
              <f>'Resultados'!G1</f>
            </strRef>
          </tx>
          <spPr>
            <a:ln xmlns:a="http://schemas.openxmlformats.org/drawingml/2006/main">
              <a:prstDash val="solid"/>
            </a:ln>
          </spPr>
          <cat>
            <numRef>
              <f>'Resultados'!$C$5:$C$59</f>
            </numRef>
          </cat>
          <val>
            <numRef>
              <f>'Resultados'!$G$2:$G$59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Producto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 (0-100)</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E6 - S linea base y S sensibilidad por producto</a:t>
            </a:r>
          </a:p>
        </rich>
      </tx>
    </title>
    <plotArea>
      <barChart>
        <barDir val="col"/>
        <grouping val="clustered"/>
        <ser>
          <idx val="0"/>
          <order val="0"/>
          <tx>
            <strRef>
              <f>'Resultados'!F1</f>
            </strRef>
          </tx>
          <spPr>
            <a:ln xmlns:a="http://schemas.openxmlformats.org/drawingml/2006/main">
              <a:prstDash val="solid"/>
            </a:ln>
          </spPr>
          <cat>
            <numRef>
              <f>'Resultados'!$C$6:$C$51</f>
            </numRef>
          </cat>
          <val>
            <numRef>
              <f>'Resultados'!$F$2:$F$51</f>
            </numRef>
          </val>
        </ser>
        <ser>
          <idx val="1"/>
          <order val="1"/>
          <tx>
            <strRef>
              <f>'Resultados'!G1</f>
            </strRef>
          </tx>
          <spPr>
            <a:ln xmlns:a="http://schemas.openxmlformats.org/drawingml/2006/main">
              <a:prstDash val="solid"/>
            </a:ln>
          </spPr>
          <cat>
            <numRef>
              <f>'Resultados'!$C$6:$C$51</f>
            </numRef>
          </cat>
          <val>
            <numRef>
              <f>'Resultados'!$G$2:$G$51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Producto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 (0-100)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2</row>
      <rowOff>0</rowOff>
    </from>
    <ext cx="86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19</row>
      <rowOff>0</rowOff>
    </from>
    <ext cx="86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36</row>
      <rowOff>0</rowOff>
    </from>
    <ext cx="864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53</row>
      <rowOff>0</rowOff>
    </from>
    <ext cx="864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70</row>
      <rowOff>0</rowOff>
    </from>
    <ext cx="864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87</row>
      <rowOff>0</rowOff>
    </from>
    <ext cx="864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ht="30" customHeight="1">
      <c r="A1" s="1" t="inlineStr">
        <is>
          <t>FP-180 — Matriz comparativa y cálculo de resultados (TINV-05 / FP-51)</t>
        </is>
      </c>
    </row>
    <row r="2" ht="30" customHeight="1">
      <c r="A2" s="2" t="inlineStr"/>
    </row>
    <row r="3" ht="30" customHeight="1">
      <c r="A3" s="2" t="inlineStr">
        <is>
          <t>Estado: Motor de cálculo terminado y validado contra el ejemplo sintético de FP-177. Las 17 herramientas de la población de FP-51/FP-179 están investigadas con evidencia real, citada e individual, en sus escenarios elegibles: 5 herramientas cloud nativas (AWS Cost Explorer, AWS Cost Optimization Hub, Azure Cost Management, Google Cloud Billing, Google Cloud FinOps Hub), 6 plataformas multicloud (Cloudability, CloudHealth, CloudZero, Vantage, Finout, nOps), 4 herramientas de Kubernetes (OpenCost, Kubecost, Cast AI, StormForge) y 2 de estimación temprana (Infracost, Cloud Custodian). Documento estructurado con asistencia de IA; queda a validación humana del equipo antes de dar por cumplidos los criterios de término de FP-180.</t>
        </is>
      </c>
    </row>
    <row r="4" ht="30" customHeight="1">
      <c r="A4" s="2" t="inlineStr"/>
    </row>
    <row r="5" ht="30" customHeight="1">
      <c r="A5" s="2" t="inlineStr">
        <is>
          <t>Este libro aplica, como fórmulas reproducibles de Excel, la metodología aprobada en docs/fp-177/metodologia-comparativa-borrador.md y la matriz de indicadores de docs/fp-177/matriz-criterios-y-ponderaciones-borrador.md. No sustituye esos documentos: ante cualquier discrepancia, prevalece el texto aprobado por el equipo.</t>
        </is>
      </c>
    </row>
    <row r="6" ht="30" customHeight="1">
      <c r="A6" s="2" t="inlineStr"/>
    </row>
    <row r="7" ht="30" customHeight="1">
      <c r="A7" s="2" t="inlineStr">
        <is>
          <t>Límite metodológico de esta investigación: la verificación se hizo contra documentación oficial publicada, sin acceso práctico a una cuenta real de AWS/Azure/GCP ni a las consolas de los productos comerciales. Por eso ningún indicador recibe el valor 3: la metodología exige doble evidencia (documentación primaria + estudio independiente, demostración reproducible o verificación práctica del equipo) para ese valor, y aquí solo se dispone de la primera. El equipo puede subir cualquier valor a 3 si aporta esa segunda evidencia.</t>
        </is>
      </c>
    </row>
    <row r="8" ht="30" customHeight="1">
      <c r="A8" s="2" t="inlineStr"/>
    </row>
    <row r="9" ht="30" customHeight="1">
      <c r="A9" s="2" t="inlineStr">
        <is>
          <t>Dos limitaciones puntuales quedan registradas para revisión del equipo: (1) la documentación técnica oficial de IBM Docs para Cloudability devolvió error 403 en todos los intentos de acceso durante esta investigación (2026-09-16); toda su evidencia proviene de páginas comerciales de apptio.com, por lo que, según la propia metodología, ningún indicador de Cloudability supera el valor 1 (ver columna Notas de sus filas). (2) Cloud Custodian está incluido en la población de FP-179 dentro de "herramientas de estimación temprana" (escenario E4), pero la evidencia oficial revisada muestra que es un motor de políticas/remediación sobre recursos YA desplegados, no una herramienta que estime costo antes del despliegue como Infracost; sus indicadores de Precio (P1, P2) y Visibilidad/Asignación se marcaron NA con esa justificación explícita, y se deja anotado por si el equipo prefiere revisar su clasificación en la población.</t>
        </is>
      </c>
    </row>
    <row r="10" ht="30" customHeight="1">
      <c r="A10" s="2" t="inlineStr"/>
    </row>
    <row r="11" ht="30" customHeight="1">
      <c r="A11" s="2" t="inlineStr">
        <is>
          <t>Hojas de este libro:</t>
        </is>
      </c>
    </row>
    <row r="12" ht="30" customHeight="1">
      <c r="A12" s="2" t="inlineStr">
        <is>
          <t xml:space="preserve">  • Pesos — pesos de línea base y de sensibilidad por criterio (editable; todo el cálculo lee de aquí).</t>
        </is>
      </c>
    </row>
    <row r="13" ht="30" customHeight="1">
      <c r="A13" s="2" t="inlineStr">
        <is>
          <t xml:space="preserve">  • Puntuacion — una fila por Escenario x Producto x Indicador. Columnas: Valor (0-3/NE/NA), tipo de evidencia, evidencia, fuente, fecha de verificación y notas. Editar aquí para cargar nueva evidencia.</t>
        </is>
      </c>
    </row>
    <row r="14" ht="30" customHeight="1">
      <c r="A14" s="2" t="inlineStr">
        <is>
          <t xml:space="preserve">  • Calculo — una fila por Escenario x Producto. Calcula C_c por criterio, cobertura, renormalización, S (línea base y sensibilidad), banda e incumplimientos críticos, mediante fórmulas que leen directamente de Puntuacion y Pesos. No escribir valores fijos en esta hoja.</t>
        </is>
      </c>
    </row>
    <row r="15" ht="30" customHeight="1">
      <c r="A15" s="2" t="inlineStr">
        <is>
          <t xml:space="preserve">  • Graficos — gráficos de barras (S por producto y escenario) vinculados a la hoja Calculo.</t>
        </is>
      </c>
    </row>
    <row r="16" ht="30" customHeight="1">
      <c r="A16" s="2" t="inlineStr"/>
    </row>
    <row r="17" ht="30" customHeight="1">
      <c r="A17" s="2" t="inlineStr">
        <is>
          <t>Reglas de puntuación (resumen; ver metodologia-comparativa-borrador.md para el detalle):</t>
        </is>
      </c>
    </row>
    <row r="18" ht="30" customHeight="1">
      <c r="A18" s="2" t="inlineStr">
        <is>
          <t xml:space="preserve">  • Escala 0-3: 0 ausencia/incumplimiento verificado; 1 práctica básica/manual; 2 práctica definida y proactiva; 3 práctica integrada y automatizada con doble evidencia.</t>
        </is>
      </c>
    </row>
    <row r="19" ht="30" customHeight="1">
      <c r="A19" s="2" t="inlineStr">
        <is>
          <t xml:space="preserve">  • NE = no evidenciado (no cero): se excluye del cálculo pero reduce la cobertura del criterio.</t>
        </is>
      </c>
    </row>
    <row r="20" ht="30" customHeight="1">
      <c r="A20" s="2" t="inlineStr">
        <is>
          <t xml:space="preserve">  • NA = no aplicable: requiere justificación previa; excluye el criterio completo y activa renormalización de pesos.</t>
        </is>
      </c>
    </row>
    <row r="21" ht="30" customHeight="1">
      <c r="A21" s="2" t="inlineStr">
        <is>
          <t xml:space="preserve">  • Si la cobertura de un producto-escenario es menor a 70%, el resultado se marca "Insufficient evidence" y no recibe banda.</t>
        </is>
      </c>
    </row>
    <row r="22" ht="30" customHeight="1">
      <c r="A22" s="2" t="inlineStr">
        <is>
          <t xml:space="preserve">  • Bandas (sobre S 0-100, sin redondear): [0,50/3) Insufficient; [50/3,50) Basic; [50,250/3) Solid; [250/3,100] Advanced.</t>
        </is>
      </c>
    </row>
    <row r="23" ht="30" customHeight="1">
      <c r="A23" s="2" t="inlineStr">
        <is>
          <t xml:space="preserve">  • Cada escenario tiene dos criterios críticos (C_c &gt;= 1 exigido); un incumplimiento se informa junto al puntaje, no se oculta con el promedio.</t>
        </is>
      </c>
    </row>
    <row r="24" ht="30" customHeight="1">
      <c r="A24" s="2" t="inlineStr"/>
    </row>
    <row r="25" ht="30" customHeight="1">
      <c r="A25" s="2" t="inlineStr">
        <is>
          <t>Fila «VALIDACION»: no es un producto real. Es el ejemplo sintético «Herramienta Aurora» de la sección 6 de metodologia-comparativa-borrador.md, cargado para comprobar que el motor de cálculo reproduce S=51,85 (línea base) y S=54,00 (sensibilidad). Ver hoja Calculo, última fila.</t>
        </is>
      </c>
    </row>
    <row r="26" ht="30" customHeight="1">
      <c r="A26" s="2" t="inlineStr"/>
    </row>
    <row r="27" ht="30" customHeight="1">
      <c r="A27" s="2" t="inlineStr">
        <is>
          <t>Cruce con los papers académicos de FP-48 (revisión explícita a pedido del equipo): se revisaron los 13 PDF de "FP-48 TINV02/Papers academicos - FP-48/". Solo un paper nombra herramientas de la población de FP-51 -- Manurung y Aji (2025), que registra a 6 organizaciones reales usando AWS Cost Explorer, Cast.ai e Infracost, y encuentra que el 100% carece de showback/chargeback pese a ello. Según la propia metodología de FP-177 ("se excluye inferir resultados de herramientas desde evidencia académica que estudia prácticas... no el producto evaluado"), esa evidencia describe uso y brechas organizacionales, no verifica una capacidad del producto: se registró como nota de contexto en las filas de Puntuacion (columna Notas) para AWS Cost Explorer y se reutilizará para Cast AI / Infracost, pero no cambia ningún puntaje numérico. Los demás 12 papers ya están reflejados en docs/fp-177/ (metodología, criterios y escenarios) y no nombran productos comerciales adicionales.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20" customWidth="1" min="2" max="2"/>
    <col width="22" customWidth="1" min="3" max="3"/>
  </cols>
  <sheetData>
    <row r="1">
      <c r="A1" s="3" t="inlineStr">
        <is>
          <t>Criterio</t>
        </is>
      </c>
      <c r="B1" s="3" t="inlineStr">
        <is>
          <t>Peso linea base (%)</t>
        </is>
      </c>
      <c r="C1" s="3" t="inlineStr">
        <is>
          <t>Peso sensibilidad (%)</t>
        </is>
      </c>
    </row>
    <row r="2">
      <c r="A2" t="inlineStr">
        <is>
          <t>Visibilidad</t>
        </is>
      </c>
      <c r="B2" s="4" t="n">
        <v>11.1111111111</v>
      </c>
      <c r="C2" s="4" t="n">
        <v>15</v>
      </c>
    </row>
    <row r="3">
      <c r="A3" t="inlineStr">
        <is>
          <t>Asignación</t>
        </is>
      </c>
      <c r="B3" s="4" t="n">
        <v>11.1111111111</v>
      </c>
      <c r="C3" s="4" t="n">
        <v>15</v>
      </c>
    </row>
    <row r="4">
      <c r="A4" t="inlineStr">
        <is>
          <t>Optimización</t>
        </is>
      </c>
      <c r="B4" s="4" t="n">
        <v>11.1111111111</v>
      </c>
      <c r="C4" s="4" t="n">
        <v>15</v>
      </c>
    </row>
    <row r="5">
      <c r="A5" t="inlineStr">
        <is>
          <t>Automatización</t>
        </is>
      </c>
      <c r="B5" s="4" t="n">
        <v>11.1111111111</v>
      </c>
      <c r="C5" s="4" t="n">
        <v>10</v>
      </c>
    </row>
    <row r="6">
      <c r="A6" t="inlineStr">
        <is>
          <t>Multicloud</t>
        </is>
      </c>
      <c r="B6" s="4" t="n">
        <v>11.1111111111</v>
      </c>
      <c r="C6" s="4" t="n">
        <v>8</v>
      </c>
    </row>
    <row r="7">
      <c r="A7" t="inlineStr">
        <is>
          <t>Integración</t>
        </is>
      </c>
      <c r="B7" s="4" t="n">
        <v>11.1111111111</v>
      </c>
      <c r="C7" s="4" t="n">
        <v>10</v>
      </c>
    </row>
    <row r="8">
      <c r="A8" t="inlineStr">
        <is>
          <t>Adopción</t>
        </is>
      </c>
      <c r="B8" s="4" t="n">
        <v>11.1111111111</v>
      </c>
      <c r="C8" s="4" t="n">
        <v>8</v>
      </c>
    </row>
    <row r="9">
      <c r="A9" t="inlineStr">
        <is>
          <t>Precio</t>
        </is>
      </c>
      <c r="B9" s="4" t="n">
        <v>11.1111111111</v>
      </c>
      <c r="C9" s="4" t="n">
        <v>12</v>
      </c>
    </row>
    <row r="10">
      <c r="A10" t="inlineStr">
        <is>
          <t>Dependencia</t>
        </is>
      </c>
      <c r="B10" s="4" t="n">
        <v>11.1111111111</v>
      </c>
      <c r="C10" s="4" t="n">
        <v>7</v>
      </c>
    </row>
    <row r="11">
      <c r="A11" t="inlineStr">
        <is>
          <t>Total</t>
        </is>
      </c>
      <c r="B11">
        <f>SUM(B2:B10)</f>
        <v/>
      </c>
      <c r="C11">
        <f>SUM(C2:C10)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99"/>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30" customWidth="1" min="3" max="3"/>
    <col width="14" customWidth="1" min="4" max="4"/>
    <col width="10" customWidth="1" min="5" max="5"/>
    <col width="34" customWidth="1" min="6" max="6"/>
    <col width="14" customWidth="1" min="7" max="7"/>
    <col width="16" customWidth="1" min="8" max="8"/>
    <col width="55" customWidth="1" min="9" max="9"/>
    <col width="40" customWidth="1" min="10" max="10"/>
    <col width="18" customWidth="1" min="11" max="11"/>
    <col width="45" customWidth="1" min="12" max="12"/>
  </cols>
  <sheetData>
    <row r="1">
      <c r="A1" s="3" t="inlineStr">
        <is>
          <t>Escenario</t>
        </is>
      </c>
      <c r="B1" s="3" t="inlineStr">
        <is>
          <t>Categoria</t>
        </is>
      </c>
      <c r="C1" s="3" t="inlineStr">
        <is>
          <t>Producto</t>
        </is>
      </c>
      <c r="D1" s="3" t="inlineStr">
        <is>
          <t>Criterio</t>
        </is>
      </c>
      <c r="E1" s="3" t="inlineStr">
        <is>
          <t>Indicador</t>
        </is>
      </c>
      <c r="F1" s="3" t="inlineStr">
        <is>
          <t>Pregunta observable</t>
        </is>
      </c>
      <c r="G1" s="3" t="inlineStr">
        <is>
          <t>Valor (0-3/NE/NA)</t>
        </is>
      </c>
      <c r="H1" s="3" t="inlineStr">
        <is>
          <t>Tipo de evidencia</t>
        </is>
      </c>
      <c r="I1" s="3" t="inlineStr">
        <is>
          <t>Evidencia</t>
        </is>
      </c>
      <c r="J1" s="3" t="inlineStr">
        <is>
          <t>Fuente</t>
        </is>
      </c>
      <c r="K1" s="3" t="inlineStr">
        <is>
          <t>Fecha de verificacion</t>
        </is>
      </c>
      <c r="L1" s="3" t="inlineStr">
        <is>
          <t>Notas</t>
        </is>
      </c>
    </row>
    <row r="2">
      <c r="A2" t="inlineStr">
        <is>
          <t>E1</t>
        </is>
      </c>
      <c r="B2" t="inlineStr">
        <is>
          <t>Cloud nativa</t>
        </is>
      </c>
      <c r="C2" t="inlineStr">
        <is>
          <t>AWS Cost Explorer</t>
        </is>
      </c>
      <c r="D2" t="inlineStr">
        <is>
          <t>Visibilidad</t>
        </is>
      </c>
      <c r="E2" t="inlineStr">
        <is>
          <t>V1</t>
        </is>
      </c>
      <c r="F2" s="2" t="inlineStr">
        <is>
          <t>¿Desagrega costo y uso por cuenta/proyecto, servicio y período?</t>
        </is>
      </c>
      <c r="G2" t="n">
        <v>2</v>
      </c>
      <c r="H2" t="inlineStr">
        <is>
          <t>Oficial</t>
        </is>
      </c>
      <c r="I2" s="2" t="inlineStr">
        <is>
          <t>Las etiquetas de asignación de costos y las Cost Categories desglosan el gasto por cuenta/proyecto y servicio, y son filtrables en Cost Explorer ("You can also use tags to filter views in Cost Explorer"). La actualización tiene hasta 24 h de latencia, no es en tiempo real.</t>
        </is>
      </c>
      <c r="J2" t="inlineStr">
        <is>
          <t>https://docs.aws.amazon.com/awsaccountbilling/latest/aboutv2/cost-alloc-tags.html</t>
        </is>
      </c>
      <c r="K2" t="inlineStr">
        <is>
          <t>2026-09-16</t>
        </is>
      </c>
      <c r="L2" s="2" t="inlineStr"/>
    </row>
    <row r="3">
      <c r="A3" t="inlineStr">
        <is>
          <t>E1</t>
        </is>
      </c>
      <c r="B3" t="inlineStr">
        <is>
          <t>Cloud nativa</t>
        </is>
      </c>
      <c r="C3" t="inlineStr">
        <is>
          <t>AWS Cost Explorer</t>
        </is>
      </c>
      <c r="D3" t="inlineStr">
        <is>
          <t>Visibilidad</t>
        </is>
      </c>
      <c r="E3" t="inlineStr">
        <is>
          <t>V2</t>
        </is>
      </c>
      <c r="F3" s="2" t="inlineStr">
        <is>
          <t>¿Permite rastrear un total hasta registros o fuente de facturación?</t>
        </is>
      </c>
      <c r="G3" t="n">
        <v>2</v>
      </c>
      <c r="H3" t="inlineStr">
        <is>
          <t>Oficial</t>
        </is>
      </c>
      <c r="I3" s="2" t="inlineStr">
        <is>
          <t>El Cost and Usage Report (CUR) entrega detalle por línea de facturación y "reconciles with the total charges on your Bills page", permitiendo rastrear un total hasta el registro fuente.</t>
        </is>
      </c>
      <c r="J3" t="inlineStr">
        <is>
          <t>https://docs.aws.amazon.com/cur/latest/userguide/what-is-cur.html</t>
        </is>
      </c>
      <c r="K3" t="inlineStr">
        <is>
          <t>2026-09-16</t>
        </is>
      </c>
      <c r="L3" s="2" t="inlineStr"/>
    </row>
    <row r="4">
      <c r="A4" t="inlineStr">
        <is>
          <t>E1</t>
        </is>
      </c>
      <c r="B4" t="inlineStr">
        <is>
          <t>Cloud nativa</t>
        </is>
      </c>
      <c r="C4" t="inlineStr">
        <is>
          <t>AWS Cost Explorer</t>
        </is>
      </c>
      <c r="D4" t="inlineStr">
        <is>
          <t>Asignacion</t>
        </is>
      </c>
      <c r="E4" t="inlineStr">
        <is>
          <t>A1</t>
        </is>
      </c>
      <c r="F4" s="2" t="inlineStr">
        <is>
          <t>¿Calcula gasto asignado/no asignado por responsable, centro o entidad?</t>
        </is>
      </c>
      <c r="G4" t="n">
        <v>2</v>
      </c>
      <c r="H4" t="inlineStr">
        <is>
          <t>Oficial</t>
        </is>
      </c>
      <c r="I4" s="2" t="inlineStr">
        <is>
          <t>Cost Categories es "a cost allocation service to help you map your AWS costs to your unique internal business structures" mediante reglas; expone una categoría de costos no mapeados.</t>
        </is>
      </c>
      <c r="J4" t="inlineStr">
        <is>
          <t>https://docs.aws.amazon.com/awsaccountbilling/latest/aboutv2/manage-cost-categories.html</t>
        </is>
      </c>
      <c r="K4" t="inlineStr">
        <is>
          <t>2026-09-16</t>
        </is>
      </c>
      <c r="L4"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5">
      <c r="A5" t="inlineStr">
        <is>
          <t>E1</t>
        </is>
      </c>
      <c r="B5" t="inlineStr">
        <is>
          <t>Cloud nativa</t>
        </is>
      </c>
      <c r="C5" t="inlineStr">
        <is>
          <t>AWS Cost Explorer</t>
        </is>
      </c>
      <c r="D5" t="inlineStr">
        <is>
          <t>Asignacion</t>
        </is>
      </c>
      <c r="E5" t="inlineStr">
        <is>
          <t>A2</t>
        </is>
      </c>
      <c r="F5" s="2" t="inlineStr">
        <is>
          <t>¿Explicita y aplica reglas para costo compartido/multi-tenant?</t>
        </is>
      </c>
      <c r="G5" t="n">
        <v>2</v>
      </c>
      <c r="H5" t="inlineStr">
        <is>
          <t>Oficial</t>
        </is>
      </c>
      <c r="I5" s="2" t="inlineStr">
        <is>
          <t>Cost Categories admite "Splitting charges within cost categories" (split charge rules) para repartir costos compartidos entre categorías/equipos.</t>
        </is>
      </c>
      <c r="J5" t="inlineStr">
        <is>
          <t>https://docs.aws.amazon.com/awsaccountbilling/latest/aboutv2/manage-cost-categories.html</t>
        </is>
      </c>
      <c r="K5" t="inlineStr">
        <is>
          <t>2026-09-16</t>
        </is>
      </c>
      <c r="L5" s="2" t="inlineStr"/>
    </row>
    <row r="6">
      <c r="A6" t="inlineStr">
        <is>
          <t>E1</t>
        </is>
      </c>
      <c r="B6" t="inlineStr">
        <is>
          <t>Cloud nativa</t>
        </is>
      </c>
      <c r="C6" t="inlineStr">
        <is>
          <t>AWS Cost Explorer</t>
        </is>
      </c>
      <c r="D6" t="inlineStr">
        <is>
          <t>Optimizacion</t>
        </is>
      </c>
      <c r="E6" t="inlineStr">
        <is>
          <t>O1</t>
        </is>
      </c>
      <c r="F6" s="2" t="inlineStr">
        <is>
          <t>¿Detecta desperdicio, rightsizing o compromiso relevante al escenario?</t>
        </is>
      </c>
      <c r="G6" t="n">
        <v>1</v>
      </c>
      <c r="H6" t="inlineStr">
        <is>
          <t>Oficial</t>
        </is>
      </c>
      <c r="I6" s="2" t="inlineStr">
        <is>
          <t>Cost Explorer conserva una vista propia de "rightsizing recommendations" (principalmente EC2), de alcance más acotado que Cost Optimization Hub.</t>
        </is>
      </c>
      <c r="J6" t="inlineStr">
        <is>
          <t>https://docs.aws.amazon.com/cost-management/latest/userguide/ce-rightsizing.html</t>
        </is>
      </c>
      <c r="K6" t="inlineStr">
        <is>
          <t>2026-09-16</t>
        </is>
      </c>
      <c r="L6" s="2" t="inlineStr"/>
    </row>
    <row r="7">
      <c r="A7" t="inlineStr">
        <is>
          <t>E1</t>
        </is>
      </c>
      <c r="B7" t="inlineStr">
        <is>
          <t>Cloud nativa</t>
        </is>
      </c>
      <c r="C7" t="inlineStr">
        <is>
          <t>AWS Cost Explorer</t>
        </is>
      </c>
      <c r="D7" t="inlineStr">
        <is>
          <t>Optimizacion</t>
        </is>
      </c>
      <c r="E7" t="inlineStr">
        <is>
          <t>O2</t>
        </is>
      </c>
      <c r="F7" s="2" t="inlineStr">
        <is>
          <t>¿Explica supuesto/impacto y permite seguir una recomendación?</t>
        </is>
      </c>
      <c r="G7" t="n">
        <v>1</v>
      </c>
      <c r="H7" t="inlineStr">
        <is>
          <t>Oficial</t>
        </is>
      </c>
      <c r="I7" s="2" t="inlineStr">
        <is>
          <t>La vista de rightsizing de Cost Explorer muestra el ahorro estimado por recomendación, sin el ciclo de seguimiento/objetivos que sí documenta Cost Optimization Hub.</t>
        </is>
      </c>
      <c r="J7" t="inlineStr">
        <is>
          <t>https://docs.aws.amazon.com/cost-management/latest/userguide/ce-rightsizing.html</t>
        </is>
      </c>
      <c r="K7" t="inlineStr">
        <is>
          <t>2026-09-16</t>
        </is>
      </c>
      <c r="L7" s="2" t="inlineStr"/>
    </row>
    <row r="8">
      <c r="A8" t="inlineStr">
        <is>
          <t>E1</t>
        </is>
      </c>
      <c r="B8" t="inlineStr">
        <is>
          <t>Cloud nativa</t>
        </is>
      </c>
      <c r="C8" t="inlineStr">
        <is>
          <t>AWS Cost Explorer</t>
        </is>
      </c>
      <c r="D8" t="inlineStr">
        <is>
          <t>Automatizacion</t>
        </is>
      </c>
      <c r="E8" t="inlineStr">
        <is>
          <t>AU1</t>
        </is>
      </c>
      <c r="F8" s="2" t="inlineStr">
        <is>
          <t>¿Ejecuta o bloquea acciones/políticas de costo con control verificable?</t>
        </is>
      </c>
      <c r="G8" t="n">
        <v>2</v>
      </c>
      <c r="H8" t="inlineStr">
        <is>
          <t>Oficial</t>
        </is>
      </c>
      <c r="I8" s="2" t="inlineStr">
        <is>
          <t>AWS Budgets puede ejecutar "budget actions" (política IAM Deny, SCP, detener instancias EC2/RDS) "either automatically or after your manual approval".</t>
        </is>
      </c>
      <c r="J8" t="inlineStr">
        <is>
          <t>https://docs.aws.amazon.com/cost-management/latest/userguide/budgets-controls.html</t>
        </is>
      </c>
      <c r="K8" t="inlineStr">
        <is>
          <t>2026-09-16</t>
        </is>
      </c>
      <c r="L8" s="2" t="inlineStr"/>
    </row>
    <row r="9">
      <c r="A9" t="inlineStr">
        <is>
          <t>E1</t>
        </is>
      </c>
      <c r="B9" t="inlineStr">
        <is>
          <t>Cloud nativa</t>
        </is>
      </c>
      <c r="C9" t="inlineStr">
        <is>
          <t>AWS Cost Explorer</t>
        </is>
      </c>
      <c r="D9" t="inlineStr">
        <is>
          <t>Automatizacion</t>
        </is>
      </c>
      <c r="E9" t="inlineStr">
        <is>
          <t>AU2</t>
        </is>
      </c>
      <c r="F9" s="2" t="inlineStr">
        <is>
          <t>¿Ofrece aprobación, reversión, registro o límites antes de actuar?</t>
        </is>
      </c>
      <c r="G9" t="n">
        <v>2</v>
      </c>
      <c r="H9" t="inlineStr">
        <is>
          <t>Oficial</t>
        </is>
      </c>
      <c r="I9" s="2" t="inlineStr">
        <is>
          <t>Las budget actions permiten exigir aprobación manual antes de ejecutarse. La documentación revisada no detalla registro de auditoría ni mecanismo de reversión explícito (limitación registrada).</t>
        </is>
      </c>
      <c r="J9" t="inlineStr">
        <is>
          <t>https://docs.aws.amazon.com/cost-management/latest/userguide/budgets-controls.html</t>
        </is>
      </c>
      <c r="K9" t="inlineStr">
        <is>
          <t>2026-09-16</t>
        </is>
      </c>
      <c r="L9" s="2" t="inlineStr"/>
    </row>
    <row r="10">
      <c r="A10" t="inlineStr">
        <is>
          <t>E1</t>
        </is>
      </c>
      <c r="B10" t="inlineStr">
        <is>
          <t>Cloud nativa</t>
        </is>
      </c>
      <c r="C10" t="inlineStr">
        <is>
          <t>AWS Cost Explorer</t>
        </is>
      </c>
      <c r="D10" t="inlineStr">
        <is>
          <t>Multicloud</t>
        </is>
      </c>
      <c r="E10" t="inlineStr">
        <is>
          <t>M1</t>
        </is>
      </c>
      <c r="F10" s="2" t="inlineStr">
        <is>
          <t>¿Consolida al menos dos proveedores bajo el mismo esquema declarado?</t>
        </is>
      </c>
      <c r="G10" t="n">
        <v>0</v>
      </c>
      <c r="H10" t="inlineStr">
        <is>
          <t>Oficial</t>
        </is>
      </c>
      <c r="I10" s="2" t="inlineStr">
        <is>
          <t>Cost Explorer y el CUR cubren exclusivamente cuentas y facturación de AWS; no ingieren ni consolidan datos de Azure o GCP.</t>
        </is>
      </c>
      <c r="J10" t="inlineStr">
        <is>
          <t>https://docs.aws.amazon.com/cur/latest/userguide/what-is-cur.html</t>
        </is>
      </c>
      <c r="K10" t="inlineStr">
        <is>
          <t>2026-09-16</t>
        </is>
      </c>
      <c r="L10" s="2" t="inlineStr"/>
    </row>
    <row r="11">
      <c r="A11" t="inlineStr">
        <is>
          <t>E1</t>
        </is>
      </c>
      <c r="B11" t="inlineStr">
        <is>
          <t>Cloud nativa</t>
        </is>
      </c>
      <c r="C11" t="inlineStr">
        <is>
          <t>AWS Cost Explorer</t>
        </is>
      </c>
      <c r="D11" t="inlineStr">
        <is>
          <t>Multicloud</t>
        </is>
      </c>
      <c r="E11" t="inlineStr">
        <is>
          <t>M2</t>
        </is>
      </c>
      <c r="F11" s="2" t="inlineStr">
        <is>
          <t>¿Hace visibles proveedor, cobertura y diferencias semánticas?</t>
        </is>
      </c>
      <c r="G11" t="n">
        <v>0</v>
      </c>
      <c r="H11" t="inlineStr">
        <is>
          <t>Oficial</t>
        </is>
      </c>
      <c r="I11" s="2" t="inlineStr">
        <is>
          <t>Al no consolidar otros proveedores, la herramienta no expone diferencias de cobertura o semántica entre nubes.</t>
        </is>
      </c>
      <c r="J11" t="inlineStr">
        <is>
          <t>https://docs.aws.amazon.com/cur/latest/userguide/what-is-cur.html</t>
        </is>
      </c>
      <c r="K11" t="inlineStr">
        <is>
          <t>2026-09-16</t>
        </is>
      </c>
      <c r="L11" s="2" t="inlineStr"/>
    </row>
    <row r="12">
      <c r="A12" t="inlineStr">
        <is>
          <t>E1</t>
        </is>
      </c>
      <c r="B12" t="inlineStr">
        <is>
          <t>Cloud nativa</t>
        </is>
      </c>
      <c r="C12" t="inlineStr">
        <is>
          <t>AWS Cost Explorer</t>
        </is>
      </c>
      <c r="D12" t="inlineStr">
        <is>
          <t>Integracion</t>
        </is>
      </c>
      <c r="E12" t="inlineStr">
        <is>
          <t>I1</t>
        </is>
      </c>
      <c r="F12" s="2" t="inlineStr">
        <is>
          <t>¿Integra datos requeridos (facturación, uso, clúster o IaC) del escenario?</t>
        </is>
      </c>
      <c r="G12" t="n">
        <v>2</v>
      </c>
      <c r="H12" t="inlineStr">
        <is>
          <t>Oficial</t>
        </is>
      </c>
      <c r="I12" s="2" t="inlineStr">
        <is>
          <t>El CUR/la API de Cost Explorer ingieren datos de facturación y uso de forma automatizada; para EKS, "Split Cost Allocation Data" añade métricas de clúster a nivel de pod/namespace al CUR.</t>
        </is>
      </c>
      <c r="J12" t="inlineStr">
        <is>
          <t>https://aws.amazon.com/about-aws/whats-new/2024/04/aws-split-cost-allocation-data-amazon-eks/</t>
        </is>
      </c>
      <c r="K12" t="inlineStr">
        <is>
          <t>2026-09-16</t>
        </is>
      </c>
      <c r="L12" s="2" t="inlineStr"/>
    </row>
    <row r="13">
      <c r="A13" t="inlineStr">
        <is>
          <t>E1</t>
        </is>
      </c>
      <c r="B13" t="inlineStr">
        <is>
          <t>Cloud nativa</t>
        </is>
      </c>
      <c r="C13" t="inlineStr">
        <is>
          <t>AWS Cost Explorer</t>
        </is>
      </c>
      <c r="D13" t="inlineStr">
        <is>
          <t>Integracion</t>
        </is>
      </c>
      <c r="E13" t="inlineStr">
        <is>
          <t>I2</t>
        </is>
      </c>
      <c r="F13" s="2" t="inlineStr">
        <is>
          <t>¿Se integra con el flujo de trabajo relevante (alerta, ticket, CI/CD o reporte)?</t>
        </is>
      </c>
      <c r="G13" t="n">
        <v>2</v>
      </c>
      <c r="H13" t="inlineStr">
        <is>
          <t>Oficial</t>
        </is>
      </c>
      <c r="I13" s="2" t="inlineStr">
        <is>
          <t>AWS Cost Anomaly Detection y Budgets envían alertas (p. ej., a SNS/correo) integradas a un flujo operativo de revisión.</t>
        </is>
      </c>
      <c r="J13" t="inlineStr">
        <is>
          <t>https://docs.aws.amazon.com/cost-management/latest/userguide/budgets-controls.html</t>
        </is>
      </c>
      <c r="K13" t="inlineStr">
        <is>
          <t>2026-09-16</t>
        </is>
      </c>
      <c r="L13" s="2" t="inlineStr"/>
    </row>
    <row r="14">
      <c r="A14" t="inlineStr">
        <is>
          <t>E1</t>
        </is>
      </c>
      <c r="B14" t="inlineStr">
        <is>
          <t>Cloud nativa</t>
        </is>
      </c>
      <c r="C14" t="inlineStr">
        <is>
          <t>AWS Cost Explorer</t>
        </is>
      </c>
      <c r="D14" t="inlineStr">
        <is>
          <t>Adopcion</t>
        </is>
      </c>
      <c r="E14" t="inlineStr">
        <is>
          <t>AD1</t>
        </is>
      </c>
      <c r="F14" s="2" t="inlineStr">
        <is>
          <t>¿Soporta acceso/entrega para los roles del escenario?</t>
        </is>
      </c>
      <c r="G14" t="n">
        <v>2</v>
      </c>
      <c r="H14" t="inlineStr">
        <is>
          <t>Oficial (control de acceso IAM; pendiente cita directa de la guía de permisos de Billing)</t>
        </is>
      </c>
      <c r="I14" s="2" t="inlineStr">
        <is>
          <t>El acceso a Cost Explorer/Budgets se controla mediante políticas de IAM por usuario/rol (control de acceso estándar de AWS Billing).</t>
        </is>
      </c>
      <c r="J14" t="inlineStr">
        <is>
          <t>https://docs.aws.amazon.com/awsaccountbilling/latest/aboutv2/cost-alloc-tags.html</t>
        </is>
      </c>
      <c r="K14" t="inlineStr">
        <is>
          <t>2026-09-16</t>
        </is>
      </c>
      <c r="L14" s="2" t="inlineStr"/>
    </row>
    <row r="15">
      <c r="A15" t="inlineStr">
        <is>
          <t>E1</t>
        </is>
      </c>
      <c r="B15" t="inlineStr">
        <is>
          <t>Cloud nativa</t>
        </is>
      </c>
      <c r="C15" t="inlineStr">
        <is>
          <t>AWS Cost Explorer</t>
        </is>
      </c>
      <c r="D15" t="inlineStr">
        <is>
          <t>Adopcion</t>
        </is>
      </c>
      <c r="E15" t="inlineStr">
        <is>
          <t>AD2</t>
        </is>
      </c>
      <c r="F15" s="2" t="inlineStr">
        <is>
          <t>¿Ofrece guías, ownership o mecanismos de seguimiento para uso sostenido?</t>
        </is>
      </c>
      <c r="G15" t="n">
        <v>2</v>
      </c>
      <c r="H15" t="inlineStr">
        <is>
          <t>Oficial</t>
        </is>
      </c>
      <c r="I15" s="2" t="inlineStr">
        <is>
          <t>AWS publica guías oficiales de adopción, entre ellas el whitepaper de mejores prácticas de etiquetado y estrategia de asignación de costos.</t>
        </is>
      </c>
      <c r="J15" t="inlineStr">
        <is>
          <t>https://docs.aws.amazon.com/whitepapers/latest/tagging-best-practices/building-a-cost-allocation-strategy.html</t>
        </is>
      </c>
      <c r="K15" t="inlineStr">
        <is>
          <t>2026-09-16</t>
        </is>
      </c>
      <c r="L15"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16">
      <c r="A16" t="inlineStr">
        <is>
          <t>E1</t>
        </is>
      </c>
      <c r="B16" t="inlineStr">
        <is>
          <t>Cloud nativa</t>
        </is>
      </c>
      <c r="C16" t="inlineStr">
        <is>
          <t>AWS Cost Explorer</t>
        </is>
      </c>
      <c r="D16" t="inlineStr">
        <is>
          <t>Precio</t>
        </is>
      </c>
      <c r="E16" t="inlineStr">
        <is>
          <t>P1</t>
        </is>
      </c>
      <c r="F16" s="2" t="inlineStr">
        <is>
          <t>¿Expone precio, moneda, región, unidad, período y supuestos relevantes?</t>
        </is>
      </c>
      <c r="G16" t="n">
        <v>2</v>
      </c>
      <c r="H16" t="inlineStr">
        <is>
          <t>Oficial</t>
        </is>
      </c>
      <c r="I16" s="2" t="inlineStr">
        <is>
          <t>El CUR y los Data Exports FOCUS 1.0/1.2 exponen moneda, período, servicio y columnas estandarizadas de costo (ListCost, ContractedCost, BilledCost, EffectiveCost).</t>
        </is>
      </c>
      <c r="J16" t="inlineStr">
        <is>
          <t>https://aws.amazon.com/about-aws/whats-new/2024/11/aws-billing-cost-management-data-exports-focus-1-0</t>
        </is>
      </c>
      <c r="K16" t="inlineStr">
        <is>
          <t>2026-09-16</t>
        </is>
      </c>
      <c r="L16" s="2" t="inlineStr"/>
    </row>
    <row r="17">
      <c r="A17" t="inlineStr">
        <is>
          <t>E1</t>
        </is>
      </c>
      <c r="B17" t="inlineStr">
        <is>
          <t>Cloud nativa</t>
        </is>
      </c>
      <c r="C17" t="inlineStr">
        <is>
          <t>AWS Cost Explorer</t>
        </is>
      </c>
      <c r="D17" t="inlineStr">
        <is>
          <t>Precio</t>
        </is>
      </c>
      <c r="E17" t="inlineStr">
        <is>
          <t>P2</t>
        </is>
      </c>
      <c r="F17" s="2" t="inlineStr">
        <is>
          <t>¿Permite estimar o comparar componentes sin ocultar límites de equivalencia?</t>
        </is>
      </c>
      <c r="G17" t="n">
        <v>1</v>
      </c>
      <c r="H17" t="inlineStr">
        <is>
          <t>Oficial (pendiente cita directa de la página de forecast)</t>
        </is>
      </c>
      <c r="I17" s="2" t="inlineStr">
        <is>
          <t>Cost Explorer ofrece pronóstico de costo futuro basado en tendencia histórica; no es una calculadora de estimación de componentes antes del despliegue (esa función es de AWS Pricing Calculator, evaluada aparte).</t>
        </is>
      </c>
      <c r="J17" t="inlineStr">
        <is>
          <t>https://docs.aws.amazon.com/cost-management/latest/userguide/ce-what-is.html</t>
        </is>
      </c>
      <c r="K17" t="inlineStr">
        <is>
          <t>2026-09-16</t>
        </is>
      </c>
      <c r="L17" s="2" t="inlineStr"/>
    </row>
    <row r="18">
      <c r="A18" t="inlineStr">
        <is>
          <t>E1</t>
        </is>
      </c>
      <c r="B18" t="inlineStr">
        <is>
          <t>Cloud nativa</t>
        </is>
      </c>
      <c r="C18" t="inlineStr">
        <is>
          <t>AWS Cost Explorer</t>
        </is>
      </c>
      <c r="D18" t="inlineStr">
        <is>
          <t>Dependencia</t>
        </is>
      </c>
      <c r="E18" t="inlineStr">
        <is>
          <t>D1</t>
        </is>
      </c>
      <c r="F18" s="2" t="inlineStr">
        <is>
          <t>¿Exporta datos/resultados en formato utilizable y documentado?</t>
        </is>
      </c>
      <c r="G18" t="n">
        <v>2</v>
      </c>
      <c r="H18" t="inlineStr">
        <is>
          <t>Oficial</t>
        </is>
      </c>
      <c r="I18" s="2" t="inlineStr">
        <is>
          <t>El CUR exporta a S3 en CSV/Parquet y, desde 2024-2025, también en el estándar abierto FOCUS 1.0/1.2.</t>
        </is>
      </c>
      <c r="J18" t="inlineStr">
        <is>
          <t>https://aws.amazon.com/about-aws/whats-new/2024/11/aws-billing-cost-management-data-exports-focus-1-0</t>
        </is>
      </c>
      <c r="K18" t="inlineStr">
        <is>
          <t>2026-09-16</t>
        </is>
      </c>
      <c r="L18" s="2" t="inlineStr"/>
    </row>
    <row r="19">
      <c r="A19" t="inlineStr">
        <is>
          <t>E1</t>
        </is>
      </c>
      <c r="B19" t="inlineStr">
        <is>
          <t>Cloud nativa</t>
        </is>
      </c>
      <c r="C19" t="inlineStr">
        <is>
          <t>AWS Cost Explorer</t>
        </is>
      </c>
      <c r="D19" t="inlineStr">
        <is>
          <t>Dependencia</t>
        </is>
      </c>
      <c r="E19" t="inlineStr">
        <is>
          <t>D2</t>
        </is>
      </c>
      <c r="F19" s="2" t="inlineStr">
        <is>
          <t>¿Documenta dependencias propietarias y un camino de salida/configuración reversible?</t>
        </is>
      </c>
      <c r="G19" t="n">
        <v>1</v>
      </c>
      <c r="H19" t="inlineStr">
        <is>
          <t>Oficial</t>
        </is>
      </c>
      <c r="I19" s="2" t="inlineStr">
        <is>
          <t>No se encontró documentación específica de un "camino de salida" dedicado. El riesgo de dependencia es menor porque los datos son exportables en formato estándar (FOCUS) y el servicio no tiene costo propio, pero no hay guía de reversibilidad dedicada (limitación registrada).</t>
        </is>
      </c>
      <c r="J19" t="inlineStr">
        <is>
          <t>https://aws.amazon.com/about-aws/whats-new/2024/11/aws-billing-cost-management-data-exports-focus-1-0</t>
        </is>
      </c>
      <c r="K19" t="inlineStr">
        <is>
          <t>2026-09-16</t>
        </is>
      </c>
      <c r="L19" s="2" t="inlineStr"/>
    </row>
    <row r="20">
      <c r="A20" t="inlineStr">
        <is>
          <t>E2</t>
        </is>
      </c>
      <c r="B20" t="inlineStr">
        <is>
          <t>Cloud nativa</t>
        </is>
      </c>
      <c r="C20" t="inlineStr">
        <is>
          <t>AWS Cost Explorer</t>
        </is>
      </c>
      <c r="D20" t="inlineStr">
        <is>
          <t>Visibilidad</t>
        </is>
      </c>
      <c r="E20" t="inlineStr">
        <is>
          <t>V1</t>
        </is>
      </c>
      <c r="F20" s="2" t="inlineStr">
        <is>
          <t>¿Desagrega costo y uso por cuenta/proyecto, servicio y período?</t>
        </is>
      </c>
      <c r="G20" t="inlineStr">
        <is>
          <t>NE</t>
        </is>
      </c>
      <c r="H20" t="inlineStr">
        <is>
          <t>Pendiente</t>
        </is>
      </c>
      <c r="I20" s="2" t="inlineStr">
        <is>
          <t>Las etiquetas de asignación de costos y las Cost Categories desglosan el gasto por cuenta/proyecto y servicio, y son filtrables en Cost Explorer ("You can also use tags to filter views in Cost Explorer"). La actualización tiene hasta 24 h de latencia, no es en tiempo real.</t>
        </is>
      </c>
      <c r="J20" t="inlineStr">
        <is>
          <t>https://docs.aws.amazon.com/awsaccountbilling/latest/aboutv2/cost-alloc-tags.html</t>
        </is>
      </c>
      <c r="K20" t="inlineStr">
        <is>
          <t>2026-09-16</t>
        </is>
      </c>
      <c r="L20" s="2" t="inlineStr">
        <is>
          <t>Celda heredada FP-180 (2026-09-16): el valor 2 proviene de la investigacion del escenario E1 y no cuenta con evidencia propia de E2. Segun FP-177 el indicador V1 depende del escenario, por lo que pasa a NE (no evidenciado, reduce cobertura) hasta investigarlo. La evidencia y la fuente originales se conservan como referencia del escenario de origen.</t>
        </is>
      </c>
    </row>
    <row r="21">
      <c r="A21" t="inlineStr">
        <is>
          <t>E2</t>
        </is>
      </c>
      <c r="B21" t="inlineStr">
        <is>
          <t>Cloud nativa</t>
        </is>
      </c>
      <c r="C21" t="inlineStr">
        <is>
          <t>AWS Cost Explorer</t>
        </is>
      </c>
      <c r="D21" t="inlineStr">
        <is>
          <t>Visibilidad</t>
        </is>
      </c>
      <c r="E21" t="inlineStr">
        <is>
          <t>V2</t>
        </is>
      </c>
      <c r="F21" s="2" t="inlineStr">
        <is>
          <t>¿Permite rastrear un total hasta registros o fuente de facturación?</t>
        </is>
      </c>
      <c r="G21" t="n">
        <v>2</v>
      </c>
      <c r="H21" t="inlineStr">
        <is>
          <t>Oficial</t>
        </is>
      </c>
      <c r="I21" s="2" t="inlineStr">
        <is>
          <t>El Cost and Usage Report (CUR) entrega detalle por línea de facturación y "reconciles with the total charges on your Bills page", permitiendo rastrear un total hasta el registro fuente.</t>
        </is>
      </c>
      <c r="J21" t="inlineStr">
        <is>
          <t>https://docs.aws.amazon.com/cur/latest/userguide/what-is-cur.html</t>
        </is>
      </c>
      <c r="K21" t="inlineStr">
        <is>
          <t>2026-09-16</t>
        </is>
      </c>
      <c r="L21" s="2" t="inlineStr"/>
    </row>
    <row r="22">
      <c r="A22" t="inlineStr">
        <is>
          <t>E2</t>
        </is>
      </c>
      <c r="B22" t="inlineStr">
        <is>
          <t>Cloud nativa</t>
        </is>
      </c>
      <c r="C22" t="inlineStr">
        <is>
          <t>AWS Cost Explorer</t>
        </is>
      </c>
      <c r="D22" t="inlineStr">
        <is>
          <t>Asignacion</t>
        </is>
      </c>
      <c r="E22" t="inlineStr">
        <is>
          <t>A1</t>
        </is>
      </c>
      <c r="F22" s="2" t="inlineStr">
        <is>
          <t>¿Calcula gasto asignado/no asignado por responsable, centro o entidad?</t>
        </is>
      </c>
      <c r="G22" t="inlineStr">
        <is>
          <t>NE</t>
        </is>
      </c>
      <c r="H22" t="inlineStr">
        <is>
          <t>Pendiente</t>
        </is>
      </c>
      <c r="I22" s="2" t="inlineStr">
        <is>
          <t>Cost Categories es "a cost allocation service to help you map your AWS costs to your unique internal business structures" mediante reglas; expone una categoría de costos no mapeados.</t>
        </is>
      </c>
      <c r="J22" t="inlineStr">
        <is>
          <t>https://docs.aws.amazon.com/awsaccountbilling/latest/aboutv2/manage-cost-categories.html</t>
        </is>
      </c>
      <c r="K22" t="inlineStr">
        <is>
          <t>2026-09-16</t>
        </is>
      </c>
      <c r="L22"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 | Celda heredada FP-180 (2026-09-16): el valor 2 proviene de la investigacion del escenario E1 y no cuenta con evidencia propia de E2. Segun FP-177 el indicador A1 depende del escenario, por lo que pasa a NE (no evidenciado, reduce cobertura) hasta investigarlo. La evidencia y la fuente originales se conservan como referencia del escenario de origen.</t>
        </is>
      </c>
    </row>
    <row r="23">
      <c r="A23" t="inlineStr">
        <is>
          <t>E2</t>
        </is>
      </c>
      <c r="B23" t="inlineStr">
        <is>
          <t>Cloud nativa</t>
        </is>
      </c>
      <c r="C23" t="inlineStr">
        <is>
          <t>AWS Cost Explorer</t>
        </is>
      </c>
      <c r="D23" t="inlineStr">
        <is>
          <t>Asignacion</t>
        </is>
      </c>
      <c r="E23" t="inlineStr">
        <is>
          <t>A2</t>
        </is>
      </c>
      <c r="F23" s="2" t="inlineStr">
        <is>
          <t>¿Explicita y aplica reglas para costo compartido/multi-tenant?</t>
        </is>
      </c>
      <c r="G23" t="inlineStr">
        <is>
          <t>NE</t>
        </is>
      </c>
      <c r="H23" t="inlineStr">
        <is>
          <t>Pendiente</t>
        </is>
      </c>
      <c r="I23" s="2" t="inlineStr">
        <is>
          <t>Cost Categories admite "Splitting charges within cost categories" (split charge rules) para repartir costos compartidos entre categorías/equipos.</t>
        </is>
      </c>
      <c r="J23" t="inlineStr">
        <is>
          <t>https://docs.aws.amazon.com/awsaccountbilling/latest/aboutv2/manage-cost-categories.html</t>
        </is>
      </c>
      <c r="K23" t="inlineStr">
        <is>
          <t>2026-09-16</t>
        </is>
      </c>
      <c r="L23" s="2" t="inlineStr">
        <is>
          <t>Celda heredada FP-180 (2026-09-16): el valor 2 proviene de la investigacion del escenario E1 y no cuenta con evidencia propia de E2. Segun FP-177 el indicador A2 depende del escenario, por lo que pasa a NE (no evidenciado, reduce cobertura) hasta investigarlo. La evidencia y la fuente originales se conservan como referencia del escenario de origen.</t>
        </is>
      </c>
    </row>
    <row r="24">
      <c r="A24" t="inlineStr">
        <is>
          <t>E2</t>
        </is>
      </c>
      <c r="B24" t="inlineStr">
        <is>
          <t>Cloud nativa</t>
        </is>
      </c>
      <c r="C24" t="inlineStr">
        <is>
          <t>AWS Cost Explorer</t>
        </is>
      </c>
      <c r="D24" t="inlineStr">
        <is>
          <t>Optimizacion</t>
        </is>
      </c>
      <c r="E24" t="inlineStr">
        <is>
          <t>O1</t>
        </is>
      </c>
      <c r="F24" s="2" t="inlineStr">
        <is>
          <t>¿Detecta desperdicio, rightsizing o compromiso relevante al escenario?</t>
        </is>
      </c>
      <c r="G24" t="inlineStr">
        <is>
          <t>NE</t>
        </is>
      </c>
      <c r="H24" t="inlineStr">
        <is>
          <t>Pendiente</t>
        </is>
      </c>
      <c r="I24" s="2" t="inlineStr">
        <is>
          <t>Cost Explorer conserva una vista propia de "rightsizing recommendations" (principalmente EC2), de alcance más acotado que Cost Optimization Hub.</t>
        </is>
      </c>
      <c r="J24" t="inlineStr">
        <is>
          <t>https://docs.aws.amazon.com/cost-management/latest/userguide/ce-rightsizing.html</t>
        </is>
      </c>
      <c r="K24" t="inlineStr">
        <is>
          <t>2026-09-16</t>
        </is>
      </c>
      <c r="L24" s="2" t="inlineStr">
        <is>
          <t>Celda heredada FP-180 (2026-09-16): el valor 1 proviene de la investigacion del escenario E1 y no cuenta con evidencia propia de E2. Segun FP-177 el indicador O1 depende del escenario, por lo que pasa a NE (no evidenciado, reduce cobertura) hasta investigarlo. La evidencia y la fuente originales se conservan como referencia del escenario de origen.</t>
        </is>
      </c>
    </row>
    <row r="25">
      <c r="A25" t="inlineStr">
        <is>
          <t>E2</t>
        </is>
      </c>
      <c r="B25" t="inlineStr">
        <is>
          <t>Cloud nativa</t>
        </is>
      </c>
      <c r="C25" t="inlineStr">
        <is>
          <t>AWS Cost Explorer</t>
        </is>
      </c>
      <c r="D25" t="inlineStr">
        <is>
          <t>Optimizacion</t>
        </is>
      </c>
      <c r="E25" t="inlineStr">
        <is>
          <t>O2</t>
        </is>
      </c>
      <c r="F25" s="2" t="inlineStr">
        <is>
          <t>¿Explica supuesto/impacto y permite seguir una recomendación?</t>
        </is>
      </c>
      <c r="G25" t="n">
        <v>1</v>
      </c>
      <c r="H25" t="inlineStr">
        <is>
          <t>Oficial</t>
        </is>
      </c>
      <c r="I25" s="2" t="inlineStr">
        <is>
          <t>La vista de rightsizing de Cost Explorer muestra el ahorro estimado por recomendación, sin el ciclo de seguimiento/objetivos que sí documenta Cost Optimization Hub.</t>
        </is>
      </c>
      <c r="J25" t="inlineStr">
        <is>
          <t>https://docs.aws.amazon.com/cost-management/latest/userguide/ce-rightsizing.html</t>
        </is>
      </c>
      <c r="K25" t="inlineStr">
        <is>
          <t>2026-09-16</t>
        </is>
      </c>
      <c r="L25" s="2" t="inlineStr"/>
    </row>
    <row r="26">
      <c r="A26" t="inlineStr">
        <is>
          <t>E2</t>
        </is>
      </c>
      <c r="B26" t="inlineStr">
        <is>
          <t>Cloud nativa</t>
        </is>
      </c>
      <c r="C26" t="inlineStr">
        <is>
          <t>AWS Cost Explorer</t>
        </is>
      </c>
      <c r="D26" t="inlineStr">
        <is>
          <t>Automatizacion</t>
        </is>
      </c>
      <c r="E26" t="inlineStr">
        <is>
          <t>AU1</t>
        </is>
      </c>
      <c r="F26" s="2" t="inlineStr">
        <is>
          <t>¿Ejecuta o bloquea acciones/políticas de costo con control verificable?</t>
        </is>
      </c>
      <c r="G26" t="inlineStr">
        <is>
          <t>NE</t>
        </is>
      </c>
      <c r="H26" t="inlineStr">
        <is>
          <t>Pendiente</t>
        </is>
      </c>
      <c r="I26" s="2" t="inlineStr">
        <is>
          <t>AWS Budgets puede ejecutar "budget actions" (política IAM Deny, SCP, detener instancias EC2/RDS) "either automatically or after your manual approval".</t>
        </is>
      </c>
      <c r="J26" t="inlineStr">
        <is>
          <t>https://docs.aws.amazon.com/cost-management/latest/userguide/budgets-controls.html</t>
        </is>
      </c>
      <c r="K26" t="inlineStr">
        <is>
          <t>2026-09-16</t>
        </is>
      </c>
      <c r="L26" s="2" t="inlineStr">
        <is>
          <t>Celda heredada FP-180 (2026-09-16): el valor 2 proviene de la investigacion del escenario E1 y no cuenta con evidencia propia de E2. Segun FP-177 el indicador AU1 depende del escenario, por lo que pasa a NE (no evidenciado, reduce cobertura) hasta investigarlo. La evidencia y la fuente originales se conservan como referencia del escenario de origen.</t>
        </is>
      </c>
    </row>
    <row r="27">
      <c r="A27" t="inlineStr">
        <is>
          <t>E2</t>
        </is>
      </c>
      <c r="B27" t="inlineStr">
        <is>
          <t>Cloud nativa</t>
        </is>
      </c>
      <c r="C27" t="inlineStr">
        <is>
          <t>AWS Cost Explorer</t>
        </is>
      </c>
      <c r="D27" t="inlineStr">
        <is>
          <t>Automatizacion</t>
        </is>
      </c>
      <c r="E27" t="inlineStr">
        <is>
          <t>AU2</t>
        </is>
      </c>
      <c r="F27" s="2" t="inlineStr">
        <is>
          <t>¿Ofrece aprobación, reversión, registro o límites antes de actuar?</t>
        </is>
      </c>
      <c r="G27" t="n">
        <v>2</v>
      </c>
      <c r="H27" t="inlineStr">
        <is>
          <t>Oficial</t>
        </is>
      </c>
      <c r="I27" s="2" t="inlineStr">
        <is>
          <t>Las budget actions permiten exigir aprobación manual antes de ejecutarse. La documentación revisada no detalla registro de auditoría ni mecanismo de reversión explícito (limitación registrada).</t>
        </is>
      </c>
      <c r="J27" t="inlineStr">
        <is>
          <t>https://docs.aws.amazon.com/cost-management/latest/userguide/budgets-controls.html</t>
        </is>
      </c>
      <c r="K27" t="inlineStr">
        <is>
          <t>2026-09-16</t>
        </is>
      </c>
      <c r="L27" s="2" t="inlineStr"/>
    </row>
    <row r="28">
      <c r="A28" t="inlineStr">
        <is>
          <t>E2</t>
        </is>
      </c>
      <c r="B28" t="inlineStr">
        <is>
          <t>Cloud nativa</t>
        </is>
      </c>
      <c r="C28" t="inlineStr">
        <is>
          <t>AWS Cost Explorer</t>
        </is>
      </c>
      <c r="D28" t="inlineStr">
        <is>
          <t>Multicloud</t>
        </is>
      </c>
      <c r="E28" t="inlineStr">
        <is>
          <t>M1</t>
        </is>
      </c>
      <c r="F28" s="2" t="inlineStr">
        <is>
          <t>¿Consolida al menos dos proveedores bajo el mismo esquema declarado?</t>
        </is>
      </c>
      <c r="G28" t="n">
        <v>0</v>
      </c>
      <c r="H28" t="inlineStr">
        <is>
          <t>Oficial</t>
        </is>
      </c>
      <c r="I28" s="2" t="inlineStr">
        <is>
          <t>Cost Explorer y el CUR cubren exclusivamente cuentas y facturación de AWS; no ingieren ni consolidan datos de Azure o GCP.</t>
        </is>
      </c>
      <c r="J28" t="inlineStr">
        <is>
          <t>https://docs.aws.amazon.com/cur/latest/userguide/what-is-cur.html</t>
        </is>
      </c>
      <c r="K28" t="inlineStr">
        <is>
          <t>2026-09-16</t>
        </is>
      </c>
      <c r="L28" s="2" t="inlineStr"/>
    </row>
    <row r="29">
      <c r="A29" t="inlineStr">
        <is>
          <t>E2</t>
        </is>
      </c>
      <c r="B29" t="inlineStr">
        <is>
          <t>Cloud nativa</t>
        </is>
      </c>
      <c r="C29" t="inlineStr">
        <is>
          <t>AWS Cost Explorer</t>
        </is>
      </c>
      <c r="D29" t="inlineStr">
        <is>
          <t>Multicloud</t>
        </is>
      </c>
      <c r="E29" t="inlineStr">
        <is>
          <t>M2</t>
        </is>
      </c>
      <c r="F29" s="2" t="inlineStr">
        <is>
          <t>¿Hace visibles proveedor, cobertura y diferencias semánticas?</t>
        </is>
      </c>
      <c r="G29" t="n">
        <v>0</v>
      </c>
      <c r="H29" t="inlineStr">
        <is>
          <t>Oficial</t>
        </is>
      </c>
      <c r="I29" s="2" t="inlineStr">
        <is>
          <t>Al no consolidar otros proveedores, la herramienta no expone diferencias de cobertura o semántica entre nubes.</t>
        </is>
      </c>
      <c r="J29" t="inlineStr">
        <is>
          <t>https://docs.aws.amazon.com/cur/latest/userguide/what-is-cur.html</t>
        </is>
      </c>
      <c r="K29" t="inlineStr">
        <is>
          <t>2026-09-16</t>
        </is>
      </c>
      <c r="L29" s="2" t="inlineStr"/>
    </row>
    <row r="30">
      <c r="A30" t="inlineStr">
        <is>
          <t>E2</t>
        </is>
      </c>
      <c r="B30" t="inlineStr">
        <is>
          <t>Cloud nativa</t>
        </is>
      </c>
      <c r="C30" t="inlineStr">
        <is>
          <t>AWS Cost Explorer</t>
        </is>
      </c>
      <c r="D30" t="inlineStr">
        <is>
          <t>Integracion</t>
        </is>
      </c>
      <c r="E30" t="inlineStr">
        <is>
          <t>I1</t>
        </is>
      </c>
      <c r="F30" s="2" t="inlineStr">
        <is>
          <t>¿Integra datos requeridos (facturación, uso, clúster o IaC) del escenario?</t>
        </is>
      </c>
      <c r="G30" t="inlineStr">
        <is>
          <t>NE</t>
        </is>
      </c>
      <c r="H30" t="inlineStr">
        <is>
          <t>Pendiente</t>
        </is>
      </c>
      <c r="I30" s="2" t="inlineStr">
        <is>
          <t>El CUR/la API de Cost Explorer ingieren datos de facturación y uso de forma automatizada; para EKS, "Split Cost Allocation Data" añade métricas de clúster a nivel de pod/namespace al CUR.</t>
        </is>
      </c>
      <c r="J30" t="inlineStr">
        <is>
          <t>https://aws.amazon.com/about-aws/whats-new/2024/04/aws-split-cost-allocation-data-amazon-eks/</t>
        </is>
      </c>
      <c r="K30" t="inlineStr">
        <is>
          <t>2026-09-16</t>
        </is>
      </c>
      <c r="L30" s="2" t="inlineStr">
        <is>
          <t>Celda heredada FP-180 (2026-09-16): el valor 2 proviene de la investigacion del escenario E1 y no cuenta con evidencia propia de E2. Segun FP-177 el indicador I1 depende del escenario, por lo que pasa a NE (no evidenciado, reduce cobertura) hasta investigarlo. La evidencia y la fuente originales se conservan como referencia del escenario de origen.</t>
        </is>
      </c>
    </row>
    <row r="31">
      <c r="A31" t="inlineStr">
        <is>
          <t>E2</t>
        </is>
      </c>
      <c r="B31" t="inlineStr">
        <is>
          <t>Cloud nativa</t>
        </is>
      </c>
      <c r="C31" t="inlineStr">
        <is>
          <t>AWS Cost Explorer</t>
        </is>
      </c>
      <c r="D31" t="inlineStr">
        <is>
          <t>Integracion</t>
        </is>
      </c>
      <c r="E31" t="inlineStr">
        <is>
          <t>I2</t>
        </is>
      </c>
      <c r="F31" s="2" t="inlineStr">
        <is>
          <t>¿Se integra con el flujo de trabajo relevante (alerta, ticket, CI/CD o reporte)?</t>
        </is>
      </c>
      <c r="G31" t="inlineStr">
        <is>
          <t>NE</t>
        </is>
      </c>
      <c r="H31" t="inlineStr">
        <is>
          <t>Pendiente</t>
        </is>
      </c>
      <c r="I31" s="2" t="inlineStr">
        <is>
          <t>AWS Cost Anomaly Detection y Budgets envían alertas (p. ej., a SNS/correo) integradas a un flujo operativo de revisión.</t>
        </is>
      </c>
      <c r="J31" t="inlineStr">
        <is>
          <t>https://docs.aws.amazon.com/cost-management/latest/userguide/budgets-controls.html</t>
        </is>
      </c>
      <c r="K31" t="inlineStr">
        <is>
          <t>2026-09-16</t>
        </is>
      </c>
      <c r="L31" s="2" t="inlineStr">
        <is>
          <t>Celda heredada FP-180 (2026-09-16): el valor 2 proviene de la investigacion del escenario E1 y no cuenta con evidencia propia de E2. Segun FP-177 el indicador I2 depende del escenario, por lo que pasa a NE (no evidenciado, reduce cobertura) hasta investigarlo. La evidencia y la fuente originales se conservan como referencia del escenario de origen.</t>
        </is>
      </c>
    </row>
    <row r="32">
      <c r="A32" t="inlineStr">
        <is>
          <t>E2</t>
        </is>
      </c>
      <c r="B32" t="inlineStr">
        <is>
          <t>Cloud nativa</t>
        </is>
      </c>
      <c r="C32" t="inlineStr">
        <is>
          <t>AWS Cost Explorer</t>
        </is>
      </c>
      <c r="D32" t="inlineStr">
        <is>
          <t>Adopcion</t>
        </is>
      </c>
      <c r="E32" t="inlineStr">
        <is>
          <t>AD1</t>
        </is>
      </c>
      <c r="F32" s="2" t="inlineStr">
        <is>
          <t>¿Soporta acceso/entrega para los roles del escenario?</t>
        </is>
      </c>
      <c r="G32" t="inlineStr">
        <is>
          <t>NE</t>
        </is>
      </c>
      <c r="H32" t="inlineStr">
        <is>
          <t>Pendiente</t>
        </is>
      </c>
      <c r="I32" s="2" t="inlineStr">
        <is>
          <t>El acceso a Cost Explorer/Budgets se controla mediante políticas de IAM por usuario/rol (control de acceso estándar de AWS Billing).</t>
        </is>
      </c>
      <c r="J32" t="inlineStr">
        <is>
          <t>https://docs.aws.amazon.com/awsaccountbilling/latest/aboutv2/cost-alloc-tags.html</t>
        </is>
      </c>
      <c r="K32" t="inlineStr">
        <is>
          <t>2026-09-16</t>
        </is>
      </c>
      <c r="L32" s="2" t="inlineStr">
        <is>
          <t>Celda heredada FP-180 (2026-09-16): el valor 2 proviene de la investigacion del escenario E1 y no cuenta con evidencia propia de E2. Segun FP-177 el indicador AD1 depende del escenario, por lo que pasa a NE (no evidenciado, reduce cobertura) hasta investigarlo. La evidencia y la fuente originales se conservan como referencia del escenario de origen.</t>
        </is>
      </c>
    </row>
    <row r="33">
      <c r="A33" t="inlineStr">
        <is>
          <t>E2</t>
        </is>
      </c>
      <c r="B33" t="inlineStr">
        <is>
          <t>Cloud nativa</t>
        </is>
      </c>
      <c r="C33" t="inlineStr">
        <is>
          <t>AWS Cost Explorer</t>
        </is>
      </c>
      <c r="D33" t="inlineStr">
        <is>
          <t>Adopcion</t>
        </is>
      </c>
      <c r="E33" t="inlineStr">
        <is>
          <t>AD2</t>
        </is>
      </c>
      <c r="F33" s="2" t="inlineStr">
        <is>
          <t>¿Ofrece guías, ownership o mecanismos de seguimiento para uso sostenido?</t>
        </is>
      </c>
      <c r="G33" t="n">
        <v>2</v>
      </c>
      <c r="H33" t="inlineStr">
        <is>
          <t>Oficial</t>
        </is>
      </c>
      <c r="I33" s="2" t="inlineStr">
        <is>
          <t>AWS publica guías oficiales de adopción, entre ellas el whitepaper de mejores prácticas de etiquetado y estrategia de asignación de costos.</t>
        </is>
      </c>
      <c r="J33" t="inlineStr">
        <is>
          <t>https://docs.aws.amazon.com/whitepapers/latest/tagging-best-practices/building-a-cost-allocation-strategy.html</t>
        </is>
      </c>
      <c r="K33" t="inlineStr">
        <is>
          <t>2026-09-16</t>
        </is>
      </c>
      <c r="L33"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34">
      <c r="A34" t="inlineStr">
        <is>
          <t>E2</t>
        </is>
      </c>
      <c r="B34" t="inlineStr">
        <is>
          <t>Cloud nativa</t>
        </is>
      </c>
      <c r="C34" t="inlineStr">
        <is>
          <t>AWS Cost Explorer</t>
        </is>
      </c>
      <c r="D34" t="inlineStr">
        <is>
          <t>Precio</t>
        </is>
      </c>
      <c r="E34" t="inlineStr">
        <is>
          <t>P1</t>
        </is>
      </c>
      <c r="F34" s="2" t="inlineStr">
        <is>
          <t>¿Expone precio, moneda, región, unidad, período y supuestos relevantes?</t>
        </is>
      </c>
      <c r="G34" t="n">
        <v>2</v>
      </c>
      <c r="H34" t="inlineStr">
        <is>
          <t>Oficial</t>
        </is>
      </c>
      <c r="I34" s="2" t="inlineStr">
        <is>
          <t>El CUR y los Data Exports FOCUS 1.0/1.2 exponen moneda, período, servicio y columnas estandarizadas de costo (ListCost, ContractedCost, BilledCost, EffectiveCost).</t>
        </is>
      </c>
      <c r="J34" t="inlineStr">
        <is>
          <t>https://aws.amazon.com/about-aws/whats-new/2024/11/aws-billing-cost-management-data-exports-focus-1-0</t>
        </is>
      </c>
      <c r="K34" t="inlineStr">
        <is>
          <t>2026-09-16</t>
        </is>
      </c>
      <c r="L34" s="2" t="inlineStr"/>
    </row>
    <row r="35">
      <c r="A35" t="inlineStr">
        <is>
          <t>E2</t>
        </is>
      </c>
      <c r="B35" t="inlineStr">
        <is>
          <t>Cloud nativa</t>
        </is>
      </c>
      <c r="C35" t="inlineStr">
        <is>
          <t>AWS Cost Explorer</t>
        </is>
      </c>
      <c r="D35" t="inlineStr">
        <is>
          <t>Precio</t>
        </is>
      </c>
      <c r="E35" t="inlineStr">
        <is>
          <t>P2</t>
        </is>
      </c>
      <c r="F35" s="2" t="inlineStr">
        <is>
          <t>¿Permite estimar o comparar componentes sin ocultar límites de equivalencia?</t>
        </is>
      </c>
      <c r="G35" t="inlineStr">
        <is>
          <t>NE</t>
        </is>
      </c>
      <c r="H35" t="inlineStr">
        <is>
          <t>Pendiente</t>
        </is>
      </c>
      <c r="I35" s="2" t="inlineStr">
        <is>
          <t>Cost Explorer ofrece pronóstico de costo futuro basado en tendencia histórica; no es una calculadora de estimación de componentes antes del despliegue (esa función es de AWS Pricing Calculator, evaluada aparte).</t>
        </is>
      </c>
      <c r="J35" t="inlineStr">
        <is>
          <t>https://docs.aws.amazon.com/cost-management/latest/userguide/ce-what-is.html</t>
        </is>
      </c>
      <c r="K35" t="inlineStr">
        <is>
          <t>2026-09-16</t>
        </is>
      </c>
      <c r="L35" s="2" t="inlineStr">
        <is>
          <t>Celda heredada FP-180 (2026-09-16): el valor 1 proviene de la investigacion del escenario E1 y no cuenta con evidencia propia de E2. Segun FP-177 el indicador P2 depende del escenario, por lo que pasa a NE (no evidenciado, reduce cobertura) hasta investigarlo. La evidencia y la fuente originales se conservan como referencia del escenario de origen.</t>
        </is>
      </c>
    </row>
    <row r="36">
      <c r="A36" t="inlineStr">
        <is>
          <t>E2</t>
        </is>
      </c>
      <c r="B36" t="inlineStr">
        <is>
          <t>Cloud nativa</t>
        </is>
      </c>
      <c r="C36" t="inlineStr">
        <is>
          <t>AWS Cost Explorer</t>
        </is>
      </c>
      <c r="D36" t="inlineStr">
        <is>
          <t>Dependencia</t>
        </is>
      </c>
      <c r="E36" t="inlineStr">
        <is>
          <t>D1</t>
        </is>
      </c>
      <c r="F36" s="2" t="inlineStr">
        <is>
          <t>¿Exporta datos/resultados en formato utilizable y documentado?</t>
        </is>
      </c>
      <c r="G36" t="n">
        <v>2</v>
      </c>
      <c r="H36" t="inlineStr">
        <is>
          <t>Oficial</t>
        </is>
      </c>
      <c r="I36" s="2" t="inlineStr">
        <is>
          <t>El CUR exporta a S3 en CSV/Parquet y, desde 2024-2025, también en el estándar abierto FOCUS 1.0/1.2.</t>
        </is>
      </c>
      <c r="J36" t="inlineStr">
        <is>
          <t>https://aws.amazon.com/about-aws/whats-new/2024/11/aws-billing-cost-management-data-exports-focus-1-0</t>
        </is>
      </c>
      <c r="K36" t="inlineStr">
        <is>
          <t>2026-09-16</t>
        </is>
      </c>
      <c r="L36" s="2" t="inlineStr"/>
    </row>
    <row r="37">
      <c r="A37" t="inlineStr">
        <is>
          <t>E2</t>
        </is>
      </c>
      <c r="B37" t="inlineStr">
        <is>
          <t>Cloud nativa</t>
        </is>
      </c>
      <c r="C37" t="inlineStr">
        <is>
          <t>AWS Cost Explorer</t>
        </is>
      </c>
      <c r="D37" t="inlineStr">
        <is>
          <t>Dependencia</t>
        </is>
      </c>
      <c r="E37" t="inlineStr">
        <is>
          <t>D2</t>
        </is>
      </c>
      <c r="F37" s="2" t="inlineStr">
        <is>
          <t>¿Documenta dependencias propietarias y un camino de salida/configuración reversible?</t>
        </is>
      </c>
      <c r="G37" t="n">
        <v>1</v>
      </c>
      <c r="H37" t="inlineStr">
        <is>
          <t>Oficial</t>
        </is>
      </c>
      <c r="I37" s="2" t="inlineStr">
        <is>
          <t>No se encontró documentación específica de un "camino de salida" dedicado. El riesgo de dependencia es menor porque los datos son exportables en formato estándar (FOCUS) y el servicio no tiene costo propio, pero no hay guía de reversibilidad dedicada (limitación registrada).</t>
        </is>
      </c>
      <c r="J37" t="inlineStr">
        <is>
          <t>https://aws.amazon.com/about-aws/whats-new/2024/11/aws-billing-cost-management-data-exports-focus-1-0</t>
        </is>
      </c>
      <c r="K37" t="inlineStr">
        <is>
          <t>2026-09-16</t>
        </is>
      </c>
      <c r="L37" s="2" t="inlineStr"/>
    </row>
    <row r="38">
      <c r="A38" t="inlineStr">
        <is>
          <t>E3</t>
        </is>
      </c>
      <c r="B38" t="inlineStr">
        <is>
          <t>Cloud nativa</t>
        </is>
      </c>
      <c r="C38" t="inlineStr">
        <is>
          <t>AWS Cost Explorer</t>
        </is>
      </c>
      <c r="D38" t="inlineStr">
        <is>
          <t>Visibilidad</t>
        </is>
      </c>
      <c r="E38" t="inlineStr">
        <is>
          <t>V1</t>
        </is>
      </c>
      <c r="F38" s="2" t="inlineStr">
        <is>
          <t>¿Desagrega costo y uso por cuenta/proyecto, servicio y período?</t>
        </is>
      </c>
      <c r="G38" t="inlineStr">
        <is>
          <t>NE</t>
        </is>
      </c>
      <c r="H38" t="inlineStr">
        <is>
          <t>Pendiente</t>
        </is>
      </c>
      <c r="I38" s="2" t="inlineStr">
        <is>
          <t>Las etiquetas de asignación de costos y las Cost Categories desglosan el gasto por cuenta/proyecto y servicio, y son filtrables en Cost Explorer ("You can also use tags to filter views in Cost Explorer"). La actualización tiene hasta 24 h de latencia, no es en tiempo real.</t>
        </is>
      </c>
      <c r="J38" t="inlineStr">
        <is>
          <t>https://docs.aws.amazon.com/awsaccountbilling/latest/aboutv2/cost-alloc-tags.html</t>
        </is>
      </c>
      <c r="K38" t="inlineStr">
        <is>
          <t>2026-09-16</t>
        </is>
      </c>
      <c r="L38"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V1 depende del escenario, por lo que pasa a NE (no evidenciado, reduce cobertura) hasta investigarlo. La evidencia y la fuente originales se conservan como referencia del escenario de origen.</t>
        </is>
      </c>
    </row>
    <row r="39">
      <c r="A39" t="inlineStr">
        <is>
          <t>E3</t>
        </is>
      </c>
      <c r="B39" t="inlineStr">
        <is>
          <t>Cloud nativa</t>
        </is>
      </c>
      <c r="C39" t="inlineStr">
        <is>
          <t>AWS Cost Explorer</t>
        </is>
      </c>
      <c r="D39" t="inlineStr">
        <is>
          <t>Visibilidad</t>
        </is>
      </c>
      <c r="E39" t="inlineStr">
        <is>
          <t>V2</t>
        </is>
      </c>
      <c r="F39" s="2" t="inlineStr">
        <is>
          <t>¿Permite rastrear un total hasta registros o fuente de facturación?</t>
        </is>
      </c>
      <c r="G39" t="n">
        <v>2</v>
      </c>
      <c r="H39" t="inlineStr">
        <is>
          <t>Oficial</t>
        </is>
      </c>
      <c r="I39" s="2" t="inlineStr">
        <is>
          <t>El Cost and Usage Report (CUR) entrega detalle por línea de facturación y "reconciles with the total charges on your Bills page", permitiendo rastrear un total hasta el registro fuente.</t>
        </is>
      </c>
      <c r="J39" t="inlineStr">
        <is>
          <t>https://docs.aws.amazon.com/cur/latest/userguide/what-is-cur.html</t>
        </is>
      </c>
      <c r="K39" t="inlineStr">
        <is>
          <t>2026-09-16</t>
        </is>
      </c>
      <c r="L39"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40">
      <c r="A40" t="inlineStr">
        <is>
          <t>E3</t>
        </is>
      </c>
      <c r="B40" t="inlineStr">
        <is>
          <t>Cloud nativa</t>
        </is>
      </c>
      <c r="C40" t="inlineStr">
        <is>
          <t>AWS Cost Explorer</t>
        </is>
      </c>
      <c r="D40" t="inlineStr">
        <is>
          <t>Asignacion</t>
        </is>
      </c>
      <c r="E40" t="inlineStr">
        <is>
          <t>A1</t>
        </is>
      </c>
      <c r="F40" s="2" t="inlineStr">
        <is>
          <t>¿Calcula gasto asignado/no asignado por responsable, centro o entidad?</t>
        </is>
      </c>
      <c r="G40" t="inlineStr">
        <is>
          <t>NE</t>
        </is>
      </c>
      <c r="H40" t="inlineStr">
        <is>
          <t>Pendiente</t>
        </is>
      </c>
      <c r="I40" s="2" t="inlineStr">
        <is>
          <t>Cost Categories es "a cost allocation service to help you map your AWS costs to your unique internal business structures" mediante reglas; expone una categoría de costos no mapeados.</t>
        </is>
      </c>
      <c r="J40" t="inlineStr">
        <is>
          <t>https://docs.aws.amazon.com/awsaccountbilling/latest/aboutv2/manage-cost-categories.html</t>
        </is>
      </c>
      <c r="K40" t="inlineStr">
        <is>
          <t>2026-09-16</t>
        </is>
      </c>
      <c r="L40"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 | Celda heredada FP-180 (2026-09-16): el valor 2 proviene de la investigacion del escenario E1 y no cuenta con evidencia propia de E3. Segun FP-177 el indicador A1 depende del escenario, por lo que pasa a NE (no evidenciado, reduce cobertura) hasta investigarlo. La evidencia y la fuente originales se conservan como referencia del escenario de origen.</t>
        </is>
      </c>
    </row>
    <row r="41">
      <c r="A41" t="inlineStr">
        <is>
          <t>E3</t>
        </is>
      </c>
      <c r="B41" t="inlineStr">
        <is>
          <t>Cloud nativa</t>
        </is>
      </c>
      <c r="C41" t="inlineStr">
        <is>
          <t>AWS Cost Explorer</t>
        </is>
      </c>
      <c r="D41" t="inlineStr">
        <is>
          <t>Asignacion</t>
        </is>
      </c>
      <c r="E41" t="inlineStr">
        <is>
          <t>A2</t>
        </is>
      </c>
      <c r="F41" s="2" t="inlineStr">
        <is>
          <t>¿Explicita y aplica reglas para costo compartido/multi-tenant?</t>
        </is>
      </c>
      <c r="G41" t="inlineStr">
        <is>
          <t>NE</t>
        </is>
      </c>
      <c r="H41" t="inlineStr">
        <is>
          <t>Pendiente</t>
        </is>
      </c>
      <c r="I41" s="2" t="inlineStr">
        <is>
          <t>Cost Categories admite "Splitting charges within cost categories" (split charge rules) para repartir costos compartidos entre categorías/equipos.</t>
        </is>
      </c>
      <c r="J41" t="inlineStr">
        <is>
          <t>https://docs.aws.amazon.com/awsaccountbilling/latest/aboutv2/manage-cost-categories.html</t>
        </is>
      </c>
      <c r="K41" t="inlineStr">
        <is>
          <t>2026-09-16</t>
        </is>
      </c>
      <c r="L41"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A2 depende del escenario, por lo que pasa a NE (no evidenciado, reduce cobertura) hasta investigarlo. La evidencia y la fuente originales se conservan como referencia del escenario de origen.</t>
        </is>
      </c>
    </row>
    <row r="42">
      <c r="A42" t="inlineStr">
        <is>
          <t>E3</t>
        </is>
      </c>
      <c r="B42" t="inlineStr">
        <is>
          <t>Cloud nativa</t>
        </is>
      </c>
      <c r="C42" t="inlineStr">
        <is>
          <t>AWS Cost Explorer</t>
        </is>
      </c>
      <c r="D42" t="inlineStr">
        <is>
          <t>Optimizacion</t>
        </is>
      </c>
      <c r="E42" t="inlineStr">
        <is>
          <t>O1</t>
        </is>
      </c>
      <c r="F42" s="2" t="inlineStr">
        <is>
          <t>¿Detecta desperdicio, rightsizing o compromiso relevante al escenario?</t>
        </is>
      </c>
      <c r="G42" t="inlineStr">
        <is>
          <t>NE</t>
        </is>
      </c>
      <c r="H42" t="inlineStr">
        <is>
          <t>Pendiente</t>
        </is>
      </c>
      <c r="I42" s="2" t="inlineStr">
        <is>
          <t>Cost Explorer conserva una vista propia de "rightsizing recommendations" (principalmente EC2), de alcance más acotado que Cost Optimization Hub.</t>
        </is>
      </c>
      <c r="J42" t="inlineStr">
        <is>
          <t>https://docs.aws.amazon.com/cost-management/latest/userguide/ce-rightsizing.html</t>
        </is>
      </c>
      <c r="K42" t="inlineStr">
        <is>
          <t>2026-09-16</t>
        </is>
      </c>
      <c r="L42"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1 proviene de la investigacion del escenario E1 y no cuenta con evidencia propia de E3. Segun FP-177 el indicador O1 depende del escenario, por lo que pasa a NE (no evidenciado, reduce cobertura) hasta investigarlo. La evidencia y la fuente originales se conservan como referencia del escenario de origen.</t>
        </is>
      </c>
    </row>
    <row r="43">
      <c r="A43" t="inlineStr">
        <is>
          <t>E3</t>
        </is>
      </c>
      <c r="B43" t="inlineStr">
        <is>
          <t>Cloud nativa</t>
        </is>
      </c>
      <c r="C43" t="inlineStr">
        <is>
          <t>AWS Cost Explorer</t>
        </is>
      </c>
      <c r="D43" t="inlineStr">
        <is>
          <t>Optimizacion</t>
        </is>
      </c>
      <c r="E43" t="inlineStr">
        <is>
          <t>O2</t>
        </is>
      </c>
      <c r="F43" s="2" t="inlineStr">
        <is>
          <t>¿Explica supuesto/impacto y permite seguir una recomendación?</t>
        </is>
      </c>
      <c r="G43" t="n">
        <v>1</v>
      </c>
      <c r="H43" t="inlineStr">
        <is>
          <t>Oficial</t>
        </is>
      </c>
      <c r="I43" s="2" t="inlineStr">
        <is>
          <t>La vista de rightsizing de Cost Explorer muestra el ahorro estimado por recomendación, sin el ciclo de seguimiento/objetivos que sí documenta Cost Optimization Hub.</t>
        </is>
      </c>
      <c r="J43" t="inlineStr">
        <is>
          <t>https://docs.aws.amazon.com/cost-management/latest/userguide/ce-rightsizing.html</t>
        </is>
      </c>
      <c r="K43" t="inlineStr">
        <is>
          <t>2026-09-16</t>
        </is>
      </c>
      <c r="L43"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44">
      <c r="A44" t="inlineStr">
        <is>
          <t>E3</t>
        </is>
      </c>
      <c r="B44" t="inlineStr">
        <is>
          <t>Cloud nativa</t>
        </is>
      </c>
      <c r="C44" t="inlineStr">
        <is>
          <t>AWS Cost Explorer</t>
        </is>
      </c>
      <c r="D44" t="inlineStr">
        <is>
          <t>Automatizacion</t>
        </is>
      </c>
      <c r="E44" t="inlineStr">
        <is>
          <t>AU1</t>
        </is>
      </c>
      <c r="F44" s="2" t="inlineStr">
        <is>
          <t>¿Ejecuta o bloquea acciones/políticas de costo con control verificable?</t>
        </is>
      </c>
      <c r="G44" t="inlineStr">
        <is>
          <t>NE</t>
        </is>
      </c>
      <c r="H44" t="inlineStr">
        <is>
          <t>Pendiente</t>
        </is>
      </c>
      <c r="I44" s="2" t="inlineStr">
        <is>
          <t>AWS Budgets puede ejecutar "budget actions" (política IAM Deny, SCP, detener instancias EC2/RDS) "either automatically or after your manual approval".</t>
        </is>
      </c>
      <c r="J44" t="inlineStr">
        <is>
          <t>https://docs.aws.amazon.com/cost-management/latest/userguide/budgets-controls.html</t>
        </is>
      </c>
      <c r="K44" t="inlineStr">
        <is>
          <t>2026-09-16</t>
        </is>
      </c>
      <c r="L44"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AU1 depende del escenario, por lo que pasa a NE (no evidenciado, reduce cobertura) hasta investigarlo. La evidencia y la fuente originales se conservan como referencia del escenario de origen.</t>
        </is>
      </c>
    </row>
    <row r="45">
      <c r="A45" t="inlineStr">
        <is>
          <t>E3</t>
        </is>
      </c>
      <c r="B45" t="inlineStr">
        <is>
          <t>Cloud nativa</t>
        </is>
      </c>
      <c r="C45" t="inlineStr">
        <is>
          <t>AWS Cost Explorer</t>
        </is>
      </c>
      <c r="D45" t="inlineStr">
        <is>
          <t>Automatizacion</t>
        </is>
      </c>
      <c r="E45" t="inlineStr">
        <is>
          <t>AU2</t>
        </is>
      </c>
      <c r="F45" s="2" t="inlineStr">
        <is>
          <t>¿Ofrece aprobación, reversión, registro o límites antes de actuar?</t>
        </is>
      </c>
      <c r="G45" t="n">
        <v>2</v>
      </c>
      <c r="H45" t="inlineStr">
        <is>
          <t>Oficial</t>
        </is>
      </c>
      <c r="I45" s="2" t="inlineStr">
        <is>
          <t>Las budget actions permiten exigir aprobación manual antes de ejecutarse. La documentación revisada no detalla registro de auditoría ni mecanismo de reversión explícito (limitación registrada).</t>
        </is>
      </c>
      <c r="J45" t="inlineStr">
        <is>
          <t>https://docs.aws.amazon.com/cost-management/latest/userguide/budgets-controls.html</t>
        </is>
      </c>
      <c r="K45" t="inlineStr">
        <is>
          <t>2026-09-16</t>
        </is>
      </c>
      <c r="L45"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46">
      <c r="A46" t="inlineStr">
        <is>
          <t>E3</t>
        </is>
      </c>
      <c r="B46" t="inlineStr">
        <is>
          <t>Cloud nativa</t>
        </is>
      </c>
      <c r="C46" t="inlineStr">
        <is>
          <t>AWS Cost Explorer</t>
        </is>
      </c>
      <c r="D46" t="inlineStr">
        <is>
          <t>Multicloud</t>
        </is>
      </c>
      <c r="E46" t="inlineStr">
        <is>
          <t>M1</t>
        </is>
      </c>
      <c r="F46" s="2" t="inlineStr">
        <is>
          <t>¿Consolida al menos dos proveedores bajo el mismo esquema declarado?</t>
        </is>
      </c>
      <c r="G46" t="n">
        <v>0</v>
      </c>
      <c r="H46" t="inlineStr">
        <is>
          <t>Oficial</t>
        </is>
      </c>
      <c r="I46" s="2" t="inlineStr">
        <is>
          <t>Cost Explorer y el CUR cubren exclusivamente cuentas y facturación de AWS; no ingieren ni consolidan datos de Azure o GCP.</t>
        </is>
      </c>
      <c r="J46" t="inlineStr">
        <is>
          <t>https://docs.aws.amazon.com/cur/latest/userguide/what-is-cur.html</t>
        </is>
      </c>
      <c r="K46" t="inlineStr">
        <is>
          <t>2026-09-16</t>
        </is>
      </c>
      <c r="L46"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47">
      <c r="A47" t="inlineStr">
        <is>
          <t>E3</t>
        </is>
      </c>
      <c r="B47" t="inlineStr">
        <is>
          <t>Cloud nativa</t>
        </is>
      </c>
      <c r="C47" t="inlineStr">
        <is>
          <t>AWS Cost Explorer</t>
        </is>
      </c>
      <c r="D47" t="inlineStr">
        <is>
          <t>Multicloud</t>
        </is>
      </c>
      <c r="E47" t="inlineStr">
        <is>
          <t>M2</t>
        </is>
      </c>
      <c r="F47" s="2" t="inlineStr">
        <is>
          <t>¿Hace visibles proveedor, cobertura y diferencias semánticas?</t>
        </is>
      </c>
      <c r="G47" t="n">
        <v>0</v>
      </c>
      <c r="H47" t="inlineStr">
        <is>
          <t>Oficial</t>
        </is>
      </c>
      <c r="I47" s="2" t="inlineStr">
        <is>
          <t>Al no consolidar otros proveedores, la herramienta no expone diferencias de cobertura o semántica entre nubes.</t>
        </is>
      </c>
      <c r="J47" t="inlineStr">
        <is>
          <t>https://docs.aws.amazon.com/cur/latest/userguide/what-is-cur.html</t>
        </is>
      </c>
      <c r="K47" t="inlineStr">
        <is>
          <t>2026-09-16</t>
        </is>
      </c>
      <c r="L47"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48">
      <c r="A48" t="inlineStr">
        <is>
          <t>E3</t>
        </is>
      </c>
      <c r="B48" t="inlineStr">
        <is>
          <t>Cloud nativa</t>
        </is>
      </c>
      <c r="C48" t="inlineStr">
        <is>
          <t>AWS Cost Explorer</t>
        </is>
      </c>
      <c r="D48" t="inlineStr">
        <is>
          <t>Integracion</t>
        </is>
      </c>
      <c r="E48" t="inlineStr">
        <is>
          <t>I1</t>
        </is>
      </c>
      <c r="F48" s="2" t="inlineStr">
        <is>
          <t>¿Integra datos requeridos (facturación, uso, clúster o IaC) del escenario?</t>
        </is>
      </c>
      <c r="G48" t="inlineStr">
        <is>
          <t>NE</t>
        </is>
      </c>
      <c r="H48" t="inlineStr">
        <is>
          <t>Pendiente</t>
        </is>
      </c>
      <c r="I48" s="2" t="inlineStr">
        <is>
          <t>El CUR/la API de Cost Explorer ingieren datos de facturación y uso de forma automatizada; para EKS, "Split Cost Allocation Data" añade métricas de clúster a nivel de pod/namespace al CUR.</t>
        </is>
      </c>
      <c r="J48" t="inlineStr">
        <is>
          <t>https://aws.amazon.com/about-aws/whats-new/2024/04/aws-split-cost-allocation-data-amazon-eks/</t>
        </is>
      </c>
      <c r="K48" t="inlineStr">
        <is>
          <t>2026-09-16</t>
        </is>
      </c>
      <c r="L48"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I1 depende del escenario, por lo que pasa a NE (no evidenciado, reduce cobertura) hasta investigarlo. La evidencia y la fuente originales se conservan como referencia del escenario de origen.</t>
        </is>
      </c>
    </row>
    <row r="49">
      <c r="A49" t="inlineStr">
        <is>
          <t>E3</t>
        </is>
      </c>
      <c r="B49" t="inlineStr">
        <is>
          <t>Cloud nativa</t>
        </is>
      </c>
      <c r="C49" t="inlineStr">
        <is>
          <t>AWS Cost Explorer</t>
        </is>
      </c>
      <c r="D49" t="inlineStr">
        <is>
          <t>Integracion</t>
        </is>
      </c>
      <c r="E49" t="inlineStr">
        <is>
          <t>I2</t>
        </is>
      </c>
      <c r="F49" s="2" t="inlineStr">
        <is>
          <t>¿Se integra con el flujo de trabajo relevante (alerta, ticket, CI/CD o reporte)?</t>
        </is>
      </c>
      <c r="G49" t="inlineStr">
        <is>
          <t>NE</t>
        </is>
      </c>
      <c r="H49" t="inlineStr">
        <is>
          <t>Pendiente</t>
        </is>
      </c>
      <c r="I49" s="2" t="inlineStr">
        <is>
          <t>AWS Cost Anomaly Detection y Budgets envían alertas (p. ej., a SNS/correo) integradas a un flujo operativo de revisión.</t>
        </is>
      </c>
      <c r="J49" t="inlineStr">
        <is>
          <t>https://docs.aws.amazon.com/cost-management/latest/userguide/budgets-controls.html</t>
        </is>
      </c>
      <c r="K49" t="inlineStr">
        <is>
          <t>2026-09-16</t>
        </is>
      </c>
      <c r="L49"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I2 depende del escenario, por lo que pasa a NE (no evidenciado, reduce cobertura) hasta investigarlo. La evidencia y la fuente originales se conservan como referencia del escenario de origen.</t>
        </is>
      </c>
    </row>
    <row r="50">
      <c r="A50" t="inlineStr">
        <is>
          <t>E3</t>
        </is>
      </c>
      <c r="B50" t="inlineStr">
        <is>
          <t>Cloud nativa</t>
        </is>
      </c>
      <c r="C50" t="inlineStr">
        <is>
          <t>AWS Cost Explorer</t>
        </is>
      </c>
      <c r="D50" t="inlineStr">
        <is>
          <t>Adopcion</t>
        </is>
      </c>
      <c r="E50" t="inlineStr">
        <is>
          <t>AD1</t>
        </is>
      </c>
      <c r="F50" s="2" t="inlineStr">
        <is>
          <t>¿Soporta acceso/entrega para los roles del escenario?</t>
        </is>
      </c>
      <c r="G50" t="inlineStr">
        <is>
          <t>NE</t>
        </is>
      </c>
      <c r="H50" t="inlineStr">
        <is>
          <t>Pendiente</t>
        </is>
      </c>
      <c r="I50" s="2" t="inlineStr">
        <is>
          <t>El acceso a Cost Explorer/Budgets se controla mediante políticas de IAM por usuario/rol (control de acceso estándar de AWS Billing).</t>
        </is>
      </c>
      <c r="J50" t="inlineStr">
        <is>
          <t>https://docs.aws.amazon.com/awsaccountbilling/latest/aboutv2/cost-alloc-tags.html</t>
        </is>
      </c>
      <c r="K50" t="inlineStr">
        <is>
          <t>2026-09-16</t>
        </is>
      </c>
      <c r="L50"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AD1 depende del escenario, por lo que pasa a NE (no evidenciado, reduce cobertura) hasta investigarlo. La evidencia y la fuente originales se conservan como referencia del escenario de origen.</t>
        </is>
      </c>
    </row>
    <row r="51">
      <c r="A51" t="inlineStr">
        <is>
          <t>E3</t>
        </is>
      </c>
      <c r="B51" t="inlineStr">
        <is>
          <t>Cloud nativa</t>
        </is>
      </c>
      <c r="C51" t="inlineStr">
        <is>
          <t>AWS Cost Explorer</t>
        </is>
      </c>
      <c r="D51" t="inlineStr">
        <is>
          <t>Adopcion</t>
        </is>
      </c>
      <c r="E51" t="inlineStr">
        <is>
          <t>AD2</t>
        </is>
      </c>
      <c r="F51" s="2" t="inlineStr">
        <is>
          <t>¿Ofrece guías, ownership o mecanismos de seguimiento para uso sostenido?</t>
        </is>
      </c>
      <c r="G51" t="n">
        <v>2</v>
      </c>
      <c r="H51" t="inlineStr">
        <is>
          <t>Oficial</t>
        </is>
      </c>
      <c r="I51" s="2" t="inlineStr">
        <is>
          <t>AWS publica guías oficiales de adopción, entre ellas el whitepaper de mejores prácticas de etiquetado y estrategia de asignación de costos.</t>
        </is>
      </c>
      <c r="J51" t="inlineStr">
        <is>
          <t>https://docs.aws.amazon.com/whitepapers/latest/tagging-best-practices/building-a-cost-allocation-strategy.html</t>
        </is>
      </c>
      <c r="K51" t="inlineStr">
        <is>
          <t>2026-09-16</t>
        </is>
      </c>
      <c r="L51"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52">
      <c r="A52" t="inlineStr">
        <is>
          <t>E3</t>
        </is>
      </c>
      <c r="B52" t="inlineStr">
        <is>
          <t>Cloud nativa</t>
        </is>
      </c>
      <c r="C52" t="inlineStr">
        <is>
          <t>AWS Cost Explorer</t>
        </is>
      </c>
      <c r="D52" t="inlineStr">
        <is>
          <t>Precio</t>
        </is>
      </c>
      <c r="E52" t="inlineStr">
        <is>
          <t>P1</t>
        </is>
      </c>
      <c r="F52" s="2" t="inlineStr">
        <is>
          <t>¿Expone precio, moneda, región, unidad, período y supuestos relevantes?</t>
        </is>
      </c>
      <c r="G52" t="n">
        <v>2</v>
      </c>
      <c r="H52" t="inlineStr">
        <is>
          <t>Oficial</t>
        </is>
      </c>
      <c r="I52" s="2" t="inlineStr">
        <is>
          <t>El CUR y los Data Exports FOCUS 1.0/1.2 exponen moneda, período, servicio y columnas estandarizadas de costo (ListCost, ContractedCost, BilledCost, EffectiveCost).</t>
        </is>
      </c>
      <c r="J52" t="inlineStr">
        <is>
          <t>https://aws.amazon.com/about-aws/whats-new/2024/11/aws-billing-cost-management-data-exports-focus-1-0</t>
        </is>
      </c>
      <c r="K52" t="inlineStr">
        <is>
          <t>2026-09-16</t>
        </is>
      </c>
      <c r="L52"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53">
      <c r="A53" t="inlineStr">
        <is>
          <t>E3</t>
        </is>
      </c>
      <c r="B53" t="inlineStr">
        <is>
          <t>Cloud nativa</t>
        </is>
      </c>
      <c r="C53" t="inlineStr">
        <is>
          <t>AWS Cost Explorer</t>
        </is>
      </c>
      <c r="D53" t="inlineStr">
        <is>
          <t>Precio</t>
        </is>
      </c>
      <c r="E53" t="inlineStr">
        <is>
          <t>P2</t>
        </is>
      </c>
      <c r="F53" s="2" t="inlineStr">
        <is>
          <t>¿Permite estimar o comparar componentes sin ocultar límites de equivalencia?</t>
        </is>
      </c>
      <c r="G53" t="inlineStr">
        <is>
          <t>NE</t>
        </is>
      </c>
      <c r="H53" t="inlineStr">
        <is>
          <t>Pendiente</t>
        </is>
      </c>
      <c r="I53" s="2" t="inlineStr">
        <is>
          <t>Cost Explorer ofrece pronóstico de costo futuro basado en tendencia histórica; no es una calculadora de estimación de componentes antes del despliegue (esa función es de AWS Pricing Calculator, evaluada aparte).</t>
        </is>
      </c>
      <c r="J53" t="inlineStr">
        <is>
          <t>https://docs.aws.amazon.com/cost-management/latest/userguide/ce-what-is.html</t>
        </is>
      </c>
      <c r="K53" t="inlineStr">
        <is>
          <t>2026-09-16</t>
        </is>
      </c>
      <c r="L53"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1 proviene de la investigacion del escenario E1 y no cuenta con evidencia propia de E3. Segun FP-177 el indicador P2 depende del escenario, por lo que pasa a NE (no evidenciado, reduce cobertura) hasta investigarlo. La evidencia y la fuente originales se conservan como referencia del escenario de origen.</t>
        </is>
      </c>
    </row>
    <row r="54">
      <c r="A54" t="inlineStr">
        <is>
          <t>E3</t>
        </is>
      </c>
      <c r="B54" t="inlineStr">
        <is>
          <t>Cloud nativa</t>
        </is>
      </c>
      <c r="C54" t="inlineStr">
        <is>
          <t>AWS Cost Explorer</t>
        </is>
      </c>
      <c r="D54" t="inlineStr">
        <is>
          <t>Dependencia</t>
        </is>
      </c>
      <c r="E54" t="inlineStr">
        <is>
          <t>D1</t>
        </is>
      </c>
      <c r="F54" s="2" t="inlineStr">
        <is>
          <t>¿Exporta datos/resultados en formato utilizable y documentado?</t>
        </is>
      </c>
      <c r="G54" t="n">
        <v>2</v>
      </c>
      <c r="H54" t="inlineStr">
        <is>
          <t>Oficial</t>
        </is>
      </c>
      <c r="I54" s="2" t="inlineStr">
        <is>
          <t>El CUR exporta a S3 en CSV/Parquet y, desde 2024-2025, también en el estándar abierto FOCUS 1.0/1.2.</t>
        </is>
      </c>
      <c r="J54" t="inlineStr">
        <is>
          <t>https://aws.amazon.com/about-aws/whats-new/2024/11/aws-billing-cost-management-data-exports-focus-1-0</t>
        </is>
      </c>
      <c r="K54" t="inlineStr">
        <is>
          <t>2026-09-16</t>
        </is>
      </c>
      <c r="L54"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55">
      <c r="A55" t="inlineStr">
        <is>
          <t>E3</t>
        </is>
      </c>
      <c r="B55" t="inlineStr">
        <is>
          <t>Cloud nativa</t>
        </is>
      </c>
      <c r="C55" t="inlineStr">
        <is>
          <t>AWS Cost Explorer</t>
        </is>
      </c>
      <c r="D55" t="inlineStr">
        <is>
          <t>Dependencia</t>
        </is>
      </c>
      <c r="E55" t="inlineStr">
        <is>
          <t>D2</t>
        </is>
      </c>
      <c r="F55" s="2" t="inlineStr">
        <is>
          <t>¿Documenta dependencias propietarias y un camino de salida/configuración reversible?</t>
        </is>
      </c>
      <c r="G55" t="n">
        <v>1</v>
      </c>
      <c r="H55" t="inlineStr">
        <is>
          <t>Oficial</t>
        </is>
      </c>
      <c r="I55" s="2" t="inlineStr">
        <is>
          <t>No se encontró documentación específica de un "camino de salida" dedicado. El riesgo de dependencia es menor porque los datos son exportables en formato estándar (FOCUS) y el servicio no tiene costo propio, pero no hay guía de reversibilidad dedicada (limitación registrada).</t>
        </is>
      </c>
      <c r="J55" t="inlineStr">
        <is>
          <t>https://aws.amazon.com/about-aws/whats-new/2024/11/aws-billing-cost-management-data-exports-focus-1-0</t>
        </is>
      </c>
      <c r="K55" t="inlineStr">
        <is>
          <t>2026-09-16</t>
        </is>
      </c>
      <c r="L55"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56">
      <c r="A56" t="inlineStr">
        <is>
          <t>E5</t>
        </is>
      </c>
      <c r="B56" t="inlineStr">
        <is>
          <t>Cloud nativa</t>
        </is>
      </c>
      <c r="C56" t="inlineStr">
        <is>
          <t>AWS Cost Explorer</t>
        </is>
      </c>
      <c r="D56" t="inlineStr">
        <is>
          <t>Visibilidad</t>
        </is>
      </c>
      <c r="E56" t="inlineStr">
        <is>
          <t>V1</t>
        </is>
      </c>
      <c r="F56" s="2" t="inlineStr">
        <is>
          <t>¿Desagrega costo y uso por cuenta/proyecto, servicio y período?</t>
        </is>
      </c>
      <c r="G56" t="inlineStr">
        <is>
          <t>NE</t>
        </is>
      </c>
      <c r="H56" t="inlineStr">
        <is>
          <t>Pendiente</t>
        </is>
      </c>
      <c r="I56" s="2" t="inlineStr">
        <is>
          <t>Las etiquetas de asignación de costos y las Cost Categories desglosan el gasto por cuenta/proyecto y servicio, y son filtrables en Cost Explorer ("You can also use tags to filter views in Cost Explorer"). La actualización tiene hasta 24 h de latencia, no es en tiempo real.</t>
        </is>
      </c>
      <c r="J56" t="inlineStr">
        <is>
          <t>https://docs.aws.amazon.com/awsaccountbilling/latest/aboutv2/cost-alloc-tags.html</t>
        </is>
      </c>
      <c r="K56" t="inlineStr">
        <is>
          <t>2026-09-16</t>
        </is>
      </c>
      <c r="L56" s="2" t="inlineStr">
        <is>
          <t>Celda heredada FP-180 (2026-09-16): el valor 2 proviene de la investigacion del escenario E1 y no cuenta con evidencia propia de E5. Segun FP-177 el indicador V1 depende del escenario, por lo que pasa a NE (no evidenciado, reduce cobertura) hasta investigarlo. La evidencia y la fuente originales se conservan como referencia del escenario de origen.</t>
        </is>
      </c>
    </row>
    <row r="57">
      <c r="A57" t="inlineStr">
        <is>
          <t>E5</t>
        </is>
      </c>
      <c r="B57" t="inlineStr">
        <is>
          <t>Cloud nativa</t>
        </is>
      </c>
      <c r="C57" t="inlineStr">
        <is>
          <t>AWS Cost Explorer</t>
        </is>
      </c>
      <c r="D57" t="inlineStr">
        <is>
          <t>Visibilidad</t>
        </is>
      </c>
      <c r="E57" t="inlineStr">
        <is>
          <t>V2</t>
        </is>
      </c>
      <c r="F57" s="2" t="inlineStr">
        <is>
          <t>¿Permite rastrear un total hasta registros o fuente de facturación?</t>
        </is>
      </c>
      <c r="G57" t="n">
        <v>2</v>
      </c>
      <c r="H57" t="inlineStr">
        <is>
          <t>Oficial</t>
        </is>
      </c>
      <c r="I57" s="2" t="inlineStr">
        <is>
          <t>El Cost and Usage Report (CUR) entrega detalle por línea de facturación y "reconciles with the total charges on your Bills page", permitiendo rastrear un total hasta el registro fuente.</t>
        </is>
      </c>
      <c r="J57" t="inlineStr">
        <is>
          <t>https://docs.aws.amazon.com/cur/latest/userguide/what-is-cur.html</t>
        </is>
      </c>
      <c r="K57" t="inlineStr">
        <is>
          <t>2026-09-16</t>
        </is>
      </c>
      <c r="L57" s="2" t="inlineStr"/>
    </row>
    <row r="58">
      <c r="A58" t="inlineStr">
        <is>
          <t>E5</t>
        </is>
      </c>
      <c r="B58" t="inlineStr">
        <is>
          <t>Cloud nativa</t>
        </is>
      </c>
      <c r="C58" t="inlineStr">
        <is>
          <t>AWS Cost Explorer</t>
        </is>
      </c>
      <c r="D58" t="inlineStr">
        <is>
          <t>Asignacion</t>
        </is>
      </c>
      <c r="E58" t="inlineStr">
        <is>
          <t>A1</t>
        </is>
      </c>
      <c r="F58" s="2" t="inlineStr">
        <is>
          <t>¿Calcula gasto asignado/no asignado por responsable, centro o entidad?</t>
        </is>
      </c>
      <c r="G58" t="inlineStr">
        <is>
          <t>NE</t>
        </is>
      </c>
      <c r="H58" t="inlineStr">
        <is>
          <t>Pendiente</t>
        </is>
      </c>
      <c r="I58" s="2" t="inlineStr">
        <is>
          <t>Cost Categories es "a cost allocation service to help you map your AWS costs to your unique internal business structures" mediante reglas; expone una categoría de costos no mapeados.</t>
        </is>
      </c>
      <c r="J58" t="inlineStr">
        <is>
          <t>https://docs.aws.amazon.com/awsaccountbilling/latest/aboutv2/manage-cost-categories.html</t>
        </is>
      </c>
      <c r="K58" t="inlineStr">
        <is>
          <t>2026-09-16</t>
        </is>
      </c>
      <c r="L58"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 | Celda heredada FP-180 (2026-09-16): el valor 2 proviene de la investigacion del escenario E1 y no cuenta con evidencia propia de E5. Segun FP-177 el indicador A1 depende del escenario, por lo que pasa a NE (no evidenciado, reduce cobertura) hasta investigarlo. La evidencia y la fuente originales se conservan como referencia del escenario de origen.</t>
        </is>
      </c>
    </row>
    <row r="59">
      <c r="A59" t="inlineStr">
        <is>
          <t>E5</t>
        </is>
      </c>
      <c r="B59" t="inlineStr">
        <is>
          <t>Cloud nativa</t>
        </is>
      </c>
      <c r="C59" t="inlineStr">
        <is>
          <t>AWS Cost Explorer</t>
        </is>
      </c>
      <c r="D59" t="inlineStr">
        <is>
          <t>Asignacion</t>
        </is>
      </c>
      <c r="E59" t="inlineStr">
        <is>
          <t>A2</t>
        </is>
      </c>
      <c r="F59" s="2" t="inlineStr">
        <is>
          <t>¿Explicita y aplica reglas para costo compartido/multi-tenant?</t>
        </is>
      </c>
      <c r="G59" t="inlineStr">
        <is>
          <t>NE</t>
        </is>
      </c>
      <c r="H59" t="inlineStr">
        <is>
          <t>Pendiente</t>
        </is>
      </c>
      <c r="I59" s="2" t="inlineStr">
        <is>
          <t>Cost Categories admite "Splitting charges within cost categories" (split charge rules) para repartir costos compartidos entre categorías/equipos.</t>
        </is>
      </c>
      <c r="J59" t="inlineStr">
        <is>
          <t>https://docs.aws.amazon.com/awsaccountbilling/latest/aboutv2/manage-cost-categories.html</t>
        </is>
      </c>
      <c r="K59" t="inlineStr">
        <is>
          <t>2026-09-16</t>
        </is>
      </c>
      <c r="L59" s="2" t="inlineStr">
        <is>
          <t>Celda heredada FP-180 (2026-09-16): el valor 2 proviene de la investigacion del escenario E1 y no cuenta con evidencia propia de E5. Segun FP-177 el indicador A2 depende del escenario, por lo que pasa a NE (no evidenciado, reduce cobertura) hasta investigarlo. La evidencia y la fuente originales se conservan como referencia del escenario de origen.</t>
        </is>
      </c>
    </row>
    <row r="60">
      <c r="A60" t="inlineStr">
        <is>
          <t>E5</t>
        </is>
      </c>
      <c r="B60" t="inlineStr">
        <is>
          <t>Cloud nativa</t>
        </is>
      </c>
      <c r="C60" t="inlineStr">
        <is>
          <t>AWS Cost Explorer</t>
        </is>
      </c>
      <c r="D60" t="inlineStr">
        <is>
          <t>Optimizacion</t>
        </is>
      </c>
      <c r="E60" t="inlineStr">
        <is>
          <t>O1</t>
        </is>
      </c>
      <c r="F60" s="2" t="inlineStr">
        <is>
          <t>¿Detecta desperdicio, rightsizing o compromiso relevante al escenario?</t>
        </is>
      </c>
      <c r="G60" t="inlineStr">
        <is>
          <t>NE</t>
        </is>
      </c>
      <c r="H60" t="inlineStr">
        <is>
          <t>Pendiente</t>
        </is>
      </c>
      <c r="I60" s="2" t="inlineStr">
        <is>
          <t>Cost Explorer conserva una vista propia de "rightsizing recommendations" (principalmente EC2), de alcance más acotado que Cost Optimization Hub.</t>
        </is>
      </c>
      <c r="J60" t="inlineStr">
        <is>
          <t>https://docs.aws.amazon.com/cost-management/latest/userguide/ce-rightsizing.html</t>
        </is>
      </c>
      <c r="K60" t="inlineStr">
        <is>
          <t>2026-09-16</t>
        </is>
      </c>
      <c r="L60" s="2" t="inlineStr">
        <is>
          <t>Celda heredada FP-180 (2026-09-16): el valor 1 proviene de la investigacion del escenario E1 y no cuenta con evidencia propia de E5. Segun FP-177 el indicador O1 depende del escenario, por lo que pasa a NE (no evidenciado, reduce cobertura) hasta investigarlo. La evidencia y la fuente originales se conservan como referencia del escenario de origen.</t>
        </is>
      </c>
    </row>
    <row r="61">
      <c r="A61" t="inlineStr">
        <is>
          <t>E5</t>
        </is>
      </c>
      <c r="B61" t="inlineStr">
        <is>
          <t>Cloud nativa</t>
        </is>
      </c>
      <c r="C61" t="inlineStr">
        <is>
          <t>AWS Cost Explorer</t>
        </is>
      </c>
      <c r="D61" t="inlineStr">
        <is>
          <t>Optimizacion</t>
        </is>
      </c>
      <c r="E61" t="inlineStr">
        <is>
          <t>O2</t>
        </is>
      </c>
      <c r="F61" s="2" t="inlineStr">
        <is>
          <t>¿Explica supuesto/impacto y permite seguir una recomendación?</t>
        </is>
      </c>
      <c r="G61" t="n">
        <v>1</v>
      </c>
      <c r="H61" t="inlineStr">
        <is>
          <t>Oficial</t>
        </is>
      </c>
      <c r="I61" s="2" t="inlineStr">
        <is>
          <t>La vista de rightsizing de Cost Explorer muestra el ahorro estimado por recomendación, sin el ciclo de seguimiento/objetivos que sí documenta Cost Optimization Hub.</t>
        </is>
      </c>
      <c r="J61" t="inlineStr">
        <is>
          <t>https://docs.aws.amazon.com/cost-management/latest/userguide/ce-rightsizing.html</t>
        </is>
      </c>
      <c r="K61" t="inlineStr">
        <is>
          <t>2026-09-16</t>
        </is>
      </c>
      <c r="L61" s="2" t="inlineStr"/>
    </row>
    <row r="62">
      <c r="A62" t="inlineStr">
        <is>
          <t>E5</t>
        </is>
      </c>
      <c r="B62" t="inlineStr">
        <is>
          <t>Cloud nativa</t>
        </is>
      </c>
      <c r="C62" t="inlineStr">
        <is>
          <t>AWS Cost Explorer</t>
        </is>
      </c>
      <c r="D62" t="inlineStr">
        <is>
          <t>Automatizacion</t>
        </is>
      </c>
      <c r="E62" t="inlineStr">
        <is>
          <t>AU1</t>
        </is>
      </c>
      <c r="F62" s="2" t="inlineStr">
        <is>
          <t>¿Ejecuta o bloquea acciones/políticas de costo con control verificable?</t>
        </is>
      </c>
      <c r="G62" t="inlineStr">
        <is>
          <t>NE</t>
        </is>
      </c>
      <c r="H62" t="inlineStr">
        <is>
          <t>Pendiente</t>
        </is>
      </c>
      <c r="I62" s="2" t="inlineStr">
        <is>
          <t>AWS Budgets puede ejecutar "budget actions" (política IAM Deny, SCP, detener instancias EC2/RDS) "either automatically or after your manual approval".</t>
        </is>
      </c>
      <c r="J62" t="inlineStr">
        <is>
          <t>https://docs.aws.amazon.com/cost-management/latest/userguide/budgets-controls.html</t>
        </is>
      </c>
      <c r="K62" t="inlineStr">
        <is>
          <t>2026-09-16</t>
        </is>
      </c>
      <c r="L62" s="2" t="inlineStr">
        <is>
          <t>Celda heredada FP-180 (2026-09-16): el valor 2 proviene de la investigacion del escenario E1 y no cuenta con evidencia propia de E5. Segun FP-177 el indicador AU1 depende del escenario, por lo que pasa a NE (no evidenciado, reduce cobertura) hasta investigarlo. La evidencia y la fuente originales se conservan como referencia del escenario de origen.</t>
        </is>
      </c>
    </row>
    <row r="63">
      <c r="A63" t="inlineStr">
        <is>
          <t>E5</t>
        </is>
      </c>
      <c r="B63" t="inlineStr">
        <is>
          <t>Cloud nativa</t>
        </is>
      </c>
      <c r="C63" t="inlineStr">
        <is>
          <t>AWS Cost Explorer</t>
        </is>
      </c>
      <c r="D63" t="inlineStr">
        <is>
          <t>Automatizacion</t>
        </is>
      </c>
      <c r="E63" t="inlineStr">
        <is>
          <t>AU2</t>
        </is>
      </c>
      <c r="F63" s="2" t="inlineStr">
        <is>
          <t>¿Ofrece aprobación, reversión, registro o límites antes de actuar?</t>
        </is>
      </c>
      <c r="G63" t="n">
        <v>2</v>
      </c>
      <c r="H63" t="inlineStr">
        <is>
          <t>Oficial</t>
        </is>
      </c>
      <c r="I63" s="2" t="inlineStr">
        <is>
          <t>Las budget actions permiten exigir aprobación manual antes de ejecutarse. La documentación revisada no detalla registro de auditoría ni mecanismo de reversión explícito (limitación registrada).</t>
        </is>
      </c>
      <c r="J63" t="inlineStr">
        <is>
          <t>https://docs.aws.amazon.com/cost-management/latest/userguide/budgets-controls.html</t>
        </is>
      </c>
      <c r="K63" t="inlineStr">
        <is>
          <t>2026-09-16</t>
        </is>
      </c>
      <c r="L63" s="2" t="inlineStr"/>
    </row>
    <row r="64">
      <c r="A64" t="inlineStr">
        <is>
          <t>E5</t>
        </is>
      </c>
      <c r="B64" t="inlineStr">
        <is>
          <t>Cloud nativa</t>
        </is>
      </c>
      <c r="C64" t="inlineStr">
        <is>
          <t>AWS Cost Explorer</t>
        </is>
      </c>
      <c r="D64" t="inlineStr">
        <is>
          <t>Multicloud</t>
        </is>
      </c>
      <c r="E64" t="inlineStr">
        <is>
          <t>M1</t>
        </is>
      </c>
      <c r="F64" s="2" t="inlineStr">
        <is>
          <t>¿Consolida al menos dos proveedores bajo el mismo esquema declarado?</t>
        </is>
      </c>
      <c r="G64" t="n">
        <v>0</v>
      </c>
      <c r="H64" t="inlineStr">
        <is>
          <t>Oficial</t>
        </is>
      </c>
      <c r="I64" s="2" t="inlineStr">
        <is>
          <t>Cost Explorer y el CUR cubren exclusivamente cuentas y facturación de AWS; no ingieren ni consolidan datos de Azure o GCP.</t>
        </is>
      </c>
      <c r="J64" t="inlineStr">
        <is>
          <t>https://docs.aws.amazon.com/cur/latest/userguide/what-is-cur.html</t>
        </is>
      </c>
      <c r="K64" t="inlineStr">
        <is>
          <t>2026-09-16</t>
        </is>
      </c>
      <c r="L64" s="2" t="inlineStr"/>
    </row>
    <row r="65">
      <c r="A65" t="inlineStr">
        <is>
          <t>E5</t>
        </is>
      </c>
      <c r="B65" t="inlineStr">
        <is>
          <t>Cloud nativa</t>
        </is>
      </c>
      <c r="C65" t="inlineStr">
        <is>
          <t>AWS Cost Explorer</t>
        </is>
      </c>
      <c r="D65" t="inlineStr">
        <is>
          <t>Multicloud</t>
        </is>
      </c>
      <c r="E65" t="inlineStr">
        <is>
          <t>M2</t>
        </is>
      </c>
      <c r="F65" s="2" t="inlineStr">
        <is>
          <t>¿Hace visibles proveedor, cobertura y diferencias semánticas?</t>
        </is>
      </c>
      <c r="G65" t="n">
        <v>0</v>
      </c>
      <c r="H65" t="inlineStr">
        <is>
          <t>Oficial</t>
        </is>
      </c>
      <c r="I65" s="2" t="inlineStr">
        <is>
          <t>Al no consolidar otros proveedores, la herramienta no expone diferencias de cobertura o semántica entre nubes.</t>
        </is>
      </c>
      <c r="J65" t="inlineStr">
        <is>
          <t>https://docs.aws.amazon.com/cur/latest/userguide/what-is-cur.html</t>
        </is>
      </c>
      <c r="K65" t="inlineStr">
        <is>
          <t>2026-09-16</t>
        </is>
      </c>
      <c r="L65" s="2" t="inlineStr"/>
    </row>
    <row r="66">
      <c r="A66" t="inlineStr">
        <is>
          <t>E5</t>
        </is>
      </c>
      <c r="B66" t="inlineStr">
        <is>
          <t>Cloud nativa</t>
        </is>
      </c>
      <c r="C66" t="inlineStr">
        <is>
          <t>AWS Cost Explorer</t>
        </is>
      </c>
      <c r="D66" t="inlineStr">
        <is>
          <t>Integracion</t>
        </is>
      </c>
      <c r="E66" t="inlineStr">
        <is>
          <t>I1</t>
        </is>
      </c>
      <c r="F66" s="2" t="inlineStr">
        <is>
          <t>¿Integra datos requeridos (facturación, uso, clúster o IaC) del escenario?</t>
        </is>
      </c>
      <c r="G66" t="inlineStr">
        <is>
          <t>NE</t>
        </is>
      </c>
      <c r="H66" t="inlineStr">
        <is>
          <t>Pendiente</t>
        </is>
      </c>
      <c r="I66" s="2" t="inlineStr">
        <is>
          <t>El CUR/la API de Cost Explorer ingieren datos de facturación y uso de forma automatizada; para EKS, "Split Cost Allocation Data" añade métricas de clúster a nivel de pod/namespace al CUR.</t>
        </is>
      </c>
      <c r="J66" t="inlineStr">
        <is>
          <t>https://aws.amazon.com/about-aws/whats-new/2024/04/aws-split-cost-allocation-data-amazon-eks/</t>
        </is>
      </c>
      <c r="K66" t="inlineStr">
        <is>
          <t>2026-09-16</t>
        </is>
      </c>
      <c r="L66" s="2" t="inlineStr">
        <is>
          <t>Celda heredada FP-180 (2026-09-16): el valor 2 proviene de la investigacion del escenario E1 y no cuenta con evidencia propia de E5. Segun FP-177 el indicador I1 depende del escenario, por lo que pasa a NE (no evidenciado, reduce cobertura) hasta investigarlo. La evidencia y la fuente originales se conservan como referencia del escenario de origen.</t>
        </is>
      </c>
    </row>
    <row r="67">
      <c r="A67" t="inlineStr">
        <is>
          <t>E5</t>
        </is>
      </c>
      <c r="B67" t="inlineStr">
        <is>
          <t>Cloud nativa</t>
        </is>
      </c>
      <c r="C67" t="inlineStr">
        <is>
          <t>AWS Cost Explorer</t>
        </is>
      </c>
      <c r="D67" t="inlineStr">
        <is>
          <t>Integracion</t>
        </is>
      </c>
      <c r="E67" t="inlineStr">
        <is>
          <t>I2</t>
        </is>
      </c>
      <c r="F67" s="2" t="inlineStr">
        <is>
          <t>¿Se integra con el flujo de trabajo relevante (alerta, ticket, CI/CD o reporte)?</t>
        </is>
      </c>
      <c r="G67" t="inlineStr">
        <is>
          <t>NE</t>
        </is>
      </c>
      <c r="H67" t="inlineStr">
        <is>
          <t>Pendiente</t>
        </is>
      </c>
      <c r="I67" s="2" t="inlineStr">
        <is>
          <t>AWS Cost Anomaly Detection y Budgets envían alertas (p. ej., a SNS/correo) integradas a un flujo operativo de revisión.</t>
        </is>
      </c>
      <c r="J67" t="inlineStr">
        <is>
          <t>https://docs.aws.amazon.com/cost-management/latest/userguide/budgets-controls.html</t>
        </is>
      </c>
      <c r="K67" t="inlineStr">
        <is>
          <t>2026-09-16</t>
        </is>
      </c>
      <c r="L67" s="2" t="inlineStr">
        <is>
          <t>Celda heredada FP-180 (2026-09-16): el valor 2 proviene de la investigacion del escenario E1 y no cuenta con evidencia propia de E5. Segun FP-177 el indicador I2 depende del escenario, por lo que pasa a NE (no evidenciado, reduce cobertura) hasta investigarlo. La evidencia y la fuente originales se conservan como referencia del escenario de origen.</t>
        </is>
      </c>
    </row>
    <row r="68">
      <c r="A68" t="inlineStr">
        <is>
          <t>E5</t>
        </is>
      </c>
      <c r="B68" t="inlineStr">
        <is>
          <t>Cloud nativa</t>
        </is>
      </c>
      <c r="C68" t="inlineStr">
        <is>
          <t>AWS Cost Explorer</t>
        </is>
      </c>
      <c r="D68" t="inlineStr">
        <is>
          <t>Adopcion</t>
        </is>
      </c>
      <c r="E68" t="inlineStr">
        <is>
          <t>AD1</t>
        </is>
      </c>
      <c r="F68" s="2" t="inlineStr">
        <is>
          <t>¿Soporta acceso/entrega para los roles del escenario?</t>
        </is>
      </c>
      <c r="G68" t="inlineStr">
        <is>
          <t>NE</t>
        </is>
      </c>
      <c r="H68" t="inlineStr">
        <is>
          <t>Pendiente</t>
        </is>
      </c>
      <c r="I68" s="2" t="inlineStr">
        <is>
          <t>El acceso a Cost Explorer/Budgets se controla mediante políticas de IAM por usuario/rol (control de acceso estándar de AWS Billing).</t>
        </is>
      </c>
      <c r="J68" t="inlineStr">
        <is>
          <t>https://docs.aws.amazon.com/awsaccountbilling/latest/aboutv2/cost-alloc-tags.html</t>
        </is>
      </c>
      <c r="K68" t="inlineStr">
        <is>
          <t>2026-09-16</t>
        </is>
      </c>
      <c r="L68" s="2" t="inlineStr">
        <is>
          <t>Celda heredada FP-180 (2026-09-16): el valor 2 proviene de la investigacion del escenario E1 y no cuenta con evidencia propia de E5. Segun FP-177 el indicador AD1 depende del escenario, por lo que pasa a NE (no evidenciado, reduce cobertura) hasta investigarlo. La evidencia y la fuente originales se conservan como referencia del escenario de origen.</t>
        </is>
      </c>
    </row>
    <row r="69">
      <c r="A69" t="inlineStr">
        <is>
          <t>E5</t>
        </is>
      </c>
      <c r="B69" t="inlineStr">
        <is>
          <t>Cloud nativa</t>
        </is>
      </c>
      <c r="C69" t="inlineStr">
        <is>
          <t>AWS Cost Explorer</t>
        </is>
      </c>
      <c r="D69" t="inlineStr">
        <is>
          <t>Adopcion</t>
        </is>
      </c>
      <c r="E69" t="inlineStr">
        <is>
          <t>AD2</t>
        </is>
      </c>
      <c r="F69" s="2" t="inlineStr">
        <is>
          <t>¿Ofrece guías, ownership o mecanismos de seguimiento para uso sostenido?</t>
        </is>
      </c>
      <c r="G69" t="n">
        <v>2</v>
      </c>
      <c r="H69" t="inlineStr">
        <is>
          <t>Oficial</t>
        </is>
      </c>
      <c r="I69" s="2" t="inlineStr">
        <is>
          <t>AWS publica guías oficiales de adopción, entre ellas el whitepaper de mejores prácticas de etiquetado y estrategia de asignación de costos.</t>
        </is>
      </c>
      <c r="J69" t="inlineStr">
        <is>
          <t>https://docs.aws.amazon.com/whitepapers/latest/tagging-best-practices/building-a-cost-allocation-strategy.html</t>
        </is>
      </c>
      <c r="K69" t="inlineStr">
        <is>
          <t>2026-09-16</t>
        </is>
      </c>
      <c r="L69"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70">
      <c r="A70" t="inlineStr">
        <is>
          <t>E5</t>
        </is>
      </c>
      <c r="B70" t="inlineStr">
        <is>
          <t>Cloud nativa</t>
        </is>
      </c>
      <c r="C70" t="inlineStr">
        <is>
          <t>AWS Cost Explorer</t>
        </is>
      </c>
      <c r="D70" t="inlineStr">
        <is>
          <t>Precio</t>
        </is>
      </c>
      <c r="E70" t="inlineStr">
        <is>
          <t>P1</t>
        </is>
      </c>
      <c r="F70" s="2" t="inlineStr">
        <is>
          <t>¿Expone precio, moneda, región, unidad, período y supuestos relevantes?</t>
        </is>
      </c>
      <c r="G70" t="n">
        <v>2</v>
      </c>
      <c r="H70" t="inlineStr">
        <is>
          <t>Oficial</t>
        </is>
      </c>
      <c r="I70" s="2" t="inlineStr">
        <is>
          <t>El CUR y los Data Exports FOCUS 1.0/1.2 exponen moneda, período, servicio y columnas estandarizadas de costo (ListCost, ContractedCost, BilledCost, EffectiveCost).</t>
        </is>
      </c>
      <c r="J70" t="inlineStr">
        <is>
          <t>https://aws.amazon.com/about-aws/whats-new/2024/11/aws-billing-cost-management-data-exports-focus-1-0</t>
        </is>
      </c>
      <c r="K70" t="inlineStr">
        <is>
          <t>2026-09-16</t>
        </is>
      </c>
      <c r="L70" s="2" t="inlineStr"/>
    </row>
    <row r="71">
      <c r="A71" t="inlineStr">
        <is>
          <t>E5</t>
        </is>
      </c>
      <c r="B71" t="inlineStr">
        <is>
          <t>Cloud nativa</t>
        </is>
      </c>
      <c r="C71" t="inlineStr">
        <is>
          <t>AWS Cost Explorer</t>
        </is>
      </c>
      <c r="D71" t="inlineStr">
        <is>
          <t>Precio</t>
        </is>
      </c>
      <c r="E71" t="inlineStr">
        <is>
          <t>P2</t>
        </is>
      </c>
      <c r="F71" s="2" t="inlineStr">
        <is>
          <t>¿Permite estimar o comparar componentes sin ocultar límites de equivalencia?</t>
        </is>
      </c>
      <c r="G71" t="inlineStr">
        <is>
          <t>NE</t>
        </is>
      </c>
      <c r="H71" t="inlineStr">
        <is>
          <t>Pendiente</t>
        </is>
      </c>
      <c r="I71" s="2" t="inlineStr">
        <is>
          <t>Cost Explorer ofrece pronóstico de costo futuro basado en tendencia histórica; no es una calculadora de estimación de componentes antes del despliegue (esa función es de AWS Pricing Calculator, evaluada aparte).</t>
        </is>
      </c>
      <c r="J71" t="inlineStr">
        <is>
          <t>https://docs.aws.amazon.com/cost-management/latest/userguide/ce-what-is.html</t>
        </is>
      </c>
      <c r="K71" t="inlineStr">
        <is>
          <t>2026-09-16</t>
        </is>
      </c>
      <c r="L71" s="2" t="inlineStr">
        <is>
          <t>Celda heredada FP-180 (2026-09-16): el valor 1 proviene de la investigacion del escenario E1 y no cuenta con evidencia propia de E5. Segun FP-177 el indicador P2 depende del escenario, por lo que pasa a NE (no evidenciado, reduce cobertura) hasta investigarlo. La evidencia y la fuente originales se conservan como referencia del escenario de origen.</t>
        </is>
      </c>
    </row>
    <row r="72">
      <c r="A72" t="inlineStr">
        <is>
          <t>E5</t>
        </is>
      </c>
      <c r="B72" t="inlineStr">
        <is>
          <t>Cloud nativa</t>
        </is>
      </c>
      <c r="C72" t="inlineStr">
        <is>
          <t>AWS Cost Explorer</t>
        </is>
      </c>
      <c r="D72" t="inlineStr">
        <is>
          <t>Dependencia</t>
        </is>
      </c>
      <c r="E72" t="inlineStr">
        <is>
          <t>D1</t>
        </is>
      </c>
      <c r="F72" s="2" t="inlineStr">
        <is>
          <t>¿Exporta datos/resultados en formato utilizable y documentado?</t>
        </is>
      </c>
      <c r="G72" t="n">
        <v>2</v>
      </c>
      <c r="H72" t="inlineStr">
        <is>
          <t>Oficial</t>
        </is>
      </c>
      <c r="I72" s="2" t="inlineStr">
        <is>
          <t>El CUR exporta a S3 en CSV/Parquet y, desde 2024-2025, también en el estándar abierto FOCUS 1.0/1.2.</t>
        </is>
      </c>
      <c r="J72" t="inlineStr">
        <is>
          <t>https://aws.amazon.com/about-aws/whats-new/2024/11/aws-billing-cost-management-data-exports-focus-1-0</t>
        </is>
      </c>
      <c r="K72" t="inlineStr">
        <is>
          <t>2026-09-16</t>
        </is>
      </c>
      <c r="L72" s="2" t="inlineStr"/>
    </row>
    <row r="73">
      <c r="A73" t="inlineStr">
        <is>
          <t>E5</t>
        </is>
      </c>
      <c r="B73" t="inlineStr">
        <is>
          <t>Cloud nativa</t>
        </is>
      </c>
      <c r="C73" t="inlineStr">
        <is>
          <t>AWS Cost Explorer</t>
        </is>
      </c>
      <c r="D73" t="inlineStr">
        <is>
          <t>Dependencia</t>
        </is>
      </c>
      <c r="E73" t="inlineStr">
        <is>
          <t>D2</t>
        </is>
      </c>
      <c r="F73" s="2" t="inlineStr">
        <is>
          <t>¿Documenta dependencias propietarias y un camino de salida/configuración reversible?</t>
        </is>
      </c>
      <c r="G73" t="n">
        <v>1</v>
      </c>
      <c r="H73" t="inlineStr">
        <is>
          <t>Oficial</t>
        </is>
      </c>
      <c r="I73" s="2" t="inlineStr">
        <is>
          <t>No se encontró documentación específica de un "camino de salida" dedicado. El riesgo de dependencia es menor porque los datos son exportables en formato estándar (FOCUS) y el servicio no tiene costo propio, pero no hay guía de reversibilidad dedicada (limitación registrada).</t>
        </is>
      </c>
      <c r="J73" t="inlineStr">
        <is>
          <t>https://aws.amazon.com/about-aws/whats-new/2024/11/aws-billing-cost-management-data-exports-focus-1-0</t>
        </is>
      </c>
      <c r="K73" t="inlineStr">
        <is>
          <t>2026-09-16</t>
        </is>
      </c>
      <c r="L73" s="2" t="inlineStr"/>
    </row>
    <row r="74">
      <c r="A74" t="inlineStr">
        <is>
          <t>E6</t>
        </is>
      </c>
      <c r="B74" t="inlineStr">
        <is>
          <t>Cloud nativa</t>
        </is>
      </c>
      <c r="C74" t="inlineStr">
        <is>
          <t>AWS Cost Explorer</t>
        </is>
      </c>
      <c r="D74" t="inlineStr">
        <is>
          <t>Visibilidad</t>
        </is>
      </c>
      <c r="E74" t="inlineStr">
        <is>
          <t>V1</t>
        </is>
      </c>
      <c r="F74" s="2" t="inlineStr">
        <is>
          <t>¿Desagrega costo y uso por cuenta/proyecto, servicio y período?</t>
        </is>
      </c>
      <c r="G74" t="inlineStr">
        <is>
          <t>NE</t>
        </is>
      </c>
      <c r="H74" t="inlineStr">
        <is>
          <t>Pendiente</t>
        </is>
      </c>
      <c r="I74" s="2" t="inlineStr">
        <is>
          <t>Las etiquetas de asignación de costos y las Cost Categories desglosan el gasto por cuenta/proyecto y servicio, y son filtrables en Cost Explorer ("You can also use tags to filter views in Cost Explorer"). La actualización tiene hasta 24 h de latencia, no es en tiempo real.</t>
        </is>
      </c>
      <c r="J74" t="inlineStr">
        <is>
          <t>https://docs.aws.amazon.com/awsaccountbilling/latest/aboutv2/cost-alloc-tags.html</t>
        </is>
      </c>
      <c r="K74" t="inlineStr">
        <is>
          <t>2026-09-16</t>
        </is>
      </c>
      <c r="L74" s="2" t="inlineStr">
        <is>
          <t>Celda heredada FP-180 (2026-09-16): el valor 2 proviene de la investigacion del escenario E1 y no cuenta con evidencia propia de E6. Segun FP-177 el indicador V1 depende del escenario, por lo que pasa a NE (no evidenciado, reduce cobertura) hasta investigarlo. La evidencia y la fuente originales se conservan como referencia del escenario de origen.</t>
        </is>
      </c>
    </row>
    <row r="75">
      <c r="A75" t="inlineStr">
        <is>
          <t>E6</t>
        </is>
      </c>
      <c r="B75" t="inlineStr">
        <is>
          <t>Cloud nativa</t>
        </is>
      </c>
      <c r="C75" t="inlineStr">
        <is>
          <t>AWS Cost Explorer</t>
        </is>
      </c>
      <c r="D75" t="inlineStr">
        <is>
          <t>Visibilidad</t>
        </is>
      </c>
      <c r="E75" t="inlineStr">
        <is>
          <t>V2</t>
        </is>
      </c>
      <c r="F75" s="2" t="inlineStr">
        <is>
          <t>¿Permite rastrear un total hasta registros o fuente de facturación?</t>
        </is>
      </c>
      <c r="G75" t="n">
        <v>2</v>
      </c>
      <c r="H75" t="inlineStr">
        <is>
          <t>Oficial</t>
        </is>
      </c>
      <c r="I75" s="2" t="inlineStr">
        <is>
          <t>El Cost and Usage Report (CUR) entrega detalle por línea de facturación y "reconciles with the total charges on your Bills page", permitiendo rastrear un total hasta el registro fuente.</t>
        </is>
      </c>
      <c r="J75" t="inlineStr">
        <is>
          <t>https://docs.aws.amazon.com/cur/latest/userguide/what-is-cur.html</t>
        </is>
      </c>
      <c r="K75" t="inlineStr">
        <is>
          <t>2026-09-16</t>
        </is>
      </c>
      <c r="L75" s="2" t="inlineStr"/>
    </row>
    <row r="76">
      <c r="A76" t="inlineStr">
        <is>
          <t>E6</t>
        </is>
      </c>
      <c r="B76" t="inlineStr">
        <is>
          <t>Cloud nativa</t>
        </is>
      </c>
      <c r="C76" t="inlineStr">
        <is>
          <t>AWS Cost Explorer</t>
        </is>
      </c>
      <c r="D76" t="inlineStr">
        <is>
          <t>Asignacion</t>
        </is>
      </c>
      <c r="E76" t="inlineStr">
        <is>
          <t>A1</t>
        </is>
      </c>
      <c r="F76" s="2" t="inlineStr">
        <is>
          <t>¿Calcula gasto asignado/no asignado por responsable, centro o entidad?</t>
        </is>
      </c>
      <c r="G76" t="inlineStr">
        <is>
          <t>NE</t>
        </is>
      </c>
      <c r="H76" t="inlineStr">
        <is>
          <t>Pendiente</t>
        </is>
      </c>
      <c r="I76" s="2" t="inlineStr">
        <is>
          <t>Cost Categories es "a cost allocation service to help you map your AWS costs to your unique internal business structures" mediante reglas; expone una categoría de costos no mapeados.</t>
        </is>
      </c>
      <c r="J76" t="inlineStr">
        <is>
          <t>https://docs.aws.amazon.com/awsaccountbilling/latest/aboutv2/manage-cost-categories.html</t>
        </is>
      </c>
      <c r="K76" t="inlineStr">
        <is>
          <t>2026-09-16</t>
        </is>
      </c>
      <c r="L76"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 | Celda heredada FP-180 (2026-09-16): el valor 2 proviene de la investigacion del escenario E1 y no cuenta con evidencia propia de E6. Segun FP-177 el indicador A1 depende del escenario, por lo que pasa a NE (no evidenciado, reduce cobertura) hasta investigarlo. La evidencia y la fuente originales se conservan como referencia del escenario de origen.</t>
        </is>
      </c>
    </row>
    <row r="77">
      <c r="A77" t="inlineStr">
        <is>
          <t>E6</t>
        </is>
      </c>
      <c r="B77" t="inlineStr">
        <is>
          <t>Cloud nativa</t>
        </is>
      </c>
      <c r="C77" t="inlineStr">
        <is>
          <t>AWS Cost Explorer</t>
        </is>
      </c>
      <c r="D77" t="inlineStr">
        <is>
          <t>Asignacion</t>
        </is>
      </c>
      <c r="E77" t="inlineStr">
        <is>
          <t>A2</t>
        </is>
      </c>
      <c r="F77" s="2" t="inlineStr">
        <is>
          <t>¿Explicita y aplica reglas para costo compartido/multi-tenant?</t>
        </is>
      </c>
      <c r="G77" t="inlineStr">
        <is>
          <t>NE</t>
        </is>
      </c>
      <c r="H77" t="inlineStr">
        <is>
          <t>Pendiente</t>
        </is>
      </c>
      <c r="I77" s="2" t="inlineStr">
        <is>
          <t>Cost Categories admite "Splitting charges within cost categories" (split charge rules) para repartir costos compartidos entre categorías/equipos.</t>
        </is>
      </c>
      <c r="J77" t="inlineStr">
        <is>
          <t>https://docs.aws.amazon.com/awsaccountbilling/latest/aboutv2/manage-cost-categories.html</t>
        </is>
      </c>
      <c r="K77" t="inlineStr">
        <is>
          <t>2026-09-16</t>
        </is>
      </c>
      <c r="L77" s="2" t="inlineStr">
        <is>
          <t>Celda heredada FP-180 (2026-09-16): el valor 2 proviene de la investigacion del escenario E1 y no cuenta con evidencia propia de E6. Segun FP-177 el indicador A2 depende del escenario, por lo que pasa a NE (no evidenciado, reduce cobertura) hasta investigarlo. La evidencia y la fuente originales se conservan como referencia del escenario de origen.</t>
        </is>
      </c>
    </row>
    <row r="78">
      <c r="A78" t="inlineStr">
        <is>
          <t>E6</t>
        </is>
      </c>
      <c r="B78" t="inlineStr">
        <is>
          <t>Cloud nativa</t>
        </is>
      </c>
      <c r="C78" t="inlineStr">
        <is>
          <t>AWS Cost Explorer</t>
        </is>
      </c>
      <c r="D78" t="inlineStr">
        <is>
          <t>Optimizacion</t>
        </is>
      </c>
      <c r="E78" t="inlineStr">
        <is>
          <t>O1</t>
        </is>
      </c>
      <c r="F78" s="2" t="inlineStr">
        <is>
          <t>¿Detecta desperdicio, rightsizing o compromiso relevante al escenario?</t>
        </is>
      </c>
      <c r="G78" t="inlineStr">
        <is>
          <t>NE</t>
        </is>
      </c>
      <c r="H78" t="inlineStr">
        <is>
          <t>Pendiente</t>
        </is>
      </c>
      <c r="I78" s="2" t="inlineStr">
        <is>
          <t>Cost Explorer conserva una vista propia de "rightsizing recommendations" (principalmente EC2), de alcance más acotado que Cost Optimization Hub.</t>
        </is>
      </c>
      <c r="J78" t="inlineStr">
        <is>
          <t>https://docs.aws.amazon.com/cost-management/latest/userguide/ce-rightsizing.html</t>
        </is>
      </c>
      <c r="K78" t="inlineStr">
        <is>
          <t>2026-09-16</t>
        </is>
      </c>
      <c r="L78" s="2" t="inlineStr">
        <is>
          <t>Celda heredada FP-180 (2026-09-16): el valor 1 proviene de la investigacion del escenario E1 y no cuenta con evidencia propia de E6. Segun FP-177 el indicador O1 depende del escenario, por lo que pasa a NE (no evidenciado, reduce cobertura) hasta investigarlo. La evidencia y la fuente originales se conservan como referencia del escenario de origen.</t>
        </is>
      </c>
    </row>
    <row r="79">
      <c r="A79" t="inlineStr">
        <is>
          <t>E6</t>
        </is>
      </c>
      <c r="B79" t="inlineStr">
        <is>
          <t>Cloud nativa</t>
        </is>
      </c>
      <c r="C79" t="inlineStr">
        <is>
          <t>AWS Cost Explorer</t>
        </is>
      </c>
      <c r="D79" t="inlineStr">
        <is>
          <t>Optimizacion</t>
        </is>
      </c>
      <c r="E79" t="inlineStr">
        <is>
          <t>O2</t>
        </is>
      </c>
      <c r="F79" s="2" t="inlineStr">
        <is>
          <t>¿Explica supuesto/impacto y permite seguir una recomendación?</t>
        </is>
      </c>
      <c r="G79" t="n">
        <v>1</v>
      </c>
      <c r="H79" t="inlineStr">
        <is>
          <t>Oficial</t>
        </is>
      </c>
      <c r="I79" s="2" t="inlineStr">
        <is>
          <t>La vista de rightsizing de Cost Explorer muestra el ahorro estimado por recomendación, sin el ciclo de seguimiento/objetivos que sí documenta Cost Optimization Hub.</t>
        </is>
      </c>
      <c r="J79" t="inlineStr">
        <is>
          <t>https://docs.aws.amazon.com/cost-management/latest/userguide/ce-rightsizing.html</t>
        </is>
      </c>
      <c r="K79" t="inlineStr">
        <is>
          <t>2026-09-16</t>
        </is>
      </c>
      <c r="L79" s="2" t="inlineStr"/>
    </row>
    <row r="80">
      <c r="A80" t="inlineStr">
        <is>
          <t>E6</t>
        </is>
      </c>
      <c r="B80" t="inlineStr">
        <is>
          <t>Cloud nativa</t>
        </is>
      </c>
      <c r="C80" t="inlineStr">
        <is>
          <t>AWS Cost Explorer</t>
        </is>
      </c>
      <c r="D80" t="inlineStr">
        <is>
          <t>Automatizacion</t>
        </is>
      </c>
      <c r="E80" t="inlineStr">
        <is>
          <t>AU1</t>
        </is>
      </c>
      <c r="F80" s="2" t="inlineStr">
        <is>
          <t>¿Ejecuta o bloquea acciones/políticas de costo con control verificable?</t>
        </is>
      </c>
      <c r="G80" t="inlineStr">
        <is>
          <t>NE</t>
        </is>
      </c>
      <c r="H80" t="inlineStr">
        <is>
          <t>Pendiente</t>
        </is>
      </c>
      <c r="I80" s="2" t="inlineStr">
        <is>
          <t>AWS Budgets puede ejecutar "budget actions" (política IAM Deny, SCP, detener instancias EC2/RDS) "either automatically or after your manual approval".</t>
        </is>
      </c>
      <c r="J80" t="inlineStr">
        <is>
          <t>https://docs.aws.amazon.com/cost-management/latest/userguide/budgets-controls.html</t>
        </is>
      </c>
      <c r="K80" t="inlineStr">
        <is>
          <t>2026-09-16</t>
        </is>
      </c>
      <c r="L80" s="2" t="inlineStr">
        <is>
          <t>Celda heredada FP-180 (2026-09-16): el valor 2 proviene de la investigacion del escenario E1 y no cuenta con evidencia propia de E6. Segun FP-177 el indicador AU1 depende del escenario, por lo que pasa a NE (no evidenciado, reduce cobertura) hasta investigarlo. La evidencia y la fuente originales se conservan como referencia del escenario de origen.</t>
        </is>
      </c>
    </row>
    <row r="81">
      <c r="A81" t="inlineStr">
        <is>
          <t>E6</t>
        </is>
      </c>
      <c r="B81" t="inlineStr">
        <is>
          <t>Cloud nativa</t>
        </is>
      </c>
      <c r="C81" t="inlineStr">
        <is>
          <t>AWS Cost Explorer</t>
        </is>
      </c>
      <c r="D81" t="inlineStr">
        <is>
          <t>Automatizacion</t>
        </is>
      </c>
      <c r="E81" t="inlineStr">
        <is>
          <t>AU2</t>
        </is>
      </c>
      <c r="F81" s="2" t="inlineStr">
        <is>
          <t>¿Ofrece aprobación, reversión, registro o límites antes de actuar?</t>
        </is>
      </c>
      <c r="G81" t="n">
        <v>2</v>
      </c>
      <c r="H81" t="inlineStr">
        <is>
          <t>Oficial</t>
        </is>
      </c>
      <c r="I81" s="2" t="inlineStr">
        <is>
          <t>Las budget actions permiten exigir aprobación manual antes de ejecutarse. La documentación revisada no detalla registro de auditoría ni mecanismo de reversión explícito (limitación registrada).</t>
        </is>
      </c>
      <c r="J81" t="inlineStr">
        <is>
          <t>https://docs.aws.amazon.com/cost-management/latest/userguide/budgets-controls.html</t>
        </is>
      </c>
      <c r="K81" t="inlineStr">
        <is>
          <t>2026-09-16</t>
        </is>
      </c>
      <c r="L81" s="2" t="inlineStr"/>
    </row>
    <row r="82">
      <c r="A82" t="inlineStr">
        <is>
          <t>E6</t>
        </is>
      </c>
      <c r="B82" t="inlineStr">
        <is>
          <t>Cloud nativa</t>
        </is>
      </c>
      <c r="C82" t="inlineStr">
        <is>
          <t>AWS Cost Explorer</t>
        </is>
      </c>
      <c r="D82" t="inlineStr">
        <is>
          <t>Multicloud</t>
        </is>
      </c>
      <c r="E82" t="inlineStr">
        <is>
          <t>M1</t>
        </is>
      </c>
      <c r="F82" s="2" t="inlineStr">
        <is>
          <t>¿Consolida al menos dos proveedores bajo el mismo esquema declarado?</t>
        </is>
      </c>
      <c r="G82" t="n">
        <v>0</v>
      </c>
      <c r="H82" t="inlineStr">
        <is>
          <t>Oficial</t>
        </is>
      </c>
      <c r="I82" s="2" t="inlineStr">
        <is>
          <t>Cost Explorer y el CUR cubren exclusivamente cuentas y facturación de AWS; no ingieren ni consolidan datos de Azure o GCP.</t>
        </is>
      </c>
      <c r="J82" t="inlineStr">
        <is>
          <t>https://docs.aws.amazon.com/cur/latest/userguide/what-is-cur.html</t>
        </is>
      </c>
      <c r="K82" t="inlineStr">
        <is>
          <t>2026-09-16</t>
        </is>
      </c>
      <c r="L82" s="2" t="inlineStr"/>
    </row>
    <row r="83">
      <c r="A83" t="inlineStr">
        <is>
          <t>E6</t>
        </is>
      </c>
      <c r="B83" t="inlineStr">
        <is>
          <t>Cloud nativa</t>
        </is>
      </c>
      <c r="C83" t="inlineStr">
        <is>
          <t>AWS Cost Explorer</t>
        </is>
      </c>
      <c r="D83" t="inlineStr">
        <is>
          <t>Multicloud</t>
        </is>
      </c>
      <c r="E83" t="inlineStr">
        <is>
          <t>M2</t>
        </is>
      </c>
      <c r="F83" s="2" t="inlineStr">
        <is>
          <t>¿Hace visibles proveedor, cobertura y diferencias semánticas?</t>
        </is>
      </c>
      <c r="G83" t="n">
        <v>0</v>
      </c>
      <c r="H83" t="inlineStr">
        <is>
          <t>Oficial</t>
        </is>
      </c>
      <c r="I83" s="2" t="inlineStr">
        <is>
          <t>Al no consolidar otros proveedores, la herramienta no expone diferencias de cobertura o semántica entre nubes.</t>
        </is>
      </c>
      <c r="J83" t="inlineStr">
        <is>
          <t>https://docs.aws.amazon.com/cur/latest/userguide/what-is-cur.html</t>
        </is>
      </c>
      <c r="K83" t="inlineStr">
        <is>
          <t>2026-09-16</t>
        </is>
      </c>
      <c r="L83" s="2" t="inlineStr"/>
    </row>
    <row r="84">
      <c r="A84" t="inlineStr">
        <is>
          <t>E6</t>
        </is>
      </c>
      <c r="B84" t="inlineStr">
        <is>
          <t>Cloud nativa</t>
        </is>
      </c>
      <c r="C84" t="inlineStr">
        <is>
          <t>AWS Cost Explorer</t>
        </is>
      </c>
      <c r="D84" t="inlineStr">
        <is>
          <t>Integracion</t>
        </is>
      </c>
      <c r="E84" t="inlineStr">
        <is>
          <t>I1</t>
        </is>
      </c>
      <c r="F84" s="2" t="inlineStr">
        <is>
          <t>¿Integra datos requeridos (facturación, uso, clúster o IaC) del escenario?</t>
        </is>
      </c>
      <c r="G84" t="inlineStr">
        <is>
          <t>NE</t>
        </is>
      </c>
      <c r="H84" t="inlineStr">
        <is>
          <t>Pendiente</t>
        </is>
      </c>
      <c r="I84" s="2" t="inlineStr">
        <is>
          <t>El CUR/la API de Cost Explorer ingieren datos de facturación y uso de forma automatizada; para EKS, "Split Cost Allocation Data" añade métricas de clúster a nivel de pod/namespace al CUR.</t>
        </is>
      </c>
      <c r="J84" t="inlineStr">
        <is>
          <t>https://aws.amazon.com/about-aws/whats-new/2024/04/aws-split-cost-allocation-data-amazon-eks/</t>
        </is>
      </c>
      <c r="K84" t="inlineStr">
        <is>
          <t>2026-09-16</t>
        </is>
      </c>
      <c r="L84" s="2" t="inlineStr">
        <is>
          <t>Celda heredada FP-180 (2026-09-16): el valor 2 proviene de la investigacion del escenario E1 y no cuenta con evidencia propia de E6. Segun FP-177 el indicador I1 depende del escenario, por lo que pasa a NE (no evidenciado, reduce cobertura) hasta investigarlo. La evidencia y la fuente originales se conservan como referencia del escenario de origen.</t>
        </is>
      </c>
    </row>
    <row r="85">
      <c r="A85" t="inlineStr">
        <is>
          <t>E6</t>
        </is>
      </c>
      <c r="B85" t="inlineStr">
        <is>
          <t>Cloud nativa</t>
        </is>
      </c>
      <c r="C85" t="inlineStr">
        <is>
          <t>AWS Cost Explorer</t>
        </is>
      </c>
      <c r="D85" t="inlineStr">
        <is>
          <t>Integracion</t>
        </is>
      </c>
      <c r="E85" t="inlineStr">
        <is>
          <t>I2</t>
        </is>
      </c>
      <c r="F85" s="2" t="inlineStr">
        <is>
          <t>¿Se integra con el flujo de trabajo relevante (alerta, ticket, CI/CD o reporte)?</t>
        </is>
      </c>
      <c r="G85" t="inlineStr">
        <is>
          <t>NE</t>
        </is>
      </c>
      <c r="H85" t="inlineStr">
        <is>
          <t>Pendiente</t>
        </is>
      </c>
      <c r="I85" s="2" t="inlineStr">
        <is>
          <t>AWS Cost Anomaly Detection y Budgets envían alertas (p. ej., a SNS/correo) integradas a un flujo operativo de revisión.</t>
        </is>
      </c>
      <c r="J85" t="inlineStr">
        <is>
          <t>https://docs.aws.amazon.com/cost-management/latest/userguide/budgets-controls.html</t>
        </is>
      </c>
      <c r="K85" t="inlineStr">
        <is>
          <t>2026-09-16</t>
        </is>
      </c>
      <c r="L85" s="2" t="inlineStr">
        <is>
          <t>Celda heredada FP-180 (2026-09-16): el valor 2 proviene de la investigacion del escenario E1 y no cuenta con evidencia propia de E6. Segun FP-177 el indicador I2 depende del escenario, por lo que pasa a NE (no evidenciado, reduce cobertura) hasta investigarlo. La evidencia y la fuente originales se conservan como referencia del escenario de origen.</t>
        </is>
      </c>
    </row>
    <row r="86">
      <c r="A86" t="inlineStr">
        <is>
          <t>E6</t>
        </is>
      </c>
      <c r="B86" t="inlineStr">
        <is>
          <t>Cloud nativa</t>
        </is>
      </c>
      <c r="C86" t="inlineStr">
        <is>
          <t>AWS Cost Explorer</t>
        </is>
      </c>
      <c r="D86" t="inlineStr">
        <is>
          <t>Adopcion</t>
        </is>
      </c>
      <c r="E86" t="inlineStr">
        <is>
          <t>AD1</t>
        </is>
      </c>
      <c r="F86" s="2" t="inlineStr">
        <is>
          <t>¿Soporta acceso/entrega para los roles del escenario?</t>
        </is>
      </c>
      <c r="G86" t="inlineStr">
        <is>
          <t>NE</t>
        </is>
      </c>
      <c r="H86" t="inlineStr">
        <is>
          <t>Pendiente</t>
        </is>
      </c>
      <c r="I86" s="2" t="inlineStr">
        <is>
          <t>El acceso a Cost Explorer/Budgets se controla mediante políticas de IAM por usuario/rol (control de acceso estándar de AWS Billing).</t>
        </is>
      </c>
      <c r="J86" t="inlineStr">
        <is>
          <t>https://docs.aws.amazon.com/awsaccountbilling/latest/aboutv2/cost-alloc-tags.html</t>
        </is>
      </c>
      <c r="K86" t="inlineStr">
        <is>
          <t>2026-09-16</t>
        </is>
      </c>
      <c r="L86" s="2" t="inlineStr">
        <is>
          <t>Celda heredada FP-180 (2026-09-16): el valor 2 proviene de la investigacion del escenario E1 y no cuenta con evidencia propia de E6. Segun FP-177 el indicador AD1 depende del escenario, por lo que pasa a NE (no evidenciado, reduce cobertura) hasta investigarlo. La evidencia y la fuente originales se conservan como referencia del escenario de origen.</t>
        </is>
      </c>
    </row>
    <row r="87">
      <c r="A87" t="inlineStr">
        <is>
          <t>E6</t>
        </is>
      </c>
      <c r="B87" t="inlineStr">
        <is>
          <t>Cloud nativa</t>
        </is>
      </c>
      <c r="C87" t="inlineStr">
        <is>
          <t>AWS Cost Explorer</t>
        </is>
      </c>
      <c r="D87" t="inlineStr">
        <is>
          <t>Adopcion</t>
        </is>
      </c>
      <c r="E87" t="inlineStr">
        <is>
          <t>AD2</t>
        </is>
      </c>
      <c r="F87" s="2" t="inlineStr">
        <is>
          <t>¿Ofrece guías, ownership o mecanismos de seguimiento para uso sostenido?</t>
        </is>
      </c>
      <c r="G87" t="n">
        <v>2</v>
      </c>
      <c r="H87" t="inlineStr">
        <is>
          <t>Oficial</t>
        </is>
      </c>
      <c r="I87" s="2" t="inlineStr">
        <is>
          <t>AWS publica guías oficiales de adopción, entre ellas el whitepaper de mejores prácticas de etiquetado y estrategia de asignación de costos.</t>
        </is>
      </c>
      <c r="J87" t="inlineStr">
        <is>
          <t>https://docs.aws.amazon.com/whitepapers/latest/tagging-best-practices/building-a-cost-allocation-strategy.html</t>
        </is>
      </c>
      <c r="K87" t="inlineStr">
        <is>
          <t>2026-09-16</t>
        </is>
      </c>
      <c r="L87"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88">
      <c r="A88" t="inlineStr">
        <is>
          <t>E6</t>
        </is>
      </c>
      <c r="B88" t="inlineStr">
        <is>
          <t>Cloud nativa</t>
        </is>
      </c>
      <c r="C88" t="inlineStr">
        <is>
          <t>AWS Cost Explorer</t>
        </is>
      </c>
      <c r="D88" t="inlineStr">
        <is>
          <t>Precio</t>
        </is>
      </c>
      <c r="E88" t="inlineStr">
        <is>
          <t>P1</t>
        </is>
      </c>
      <c r="F88" s="2" t="inlineStr">
        <is>
          <t>¿Expone precio, moneda, región, unidad, período y supuestos relevantes?</t>
        </is>
      </c>
      <c r="G88" t="n">
        <v>2</v>
      </c>
      <c r="H88" t="inlineStr">
        <is>
          <t>Oficial</t>
        </is>
      </c>
      <c r="I88" s="2" t="inlineStr">
        <is>
          <t>El CUR y los Data Exports FOCUS 1.0/1.2 exponen moneda, período, servicio y columnas estandarizadas de costo (ListCost, ContractedCost, BilledCost, EffectiveCost).</t>
        </is>
      </c>
      <c r="J88" t="inlineStr">
        <is>
          <t>https://aws.amazon.com/about-aws/whats-new/2024/11/aws-billing-cost-management-data-exports-focus-1-0</t>
        </is>
      </c>
      <c r="K88" t="inlineStr">
        <is>
          <t>2026-09-16</t>
        </is>
      </c>
      <c r="L88" s="2" t="inlineStr"/>
    </row>
    <row r="89">
      <c r="A89" t="inlineStr">
        <is>
          <t>E6</t>
        </is>
      </c>
      <c r="B89" t="inlineStr">
        <is>
          <t>Cloud nativa</t>
        </is>
      </c>
      <c r="C89" t="inlineStr">
        <is>
          <t>AWS Cost Explorer</t>
        </is>
      </c>
      <c r="D89" t="inlineStr">
        <is>
          <t>Precio</t>
        </is>
      </c>
      <c r="E89" t="inlineStr">
        <is>
          <t>P2</t>
        </is>
      </c>
      <c r="F89" s="2" t="inlineStr">
        <is>
          <t>¿Permite estimar o comparar componentes sin ocultar límites de equivalencia?</t>
        </is>
      </c>
      <c r="G89" t="inlineStr">
        <is>
          <t>NE</t>
        </is>
      </c>
      <c r="H89" t="inlineStr">
        <is>
          <t>Pendiente</t>
        </is>
      </c>
      <c r="I89" s="2" t="inlineStr">
        <is>
          <t>Cost Explorer ofrece pronóstico de costo futuro basado en tendencia histórica; no es una calculadora de estimación de componentes antes del despliegue (esa función es de AWS Pricing Calculator, evaluada aparte).</t>
        </is>
      </c>
      <c r="J89" t="inlineStr">
        <is>
          <t>https://docs.aws.amazon.com/cost-management/latest/userguide/ce-what-is.html</t>
        </is>
      </c>
      <c r="K89" t="inlineStr">
        <is>
          <t>2026-09-16</t>
        </is>
      </c>
      <c r="L89" s="2" t="inlineStr">
        <is>
          <t>Celda heredada FP-180 (2026-09-16): el valor 1 proviene de la investigacion del escenario E1 y no cuenta con evidencia propia de E6. Segun FP-177 el indicador P2 depende del escenario, por lo que pasa a NE (no evidenciado, reduce cobertura) hasta investigarlo. La evidencia y la fuente originales se conservan como referencia del escenario de origen.</t>
        </is>
      </c>
    </row>
    <row r="90">
      <c r="A90" t="inlineStr">
        <is>
          <t>E6</t>
        </is>
      </c>
      <c r="B90" t="inlineStr">
        <is>
          <t>Cloud nativa</t>
        </is>
      </c>
      <c r="C90" t="inlineStr">
        <is>
          <t>AWS Cost Explorer</t>
        </is>
      </c>
      <c r="D90" t="inlineStr">
        <is>
          <t>Dependencia</t>
        </is>
      </c>
      <c r="E90" t="inlineStr">
        <is>
          <t>D1</t>
        </is>
      </c>
      <c r="F90" s="2" t="inlineStr">
        <is>
          <t>¿Exporta datos/resultados en formato utilizable y documentado?</t>
        </is>
      </c>
      <c r="G90" t="n">
        <v>2</v>
      </c>
      <c r="H90" t="inlineStr">
        <is>
          <t>Oficial</t>
        </is>
      </c>
      <c r="I90" s="2" t="inlineStr">
        <is>
          <t>El CUR exporta a S3 en CSV/Parquet y, desde 2024-2025, también en el estándar abierto FOCUS 1.0/1.2.</t>
        </is>
      </c>
      <c r="J90" t="inlineStr">
        <is>
          <t>https://aws.amazon.com/about-aws/whats-new/2024/11/aws-billing-cost-management-data-exports-focus-1-0</t>
        </is>
      </c>
      <c r="K90" t="inlineStr">
        <is>
          <t>2026-09-16</t>
        </is>
      </c>
      <c r="L90" s="2" t="inlineStr"/>
    </row>
    <row r="91">
      <c r="A91" t="inlineStr">
        <is>
          <t>E6</t>
        </is>
      </c>
      <c r="B91" t="inlineStr">
        <is>
          <t>Cloud nativa</t>
        </is>
      </c>
      <c r="C91" t="inlineStr">
        <is>
          <t>AWS Cost Explorer</t>
        </is>
      </c>
      <c r="D91" t="inlineStr">
        <is>
          <t>Dependencia</t>
        </is>
      </c>
      <c r="E91" t="inlineStr">
        <is>
          <t>D2</t>
        </is>
      </c>
      <c r="F91" s="2" t="inlineStr">
        <is>
          <t>¿Documenta dependencias propietarias y un camino de salida/configuración reversible?</t>
        </is>
      </c>
      <c r="G91" t="n">
        <v>1</v>
      </c>
      <c r="H91" t="inlineStr">
        <is>
          <t>Oficial</t>
        </is>
      </c>
      <c r="I91" s="2" t="inlineStr">
        <is>
          <t>No se encontró documentación específica de un "camino de salida" dedicado. El riesgo de dependencia es menor porque los datos son exportables en formato estándar (FOCUS) y el servicio no tiene costo propio, pero no hay guía de reversibilidad dedicada (limitación registrada).</t>
        </is>
      </c>
      <c r="J91" t="inlineStr">
        <is>
          <t>https://aws.amazon.com/about-aws/whats-new/2024/11/aws-billing-cost-management-data-exports-focus-1-0</t>
        </is>
      </c>
      <c r="K91" t="inlineStr">
        <is>
          <t>2026-09-16</t>
        </is>
      </c>
      <c r="L91" s="2" t="inlineStr"/>
    </row>
    <row r="92">
      <c r="A92" t="inlineStr">
        <is>
          <t>E1</t>
        </is>
      </c>
      <c r="B92" t="inlineStr">
        <is>
          <t>Cloud nativa</t>
        </is>
      </c>
      <c r="C92" t="inlineStr">
        <is>
          <t>AWS Cost Optimization Hub</t>
        </is>
      </c>
      <c r="D92" t="inlineStr">
        <is>
          <t>Visibilidad</t>
        </is>
      </c>
      <c r="E92" t="inlineStr">
        <is>
          <t>V1</t>
        </is>
      </c>
      <c r="F92" s="2" t="inlineStr">
        <is>
          <t>¿Desagrega costo y uso por cuenta/proyecto, servicio y período?</t>
        </is>
      </c>
      <c r="G92" t="n">
        <v>0</v>
      </c>
      <c r="H92" t="inlineStr">
        <is>
          <t>Oficial (ausencia verificada)</t>
        </is>
      </c>
      <c r="I92" s="2" t="inlineStr">
        <is>
          <t>Cost Optimization Hub no ofrece un desglose general de costo/uso por cuenta-servicio-período; su función documentada es consolidar y priorizar recomendaciones, no la visibilidad general de gasto (esa función corresponde a Cost Explorer).</t>
        </is>
      </c>
      <c r="J92" t="inlineStr">
        <is>
          <t>https://docs.aws.amazon.com/cost-management/latest/userguide/cost-optimization-hub.html</t>
        </is>
      </c>
      <c r="K92" t="inlineStr">
        <is>
          <t>2026-09-16</t>
        </is>
      </c>
      <c r="L9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93">
      <c r="A93" t="inlineStr">
        <is>
          <t>E1</t>
        </is>
      </c>
      <c r="B93" t="inlineStr">
        <is>
          <t>Cloud nativa</t>
        </is>
      </c>
      <c r="C93" t="inlineStr">
        <is>
          <t>AWS Cost Optimization Hub</t>
        </is>
      </c>
      <c r="D93" t="inlineStr">
        <is>
          <t>Visibilidad</t>
        </is>
      </c>
      <c r="E93" t="inlineStr">
        <is>
          <t>V2</t>
        </is>
      </c>
      <c r="F93" s="2" t="inlineStr">
        <is>
          <t>¿Permite rastrear un total hasta registros o fuente de facturación?</t>
        </is>
      </c>
      <c r="G93" t="n">
        <v>0</v>
      </c>
      <c r="H93" t="inlineStr">
        <is>
          <t>Oficial (ausencia verificada)</t>
        </is>
      </c>
      <c r="I93" s="2" t="inlineStr">
        <is>
          <t>Mismo alcance de diseño que V1: no es una herramienta de trazabilidad de gasto.</t>
        </is>
      </c>
      <c r="J93" t="inlineStr">
        <is>
          <t>https://docs.aws.amazon.com/cost-management/latest/userguide/cost-optimization-hub.html</t>
        </is>
      </c>
      <c r="K93" t="inlineStr">
        <is>
          <t>2026-09-16</t>
        </is>
      </c>
      <c r="L9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94">
      <c r="A94" t="inlineStr">
        <is>
          <t>E1</t>
        </is>
      </c>
      <c r="B94" t="inlineStr">
        <is>
          <t>Cloud nativa</t>
        </is>
      </c>
      <c r="C94" t="inlineStr">
        <is>
          <t>AWS Cost Optimization Hub</t>
        </is>
      </c>
      <c r="D94" t="inlineStr">
        <is>
          <t>Asignacion</t>
        </is>
      </c>
      <c r="E94" t="inlineStr">
        <is>
          <t>A1</t>
        </is>
      </c>
      <c r="F94" s="2" t="inlineStr">
        <is>
          <t>¿Calcula gasto asignado/no asignado por responsable, centro o entidad?</t>
        </is>
      </c>
      <c r="G94" t="n">
        <v>0</v>
      </c>
      <c r="H94" t="inlineStr">
        <is>
          <t>Oficial (ausencia verificada)</t>
        </is>
      </c>
      <c r="I94" s="2" t="inlineStr">
        <is>
          <t>No calcula asignación de gasto por responsable/centro de costo; opera sobre recomendaciones de optimización, no sobre asignación.</t>
        </is>
      </c>
      <c r="J94" t="inlineStr">
        <is>
          <t>https://docs.aws.amazon.com/cost-management/latest/userguide/cost-optimization-hub.html</t>
        </is>
      </c>
      <c r="K94" t="inlineStr">
        <is>
          <t>2026-09-16</t>
        </is>
      </c>
      <c r="L9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95">
      <c r="A95" t="inlineStr">
        <is>
          <t>E1</t>
        </is>
      </c>
      <c r="B95" t="inlineStr">
        <is>
          <t>Cloud nativa</t>
        </is>
      </c>
      <c r="C95" t="inlineStr">
        <is>
          <t>AWS Cost Optimization Hub</t>
        </is>
      </c>
      <c r="D95" t="inlineStr">
        <is>
          <t>Asignacion</t>
        </is>
      </c>
      <c r="E95" t="inlineStr">
        <is>
          <t>A2</t>
        </is>
      </c>
      <c r="F95" s="2" t="inlineStr">
        <is>
          <t>¿Explicita y aplica reglas para costo compartido/multi-tenant?</t>
        </is>
      </c>
      <c r="G95" t="n">
        <v>0</v>
      </c>
      <c r="H95" t="inlineStr">
        <is>
          <t>Oficial (ausencia verificada)</t>
        </is>
      </c>
      <c r="I95" s="2" t="inlineStr">
        <is>
          <t>No define reglas de reparto de costo compartido.</t>
        </is>
      </c>
      <c r="J95" t="inlineStr">
        <is>
          <t>https://docs.aws.amazon.com/cost-management/latest/userguide/cost-optimization-hub.html</t>
        </is>
      </c>
      <c r="K95" t="inlineStr">
        <is>
          <t>2026-09-16</t>
        </is>
      </c>
      <c r="L9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96">
      <c r="A96" t="inlineStr">
        <is>
          <t>E1</t>
        </is>
      </c>
      <c r="B96" t="inlineStr">
        <is>
          <t>Cloud nativa</t>
        </is>
      </c>
      <c r="C96" t="inlineStr">
        <is>
          <t>AWS Cost Optimization Hub</t>
        </is>
      </c>
      <c r="D96" t="inlineStr">
        <is>
          <t>Optimizacion</t>
        </is>
      </c>
      <c r="E96" t="inlineStr">
        <is>
          <t>O1</t>
        </is>
      </c>
      <c r="F96" s="2" t="inlineStr">
        <is>
          <t>¿Detecta desperdicio, rightsizing o compromiso relevante al escenario?</t>
        </is>
      </c>
      <c r="G96" t="n">
        <v>2</v>
      </c>
      <c r="H96" t="inlineStr">
        <is>
          <t>Oficial</t>
        </is>
      </c>
      <c r="I96" s="2" t="inlineStr">
        <is>
          <t>"It makes recommendations on resource rightsizing, idle resource deletion, Savings Plans, and Reserved Instances" y permite "filtering, sorting, and grouping" para priorizar oportunidades.</t>
        </is>
      </c>
      <c r="J96" t="inlineStr">
        <is>
          <t>https://docs.aws.amazon.com/cost-management/latest/userguide/cost-optimization-hub.html</t>
        </is>
      </c>
      <c r="K96" t="inlineStr">
        <is>
          <t>2026-09-16</t>
        </is>
      </c>
      <c r="L96" s="2" t="inlineStr"/>
    </row>
    <row r="97">
      <c r="A97" t="inlineStr">
        <is>
          <t>E1</t>
        </is>
      </c>
      <c r="B97" t="inlineStr">
        <is>
          <t>Cloud nativa</t>
        </is>
      </c>
      <c r="C97" t="inlineStr">
        <is>
          <t>AWS Cost Optimization Hub</t>
        </is>
      </c>
      <c r="D97" t="inlineStr">
        <is>
          <t>Optimizacion</t>
        </is>
      </c>
      <c r="E97" t="inlineStr">
        <is>
          <t>O2</t>
        </is>
      </c>
      <c r="F97" s="2" t="inlineStr">
        <is>
          <t>¿Explica supuesto/impacto y permite seguir una recomendación?</t>
        </is>
      </c>
      <c r="G97" t="n">
        <v>2</v>
      </c>
      <c r="H97" t="inlineStr">
        <is>
          <t>Oficial</t>
        </is>
      </c>
      <c r="I97" s="2" t="inlineStr">
        <is>
          <t>"Quantify estimated savings that incorporate your AWS pricing and discounts" y "track progress to maximize your return on cloud investments", con posibilidad de fijar objetivos de ahorro.</t>
        </is>
      </c>
      <c r="J97" t="inlineStr">
        <is>
          <t>https://docs.aws.amazon.com/cost-management/latest/userguide/cost-optimization-hub.html</t>
        </is>
      </c>
      <c r="K97" t="inlineStr">
        <is>
          <t>2026-09-16</t>
        </is>
      </c>
      <c r="L97" s="2" t="inlineStr"/>
    </row>
    <row r="98">
      <c r="A98" t="inlineStr">
        <is>
          <t>E1</t>
        </is>
      </c>
      <c r="B98" t="inlineStr">
        <is>
          <t>Cloud nativa</t>
        </is>
      </c>
      <c r="C98" t="inlineStr">
        <is>
          <t>AWS Cost Optimization Hub</t>
        </is>
      </c>
      <c r="D98" t="inlineStr">
        <is>
          <t>Automatizacion</t>
        </is>
      </c>
      <c r="E98" t="inlineStr">
        <is>
          <t>AU1</t>
        </is>
      </c>
      <c r="F98" s="2" t="inlineStr">
        <is>
          <t>¿Ejecuta o bloquea acciones/políticas de costo con control verificable?</t>
        </is>
      </c>
      <c r="G98" t="n">
        <v>0</v>
      </c>
      <c r="H98" t="inlineStr">
        <is>
          <t>Oficial (ausencia verificada)</t>
        </is>
      </c>
      <c r="I98" s="2" t="inlineStr">
        <is>
          <t>Cost Optimization Hub recomienda pero no ejecuta acciones; la ejecución/control automatizado corresponde a AWS Budgets (evaluado dentro de Cost Explorer en este trabajo).</t>
        </is>
      </c>
      <c r="J98" t="inlineStr">
        <is>
          <t>https://docs.aws.amazon.com/cost-management/latest/userguide/cost-optimization-hub.html</t>
        </is>
      </c>
      <c r="K98" t="inlineStr">
        <is>
          <t>2026-09-16</t>
        </is>
      </c>
      <c r="L9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99">
      <c r="A99" t="inlineStr">
        <is>
          <t>E1</t>
        </is>
      </c>
      <c r="B99" t="inlineStr">
        <is>
          <t>Cloud nativa</t>
        </is>
      </c>
      <c r="C99" t="inlineStr">
        <is>
          <t>AWS Cost Optimization Hub</t>
        </is>
      </c>
      <c r="D99" t="inlineStr">
        <is>
          <t>Automatizacion</t>
        </is>
      </c>
      <c r="E99" t="inlineStr">
        <is>
          <t>AU2</t>
        </is>
      </c>
      <c r="F99" s="2" t="inlineStr">
        <is>
          <t>¿Ofrece aprobación, reversión, registro o límites antes de actuar?</t>
        </is>
      </c>
      <c r="G99" t="inlineStr">
        <is>
          <t>NA</t>
        </is>
      </c>
      <c r="H99" t="inlineStr">
        <is>
          <t>Justificación de alcance</t>
        </is>
      </c>
      <c r="I99" s="2" t="inlineStr">
        <is>
          <t>Mismo alcance de diseño que AU1: no ejecuta, por lo que no aplica evaluar salvaguardas de ejecución.</t>
        </is>
      </c>
      <c r="J99" t="inlineStr">
        <is>
          <t>https://docs.aws.amazon.com/cost-management/latest/userguide/cost-optimization-hub.html</t>
        </is>
      </c>
      <c r="K99" t="inlineStr">
        <is>
          <t>2026-09-16</t>
        </is>
      </c>
      <c r="L99" s="2" t="inlineStr"/>
    </row>
    <row r="100">
      <c r="A100" t="inlineStr">
        <is>
          <t>E1</t>
        </is>
      </c>
      <c r="B100" t="inlineStr">
        <is>
          <t>Cloud nativa</t>
        </is>
      </c>
      <c r="C100" t="inlineStr">
        <is>
          <t>AWS Cost Optimization Hub</t>
        </is>
      </c>
      <c r="D100" t="inlineStr">
        <is>
          <t>Multicloud</t>
        </is>
      </c>
      <c r="E100" t="inlineStr">
        <is>
          <t>M1</t>
        </is>
      </c>
      <c r="F100" s="2" t="inlineStr">
        <is>
          <t>¿Consolida al menos dos proveedores bajo el mismo esquema declarado?</t>
        </is>
      </c>
      <c r="G100" t="n">
        <v>0</v>
      </c>
      <c r="H100" t="inlineStr">
        <is>
          <t>Oficial (ausencia verificada)</t>
        </is>
      </c>
      <c r="I100" s="2" t="inlineStr">
        <is>
          <t>Cubre exclusivamente cuentas de AWS; no está diseñada para consolidar Azure/GCP.</t>
        </is>
      </c>
      <c r="J100" t="inlineStr">
        <is>
          <t>https://docs.aws.amazon.com/cost-management/latest/userguide/cost-optimization-hub.html</t>
        </is>
      </c>
      <c r="K100" t="inlineStr">
        <is>
          <t>2026-09-16</t>
        </is>
      </c>
      <c r="L10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1">
      <c r="A101" t="inlineStr">
        <is>
          <t>E1</t>
        </is>
      </c>
      <c r="B101" t="inlineStr">
        <is>
          <t>Cloud nativa</t>
        </is>
      </c>
      <c r="C101" t="inlineStr">
        <is>
          <t>AWS Cost Optimization Hub</t>
        </is>
      </c>
      <c r="D101" t="inlineStr">
        <is>
          <t>Multicloud</t>
        </is>
      </c>
      <c r="E101" t="inlineStr">
        <is>
          <t>M2</t>
        </is>
      </c>
      <c r="F101" s="2" t="inlineStr">
        <is>
          <t>¿Hace visibles proveedor, cobertura y diferencias semánticas?</t>
        </is>
      </c>
      <c r="G101" t="n">
        <v>0</v>
      </c>
      <c r="H101" t="inlineStr">
        <is>
          <t>Oficial (ausencia verificada)</t>
        </is>
      </c>
      <c r="I101" s="2" t="inlineStr">
        <is>
          <t>Mismo alcance de diseño que M1.</t>
        </is>
      </c>
      <c r="J101" t="inlineStr">
        <is>
          <t>https://docs.aws.amazon.com/cost-management/latest/userguide/cost-optimization-hub.html</t>
        </is>
      </c>
      <c r="K101" t="inlineStr">
        <is>
          <t>2026-09-16</t>
        </is>
      </c>
      <c r="L10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2">
      <c r="A102" t="inlineStr">
        <is>
          <t>E1</t>
        </is>
      </c>
      <c r="B102" t="inlineStr">
        <is>
          <t>Cloud nativa</t>
        </is>
      </c>
      <c r="C102" t="inlineStr">
        <is>
          <t>AWS Cost Optimization Hub</t>
        </is>
      </c>
      <c r="D102" t="inlineStr">
        <is>
          <t>Integracion</t>
        </is>
      </c>
      <c r="E102" t="inlineStr">
        <is>
          <t>I1</t>
        </is>
      </c>
      <c r="F102" s="2" t="inlineStr">
        <is>
          <t>¿Integra datos requeridos (facturación, uso, clúster o IaC) del escenario?</t>
        </is>
      </c>
      <c r="G102" t="n">
        <v>2</v>
      </c>
      <c r="H102" t="inlineStr">
        <is>
          <t>Oficial</t>
        </is>
      </c>
      <c r="I102" s="2" t="inlineStr">
        <is>
          <t>Consolida datos de recomendaciones desde los servicios soportados de AWS (EC2, RDS, Auto Scaling, etc.) y "accounts for your specific commercial terms with AWS, such as Reserved Instances and Savings Plans".</t>
        </is>
      </c>
      <c r="J102" t="inlineStr">
        <is>
          <t>https://docs.aws.amazon.com/cost-management/latest/userguide/cost-optimization-hub.html</t>
        </is>
      </c>
      <c r="K102" t="inlineStr">
        <is>
          <t>2026-09-16</t>
        </is>
      </c>
      <c r="L102" s="2" t="inlineStr"/>
    </row>
    <row r="103">
      <c r="A103" t="inlineStr">
        <is>
          <t>E1</t>
        </is>
      </c>
      <c r="B103" t="inlineStr">
        <is>
          <t>Cloud nativa</t>
        </is>
      </c>
      <c r="C103" t="inlineStr">
        <is>
          <t>AWS Cost Optimization Hub</t>
        </is>
      </c>
      <c r="D103" t="inlineStr">
        <is>
          <t>Integracion</t>
        </is>
      </c>
      <c r="E103" t="inlineStr">
        <is>
          <t>I2</t>
        </is>
      </c>
      <c r="F103" s="2" t="inlineStr">
        <is>
          <t>¿Se integra con el flujo de trabajo relevante (alerta, ticket, CI/CD o reporte)?</t>
        </is>
      </c>
      <c r="G103" t="n">
        <v>2</v>
      </c>
      <c r="H103" t="inlineStr">
        <is>
          <t>Oficial</t>
        </is>
      </c>
      <c r="I103" s="2" t="inlineStr">
        <is>
          <t>Las recomendaciones se reportan también en las consolas de los servicios soportados (p. ej., consola de Amazon EC2), integrándose al flujo operativo del equipo.</t>
        </is>
      </c>
      <c r="J103" t="inlineStr">
        <is>
          <t>https://docs.aws.amazon.com/cost-management/latest/userguide/cost-optimization-hub.html</t>
        </is>
      </c>
      <c r="K103" t="inlineStr">
        <is>
          <t>2026-09-16</t>
        </is>
      </c>
      <c r="L103" s="2" t="inlineStr"/>
    </row>
    <row r="104">
      <c r="A104" t="inlineStr">
        <is>
          <t>E1</t>
        </is>
      </c>
      <c r="B104" t="inlineStr">
        <is>
          <t>Cloud nativa</t>
        </is>
      </c>
      <c r="C104" t="inlineStr">
        <is>
          <t>AWS Cost Optimization Hub</t>
        </is>
      </c>
      <c r="D104" t="inlineStr">
        <is>
          <t>Adopcion</t>
        </is>
      </c>
      <c r="E104" t="inlineStr">
        <is>
          <t>AD1</t>
        </is>
      </c>
      <c r="F104" s="2" t="inlineStr">
        <is>
          <t>¿Soporta acceso/entrega para los roles del escenario?</t>
        </is>
      </c>
      <c r="G104" t="n">
        <v>2</v>
      </c>
      <c r="H104" t="inlineStr">
        <is>
          <t>Oficial (control de acceso IAM estándar; pendiente cita directa)</t>
        </is>
      </c>
      <c r="I104" s="2" t="inlineStr">
        <is>
          <t>El acceso se controla mediante IAM, igual que el resto de la consola de AWS Billing and Cost Management.</t>
        </is>
      </c>
      <c r="J104" t="inlineStr">
        <is>
          <t>https://docs.aws.amazon.com/cost-management/latest/userguide/cost-optimization-hub.html</t>
        </is>
      </c>
      <c r="K104" t="inlineStr">
        <is>
          <t>2026-09-16</t>
        </is>
      </c>
      <c r="L104" s="2" t="inlineStr"/>
    </row>
    <row r="105">
      <c r="A105" t="inlineStr">
        <is>
          <t>E1</t>
        </is>
      </c>
      <c r="B105" t="inlineStr">
        <is>
          <t>Cloud nativa</t>
        </is>
      </c>
      <c r="C105" t="inlineStr">
        <is>
          <t>AWS Cost Optimization Hub</t>
        </is>
      </c>
      <c r="D105" t="inlineStr">
        <is>
          <t>Adopcion</t>
        </is>
      </c>
      <c r="E105" t="inlineStr">
        <is>
          <t>AD2</t>
        </is>
      </c>
      <c r="F105" s="2" t="inlineStr">
        <is>
          <t>¿Ofrece guías, ownership o mecanismos de seguimiento para uso sostenido?</t>
        </is>
      </c>
      <c r="G105" t="inlineStr">
        <is>
          <t>NE</t>
        </is>
      </c>
      <c r="H105" t="inlineStr">
        <is>
          <t>Pendiente</t>
        </is>
      </c>
      <c r="I105" s="2" t="inlineStr">
        <is>
          <t>No se identificó una guía de gobernanza/adopción propia y separada de la de Cost Explorer para esta función específica (simplificación de alcance registrada).</t>
        </is>
      </c>
      <c r="J105" t="inlineStr">
        <is>
          <t>https://docs.aws.amazon.com/cost-management/latest/userguide/cost-optimization-hub.html</t>
        </is>
      </c>
      <c r="K105" t="inlineStr">
        <is>
          <t>2026-09-16</t>
        </is>
      </c>
      <c r="L105"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6">
      <c r="A106" t="inlineStr">
        <is>
          <t>E1</t>
        </is>
      </c>
      <c r="B106" t="inlineStr">
        <is>
          <t>Cloud nativa</t>
        </is>
      </c>
      <c r="C106" t="inlineStr">
        <is>
          <t>AWS Cost Optimization Hub</t>
        </is>
      </c>
      <c r="D106" t="inlineStr">
        <is>
          <t>Precio</t>
        </is>
      </c>
      <c r="E106" t="inlineStr">
        <is>
          <t>P1</t>
        </is>
      </c>
      <c r="F106" s="2" t="inlineStr">
        <is>
          <t>¿Expone precio, moneda, región, unidad, período y supuestos relevantes?</t>
        </is>
      </c>
      <c r="G106" t="n">
        <v>0</v>
      </c>
      <c r="H106" t="inlineStr">
        <is>
          <t>Oficial (ausencia verificada)</t>
        </is>
      </c>
      <c r="I106" s="2" t="inlineStr">
        <is>
          <t>No expone precio/moneda/región de forma general; sus cifras son de ahorro estimado sobre recomendaciones puntuales, no transparencia de precio del servicio.</t>
        </is>
      </c>
      <c r="J106" t="inlineStr">
        <is>
          <t>https://docs.aws.amazon.com/cost-management/latest/userguide/cost-optimization-hub.html</t>
        </is>
      </c>
      <c r="K106" t="inlineStr">
        <is>
          <t>2026-09-16</t>
        </is>
      </c>
      <c r="L10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7">
      <c r="A107" t="inlineStr">
        <is>
          <t>E1</t>
        </is>
      </c>
      <c r="B107" t="inlineStr">
        <is>
          <t>Cloud nativa</t>
        </is>
      </c>
      <c r="C107" t="inlineStr">
        <is>
          <t>AWS Cost Optimization Hub</t>
        </is>
      </c>
      <c r="D107" t="inlineStr">
        <is>
          <t>Precio</t>
        </is>
      </c>
      <c r="E107" t="inlineStr">
        <is>
          <t>P2</t>
        </is>
      </c>
      <c r="F107" s="2" t="inlineStr">
        <is>
          <t>¿Permite estimar o comparar componentes sin ocultar límites de equivalencia?</t>
        </is>
      </c>
      <c r="G107" t="n">
        <v>0</v>
      </c>
      <c r="H107" t="inlineStr">
        <is>
          <t>Oficial (ausencia verificada)</t>
        </is>
      </c>
      <c r="I107" s="2" t="inlineStr">
        <is>
          <t>No es una herramienta de comparación/estimación de precio contextual (esa función es de AWS Pricing Calculator, evaluada aparte).</t>
        </is>
      </c>
      <c r="J107" t="inlineStr">
        <is>
          <t>https://docs.aws.amazon.com/cost-management/latest/userguide/cost-optimization-hub.html</t>
        </is>
      </c>
      <c r="K107" t="inlineStr">
        <is>
          <t>2026-09-16</t>
        </is>
      </c>
      <c r="L10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8">
      <c r="A108" t="inlineStr">
        <is>
          <t>E1</t>
        </is>
      </c>
      <c r="B108" t="inlineStr">
        <is>
          <t>Cloud nativa</t>
        </is>
      </c>
      <c r="C108" t="inlineStr">
        <is>
          <t>AWS Cost Optimization Hub</t>
        </is>
      </c>
      <c r="D108" t="inlineStr">
        <is>
          <t>Dependencia</t>
        </is>
      </c>
      <c r="E108" t="inlineStr">
        <is>
          <t>D1</t>
        </is>
      </c>
      <c r="F108" s="2" t="inlineStr">
        <is>
          <t>¿Exporta datos/resultados en formato utilizable y documentado?</t>
        </is>
      </c>
      <c r="G108" t="inlineStr">
        <is>
          <t>NE</t>
        </is>
      </c>
      <c r="H108" t="inlineStr">
        <is>
          <t>Pendiente</t>
        </is>
      </c>
      <c r="I108" s="2" t="inlineStr">
        <is>
          <t>No es la fuente primaria de exportación de datos de costo/uso (esa función es del CUR, evaluada dentro de Cost Explorer); simplificación de alcance para evitar doble conteo.</t>
        </is>
      </c>
      <c r="J108" t="inlineStr">
        <is>
          <t>https://docs.aws.amazon.com/cost-management/latest/userguide/cost-optimization-hub.html</t>
        </is>
      </c>
      <c r="K108" t="inlineStr">
        <is>
          <t>2026-09-16</t>
        </is>
      </c>
      <c r="L108"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09">
      <c r="A109" t="inlineStr">
        <is>
          <t>E1</t>
        </is>
      </c>
      <c r="B109" t="inlineStr">
        <is>
          <t>Cloud nativa</t>
        </is>
      </c>
      <c r="C109" t="inlineStr">
        <is>
          <t>AWS Cost Optimization Hub</t>
        </is>
      </c>
      <c r="D109" t="inlineStr">
        <is>
          <t>Dependencia</t>
        </is>
      </c>
      <c r="E109" t="inlineStr">
        <is>
          <t>D2</t>
        </is>
      </c>
      <c r="F109" s="2" t="inlineStr">
        <is>
          <t>¿Documenta dependencias propietarias y un camino de salida/configuración reversible?</t>
        </is>
      </c>
      <c r="G109" t="inlineStr">
        <is>
          <t>NE</t>
        </is>
      </c>
      <c r="H109" t="inlineStr">
        <is>
          <t>Pendiente</t>
        </is>
      </c>
      <c r="I109" s="2" t="inlineStr">
        <is>
          <t>Mismo alcance de diseño que D1.</t>
        </is>
      </c>
      <c r="J109" t="inlineStr">
        <is>
          <t>https://docs.aws.amazon.com/cost-management/latest/userguide/cost-optimization-hub.html</t>
        </is>
      </c>
      <c r="K109" t="inlineStr">
        <is>
          <t>2026-09-16</t>
        </is>
      </c>
      <c r="L109"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10">
      <c r="A110" t="inlineStr">
        <is>
          <t>E2</t>
        </is>
      </c>
      <c r="B110" t="inlineStr">
        <is>
          <t>Cloud nativa</t>
        </is>
      </c>
      <c r="C110" t="inlineStr">
        <is>
          <t>AWS Cost Optimization Hub</t>
        </is>
      </c>
      <c r="D110" t="inlineStr">
        <is>
          <t>Visibilidad</t>
        </is>
      </c>
      <c r="E110" t="inlineStr">
        <is>
          <t>V1</t>
        </is>
      </c>
      <c r="F110" s="2" t="inlineStr">
        <is>
          <t>¿Desagrega costo y uso por cuenta/proyecto, servicio y período?</t>
        </is>
      </c>
      <c r="G110" t="inlineStr">
        <is>
          <t>NE</t>
        </is>
      </c>
      <c r="H110" t="inlineStr">
        <is>
          <t>Pendiente</t>
        </is>
      </c>
      <c r="I110" s="2" t="inlineStr">
        <is>
          <t>Cost Optimization Hub no ofrece un desglose general de costo/uso por cuenta-servicio-período; su función documentada es consolidar y priorizar recomendaciones, no la visibilidad general de gasto (esa función corresponde a Cost Explorer).</t>
        </is>
      </c>
      <c r="J110" t="inlineStr">
        <is>
          <t>https://docs.aws.amazon.com/cost-management/latest/userguide/cost-optimization-hub.html</t>
        </is>
      </c>
      <c r="K110" t="inlineStr">
        <is>
          <t>2026-09-16</t>
        </is>
      </c>
      <c r="L11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V1 depende del escenario, por lo que pasa a NE (no evidenciado, reduce cobertura) hasta investigarlo. La evidencia y la fuente originales se conservan como referencia del escenario de origen.</t>
        </is>
      </c>
    </row>
    <row r="111">
      <c r="A111" t="inlineStr">
        <is>
          <t>E2</t>
        </is>
      </c>
      <c r="B111" t="inlineStr">
        <is>
          <t>Cloud nativa</t>
        </is>
      </c>
      <c r="C111" t="inlineStr">
        <is>
          <t>AWS Cost Optimization Hub</t>
        </is>
      </c>
      <c r="D111" t="inlineStr">
        <is>
          <t>Visibilidad</t>
        </is>
      </c>
      <c r="E111" t="inlineStr">
        <is>
          <t>V2</t>
        </is>
      </c>
      <c r="F111" s="2" t="inlineStr">
        <is>
          <t>¿Permite rastrear un total hasta registros o fuente de facturación?</t>
        </is>
      </c>
      <c r="G111" t="n">
        <v>0</v>
      </c>
      <c r="H111" t="inlineStr">
        <is>
          <t>Oficial (ausencia verificada)</t>
        </is>
      </c>
      <c r="I111" s="2" t="inlineStr">
        <is>
          <t>Mismo alcance de diseño que V1: no es una herramienta de trazabilidad de gasto.</t>
        </is>
      </c>
      <c r="J111" t="inlineStr">
        <is>
          <t>https://docs.aws.amazon.com/cost-management/latest/userguide/cost-optimization-hub.html</t>
        </is>
      </c>
      <c r="K111" t="inlineStr">
        <is>
          <t>2026-09-16</t>
        </is>
      </c>
      <c r="L11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12">
      <c r="A112" t="inlineStr">
        <is>
          <t>E2</t>
        </is>
      </c>
      <c r="B112" t="inlineStr">
        <is>
          <t>Cloud nativa</t>
        </is>
      </c>
      <c r="C112" t="inlineStr">
        <is>
          <t>AWS Cost Optimization Hub</t>
        </is>
      </c>
      <c r="D112" t="inlineStr">
        <is>
          <t>Asignacion</t>
        </is>
      </c>
      <c r="E112" t="inlineStr">
        <is>
          <t>A1</t>
        </is>
      </c>
      <c r="F112" s="2" t="inlineStr">
        <is>
          <t>¿Calcula gasto asignado/no asignado por responsable, centro o entidad?</t>
        </is>
      </c>
      <c r="G112" t="inlineStr">
        <is>
          <t>NE</t>
        </is>
      </c>
      <c r="H112" t="inlineStr">
        <is>
          <t>Pendiente</t>
        </is>
      </c>
      <c r="I112" s="2" t="inlineStr">
        <is>
          <t>No calcula asignación de gasto por responsable/centro de costo; opera sobre recomendaciones de optimización, no sobre asignación.</t>
        </is>
      </c>
      <c r="J112" t="inlineStr">
        <is>
          <t>https://docs.aws.amazon.com/cost-management/latest/userguide/cost-optimization-hub.html</t>
        </is>
      </c>
      <c r="K112" t="inlineStr">
        <is>
          <t>2026-09-16</t>
        </is>
      </c>
      <c r="L11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A1 depende del escenario, por lo que pasa a NE (no evidenciado, reduce cobertura) hasta investigarlo. La evidencia y la fuente originales se conservan como referencia del escenario de origen.</t>
        </is>
      </c>
    </row>
    <row r="113">
      <c r="A113" t="inlineStr">
        <is>
          <t>E2</t>
        </is>
      </c>
      <c r="B113" t="inlineStr">
        <is>
          <t>Cloud nativa</t>
        </is>
      </c>
      <c r="C113" t="inlineStr">
        <is>
          <t>AWS Cost Optimization Hub</t>
        </is>
      </c>
      <c r="D113" t="inlineStr">
        <is>
          <t>Asignacion</t>
        </is>
      </c>
      <c r="E113" t="inlineStr">
        <is>
          <t>A2</t>
        </is>
      </c>
      <c r="F113" s="2" t="inlineStr">
        <is>
          <t>¿Explicita y aplica reglas para costo compartido/multi-tenant?</t>
        </is>
      </c>
      <c r="G113" t="inlineStr">
        <is>
          <t>NE</t>
        </is>
      </c>
      <c r="H113" t="inlineStr">
        <is>
          <t>Pendiente</t>
        </is>
      </c>
      <c r="I113" s="2" t="inlineStr">
        <is>
          <t>No define reglas de reparto de costo compartido.</t>
        </is>
      </c>
      <c r="J113" t="inlineStr">
        <is>
          <t>https://docs.aws.amazon.com/cost-management/latest/userguide/cost-optimization-hub.html</t>
        </is>
      </c>
      <c r="K113" t="inlineStr">
        <is>
          <t>2026-09-16</t>
        </is>
      </c>
      <c r="L11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A2 depende del escenario, por lo que pasa a NE (no evidenciado, reduce cobertura) hasta investigarlo. La evidencia y la fuente originales se conservan como referencia del escenario de origen.</t>
        </is>
      </c>
    </row>
    <row r="114">
      <c r="A114" t="inlineStr">
        <is>
          <t>E2</t>
        </is>
      </c>
      <c r="B114" t="inlineStr">
        <is>
          <t>Cloud nativa</t>
        </is>
      </c>
      <c r="C114" t="inlineStr">
        <is>
          <t>AWS Cost Optimization Hub</t>
        </is>
      </c>
      <c r="D114" t="inlineStr">
        <is>
          <t>Optimizacion</t>
        </is>
      </c>
      <c r="E114" t="inlineStr">
        <is>
          <t>O1</t>
        </is>
      </c>
      <c r="F114" s="2" t="inlineStr">
        <is>
          <t>¿Detecta desperdicio, rightsizing o compromiso relevante al escenario?</t>
        </is>
      </c>
      <c r="G114" t="inlineStr">
        <is>
          <t>NE</t>
        </is>
      </c>
      <c r="H114" t="inlineStr">
        <is>
          <t>Pendiente</t>
        </is>
      </c>
      <c r="I114" s="2" t="inlineStr">
        <is>
          <t>"It makes recommendations on resource rightsizing, idle resource deletion, Savings Plans, and Reserved Instances" y permite "filtering, sorting, and grouping" para priorizar oportunidades.</t>
        </is>
      </c>
      <c r="J114" t="inlineStr">
        <is>
          <t>https://docs.aws.amazon.com/cost-management/latest/userguide/cost-optimization-hub.html</t>
        </is>
      </c>
      <c r="K114" t="inlineStr">
        <is>
          <t>2026-09-16</t>
        </is>
      </c>
      <c r="L114" s="2" t="inlineStr">
        <is>
          <t>Celda heredada FP-180 (2026-09-16): el valor 2 proviene de la investigacion del escenario E1 y no cuenta con evidencia propia de E2. Segun FP-177 el indicador O1 depende del escenario, por lo que pasa a NE (no evidenciado, reduce cobertura) hasta investigarlo. La evidencia y la fuente originales se conservan como referencia del escenario de origen.</t>
        </is>
      </c>
    </row>
    <row r="115">
      <c r="A115" t="inlineStr">
        <is>
          <t>E2</t>
        </is>
      </c>
      <c r="B115" t="inlineStr">
        <is>
          <t>Cloud nativa</t>
        </is>
      </c>
      <c r="C115" t="inlineStr">
        <is>
          <t>AWS Cost Optimization Hub</t>
        </is>
      </c>
      <c r="D115" t="inlineStr">
        <is>
          <t>Optimizacion</t>
        </is>
      </c>
      <c r="E115" t="inlineStr">
        <is>
          <t>O2</t>
        </is>
      </c>
      <c r="F115" s="2" t="inlineStr">
        <is>
          <t>¿Explica supuesto/impacto y permite seguir una recomendación?</t>
        </is>
      </c>
      <c r="G115" t="n">
        <v>2</v>
      </c>
      <c r="H115" t="inlineStr">
        <is>
          <t>Oficial</t>
        </is>
      </c>
      <c r="I115" s="2" t="inlineStr">
        <is>
          <t>"Quantify estimated savings that incorporate your AWS pricing and discounts" y "track progress to maximize your return on cloud investments", con posibilidad de fijar objetivos de ahorro.</t>
        </is>
      </c>
      <c r="J115" t="inlineStr">
        <is>
          <t>https://docs.aws.amazon.com/cost-management/latest/userguide/cost-optimization-hub.html</t>
        </is>
      </c>
      <c r="K115" t="inlineStr">
        <is>
          <t>2026-09-16</t>
        </is>
      </c>
      <c r="L115" s="2" t="inlineStr"/>
    </row>
    <row r="116">
      <c r="A116" t="inlineStr">
        <is>
          <t>E2</t>
        </is>
      </c>
      <c r="B116" t="inlineStr">
        <is>
          <t>Cloud nativa</t>
        </is>
      </c>
      <c r="C116" t="inlineStr">
        <is>
          <t>AWS Cost Optimization Hub</t>
        </is>
      </c>
      <c r="D116" t="inlineStr">
        <is>
          <t>Automatizacion</t>
        </is>
      </c>
      <c r="E116" t="inlineStr">
        <is>
          <t>AU1</t>
        </is>
      </c>
      <c r="F116" s="2" t="inlineStr">
        <is>
          <t>¿Ejecuta o bloquea acciones/políticas de costo con control verificable?</t>
        </is>
      </c>
      <c r="G116" t="inlineStr">
        <is>
          <t>NE</t>
        </is>
      </c>
      <c r="H116" t="inlineStr">
        <is>
          <t>Pendiente</t>
        </is>
      </c>
      <c r="I116" s="2" t="inlineStr">
        <is>
          <t>Cost Optimization Hub recomienda pero no ejecuta acciones; la ejecución/control automatizado corresponde a AWS Budgets (evaluado dentro de Cost Explorer en este trabajo).</t>
        </is>
      </c>
      <c r="J116" t="inlineStr">
        <is>
          <t>https://docs.aws.amazon.com/cost-management/latest/userguide/cost-optimization-hub.html</t>
        </is>
      </c>
      <c r="K116" t="inlineStr">
        <is>
          <t>2026-09-16</t>
        </is>
      </c>
      <c r="L11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AU1 depende del escenario, por lo que pasa a NE (no evidenciado, reduce cobertura) hasta investigarlo. La evidencia y la fuente originales se conservan como referencia del escenario de origen.</t>
        </is>
      </c>
    </row>
    <row r="117">
      <c r="A117" t="inlineStr">
        <is>
          <t>E2</t>
        </is>
      </c>
      <c r="B117" t="inlineStr">
        <is>
          <t>Cloud nativa</t>
        </is>
      </c>
      <c r="C117" t="inlineStr">
        <is>
          <t>AWS Cost Optimization Hub</t>
        </is>
      </c>
      <c r="D117" t="inlineStr">
        <is>
          <t>Automatizacion</t>
        </is>
      </c>
      <c r="E117" t="inlineStr">
        <is>
          <t>AU2</t>
        </is>
      </c>
      <c r="F117" s="2" t="inlineStr">
        <is>
          <t>¿Ofrece aprobación, reversión, registro o límites antes de actuar?</t>
        </is>
      </c>
      <c r="G117" t="inlineStr">
        <is>
          <t>NA</t>
        </is>
      </c>
      <c r="H117" t="inlineStr">
        <is>
          <t>Justificación de alcance</t>
        </is>
      </c>
      <c r="I117" s="2" t="inlineStr">
        <is>
          <t>Mismo alcance de diseño que AU1: no ejecuta, por lo que no aplica evaluar salvaguardas de ejecución.</t>
        </is>
      </c>
      <c r="J117" t="inlineStr">
        <is>
          <t>https://docs.aws.amazon.com/cost-management/latest/userguide/cost-optimization-hub.html</t>
        </is>
      </c>
      <c r="K117" t="inlineStr">
        <is>
          <t>2026-09-16</t>
        </is>
      </c>
      <c r="L117" s="2" t="inlineStr"/>
    </row>
    <row r="118">
      <c r="A118" t="inlineStr">
        <is>
          <t>E2</t>
        </is>
      </c>
      <c r="B118" t="inlineStr">
        <is>
          <t>Cloud nativa</t>
        </is>
      </c>
      <c r="C118" t="inlineStr">
        <is>
          <t>AWS Cost Optimization Hub</t>
        </is>
      </c>
      <c r="D118" t="inlineStr">
        <is>
          <t>Multicloud</t>
        </is>
      </c>
      <c r="E118" t="inlineStr">
        <is>
          <t>M1</t>
        </is>
      </c>
      <c r="F118" s="2" t="inlineStr">
        <is>
          <t>¿Consolida al menos dos proveedores bajo el mismo esquema declarado?</t>
        </is>
      </c>
      <c r="G118" t="n">
        <v>0</v>
      </c>
      <c r="H118" t="inlineStr">
        <is>
          <t>Oficial (ausencia verificada)</t>
        </is>
      </c>
      <c r="I118" s="2" t="inlineStr">
        <is>
          <t>Cubre exclusivamente cuentas de AWS; no está diseñada para consolidar Azure/GCP.</t>
        </is>
      </c>
      <c r="J118" t="inlineStr">
        <is>
          <t>https://docs.aws.amazon.com/cost-management/latest/userguide/cost-optimization-hub.html</t>
        </is>
      </c>
      <c r="K118" t="inlineStr">
        <is>
          <t>2026-09-16</t>
        </is>
      </c>
      <c r="L11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19">
      <c r="A119" t="inlineStr">
        <is>
          <t>E2</t>
        </is>
      </c>
      <c r="B119" t="inlineStr">
        <is>
          <t>Cloud nativa</t>
        </is>
      </c>
      <c r="C119" t="inlineStr">
        <is>
          <t>AWS Cost Optimization Hub</t>
        </is>
      </c>
      <c r="D119" t="inlineStr">
        <is>
          <t>Multicloud</t>
        </is>
      </c>
      <c r="E119" t="inlineStr">
        <is>
          <t>M2</t>
        </is>
      </c>
      <c r="F119" s="2" t="inlineStr">
        <is>
          <t>¿Hace visibles proveedor, cobertura y diferencias semánticas?</t>
        </is>
      </c>
      <c r="G119" t="n">
        <v>0</v>
      </c>
      <c r="H119" t="inlineStr">
        <is>
          <t>Oficial (ausencia verificada)</t>
        </is>
      </c>
      <c r="I119" s="2" t="inlineStr">
        <is>
          <t>Mismo alcance de diseño que M1.</t>
        </is>
      </c>
      <c r="J119" t="inlineStr">
        <is>
          <t>https://docs.aws.amazon.com/cost-management/latest/userguide/cost-optimization-hub.html</t>
        </is>
      </c>
      <c r="K119" t="inlineStr">
        <is>
          <t>2026-09-16</t>
        </is>
      </c>
      <c r="L11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20">
      <c r="A120" t="inlineStr">
        <is>
          <t>E2</t>
        </is>
      </c>
      <c r="B120" t="inlineStr">
        <is>
          <t>Cloud nativa</t>
        </is>
      </c>
      <c r="C120" t="inlineStr">
        <is>
          <t>AWS Cost Optimization Hub</t>
        </is>
      </c>
      <c r="D120" t="inlineStr">
        <is>
          <t>Integracion</t>
        </is>
      </c>
      <c r="E120" t="inlineStr">
        <is>
          <t>I1</t>
        </is>
      </c>
      <c r="F120" s="2" t="inlineStr">
        <is>
          <t>¿Integra datos requeridos (facturación, uso, clúster o IaC) del escenario?</t>
        </is>
      </c>
      <c r="G120" t="inlineStr">
        <is>
          <t>NE</t>
        </is>
      </c>
      <c r="H120" t="inlineStr">
        <is>
          <t>Pendiente</t>
        </is>
      </c>
      <c r="I120" s="2" t="inlineStr">
        <is>
          <t>Consolida datos de recomendaciones desde los servicios soportados de AWS (EC2, RDS, Auto Scaling, etc.) y "accounts for your specific commercial terms with AWS, such as Reserved Instances and Savings Plans".</t>
        </is>
      </c>
      <c r="J120" t="inlineStr">
        <is>
          <t>https://docs.aws.amazon.com/cost-management/latest/userguide/cost-optimization-hub.html</t>
        </is>
      </c>
      <c r="K120" t="inlineStr">
        <is>
          <t>2026-09-16</t>
        </is>
      </c>
      <c r="L120" s="2" t="inlineStr">
        <is>
          <t>Celda heredada FP-180 (2026-09-16): el valor 2 proviene de la investigacion del escenario E1 y no cuenta con evidencia propia de E2. Segun FP-177 el indicador I1 depende del escenario, por lo que pasa a NE (no evidenciado, reduce cobertura) hasta investigarlo. La evidencia y la fuente originales se conservan como referencia del escenario de origen.</t>
        </is>
      </c>
    </row>
    <row r="121">
      <c r="A121" t="inlineStr">
        <is>
          <t>E2</t>
        </is>
      </c>
      <c r="B121" t="inlineStr">
        <is>
          <t>Cloud nativa</t>
        </is>
      </c>
      <c r="C121" t="inlineStr">
        <is>
          <t>AWS Cost Optimization Hub</t>
        </is>
      </c>
      <c r="D121" t="inlineStr">
        <is>
          <t>Integracion</t>
        </is>
      </c>
      <c r="E121" t="inlineStr">
        <is>
          <t>I2</t>
        </is>
      </c>
      <c r="F121" s="2" t="inlineStr">
        <is>
          <t>¿Se integra con el flujo de trabajo relevante (alerta, ticket, CI/CD o reporte)?</t>
        </is>
      </c>
      <c r="G121" t="inlineStr">
        <is>
          <t>NE</t>
        </is>
      </c>
      <c r="H121" t="inlineStr">
        <is>
          <t>Pendiente</t>
        </is>
      </c>
      <c r="I121" s="2" t="inlineStr">
        <is>
          <t>Las recomendaciones se reportan también en las consolas de los servicios soportados (p. ej., consola de Amazon EC2), integrándose al flujo operativo del equipo.</t>
        </is>
      </c>
      <c r="J121" t="inlineStr">
        <is>
          <t>https://docs.aws.amazon.com/cost-management/latest/userguide/cost-optimization-hub.html</t>
        </is>
      </c>
      <c r="K121" t="inlineStr">
        <is>
          <t>2026-09-16</t>
        </is>
      </c>
      <c r="L121" s="2" t="inlineStr">
        <is>
          <t>Celda heredada FP-180 (2026-09-16): el valor 2 proviene de la investigacion del escenario E1 y no cuenta con evidencia propia de E2. Segun FP-177 el indicador I2 depende del escenario, por lo que pasa a NE (no evidenciado, reduce cobertura) hasta investigarlo. La evidencia y la fuente originales se conservan como referencia del escenario de origen.</t>
        </is>
      </c>
    </row>
    <row r="122">
      <c r="A122" t="inlineStr">
        <is>
          <t>E2</t>
        </is>
      </c>
      <c r="B122" t="inlineStr">
        <is>
          <t>Cloud nativa</t>
        </is>
      </c>
      <c r="C122" t="inlineStr">
        <is>
          <t>AWS Cost Optimization Hub</t>
        </is>
      </c>
      <c r="D122" t="inlineStr">
        <is>
          <t>Adopcion</t>
        </is>
      </c>
      <c r="E122" t="inlineStr">
        <is>
          <t>AD1</t>
        </is>
      </c>
      <c r="F122" s="2" t="inlineStr">
        <is>
          <t>¿Soporta acceso/entrega para los roles del escenario?</t>
        </is>
      </c>
      <c r="G122" t="inlineStr">
        <is>
          <t>NE</t>
        </is>
      </c>
      <c r="H122" t="inlineStr">
        <is>
          <t>Pendiente</t>
        </is>
      </c>
      <c r="I122" s="2" t="inlineStr">
        <is>
          <t>El acceso se controla mediante IAM, igual que el resto de la consola de AWS Billing and Cost Management.</t>
        </is>
      </c>
      <c r="J122" t="inlineStr">
        <is>
          <t>https://docs.aws.amazon.com/cost-management/latest/userguide/cost-optimization-hub.html</t>
        </is>
      </c>
      <c r="K122" t="inlineStr">
        <is>
          <t>2026-09-16</t>
        </is>
      </c>
      <c r="L122" s="2" t="inlineStr">
        <is>
          <t>Celda heredada FP-180 (2026-09-16): el valor 2 proviene de la investigacion del escenario E1 y no cuenta con evidencia propia de E2. Segun FP-177 el indicador AD1 depende del escenario, por lo que pasa a NE (no evidenciado, reduce cobertura) hasta investigarlo. La evidencia y la fuente originales se conservan como referencia del escenario de origen.</t>
        </is>
      </c>
    </row>
    <row r="123">
      <c r="A123" t="inlineStr">
        <is>
          <t>E2</t>
        </is>
      </c>
      <c r="B123" t="inlineStr">
        <is>
          <t>Cloud nativa</t>
        </is>
      </c>
      <c r="C123" t="inlineStr">
        <is>
          <t>AWS Cost Optimization Hub</t>
        </is>
      </c>
      <c r="D123" t="inlineStr">
        <is>
          <t>Adopcion</t>
        </is>
      </c>
      <c r="E123" t="inlineStr">
        <is>
          <t>AD2</t>
        </is>
      </c>
      <c r="F123" s="2" t="inlineStr">
        <is>
          <t>¿Ofrece guías, ownership o mecanismos de seguimiento para uso sostenido?</t>
        </is>
      </c>
      <c r="G123" t="inlineStr">
        <is>
          <t>NE</t>
        </is>
      </c>
      <c r="H123" t="inlineStr">
        <is>
          <t>Pendiente</t>
        </is>
      </c>
      <c r="I123" s="2" t="inlineStr">
        <is>
          <t>No se identificó una guía de gobernanza/adopción propia y separada de la de Cost Explorer para esta función específica (simplificación de alcance registrada).</t>
        </is>
      </c>
      <c r="J123" t="inlineStr">
        <is>
          <t>https://docs.aws.amazon.com/cost-management/latest/userguide/cost-optimization-hub.html</t>
        </is>
      </c>
      <c r="K123" t="inlineStr">
        <is>
          <t>2026-09-16</t>
        </is>
      </c>
      <c r="L123"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24">
      <c r="A124" t="inlineStr">
        <is>
          <t>E2</t>
        </is>
      </c>
      <c r="B124" t="inlineStr">
        <is>
          <t>Cloud nativa</t>
        </is>
      </c>
      <c r="C124" t="inlineStr">
        <is>
          <t>AWS Cost Optimization Hub</t>
        </is>
      </c>
      <c r="D124" t="inlineStr">
        <is>
          <t>Precio</t>
        </is>
      </c>
      <c r="E124" t="inlineStr">
        <is>
          <t>P1</t>
        </is>
      </c>
      <c r="F124" s="2" t="inlineStr">
        <is>
          <t>¿Expone precio, moneda, región, unidad, período y supuestos relevantes?</t>
        </is>
      </c>
      <c r="G124" t="n">
        <v>0</v>
      </c>
      <c r="H124" t="inlineStr">
        <is>
          <t>Oficial (ausencia verificada)</t>
        </is>
      </c>
      <c r="I124" s="2" t="inlineStr">
        <is>
          <t>No expone precio/moneda/región de forma general; sus cifras son de ahorro estimado sobre recomendaciones puntuales, no transparencia de precio del servicio.</t>
        </is>
      </c>
      <c r="J124" t="inlineStr">
        <is>
          <t>https://docs.aws.amazon.com/cost-management/latest/userguide/cost-optimization-hub.html</t>
        </is>
      </c>
      <c r="K124" t="inlineStr">
        <is>
          <t>2026-09-16</t>
        </is>
      </c>
      <c r="L12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25">
      <c r="A125" t="inlineStr">
        <is>
          <t>E2</t>
        </is>
      </c>
      <c r="B125" t="inlineStr">
        <is>
          <t>Cloud nativa</t>
        </is>
      </c>
      <c r="C125" t="inlineStr">
        <is>
          <t>AWS Cost Optimization Hub</t>
        </is>
      </c>
      <c r="D125" t="inlineStr">
        <is>
          <t>Precio</t>
        </is>
      </c>
      <c r="E125" t="inlineStr">
        <is>
          <t>P2</t>
        </is>
      </c>
      <c r="F125" s="2" t="inlineStr">
        <is>
          <t>¿Permite estimar o comparar componentes sin ocultar límites de equivalencia?</t>
        </is>
      </c>
      <c r="G125" t="inlineStr">
        <is>
          <t>NE</t>
        </is>
      </c>
      <c r="H125" t="inlineStr">
        <is>
          <t>Pendiente</t>
        </is>
      </c>
      <c r="I125" s="2" t="inlineStr">
        <is>
          <t>No es una herramienta de comparación/estimación de precio contextual (esa función es de AWS Pricing Calculator, evaluada aparte).</t>
        </is>
      </c>
      <c r="J125" t="inlineStr">
        <is>
          <t>https://docs.aws.amazon.com/cost-management/latest/userguide/cost-optimization-hub.html</t>
        </is>
      </c>
      <c r="K125" t="inlineStr">
        <is>
          <t>2026-09-16</t>
        </is>
      </c>
      <c r="L12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P2 depende del escenario, por lo que pasa a NE (no evidenciado, reduce cobertura) hasta investigarlo. La evidencia y la fuente originales se conservan como referencia del escenario de origen.</t>
        </is>
      </c>
    </row>
    <row r="126">
      <c r="A126" t="inlineStr">
        <is>
          <t>E2</t>
        </is>
      </c>
      <c r="B126" t="inlineStr">
        <is>
          <t>Cloud nativa</t>
        </is>
      </c>
      <c r="C126" t="inlineStr">
        <is>
          <t>AWS Cost Optimization Hub</t>
        </is>
      </c>
      <c r="D126" t="inlineStr">
        <is>
          <t>Dependencia</t>
        </is>
      </c>
      <c r="E126" t="inlineStr">
        <is>
          <t>D1</t>
        </is>
      </c>
      <c r="F126" s="2" t="inlineStr">
        <is>
          <t>¿Exporta datos/resultados en formato utilizable y documentado?</t>
        </is>
      </c>
      <c r="G126" t="inlineStr">
        <is>
          <t>NE</t>
        </is>
      </c>
      <c r="H126" t="inlineStr">
        <is>
          <t>Pendiente</t>
        </is>
      </c>
      <c r="I126" s="2" t="inlineStr">
        <is>
          <t>No es la fuente primaria de exportación de datos de costo/uso (esa función es del CUR, evaluada dentro de Cost Explorer); simplificación de alcance para evitar doble conteo.</t>
        </is>
      </c>
      <c r="J126" t="inlineStr">
        <is>
          <t>https://docs.aws.amazon.com/cost-management/latest/userguide/cost-optimization-hub.html</t>
        </is>
      </c>
      <c r="K126" t="inlineStr">
        <is>
          <t>2026-09-16</t>
        </is>
      </c>
      <c r="L126"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27">
      <c r="A127" t="inlineStr">
        <is>
          <t>E2</t>
        </is>
      </c>
      <c r="B127" t="inlineStr">
        <is>
          <t>Cloud nativa</t>
        </is>
      </c>
      <c r="C127" t="inlineStr">
        <is>
          <t>AWS Cost Optimization Hub</t>
        </is>
      </c>
      <c r="D127" t="inlineStr">
        <is>
          <t>Dependencia</t>
        </is>
      </c>
      <c r="E127" t="inlineStr">
        <is>
          <t>D2</t>
        </is>
      </c>
      <c r="F127" s="2" t="inlineStr">
        <is>
          <t>¿Documenta dependencias propietarias y un camino de salida/configuración reversible?</t>
        </is>
      </c>
      <c r="G127" t="inlineStr">
        <is>
          <t>NE</t>
        </is>
      </c>
      <c r="H127" t="inlineStr">
        <is>
          <t>Pendiente</t>
        </is>
      </c>
      <c r="I127" s="2" t="inlineStr">
        <is>
          <t>Mismo alcance de diseño que D1.</t>
        </is>
      </c>
      <c r="J127" t="inlineStr">
        <is>
          <t>https://docs.aws.amazon.com/cost-management/latest/userguide/cost-optimization-hub.html</t>
        </is>
      </c>
      <c r="K127" t="inlineStr">
        <is>
          <t>2026-09-16</t>
        </is>
      </c>
      <c r="L127"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28">
      <c r="A128" t="inlineStr">
        <is>
          <t>E3</t>
        </is>
      </c>
      <c r="B128" t="inlineStr">
        <is>
          <t>Cloud nativa</t>
        </is>
      </c>
      <c r="C128" t="inlineStr">
        <is>
          <t>AWS Cost Optimization Hub</t>
        </is>
      </c>
      <c r="D128" t="inlineStr">
        <is>
          <t>Visibilidad</t>
        </is>
      </c>
      <c r="E128" t="inlineStr">
        <is>
          <t>V1</t>
        </is>
      </c>
      <c r="F128" s="2" t="inlineStr">
        <is>
          <t>¿Desagrega costo y uso por cuenta/proyecto, servicio y período?</t>
        </is>
      </c>
      <c r="G128" t="inlineStr">
        <is>
          <t>NE</t>
        </is>
      </c>
      <c r="H128" t="inlineStr">
        <is>
          <t>Pendiente</t>
        </is>
      </c>
      <c r="I128" s="2" t="inlineStr">
        <is>
          <t>Cost Optimization Hub no ofrece un desglose general de costo/uso por cuenta-servicio-período; su función documentada es consolidar y priorizar recomendaciones, no la visibilidad general de gasto (esa función corresponde a Cost Explorer).</t>
        </is>
      </c>
      <c r="J128" t="inlineStr">
        <is>
          <t>https://docs.aws.amazon.com/cost-management/latest/userguide/cost-optimization-hub.html</t>
        </is>
      </c>
      <c r="K128" t="inlineStr">
        <is>
          <t>2026-09-16</t>
        </is>
      </c>
      <c r="L128"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V1 depende del escenario, por lo que pasa a NE (no evidenciado, reduce cobertura) hasta investigarlo. La evidencia y la fuente originales se conservan como referencia del escenario de origen.</t>
        </is>
      </c>
    </row>
    <row r="129">
      <c r="A129" t="inlineStr">
        <is>
          <t>E3</t>
        </is>
      </c>
      <c r="B129" t="inlineStr">
        <is>
          <t>Cloud nativa</t>
        </is>
      </c>
      <c r="C129" t="inlineStr">
        <is>
          <t>AWS Cost Optimization Hub</t>
        </is>
      </c>
      <c r="D129" t="inlineStr">
        <is>
          <t>Visibilidad</t>
        </is>
      </c>
      <c r="E129" t="inlineStr">
        <is>
          <t>V2</t>
        </is>
      </c>
      <c r="F129" s="2" t="inlineStr">
        <is>
          <t>¿Permite rastrear un total hasta registros o fuente de facturación?</t>
        </is>
      </c>
      <c r="G129" t="n">
        <v>0</v>
      </c>
      <c r="H129" t="inlineStr">
        <is>
          <t>Oficial (ausencia verificada)</t>
        </is>
      </c>
      <c r="I129" s="2" t="inlineStr">
        <is>
          <t>Mismo alcance de diseño que V1: no es una herramienta de trazabilidad de gasto.</t>
        </is>
      </c>
      <c r="J129" t="inlineStr">
        <is>
          <t>https://docs.aws.amazon.com/cost-management/latest/userguide/cost-optimization-hub.html</t>
        </is>
      </c>
      <c r="K129" t="inlineStr">
        <is>
          <t>2026-09-16</t>
        </is>
      </c>
      <c r="L129"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30">
      <c r="A130" t="inlineStr">
        <is>
          <t>E3</t>
        </is>
      </c>
      <c r="B130" t="inlineStr">
        <is>
          <t>Cloud nativa</t>
        </is>
      </c>
      <c r="C130" t="inlineStr">
        <is>
          <t>AWS Cost Optimization Hub</t>
        </is>
      </c>
      <c r="D130" t="inlineStr">
        <is>
          <t>Asignacion</t>
        </is>
      </c>
      <c r="E130" t="inlineStr">
        <is>
          <t>A1</t>
        </is>
      </c>
      <c r="F130" s="2" t="inlineStr">
        <is>
          <t>¿Calcula gasto asignado/no asignado por responsable, centro o entidad?</t>
        </is>
      </c>
      <c r="G130" t="inlineStr">
        <is>
          <t>NE</t>
        </is>
      </c>
      <c r="H130" t="inlineStr">
        <is>
          <t>Pendiente</t>
        </is>
      </c>
      <c r="I130" s="2" t="inlineStr">
        <is>
          <t>No calcula asignación de gasto por responsable/centro de costo; opera sobre recomendaciones de optimización, no sobre asignación.</t>
        </is>
      </c>
      <c r="J130" t="inlineStr">
        <is>
          <t>https://docs.aws.amazon.com/cost-management/latest/userguide/cost-optimization-hub.html</t>
        </is>
      </c>
      <c r="K130" t="inlineStr">
        <is>
          <t>2026-09-16</t>
        </is>
      </c>
      <c r="L130"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A1 depende del escenario, por lo que pasa a NE (no evidenciado, reduce cobertura) hasta investigarlo. La evidencia y la fuente originales se conservan como referencia del escenario de origen.</t>
        </is>
      </c>
    </row>
    <row r="131">
      <c r="A131" t="inlineStr">
        <is>
          <t>E3</t>
        </is>
      </c>
      <c r="B131" t="inlineStr">
        <is>
          <t>Cloud nativa</t>
        </is>
      </c>
      <c r="C131" t="inlineStr">
        <is>
          <t>AWS Cost Optimization Hub</t>
        </is>
      </c>
      <c r="D131" t="inlineStr">
        <is>
          <t>Asignacion</t>
        </is>
      </c>
      <c r="E131" t="inlineStr">
        <is>
          <t>A2</t>
        </is>
      </c>
      <c r="F131" s="2" t="inlineStr">
        <is>
          <t>¿Explicita y aplica reglas para costo compartido/multi-tenant?</t>
        </is>
      </c>
      <c r="G131" t="inlineStr">
        <is>
          <t>NE</t>
        </is>
      </c>
      <c r="H131" t="inlineStr">
        <is>
          <t>Pendiente</t>
        </is>
      </c>
      <c r="I131" s="2" t="inlineStr">
        <is>
          <t>No define reglas de reparto de costo compartido.</t>
        </is>
      </c>
      <c r="J131" t="inlineStr">
        <is>
          <t>https://docs.aws.amazon.com/cost-management/latest/userguide/cost-optimization-hub.html</t>
        </is>
      </c>
      <c r="K131" t="inlineStr">
        <is>
          <t>2026-09-16</t>
        </is>
      </c>
      <c r="L131"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A2 depende del escenario, por lo que pasa a NE (no evidenciado, reduce cobertura) hasta investigarlo. La evidencia y la fuente originales se conservan como referencia del escenario de origen.</t>
        </is>
      </c>
    </row>
    <row r="132">
      <c r="A132" t="inlineStr">
        <is>
          <t>E3</t>
        </is>
      </c>
      <c r="B132" t="inlineStr">
        <is>
          <t>Cloud nativa</t>
        </is>
      </c>
      <c r="C132" t="inlineStr">
        <is>
          <t>AWS Cost Optimization Hub</t>
        </is>
      </c>
      <c r="D132" t="inlineStr">
        <is>
          <t>Optimizacion</t>
        </is>
      </c>
      <c r="E132" t="inlineStr">
        <is>
          <t>O1</t>
        </is>
      </c>
      <c r="F132" s="2" t="inlineStr">
        <is>
          <t>¿Detecta desperdicio, rightsizing o compromiso relevante al escenario?</t>
        </is>
      </c>
      <c r="G132" t="inlineStr">
        <is>
          <t>NE</t>
        </is>
      </c>
      <c r="H132" t="inlineStr">
        <is>
          <t>Pendiente</t>
        </is>
      </c>
      <c r="I132" s="2" t="inlineStr">
        <is>
          <t>"It makes recommendations on resource rightsizing, idle resource deletion, Savings Plans, and Reserved Instances" y permite "filtering, sorting, and grouping" para priorizar oportunidades.</t>
        </is>
      </c>
      <c r="J132" t="inlineStr">
        <is>
          <t>https://docs.aws.amazon.com/cost-management/latest/userguide/cost-optimization-hub.html</t>
        </is>
      </c>
      <c r="K132" t="inlineStr">
        <is>
          <t>2026-09-16</t>
        </is>
      </c>
      <c r="L132"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O1 depende del escenario, por lo que pasa a NE (no evidenciado, reduce cobertura) hasta investigarlo. La evidencia y la fuente originales se conservan como referencia del escenario de origen.</t>
        </is>
      </c>
    </row>
    <row r="133">
      <c r="A133" t="inlineStr">
        <is>
          <t>E3</t>
        </is>
      </c>
      <c r="B133" t="inlineStr">
        <is>
          <t>Cloud nativa</t>
        </is>
      </c>
      <c r="C133" t="inlineStr">
        <is>
          <t>AWS Cost Optimization Hub</t>
        </is>
      </c>
      <c r="D133" t="inlineStr">
        <is>
          <t>Optimizacion</t>
        </is>
      </c>
      <c r="E133" t="inlineStr">
        <is>
          <t>O2</t>
        </is>
      </c>
      <c r="F133" s="2" t="inlineStr">
        <is>
          <t>¿Explica supuesto/impacto y permite seguir una recomendación?</t>
        </is>
      </c>
      <c r="G133" t="n">
        <v>2</v>
      </c>
      <c r="H133" t="inlineStr">
        <is>
          <t>Oficial</t>
        </is>
      </c>
      <c r="I133" s="2" t="inlineStr">
        <is>
          <t>"Quantify estimated savings that incorporate your AWS pricing and discounts" y "track progress to maximize your return on cloud investments", con posibilidad de fijar objetivos de ahorro.</t>
        </is>
      </c>
      <c r="J133" t="inlineStr">
        <is>
          <t>https://docs.aws.amazon.com/cost-management/latest/userguide/cost-optimization-hub.html</t>
        </is>
      </c>
      <c r="K133" t="inlineStr">
        <is>
          <t>2026-09-16</t>
        </is>
      </c>
      <c r="L133"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134">
      <c r="A134" t="inlineStr">
        <is>
          <t>E3</t>
        </is>
      </c>
      <c r="B134" t="inlineStr">
        <is>
          <t>Cloud nativa</t>
        </is>
      </c>
      <c r="C134" t="inlineStr">
        <is>
          <t>AWS Cost Optimization Hub</t>
        </is>
      </c>
      <c r="D134" t="inlineStr">
        <is>
          <t>Automatizacion</t>
        </is>
      </c>
      <c r="E134" t="inlineStr">
        <is>
          <t>AU1</t>
        </is>
      </c>
      <c r="F134" s="2" t="inlineStr">
        <is>
          <t>¿Ejecuta o bloquea acciones/políticas de costo con control verificable?</t>
        </is>
      </c>
      <c r="G134" t="inlineStr">
        <is>
          <t>NE</t>
        </is>
      </c>
      <c r="H134" t="inlineStr">
        <is>
          <t>Pendiente</t>
        </is>
      </c>
      <c r="I134" s="2" t="inlineStr">
        <is>
          <t>Cost Optimization Hub recomienda pero no ejecuta acciones; la ejecución/control automatizado corresponde a AWS Budgets (evaluado dentro de Cost Explorer en este trabajo).</t>
        </is>
      </c>
      <c r="J134" t="inlineStr">
        <is>
          <t>https://docs.aws.amazon.com/cost-management/latest/userguide/cost-optimization-hub.html</t>
        </is>
      </c>
      <c r="K134" t="inlineStr">
        <is>
          <t>2026-09-16</t>
        </is>
      </c>
      <c r="L134"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AU1 depende del escenario, por lo que pasa a NE (no evidenciado, reduce cobertura) hasta investigarlo. La evidencia y la fuente originales se conservan como referencia del escenario de origen.</t>
        </is>
      </c>
    </row>
    <row r="135">
      <c r="A135" t="inlineStr">
        <is>
          <t>E3</t>
        </is>
      </c>
      <c r="B135" t="inlineStr">
        <is>
          <t>Cloud nativa</t>
        </is>
      </c>
      <c r="C135" t="inlineStr">
        <is>
          <t>AWS Cost Optimization Hub</t>
        </is>
      </c>
      <c r="D135" t="inlineStr">
        <is>
          <t>Automatizacion</t>
        </is>
      </c>
      <c r="E135" t="inlineStr">
        <is>
          <t>AU2</t>
        </is>
      </c>
      <c r="F135" s="2" t="inlineStr">
        <is>
          <t>¿Ofrece aprobación, reversión, registro o límites antes de actuar?</t>
        </is>
      </c>
      <c r="G135" t="inlineStr">
        <is>
          <t>NA</t>
        </is>
      </c>
      <c r="H135" t="inlineStr">
        <is>
          <t>Justificación de alcance</t>
        </is>
      </c>
      <c r="I135" s="2" t="inlineStr">
        <is>
          <t>Mismo alcance de diseño que AU1: no ejecuta, por lo que no aplica evaluar salvaguardas de ejecución.</t>
        </is>
      </c>
      <c r="J135" t="inlineStr">
        <is>
          <t>https://docs.aws.amazon.com/cost-management/latest/userguide/cost-optimization-hub.html</t>
        </is>
      </c>
      <c r="K135" t="inlineStr">
        <is>
          <t>2026-09-16</t>
        </is>
      </c>
      <c r="L135"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t>
        </is>
      </c>
    </row>
    <row r="136">
      <c r="A136" t="inlineStr">
        <is>
          <t>E3</t>
        </is>
      </c>
      <c r="B136" t="inlineStr">
        <is>
          <t>Cloud nativa</t>
        </is>
      </c>
      <c r="C136" t="inlineStr">
        <is>
          <t>AWS Cost Optimization Hub</t>
        </is>
      </c>
      <c r="D136" t="inlineStr">
        <is>
          <t>Multicloud</t>
        </is>
      </c>
      <c r="E136" t="inlineStr">
        <is>
          <t>M1</t>
        </is>
      </c>
      <c r="F136" s="2" t="inlineStr">
        <is>
          <t>¿Consolida al menos dos proveedores bajo el mismo esquema declarado?</t>
        </is>
      </c>
      <c r="G136" t="n">
        <v>0</v>
      </c>
      <c r="H136" t="inlineStr">
        <is>
          <t>Oficial (ausencia verificada)</t>
        </is>
      </c>
      <c r="I136" s="2" t="inlineStr">
        <is>
          <t>Cubre exclusivamente cuentas de AWS; no está diseñada para consolidar Azure/GCP.</t>
        </is>
      </c>
      <c r="J136" t="inlineStr">
        <is>
          <t>https://docs.aws.amazon.com/cost-management/latest/userguide/cost-optimization-hub.html</t>
        </is>
      </c>
      <c r="K136" t="inlineStr">
        <is>
          <t>2026-09-16</t>
        </is>
      </c>
      <c r="L136"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37">
      <c r="A137" t="inlineStr">
        <is>
          <t>E3</t>
        </is>
      </c>
      <c r="B137" t="inlineStr">
        <is>
          <t>Cloud nativa</t>
        </is>
      </c>
      <c r="C137" t="inlineStr">
        <is>
          <t>AWS Cost Optimization Hub</t>
        </is>
      </c>
      <c r="D137" t="inlineStr">
        <is>
          <t>Multicloud</t>
        </is>
      </c>
      <c r="E137" t="inlineStr">
        <is>
          <t>M2</t>
        </is>
      </c>
      <c r="F137" s="2" t="inlineStr">
        <is>
          <t>¿Hace visibles proveedor, cobertura y diferencias semánticas?</t>
        </is>
      </c>
      <c r="G137" t="n">
        <v>0</v>
      </c>
      <c r="H137" t="inlineStr">
        <is>
          <t>Oficial (ausencia verificada)</t>
        </is>
      </c>
      <c r="I137" s="2" t="inlineStr">
        <is>
          <t>Mismo alcance de diseño que M1.</t>
        </is>
      </c>
      <c r="J137" t="inlineStr">
        <is>
          <t>https://docs.aws.amazon.com/cost-management/latest/userguide/cost-optimization-hub.html</t>
        </is>
      </c>
      <c r="K137" t="inlineStr">
        <is>
          <t>2026-09-16</t>
        </is>
      </c>
      <c r="L137"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38">
      <c r="A138" t="inlineStr">
        <is>
          <t>E3</t>
        </is>
      </c>
      <c r="B138" t="inlineStr">
        <is>
          <t>Cloud nativa</t>
        </is>
      </c>
      <c r="C138" t="inlineStr">
        <is>
          <t>AWS Cost Optimization Hub</t>
        </is>
      </c>
      <c r="D138" t="inlineStr">
        <is>
          <t>Integracion</t>
        </is>
      </c>
      <c r="E138" t="inlineStr">
        <is>
          <t>I1</t>
        </is>
      </c>
      <c r="F138" s="2" t="inlineStr">
        <is>
          <t>¿Integra datos requeridos (facturación, uso, clúster o IaC) del escenario?</t>
        </is>
      </c>
      <c r="G138" t="inlineStr">
        <is>
          <t>NE</t>
        </is>
      </c>
      <c r="H138" t="inlineStr">
        <is>
          <t>Pendiente</t>
        </is>
      </c>
      <c r="I138" s="2" t="inlineStr">
        <is>
          <t>Consolida datos de recomendaciones desde los servicios soportados de AWS (EC2, RDS, Auto Scaling, etc.) y "accounts for your specific commercial terms with AWS, such as Reserved Instances and Savings Plans".</t>
        </is>
      </c>
      <c r="J138" t="inlineStr">
        <is>
          <t>https://docs.aws.amazon.com/cost-management/latest/userguide/cost-optimization-hub.html</t>
        </is>
      </c>
      <c r="K138" t="inlineStr">
        <is>
          <t>2026-09-16</t>
        </is>
      </c>
      <c r="L138"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I1 depende del escenario, por lo que pasa a NE (no evidenciado, reduce cobertura) hasta investigarlo. La evidencia y la fuente originales se conservan como referencia del escenario de origen.</t>
        </is>
      </c>
    </row>
    <row r="139">
      <c r="A139" t="inlineStr">
        <is>
          <t>E3</t>
        </is>
      </c>
      <c r="B139" t="inlineStr">
        <is>
          <t>Cloud nativa</t>
        </is>
      </c>
      <c r="C139" t="inlineStr">
        <is>
          <t>AWS Cost Optimization Hub</t>
        </is>
      </c>
      <c r="D139" t="inlineStr">
        <is>
          <t>Integracion</t>
        </is>
      </c>
      <c r="E139" t="inlineStr">
        <is>
          <t>I2</t>
        </is>
      </c>
      <c r="F139" s="2" t="inlineStr">
        <is>
          <t>¿Se integra con el flujo de trabajo relevante (alerta, ticket, CI/CD o reporte)?</t>
        </is>
      </c>
      <c r="G139" t="inlineStr">
        <is>
          <t>NE</t>
        </is>
      </c>
      <c r="H139" t="inlineStr">
        <is>
          <t>Pendiente</t>
        </is>
      </c>
      <c r="I139" s="2" t="inlineStr">
        <is>
          <t>Las recomendaciones se reportan también en las consolas de los servicios soportados (p. ej., consola de Amazon EC2), integrándose al flujo operativo del equipo.</t>
        </is>
      </c>
      <c r="J139" t="inlineStr">
        <is>
          <t>https://docs.aws.amazon.com/cost-management/latest/userguide/cost-optimization-hub.html</t>
        </is>
      </c>
      <c r="K139" t="inlineStr">
        <is>
          <t>2026-09-16</t>
        </is>
      </c>
      <c r="L139"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I2 depende del escenario, por lo que pasa a NE (no evidenciado, reduce cobertura) hasta investigarlo. La evidencia y la fuente originales se conservan como referencia del escenario de origen.</t>
        </is>
      </c>
    </row>
    <row r="140">
      <c r="A140" t="inlineStr">
        <is>
          <t>E3</t>
        </is>
      </c>
      <c r="B140" t="inlineStr">
        <is>
          <t>Cloud nativa</t>
        </is>
      </c>
      <c r="C140" t="inlineStr">
        <is>
          <t>AWS Cost Optimization Hub</t>
        </is>
      </c>
      <c r="D140" t="inlineStr">
        <is>
          <t>Adopcion</t>
        </is>
      </c>
      <c r="E140" t="inlineStr">
        <is>
          <t>AD1</t>
        </is>
      </c>
      <c r="F140" s="2" t="inlineStr">
        <is>
          <t>¿Soporta acceso/entrega para los roles del escenario?</t>
        </is>
      </c>
      <c r="G140" t="inlineStr">
        <is>
          <t>NE</t>
        </is>
      </c>
      <c r="H140" t="inlineStr">
        <is>
          <t>Pendiente</t>
        </is>
      </c>
      <c r="I140" s="2" t="inlineStr">
        <is>
          <t>El acceso se controla mediante IAM, igual que el resto de la consola de AWS Billing and Cost Management.</t>
        </is>
      </c>
      <c r="J140" t="inlineStr">
        <is>
          <t>https://docs.aws.amazon.com/cost-management/latest/userguide/cost-optimization-hub.html</t>
        </is>
      </c>
      <c r="K140" t="inlineStr">
        <is>
          <t>2026-09-16</t>
        </is>
      </c>
      <c r="L140"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Celda heredada FP-180 (2026-09-16): el valor 2 proviene de la investigacion del escenario E1 y no cuenta con evidencia propia de E3. Segun FP-177 el indicador AD1 depende del escenario, por lo que pasa a NE (no evidenciado, reduce cobertura) hasta investigarlo. La evidencia y la fuente originales se conservan como referencia del escenario de origen.</t>
        </is>
      </c>
    </row>
    <row r="141">
      <c r="A141" t="inlineStr">
        <is>
          <t>E3</t>
        </is>
      </c>
      <c r="B141" t="inlineStr">
        <is>
          <t>Cloud nativa</t>
        </is>
      </c>
      <c r="C141" t="inlineStr">
        <is>
          <t>AWS Cost Optimization Hub</t>
        </is>
      </c>
      <c r="D141" t="inlineStr">
        <is>
          <t>Adopcion</t>
        </is>
      </c>
      <c r="E141" t="inlineStr">
        <is>
          <t>AD2</t>
        </is>
      </c>
      <c r="F141" s="2" t="inlineStr">
        <is>
          <t>¿Ofrece guías, ownership o mecanismos de seguimiento para uso sostenido?</t>
        </is>
      </c>
      <c r="G141" t="inlineStr">
        <is>
          <t>NE</t>
        </is>
      </c>
      <c r="H141" t="inlineStr">
        <is>
          <t>Pendiente</t>
        </is>
      </c>
      <c r="I141" s="2" t="inlineStr">
        <is>
          <t>No se identificó una guía de gobernanza/adopción propia y separada de la de Cost Explorer para esta función específica (simplificación de alcance registrada).</t>
        </is>
      </c>
      <c r="J141" t="inlineStr">
        <is>
          <t>https://docs.aws.amazon.com/cost-management/latest/userguide/cost-optimization-hub.html</t>
        </is>
      </c>
      <c r="K141" t="inlineStr">
        <is>
          <t>2026-09-16</t>
        </is>
      </c>
      <c r="L141"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42">
      <c r="A142" t="inlineStr">
        <is>
          <t>E3</t>
        </is>
      </c>
      <c r="B142" t="inlineStr">
        <is>
          <t>Cloud nativa</t>
        </is>
      </c>
      <c r="C142" t="inlineStr">
        <is>
          <t>AWS Cost Optimization Hub</t>
        </is>
      </c>
      <c r="D142" t="inlineStr">
        <is>
          <t>Precio</t>
        </is>
      </c>
      <c r="E142" t="inlineStr">
        <is>
          <t>P1</t>
        </is>
      </c>
      <c r="F142" s="2" t="inlineStr">
        <is>
          <t>¿Expone precio, moneda, región, unidad, período y supuestos relevantes?</t>
        </is>
      </c>
      <c r="G142" t="n">
        <v>0</v>
      </c>
      <c r="H142" t="inlineStr">
        <is>
          <t>Oficial (ausencia verificada)</t>
        </is>
      </c>
      <c r="I142" s="2" t="inlineStr">
        <is>
          <t>No expone precio/moneda/región de forma general; sus cifras son de ahorro estimado sobre recomendaciones puntuales, no transparencia de precio del servicio.</t>
        </is>
      </c>
      <c r="J142" t="inlineStr">
        <is>
          <t>https://docs.aws.amazon.com/cost-management/latest/userguide/cost-optimization-hub.html</t>
        </is>
      </c>
      <c r="K142" t="inlineStr">
        <is>
          <t>2026-09-16</t>
        </is>
      </c>
      <c r="L142"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43">
      <c r="A143" t="inlineStr">
        <is>
          <t>E3</t>
        </is>
      </c>
      <c r="B143" t="inlineStr">
        <is>
          <t>Cloud nativa</t>
        </is>
      </c>
      <c r="C143" t="inlineStr">
        <is>
          <t>AWS Cost Optimization Hub</t>
        </is>
      </c>
      <c r="D143" t="inlineStr">
        <is>
          <t>Precio</t>
        </is>
      </c>
      <c r="E143" t="inlineStr">
        <is>
          <t>P2</t>
        </is>
      </c>
      <c r="F143" s="2" t="inlineStr">
        <is>
          <t>¿Permite estimar o comparar componentes sin ocultar límites de equivalencia?</t>
        </is>
      </c>
      <c r="G143" t="inlineStr">
        <is>
          <t>NE</t>
        </is>
      </c>
      <c r="H143" t="inlineStr">
        <is>
          <t>Pendiente</t>
        </is>
      </c>
      <c r="I143" s="2" t="inlineStr">
        <is>
          <t>No es una herramienta de comparación/estimación de precio contextual (esa función es de AWS Pricing Calculator, evaluada aparte).</t>
        </is>
      </c>
      <c r="J143" t="inlineStr">
        <is>
          <t>https://docs.aws.amazon.com/cost-management/latest/userguide/cost-optimization-hub.html</t>
        </is>
      </c>
      <c r="K143" t="inlineStr">
        <is>
          <t>2026-09-16</t>
        </is>
      </c>
      <c r="L143"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P2 depende del escenario, por lo que pasa a NE (no evidenciado, reduce cobertura) hasta investigarlo. La evidencia y la fuente originales se conservan como referencia del escenario de origen.</t>
        </is>
      </c>
    </row>
    <row r="144">
      <c r="A144" t="inlineStr">
        <is>
          <t>E3</t>
        </is>
      </c>
      <c r="B144" t="inlineStr">
        <is>
          <t>Cloud nativa</t>
        </is>
      </c>
      <c r="C144" t="inlineStr">
        <is>
          <t>AWS Cost Optimization Hub</t>
        </is>
      </c>
      <c r="D144" t="inlineStr">
        <is>
          <t>Dependencia</t>
        </is>
      </c>
      <c r="E144" t="inlineStr">
        <is>
          <t>D1</t>
        </is>
      </c>
      <c r="F144" s="2" t="inlineStr">
        <is>
          <t>¿Exporta datos/resultados en formato utilizable y documentado?</t>
        </is>
      </c>
      <c r="G144" t="inlineStr">
        <is>
          <t>NE</t>
        </is>
      </c>
      <c r="H144" t="inlineStr">
        <is>
          <t>Pendiente</t>
        </is>
      </c>
      <c r="I144" s="2" t="inlineStr">
        <is>
          <t>No es la fuente primaria de exportación de datos de costo/uso (esa función es del CUR, evaluada dentro de Cost Explorer); simplificación de alcance para evitar doble conteo.</t>
        </is>
      </c>
      <c r="J144" t="inlineStr">
        <is>
          <t>https://docs.aws.amazon.com/cost-management/latest/userguide/cost-optimization-hub.html</t>
        </is>
      </c>
      <c r="K144" t="inlineStr">
        <is>
          <t>2026-09-16</t>
        </is>
      </c>
      <c r="L144"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45">
      <c r="A145" t="inlineStr">
        <is>
          <t>E3</t>
        </is>
      </c>
      <c r="B145" t="inlineStr">
        <is>
          <t>Cloud nativa</t>
        </is>
      </c>
      <c r="C145" t="inlineStr">
        <is>
          <t>AWS Cost Optimization Hub</t>
        </is>
      </c>
      <c r="D145" t="inlineStr">
        <is>
          <t>Dependencia</t>
        </is>
      </c>
      <c r="E145" t="inlineStr">
        <is>
          <t>D2</t>
        </is>
      </c>
      <c r="F145" s="2" t="inlineStr">
        <is>
          <t>¿Documenta dependencias propietarias y un camino de salida/configuración reversible?</t>
        </is>
      </c>
      <c r="G145" t="inlineStr">
        <is>
          <t>NE</t>
        </is>
      </c>
      <c r="H145" t="inlineStr">
        <is>
          <t>Pendiente</t>
        </is>
      </c>
      <c r="I145" s="2" t="inlineStr">
        <is>
          <t>Mismo alcance de diseño que D1.</t>
        </is>
      </c>
      <c r="J145" t="inlineStr">
        <is>
          <t>https://docs.aws.amazon.com/cost-management/latest/userguide/cost-optimization-hub.html</t>
        </is>
      </c>
      <c r="K145" t="inlineStr">
        <is>
          <t>2026-09-16</t>
        </is>
      </c>
      <c r="L145" s="2" t="inlineStr">
        <is>
          <t>En E3, la evidencia de granularidad de clúster proviene de "Split Cost Allocation Data" para Amazon EKS (visibilidad a nivel de pod/namespace); las recomendaciones de rightsizing de AWS (Cost Explorer/Cost Optimization Hub) operan sobre el nodo EC2 subyacente, no sobre el dimensionamiento de pods dentro del clúster, lo que limita su alcance frente a herramientas especializadas en Kubernetes (OpenCost, Kubecost, Cast AI, StormForge). | 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46">
      <c r="A146" t="inlineStr">
        <is>
          <t>E5</t>
        </is>
      </c>
      <c r="B146" t="inlineStr">
        <is>
          <t>Cloud nativa</t>
        </is>
      </c>
      <c r="C146" t="inlineStr">
        <is>
          <t>AWS Cost Optimization Hub</t>
        </is>
      </c>
      <c r="D146" t="inlineStr">
        <is>
          <t>Visibilidad</t>
        </is>
      </c>
      <c r="E146" t="inlineStr">
        <is>
          <t>V1</t>
        </is>
      </c>
      <c r="F146" s="2" t="inlineStr">
        <is>
          <t>¿Desagrega costo y uso por cuenta/proyecto, servicio y período?</t>
        </is>
      </c>
      <c r="G146" t="inlineStr">
        <is>
          <t>NE</t>
        </is>
      </c>
      <c r="H146" t="inlineStr">
        <is>
          <t>Pendiente</t>
        </is>
      </c>
      <c r="I146" s="2" t="inlineStr">
        <is>
          <t>Cost Optimization Hub no ofrece un desglose general de costo/uso por cuenta-servicio-período; su función documentada es consolidar y priorizar recomendaciones, no la visibilidad general de gasto (esa función corresponde a Cost Explorer).</t>
        </is>
      </c>
      <c r="J146" t="inlineStr">
        <is>
          <t>https://docs.aws.amazon.com/cost-management/latest/userguide/cost-optimization-hub.html</t>
        </is>
      </c>
      <c r="K146" t="inlineStr">
        <is>
          <t>2026-09-16</t>
        </is>
      </c>
      <c r="L14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V1 depende del escenario, por lo que pasa a NE (no evidenciado, reduce cobertura) hasta investigarlo. La evidencia y la fuente originales se conservan como referencia del escenario de origen.</t>
        </is>
      </c>
    </row>
    <row r="147">
      <c r="A147" t="inlineStr">
        <is>
          <t>E5</t>
        </is>
      </c>
      <c r="B147" t="inlineStr">
        <is>
          <t>Cloud nativa</t>
        </is>
      </c>
      <c r="C147" t="inlineStr">
        <is>
          <t>AWS Cost Optimization Hub</t>
        </is>
      </c>
      <c r="D147" t="inlineStr">
        <is>
          <t>Visibilidad</t>
        </is>
      </c>
      <c r="E147" t="inlineStr">
        <is>
          <t>V2</t>
        </is>
      </c>
      <c r="F147" s="2" t="inlineStr">
        <is>
          <t>¿Permite rastrear un total hasta registros o fuente de facturación?</t>
        </is>
      </c>
      <c r="G147" t="n">
        <v>0</v>
      </c>
      <c r="H147" t="inlineStr">
        <is>
          <t>Oficial (ausencia verificada)</t>
        </is>
      </c>
      <c r="I147" s="2" t="inlineStr">
        <is>
          <t>Mismo alcance de diseño que V1: no es una herramienta de trazabilidad de gasto.</t>
        </is>
      </c>
      <c r="J147" t="inlineStr">
        <is>
          <t>https://docs.aws.amazon.com/cost-management/latest/userguide/cost-optimization-hub.html</t>
        </is>
      </c>
      <c r="K147" t="inlineStr">
        <is>
          <t>2026-09-16</t>
        </is>
      </c>
      <c r="L14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48">
      <c r="A148" t="inlineStr">
        <is>
          <t>E5</t>
        </is>
      </c>
      <c r="B148" t="inlineStr">
        <is>
          <t>Cloud nativa</t>
        </is>
      </c>
      <c r="C148" t="inlineStr">
        <is>
          <t>AWS Cost Optimization Hub</t>
        </is>
      </c>
      <c r="D148" t="inlineStr">
        <is>
          <t>Asignacion</t>
        </is>
      </c>
      <c r="E148" t="inlineStr">
        <is>
          <t>A1</t>
        </is>
      </c>
      <c r="F148" s="2" t="inlineStr">
        <is>
          <t>¿Calcula gasto asignado/no asignado por responsable, centro o entidad?</t>
        </is>
      </c>
      <c r="G148" t="inlineStr">
        <is>
          <t>NE</t>
        </is>
      </c>
      <c r="H148" t="inlineStr">
        <is>
          <t>Pendiente</t>
        </is>
      </c>
      <c r="I148" s="2" t="inlineStr">
        <is>
          <t>No calcula asignación de gasto por responsable/centro de costo; opera sobre recomendaciones de optimización, no sobre asignación.</t>
        </is>
      </c>
      <c r="J148" t="inlineStr">
        <is>
          <t>https://docs.aws.amazon.com/cost-management/latest/userguide/cost-optimization-hub.html</t>
        </is>
      </c>
      <c r="K148" t="inlineStr">
        <is>
          <t>2026-09-16</t>
        </is>
      </c>
      <c r="L14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A1 depende del escenario, por lo que pasa a NE (no evidenciado, reduce cobertura) hasta investigarlo. La evidencia y la fuente originales se conservan como referencia del escenario de origen.</t>
        </is>
      </c>
    </row>
    <row r="149">
      <c r="A149" t="inlineStr">
        <is>
          <t>E5</t>
        </is>
      </c>
      <c r="B149" t="inlineStr">
        <is>
          <t>Cloud nativa</t>
        </is>
      </c>
      <c r="C149" t="inlineStr">
        <is>
          <t>AWS Cost Optimization Hub</t>
        </is>
      </c>
      <c r="D149" t="inlineStr">
        <is>
          <t>Asignacion</t>
        </is>
      </c>
      <c r="E149" t="inlineStr">
        <is>
          <t>A2</t>
        </is>
      </c>
      <c r="F149" s="2" t="inlineStr">
        <is>
          <t>¿Explicita y aplica reglas para costo compartido/multi-tenant?</t>
        </is>
      </c>
      <c r="G149" t="inlineStr">
        <is>
          <t>NE</t>
        </is>
      </c>
      <c r="H149" t="inlineStr">
        <is>
          <t>Pendiente</t>
        </is>
      </c>
      <c r="I149" s="2" t="inlineStr">
        <is>
          <t>No define reglas de reparto de costo compartido.</t>
        </is>
      </c>
      <c r="J149" t="inlineStr">
        <is>
          <t>https://docs.aws.amazon.com/cost-management/latest/userguide/cost-optimization-hub.html</t>
        </is>
      </c>
      <c r="K149" t="inlineStr">
        <is>
          <t>2026-09-16</t>
        </is>
      </c>
      <c r="L14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A2 depende del escenario, por lo que pasa a NE (no evidenciado, reduce cobertura) hasta investigarlo. La evidencia y la fuente originales se conservan como referencia del escenario de origen.</t>
        </is>
      </c>
    </row>
    <row r="150">
      <c r="A150" t="inlineStr">
        <is>
          <t>E5</t>
        </is>
      </c>
      <c r="B150" t="inlineStr">
        <is>
          <t>Cloud nativa</t>
        </is>
      </c>
      <c r="C150" t="inlineStr">
        <is>
          <t>AWS Cost Optimization Hub</t>
        </is>
      </c>
      <c r="D150" t="inlineStr">
        <is>
          <t>Optimizacion</t>
        </is>
      </c>
      <c r="E150" t="inlineStr">
        <is>
          <t>O1</t>
        </is>
      </c>
      <c r="F150" s="2" t="inlineStr">
        <is>
          <t>¿Detecta desperdicio, rightsizing o compromiso relevante al escenario?</t>
        </is>
      </c>
      <c r="G150" t="inlineStr">
        <is>
          <t>NE</t>
        </is>
      </c>
      <c r="H150" t="inlineStr">
        <is>
          <t>Pendiente</t>
        </is>
      </c>
      <c r="I150" s="2" t="inlineStr">
        <is>
          <t>"It makes recommendations on resource rightsizing, idle resource deletion, Savings Plans, and Reserved Instances" y permite "filtering, sorting, and grouping" para priorizar oportunidades.</t>
        </is>
      </c>
      <c r="J150" t="inlineStr">
        <is>
          <t>https://docs.aws.amazon.com/cost-management/latest/userguide/cost-optimization-hub.html</t>
        </is>
      </c>
      <c r="K150" t="inlineStr">
        <is>
          <t>2026-09-16</t>
        </is>
      </c>
      <c r="L150" s="2" t="inlineStr">
        <is>
          <t>Celda heredada FP-180 (2026-09-16): el valor 2 proviene de la investigacion del escenario E1 y no cuenta con evidencia propia de E5. Segun FP-177 el indicador O1 depende del escenario, por lo que pasa a NE (no evidenciado, reduce cobertura) hasta investigarlo. La evidencia y la fuente originales se conservan como referencia del escenario de origen.</t>
        </is>
      </c>
    </row>
    <row r="151">
      <c r="A151" t="inlineStr">
        <is>
          <t>E5</t>
        </is>
      </c>
      <c r="B151" t="inlineStr">
        <is>
          <t>Cloud nativa</t>
        </is>
      </c>
      <c r="C151" t="inlineStr">
        <is>
          <t>AWS Cost Optimization Hub</t>
        </is>
      </c>
      <c r="D151" t="inlineStr">
        <is>
          <t>Optimizacion</t>
        </is>
      </c>
      <c r="E151" t="inlineStr">
        <is>
          <t>O2</t>
        </is>
      </c>
      <c r="F151" s="2" t="inlineStr">
        <is>
          <t>¿Explica supuesto/impacto y permite seguir una recomendación?</t>
        </is>
      </c>
      <c r="G151" t="n">
        <v>2</v>
      </c>
      <c r="H151" t="inlineStr">
        <is>
          <t>Oficial</t>
        </is>
      </c>
      <c r="I151" s="2" t="inlineStr">
        <is>
          <t>"Quantify estimated savings that incorporate your AWS pricing and discounts" y "track progress to maximize your return on cloud investments", con posibilidad de fijar objetivos de ahorro.</t>
        </is>
      </c>
      <c r="J151" t="inlineStr">
        <is>
          <t>https://docs.aws.amazon.com/cost-management/latest/userguide/cost-optimization-hub.html</t>
        </is>
      </c>
      <c r="K151" t="inlineStr">
        <is>
          <t>2026-09-16</t>
        </is>
      </c>
      <c r="L151" s="2" t="inlineStr"/>
    </row>
    <row r="152">
      <c r="A152" t="inlineStr">
        <is>
          <t>E5</t>
        </is>
      </c>
      <c r="B152" t="inlineStr">
        <is>
          <t>Cloud nativa</t>
        </is>
      </c>
      <c r="C152" t="inlineStr">
        <is>
          <t>AWS Cost Optimization Hub</t>
        </is>
      </c>
      <c r="D152" t="inlineStr">
        <is>
          <t>Automatizacion</t>
        </is>
      </c>
      <c r="E152" t="inlineStr">
        <is>
          <t>AU1</t>
        </is>
      </c>
      <c r="F152" s="2" t="inlineStr">
        <is>
          <t>¿Ejecuta o bloquea acciones/políticas de costo con control verificable?</t>
        </is>
      </c>
      <c r="G152" t="inlineStr">
        <is>
          <t>NE</t>
        </is>
      </c>
      <c r="H152" t="inlineStr">
        <is>
          <t>Pendiente</t>
        </is>
      </c>
      <c r="I152" s="2" t="inlineStr">
        <is>
          <t>Cost Optimization Hub recomienda pero no ejecuta acciones; la ejecución/control automatizado corresponde a AWS Budgets (evaluado dentro de Cost Explorer en este trabajo).</t>
        </is>
      </c>
      <c r="J152" t="inlineStr">
        <is>
          <t>https://docs.aws.amazon.com/cost-management/latest/userguide/cost-optimization-hub.html</t>
        </is>
      </c>
      <c r="K152" t="inlineStr">
        <is>
          <t>2026-09-16</t>
        </is>
      </c>
      <c r="L15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AU1 depende del escenario, por lo que pasa a NE (no evidenciado, reduce cobertura) hasta investigarlo. La evidencia y la fuente originales se conservan como referencia del escenario de origen.</t>
        </is>
      </c>
    </row>
    <row r="153">
      <c r="A153" t="inlineStr">
        <is>
          <t>E5</t>
        </is>
      </c>
      <c r="B153" t="inlineStr">
        <is>
          <t>Cloud nativa</t>
        </is>
      </c>
      <c r="C153" t="inlineStr">
        <is>
          <t>AWS Cost Optimization Hub</t>
        </is>
      </c>
      <c r="D153" t="inlineStr">
        <is>
          <t>Automatizacion</t>
        </is>
      </c>
      <c r="E153" t="inlineStr">
        <is>
          <t>AU2</t>
        </is>
      </c>
      <c r="F153" s="2" t="inlineStr">
        <is>
          <t>¿Ofrece aprobación, reversión, registro o límites antes de actuar?</t>
        </is>
      </c>
      <c r="G153" t="inlineStr">
        <is>
          <t>NA</t>
        </is>
      </c>
      <c r="H153" t="inlineStr">
        <is>
          <t>Justificación de alcance</t>
        </is>
      </c>
      <c r="I153" s="2" t="inlineStr">
        <is>
          <t>Mismo alcance de diseño que AU1: no ejecuta, por lo que no aplica evaluar salvaguardas de ejecución.</t>
        </is>
      </c>
      <c r="J153" t="inlineStr">
        <is>
          <t>https://docs.aws.amazon.com/cost-management/latest/userguide/cost-optimization-hub.html</t>
        </is>
      </c>
      <c r="K153" t="inlineStr">
        <is>
          <t>2026-09-16</t>
        </is>
      </c>
      <c r="L153" s="2" t="inlineStr"/>
    </row>
    <row r="154">
      <c r="A154" t="inlineStr">
        <is>
          <t>E5</t>
        </is>
      </c>
      <c r="B154" t="inlineStr">
        <is>
          <t>Cloud nativa</t>
        </is>
      </c>
      <c r="C154" t="inlineStr">
        <is>
          <t>AWS Cost Optimization Hub</t>
        </is>
      </c>
      <c r="D154" t="inlineStr">
        <is>
          <t>Multicloud</t>
        </is>
      </c>
      <c r="E154" t="inlineStr">
        <is>
          <t>M1</t>
        </is>
      </c>
      <c r="F154" s="2" t="inlineStr">
        <is>
          <t>¿Consolida al menos dos proveedores bajo el mismo esquema declarado?</t>
        </is>
      </c>
      <c r="G154" t="n">
        <v>0</v>
      </c>
      <c r="H154" t="inlineStr">
        <is>
          <t>Oficial (ausencia verificada)</t>
        </is>
      </c>
      <c r="I154" s="2" t="inlineStr">
        <is>
          <t>Cubre exclusivamente cuentas de AWS; no está diseñada para consolidar Azure/GCP.</t>
        </is>
      </c>
      <c r="J154" t="inlineStr">
        <is>
          <t>https://docs.aws.amazon.com/cost-management/latest/userguide/cost-optimization-hub.html</t>
        </is>
      </c>
      <c r="K154" t="inlineStr">
        <is>
          <t>2026-09-16</t>
        </is>
      </c>
      <c r="L15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55">
      <c r="A155" t="inlineStr">
        <is>
          <t>E5</t>
        </is>
      </c>
      <c r="B155" t="inlineStr">
        <is>
          <t>Cloud nativa</t>
        </is>
      </c>
      <c r="C155" t="inlineStr">
        <is>
          <t>AWS Cost Optimization Hub</t>
        </is>
      </c>
      <c r="D155" t="inlineStr">
        <is>
          <t>Multicloud</t>
        </is>
      </c>
      <c r="E155" t="inlineStr">
        <is>
          <t>M2</t>
        </is>
      </c>
      <c r="F155" s="2" t="inlineStr">
        <is>
          <t>¿Hace visibles proveedor, cobertura y diferencias semánticas?</t>
        </is>
      </c>
      <c r="G155" t="n">
        <v>0</v>
      </c>
      <c r="H155" t="inlineStr">
        <is>
          <t>Oficial (ausencia verificada)</t>
        </is>
      </c>
      <c r="I155" s="2" t="inlineStr">
        <is>
          <t>Mismo alcance de diseño que M1.</t>
        </is>
      </c>
      <c r="J155" t="inlineStr">
        <is>
          <t>https://docs.aws.amazon.com/cost-management/latest/userguide/cost-optimization-hub.html</t>
        </is>
      </c>
      <c r="K155" t="inlineStr">
        <is>
          <t>2026-09-16</t>
        </is>
      </c>
      <c r="L15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56">
      <c r="A156" t="inlineStr">
        <is>
          <t>E5</t>
        </is>
      </c>
      <c r="B156" t="inlineStr">
        <is>
          <t>Cloud nativa</t>
        </is>
      </c>
      <c r="C156" t="inlineStr">
        <is>
          <t>AWS Cost Optimization Hub</t>
        </is>
      </c>
      <c r="D156" t="inlineStr">
        <is>
          <t>Integracion</t>
        </is>
      </c>
      <c r="E156" t="inlineStr">
        <is>
          <t>I1</t>
        </is>
      </c>
      <c r="F156" s="2" t="inlineStr">
        <is>
          <t>¿Integra datos requeridos (facturación, uso, clúster o IaC) del escenario?</t>
        </is>
      </c>
      <c r="G156" t="inlineStr">
        <is>
          <t>NE</t>
        </is>
      </c>
      <c r="H156" t="inlineStr">
        <is>
          <t>Pendiente</t>
        </is>
      </c>
      <c r="I156" s="2" t="inlineStr">
        <is>
          <t>Consolida datos de recomendaciones desde los servicios soportados de AWS (EC2, RDS, Auto Scaling, etc.) y "accounts for your specific commercial terms with AWS, such as Reserved Instances and Savings Plans".</t>
        </is>
      </c>
      <c r="J156" t="inlineStr">
        <is>
          <t>https://docs.aws.amazon.com/cost-management/latest/userguide/cost-optimization-hub.html</t>
        </is>
      </c>
      <c r="K156" t="inlineStr">
        <is>
          <t>2026-09-16</t>
        </is>
      </c>
      <c r="L156" s="2" t="inlineStr">
        <is>
          <t>Celda heredada FP-180 (2026-09-16): el valor 2 proviene de la investigacion del escenario E1 y no cuenta con evidencia propia de E5. Segun FP-177 el indicador I1 depende del escenario, por lo que pasa a NE (no evidenciado, reduce cobertura) hasta investigarlo. La evidencia y la fuente originales se conservan como referencia del escenario de origen.</t>
        </is>
      </c>
    </row>
    <row r="157">
      <c r="A157" t="inlineStr">
        <is>
          <t>E5</t>
        </is>
      </c>
      <c r="B157" t="inlineStr">
        <is>
          <t>Cloud nativa</t>
        </is>
      </c>
      <c r="C157" t="inlineStr">
        <is>
          <t>AWS Cost Optimization Hub</t>
        </is>
      </c>
      <c r="D157" t="inlineStr">
        <is>
          <t>Integracion</t>
        </is>
      </c>
      <c r="E157" t="inlineStr">
        <is>
          <t>I2</t>
        </is>
      </c>
      <c r="F157" s="2" t="inlineStr">
        <is>
          <t>¿Se integra con el flujo de trabajo relevante (alerta, ticket, CI/CD o reporte)?</t>
        </is>
      </c>
      <c r="G157" t="inlineStr">
        <is>
          <t>NE</t>
        </is>
      </c>
      <c r="H157" t="inlineStr">
        <is>
          <t>Pendiente</t>
        </is>
      </c>
      <c r="I157" s="2" t="inlineStr">
        <is>
          <t>Las recomendaciones se reportan también en las consolas de los servicios soportados (p. ej., consola de Amazon EC2), integrándose al flujo operativo del equipo.</t>
        </is>
      </c>
      <c r="J157" t="inlineStr">
        <is>
          <t>https://docs.aws.amazon.com/cost-management/latest/userguide/cost-optimization-hub.html</t>
        </is>
      </c>
      <c r="K157" t="inlineStr">
        <is>
          <t>2026-09-16</t>
        </is>
      </c>
      <c r="L157" s="2" t="inlineStr">
        <is>
          <t>Celda heredada FP-180 (2026-09-16): el valor 2 proviene de la investigacion del escenario E1 y no cuenta con evidencia propia de E5. Segun FP-177 el indicador I2 depende del escenario, por lo que pasa a NE (no evidenciado, reduce cobertura) hasta investigarlo. La evidencia y la fuente originales se conservan como referencia del escenario de origen.</t>
        </is>
      </c>
    </row>
    <row r="158">
      <c r="A158" t="inlineStr">
        <is>
          <t>E5</t>
        </is>
      </c>
      <c r="B158" t="inlineStr">
        <is>
          <t>Cloud nativa</t>
        </is>
      </c>
      <c r="C158" t="inlineStr">
        <is>
          <t>AWS Cost Optimization Hub</t>
        </is>
      </c>
      <c r="D158" t="inlineStr">
        <is>
          <t>Adopcion</t>
        </is>
      </c>
      <c r="E158" t="inlineStr">
        <is>
          <t>AD1</t>
        </is>
      </c>
      <c r="F158" s="2" t="inlineStr">
        <is>
          <t>¿Soporta acceso/entrega para los roles del escenario?</t>
        </is>
      </c>
      <c r="G158" t="inlineStr">
        <is>
          <t>NE</t>
        </is>
      </c>
      <c r="H158" t="inlineStr">
        <is>
          <t>Pendiente</t>
        </is>
      </c>
      <c r="I158" s="2" t="inlineStr">
        <is>
          <t>El acceso se controla mediante IAM, igual que el resto de la consola de AWS Billing and Cost Management.</t>
        </is>
      </c>
      <c r="J158" t="inlineStr">
        <is>
          <t>https://docs.aws.amazon.com/cost-management/latest/userguide/cost-optimization-hub.html</t>
        </is>
      </c>
      <c r="K158" t="inlineStr">
        <is>
          <t>2026-09-16</t>
        </is>
      </c>
      <c r="L158" s="2" t="inlineStr">
        <is>
          <t>Celda heredada FP-180 (2026-09-16): el valor 2 proviene de la investigacion del escenario E1 y no cuenta con evidencia propia de E5. Segun FP-177 el indicador AD1 depende del escenario, por lo que pasa a NE (no evidenciado, reduce cobertura) hasta investigarlo. La evidencia y la fuente originales se conservan como referencia del escenario de origen.</t>
        </is>
      </c>
    </row>
    <row r="159">
      <c r="A159" t="inlineStr">
        <is>
          <t>E5</t>
        </is>
      </c>
      <c r="B159" t="inlineStr">
        <is>
          <t>Cloud nativa</t>
        </is>
      </c>
      <c r="C159" t="inlineStr">
        <is>
          <t>AWS Cost Optimization Hub</t>
        </is>
      </c>
      <c r="D159" t="inlineStr">
        <is>
          <t>Adopcion</t>
        </is>
      </c>
      <c r="E159" t="inlineStr">
        <is>
          <t>AD2</t>
        </is>
      </c>
      <c r="F159" s="2" t="inlineStr">
        <is>
          <t>¿Ofrece guías, ownership o mecanismos de seguimiento para uso sostenido?</t>
        </is>
      </c>
      <c r="G159" t="inlineStr">
        <is>
          <t>NE</t>
        </is>
      </c>
      <c r="H159" t="inlineStr">
        <is>
          <t>Pendiente</t>
        </is>
      </c>
      <c r="I159" s="2" t="inlineStr">
        <is>
          <t>No se identificó una guía de gobernanza/adopción propia y separada de la de Cost Explorer para esta función específica (simplificación de alcance registrada).</t>
        </is>
      </c>
      <c r="J159" t="inlineStr">
        <is>
          <t>https://docs.aws.amazon.com/cost-management/latest/userguide/cost-optimization-hub.html</t>
        </is>
      </c>
      <c r="K159" t="inlineStr">
        <is>
          <t>2026-09-16</t>
        </is>
      </c>
      <c r="L159"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60">
      <c r="A160" t="inlineStr">
        <is>
          <t>E5</t>
        </is>
      </c>
      <c r="B160" t="inlineStr">
        <is>
          <t>Cloud nativa</t>
        </is>
      </c>
      <c r="C160" t="inlineStr">
        <is>
          <t>AWS Cost Optimization Hub</t>
        </is>
      </c>
      <c r="D160" t="inlineStr">
        <is>
          <t>Precio</t>
        </is>
      </c>
      <c r="E160" t="inlineStr">
        <is>
          <t>P1</t>
        </is>
      </c>
      <c r="F160" s="2" t="inlineStr">
        <is>
          <t>¿Expone precio, moneda, región, unidad, período y supuestos relevantes?</t>
        </is>
      </c>
      <c r="G160" t="n">
        <v>0</v>
      </c>
      <c r="H160" t="inlineStr">
        <is>
          <t>Oficial (ausencia verificada)</t>
        </is>
      </c>
      <c r="I160" s="2" t="inlineStr">
        <is>
          <t>No expone precio/moneda/región de forma general; sus cifras son de ahorro estimado sobre recomendaciones puntuales, no transparencia de precio del servicio.</t>
        </is>
      </c>
      <c r="J160" t="inlineStr">
        <is>
          <t>https://docs.aws.amazon.com/cost-management/latest/userguide/cost-optimization-hub.html</t>
        </is>
      </c>
      <c r="K160" t="inlineStr">
        <is>
          <t>2026-09-16</t>
        </is>
      </c>
      <c r="L16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61">
      <c r="A161" t="inlineStr">
        <is>
          <t>E5</t>
        </is>
      </c>
      <c r="B161" t="inlineStr">
        <is>
          <t>Cloud nativa</t>
        </is>
      </c>
      <c r="C161" t="inlineStr">
        <is>
          <t>AWS Cost Optimization Hub</t>
        </is>
      </c>
      <c r="D161" t="inlineStr">
        <is>
          <t>Precio</t>
        </is>
      </c>
      <c r="E161" t="inlineStr">
        <is>
          <t>P2</t>
        </is>
      </c>
      <c r="F161" s="2" t="inlineStr">
        <is>
          <t>¿Permite estimar o comparar componentes sin ocultar límites de equivalencia?</t>
        </is>
      </c>
      <c r="G161" t="inlineStr">
        <is>
          <t>NE</t>
        </is>
      </c>
      <c r="H161" t="inlineStr">
        <is>
          <t>Pendiente</t>
        </is>
      </c>
      <c r="I161" s="2" t="inlineStr">
        <is>
          <t>No es una herramienta de comparación/estimación de precio contextual (esa función es de AWS Pricing Calculator, evaluada aparte).</t>
        </is>
      </c>
      <c r="J161" t="inlineStr">
        <is>
          <t>https://docs.aws.amazon.com/cost-management/latest/userguide/cost-optimization-hub.html</t>
        </is>
      </c>
      <c r="K161" t="inlineStr">
        <is>
          <t>2026-09-16</t>
        </is>
      </c>
      <c r="L16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P2 depende del escenario, por lo que pasa a NE (no evidenciado, reduce cobertura) hasta investigarlo. La evidencia y la fuente originales se conservan como referencia del escenario de origen.</t>
        </is>
      </c>
    </row>
    <row r="162">
      <c r="A162" t="inlineStr">
        <is>
          <t>E5</t>
        </is>
      </c>
      <c r="B162" t="inlineStr">
        <is>
          <t>Cloud nativa</t>
        </is>
      </c>
      <c r="C162" t="inlineStr">
        <is>
          <t>AWS Cost Optimization Hub</t>
        </is>
      </c>
      <c r="D162" t="inlineStr">
        <is>
          <t>Dependencia</t>
        </is>
      </c>
      <c r="E162" t="inlineStr">
        <is>
          <t>D1</t>
        </is>
      </c>
      <c r="F162" s="2" t="inlineStr">
        <is>
          <t>¿Exporta datos/resultados en formato utilizable y documentado?</t>
        </is>
      </c>
      <c r="G162" t="inlineStr">
        <is>
          <t>NE</t>
        </is>
      </c>
      <c r="H162" t="inlineStr">
        <is>
          <t>Pendiente</t>
        </is>
      </c>
      <c r="I162" s="2" t="inlineStr">
        <is>
          <t>No es la fuente primaria de exportación de datos de costo/uso (esa función es del CUR, evaluada dentro de Cost Explorer); simplificación de alcance para evitar doble conteo.</t>
        </is>
      </c>
      <c r="J162" t="inlineStr">
        <is>
          <t>https://docs.aws.amazon.com/cost-management/latest/userguide/cost-optimization-hub.html</t>
        </is>
      </c>
      <c r="K162" t="inlineStr">
        <is>
          <t>2026-09-16</t>
        </is>
      </c>
      <c r="L162"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63">
      <c r="A163" t="inlineStr">
        <is>
          <t>E5</t>
        </is>
      </c>
      <c r="B163" t="inlineStr">
        <is>
          <t>Cloud nativa</t>
        </is>
      </c>
      <c r="C163" t="inlineStr">
        <is>
          <t>AWS Cost Optimization Hub</t>
        </is>
      </c>
      <c r="D163" t="inlineStr">
        <is>
          <t>Dependencia</t>
        </is>
      </c>
      <c r="E163" t="inlineStr">
        <is>
          <t>D2</t>
        </is>
      </c>
      <c r="F163" s="2" t="inlineStr">
        <is>
          <t>¿Documenta dependencias propietarias y un camino de salida/configuración reversible?</t>
        </is>
      </c>
      <c r="G163" t="inlineStr">
        <is>
          <t>NE</t>
        </is>
      </c>
      <c r="H163" t="inlineStr">
        <is>
          <t>Pendiente</t>
        </is>
      </c>
      <c r="I163" s="2" t="inlineStr">
        <is>
          <t>Mismo alcance de diseño que D1.</t>
        </is>
      </c>
      <c r="J163" t="inlineStr">
        <is>
          <t>https://docs.aws.amazon.com/cost-management/latest/userguide/cost-optimization-hub.html</t>
        </is>
      </c>
      <c r="K163" t="inlineStr">
        <is>
          <t>2026-09-16</t>
        </is>
      </c>
      <c r="L163"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64">
      <c r="A164" t="inlineStr">
        <is>
          <t>E6</t>
        </is>
      </c>
      <c r="B164" t="inlineStr">
        <is>
          <t>Cloud nativa</t>
        </is>
      </c>
      <c r="C164" t="inlineStr">
        <is>
          <t>AWS Cost Optimization Hub</t>
        </is>
      </c>
      <c r="D164" t="inlineStr">
        <is>
          <t>Visibilidad</t>
        </is>
      </c>
      <c r="E164" t="inlineStr">
        <is>
          <t>V1</t>
        </is>
      </c>
      <c r="F164" s="2" t="inlineStr">
        <is>
          <t>¿Desagrega costo y uso por cuenta/proyecto, servicio y período?</t>
        </is>
      </c>
      <c r="G164" t="inlineStr">
        <is>
          <t>NE</t>
        </is>
      </c>
      <c r="H164" t="inlineStr">
        <is>
          <t>Pendiente</t>
        </is>
      </c>
      <c r="I164" s="2" t="inlineStr">
        <is>
          <t>Cost Optimization Hub no ofrece un desglose general de costo/uso por cuenta-servicio-período; su función documentada es consolidar y priorizar recomendaciones, no la visibilidad general de gasto (esa función corresponde a Cost Explorer).</t>
        </is>
      </c>
      <c r="J164" t="inlineStr">
        <is>
          <t>https://docs.aws.amazon.com/cost-management/latest/userguide/cost-optimization-hub.html</t>
        </is>
      </c>
      <c r="K164" t="inlineStr">
        <is>
          <t>2026-09-16</t>
        </is>
      </c>
      <c r="L16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V1 depende del escenario, por lo que pasa a NE (no evidenciado, reduce cobertura) hasta investigarlo. La evidencia y la fuente originales se conservan como referencia del escenario de origen.</t>
        </is>
      </c>
    </row>
    <row r="165">
      <c r="A165" t="inlineStr">
        <is>
          <t>E6</t>
        </is>
      </c>
      <c r="B165" t="inlineStr">
        <is>
          <t>Cloud nativa</t>
        </is>
      </c>
      <c r="C165" t="inlineStr">
        <is>
          <t>AWS Cost Optimization Hub</t>
        </is>
      </c>
      <c r="D165" t="inlineStr">
        <is>
          <t>Visibilidad</t>
        </is>
      </c>
      <c r="E165" t="inlineStr">
        <is>
          <t>V2</t>
        </is>
      </c>
      <c r="F165" s="2" t="inlineStr">
        <is>
          <t>¿Permite rastrear un total hasta registros o fuente de facturación?</t>
        </is>
      </c>
      <c r="G165" t="n">
        <v>0</v>
      </c>
      <c r="H165" t="inlineStr">
        <is>
          <t>Oficial (ausencia verificada)</t>
        </is>
      </c>
      <c r="I165" s="2" t="inlineStr">
        <is>
          <t>Mismo alcance de diseño que V1: no es una herramienta de trazabilidad de gasto.</t>
        </is>
      </c>
      <c r="J165" t="inlineStr">
        <is>
          <t>https://docs.aws.amazon.com/cost-management/latest/userguide/cost-optimization-hub.html</t>
        </is>
      </c>
      <c r="K165" t="inlineStr">
        <is>
          <t>2026-09-16</t>
        </is>
      </c>
      <c r="L16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66">
      <c r="A166" t="inlineStr">
        <is>
          <t>E6</t>
        </is>
      </c>
      <c r="B166" t="inlineStr">
        <is>
          <t>Cloud nativa</t>
        </is>
      </c>
      <c r="C166" t="inlineStr">
        <is>
          <t>AWS Cost Optimization Hub</t>
        </is>
      </c>
      <c r="D166" t="inlineStr">
        <is>
          <t>Asignacion</t>
        </is>
      </c>
      <c r="E166" t="inlineStr">
        <is>
          <t>A1</t>
        </is>
      </c>
      <c r="F166" s="2" t="inlineStr">
        <is>
          <t>¿Calcula gasto asignado/no asignado por responsable, centro o entidad?</t>
        </is>
      </c>
      <c r="G166" t="inlineStr">
        <is>
          <t>NE</t>
        </is>
      </c>
      <c r="H166" t="inlineStr">
        <is>
          <t>Pendiente</t>
        </is>
      </c>
      <c r="I166" s="2" t="inlineStr">
        <is>
          <t>No calcula asignación de gasto por responsable/centro de costo; opera sobre recomendaciones de optimización, no sobre asignación.</t>
        </is>
      </c>
      <c r="J166" t="inlineStr">
        <is>
          <t>https://docs.aws.amazon.com/cost-management/latest/userguide/cost-optimization-hub.html</t>
        </is>
      </c>
      <c r="K166" t="inlineStr">
        <is>
          <t>2026-09-16</t>
        </is>
      </c>
      <c r="L16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A1 depende del escenario, por lo que pasa a NE (no evidenciado, reduce cobertura) hasta investigarlo. La evidencia y la fuente originales se conservan como referencia del escenario de origen.</t>
        </is>
      </c>
    </row>
    <row r="167">
      <c r="A167" t="inlineStr">
        <is>
          <t>E6</t>
        </is>
      </c>
      <c r="B167" t="inlineStr">
        <is>
          <t>Cloud nativa</t>
        </is>
      </c>
      <c r="C167" t="inlineStr">
        <is>
          <t>AWS Cost Optimization Hub</t>
        </is>
      </c>
      <c r="D167" t="inlineStr">
        <is>
          <t>Asignacion</t>
        </is>
      </c>
      <c r="E167" t="inlineStr">
        <is>
          <t>A2</t>
        </is>
      </c>
      <c r="F167" s="2" t="inlineStr">
        <is>
          <t>¿Explicita y aplica reglas para costo compartido/multi-tenant?</t>
        </is>
      </c>
      <c r="G167" t="inlineStr">
        <is>
          <t>NE</t>
        </is>
      </c>
      <c r="H167" t="inlineStr">
        <is>
          <t>Pendiente</t>
        </is>
      </c>
      <c r="I167" s="2" t="inlineStr">
        <is>
          <t>No define reglas de reparto de costo compartido.</t>
        </is>
      </c>
      <c r="J167" t="inlineStr">
        <is>
          <t>https://docs.aws.amazon.com/cost-management/latest/userguide/cost-optimization-hub.html</t>
        </is>
      </c>
      <c r="K167" t="inlineStr">
        <is>
          <t>2026-09-16</t>
        </is>
      </c>
      <c r="L16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A2 depende del escenario, por lo que pasa a NE (no evidenciado, reduce cobertura) hasta investigarlo. La evidencia y la fuente originales se conservan como referencia del escenario de origen.</t>
        </is>
      </c>
    </row>
    <row r="168">
      <c r="A168" t="inlineStr">
        <is>
          <t>E6</t>
        </is>
      </c>
      <c r="B168" t="inlineStr">
        <is>
          <t>Cloud nativa</t>
        </is>
      </c>
      <c r="C168" t="inlineStr">
        <is>
          <t>AWS Cost Optimization Hub</t>
        </is>
      </c>
      <c r="D168" t="inlineStr">
        <is>
          <t>Optimizacion</t>
        </is>
      </c>
      <c r="E168" t="inlineStr">
        <is>
          <t>O1</t>
        </is>
      </c>
      <c r="F168" s="2" t="inlineStr">
        <is>
          <t>¿Detecta desperdicio, rightsizing o compromiso relevante al escenario?</t>
        </is>
      </c>
      <c r="G168" t="inlineStr">
        <is>
          <t>NE</t>
        </is>
      </c>
      <c r="H168" t="inlineStr">
        <is>
          <t>Pendiente</t>
        </is>
      </c>
      <c r="I168" s="2" t="inlineStr">
        <is>
          <t>"It makes recommendations on resource rightsizing, idle resource deletion, Savings Plans, and Reserved Instances" y permite "filtering, sorting, and grouping" para priorizar oportunidades.</t>
        </is>
      </c>
      <c r="J168" t="inlineStr">
        <is>
          <t>https://docs.aws.amazon.com/cost-management/latest/userguide/cost-optimization-hub.html</t>
        </is>
      </c>
      <c r="K168" t="inlineStr">
        <is>
          <t>2026-09-16</t>
        </is>
      </c>
      <c r="L168" s="2" t="inlineStr">
        <is>
          <t>Celda heredada FP-180 (2026-09-16): el valor 2 proviene de la investigacion del escenario E1 y no cuenta con evidencia propia de E6. Segun FP-177 el indicador O1 depende del escenario, por lo que pasa a NE (no evidenciado, reduce cobertura) hasta investigarlo. La evidencia y la fuente originales se conservan como referencia del escenario de origen.</t>
        </is>
      </c>
    </row>
    <row r="169">
      <c r="A169" t="inlineStr">
        <is>
          <t>E6</t>
        </is>
      </c>
      <c r="B169" t="inlineStr">
        <is>
          <t>Cloud nativa</t>
        </is>
      </c>
      <c r="C169" t="inlineStr">
        <is>
          <t>AWS Cost Optimization Hub</t>
        </is>
      </c>
      <c r="D169" t="inlineStr">
        <is>
          <t>Optimizacion</t>
        </is>
      </c>
      <c r="E169" t="inlineStr">
        <is>
          <t>O2</t>
        </is>
      </c>
      <c r="F169" s="2" t="inlineStr">
        <is>
          <t>¿Explica supuesto/impacto y permite seguir una recomendación?</t>
        </is>
      </c>
      <c r="G169" t="n">
        <v>2</v>
      </c>
      <c r="H169" t="inlineStr">
        <is>
          <t>Oficial</t>
        </is>
      </c>
      <c r="I169" s="2" t="inlineStr">
        <is>
          <t>"Quantify estimated savings that incorporate your AWS pricing and discounts" y "track progress to maximize your return on cloud investments", con posibilidad de fijar objetivos de ahorro.</t>
        </is>
      </c>
      <c r="J169" t="inlineStr">
        <is>
          <t>https://docs.aws.amazon.com/cost-management/latest/userguide/cost-optimization-hub.html</t>
        </is>
      </c>
      <c r="K169" t="inlineStr">
        <is>
          <t>2026-09-16</t>
        </is>
      </c>
      <c r="L169" s="2" t="inlineStr"/>
    </row>
    <row r="170">
      <c r="A170" t="inlineStr">
        <is>
          <t>E6</t>
        </is>
      </c>
      <c r="B170" t="inlineStr">
        <is>
          <t>Cloud nativa</t>
        </is>
      </c>
      <c r="C170" t="inlineStr">
        <is>
          <t>AWS Cost Optimization Hub</t>
        </is>
      </c>
      <c r="D170" t="inlineStr">
        <is>
          <t>Automatizacion</t>
        </is>
      </c>
      <c r="E170" t="inlineStr">
        <is>
          <t>AU1</t>
        </is>
      </c>
      <c r="F170" s="2" t="inlineStr">
        <is>
          <t>¿Ejecuta o bloquea acciones/políticas de costo con control verificable?</t>
        </is>
      </c>
      <c r="G170" t="inlineStr">
        <is>
          <t>NE</t>
        </is>
      </c>
      <c r="H170" t="inlineStr">
        <is>
          <t>Pendiente</t>
        </is>
      </c>
      <c r="I170" s="2" t="inlineStr">
        <is>
          <t>Cost Optimization Hub recomienda pero no ejecuta acciones; la ejecución/control automatizado corresponde a AWS Budgets (evaluado dentro de Cost Explorer en este trabajo).</t>
        </is>
      </c>
      <c r="J170" t="inlineStr">
        <is>
          <t>https://docs.aws.amazon.com/cost-management/latest/userguide/cost-optimization-hub.html</t>
        </is>
      </c>
      <c r="K170" t="inlineStr">
        <is>
          <t>2026-09-16</t>
        </is>
      </c>
      <c r="L17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AU1 depende del escenario, por lo que pasa a NE (no evidenciado, reduce cobertura) hasta investigarlo. La evidencia y la fuente originales se conservan como referencia del escenario de origen.</t>
        </is>
      </c>
    </row>
    <row r="171">
      <c r="A171" t="inlineStr">
        <is>
          <t>E6</t>
        </is>
      </c>
      <c r="B171" t="inlineStr">
        <is>
          <t>Cloud nativa</t>
        </is>
      </c>
      <c r="C171" t="inlineStr">
        <is>
          <t>AWS Cost Optimization Hub</t>
        </is>
      </c>
      <c r="D171" t="inlineStr">
        <is>
          <t>Automatizacion</t>
        </is>
      </c>
      <c r="E171" t="inlineStr">
        <is>
          <t>AU2</t>
        </is>
      </c>
      <c r="F171" s="2" t="inlineStr">
        <is>
          <t>¿Ofrece aprobación, reversión, registro o límites antes de actuar?</t>
        </is>
      </c>
      <c r="G171" t="inlineStr">
        <is>
          <t>NA</t>
        </is>
      </c>
      <c r="H171" t="inlineStr">
        <is>
          <t>Justificación de alcance</t>
        </is>
      </c>
      <c r="I171" s="2" t="inlineStr">
        <is>
          <t>Mismo alcance de diseño que AU1: no ejecuta, por lo que no aplica evaluar salvaguardas de ejecución.</t>
        </is>
      </c>
      <c r="J171" t="inlineStr">
        <is>
          <t>https://docs.aws.amazon.com/cost-management/latest/userguide/cost-optimization-hub.html</t>
        </is>
      </c>
      <c r="K171" t="inlineStr">
        <is>
          <t>2026-09-16</t>
        </is>
      </c>
      <c r="L171" s="2" t="inlineStr"/>
    </row>
    <row r="172">
      <c r="A172" t="inlineStr">
        <is>
          <t>E6</t>
        </is>
      </c>
      <c r="B172" t="inlineStr">
        <is>
          <t>Cloud nativa</t>
        </is>
      </c>
      <c r="C172" t="inlineStr">
        <is>
          <t>AWS Cost Optimization Hub</t>
        </is>
      </c>
      <c r="D172" t="inlineStr">
        <is>
          <t>Multicloud</t>
        </is>
      </c>
      <c r="E172" t="inlineStr">
        <is>
          <t>M1</t>
        </is>
      </c>
      <c r="F172" s="2" t="inlineStr">
        <is>
          <t>¿Consolida al menos dos proveedores bajo el mismo esquema declarado?</t>
        </is>
      </c>
      <c r="G172" t="n">
        <v>0</v>
      </c>
      <c r="H172" t="inlineStr">
        <is>
          <t>Oficial (ausencia verificada)</t>
        </is>
      </c>
      <c r="I172" s="2" t="inlineStr">
        <is>
          <t>Cubre exclusivamente cuentas de AWS; no está diseñada para consolidar Azure/GCP.</t>
        </is>
      </c>
      <c r="J172" t="inlineStr">
        <is>
          <t>https://docs.aws.amazon.com/cost-management/latest/userguide/cost-optimization-hub.html</t>
        </is>
      </c>
      <c r="K172" t="inlineStr">
        <is>
          <t>2026-09-16</t>
        </is>
      </c>
      <c r="L17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73">
      <c r="A173" t="inlineStr">
        <is>
          <t>E6</t>
        </is>
      </c>
      <c r="B173" t="inlineStr">
        <is>
          <t>Cloud nativa</t>
        </is>
      </c>
      <c r="C173" t="inlineStr">
        <is>
          <t>AWS Cost Optimization Hub</t>
        </is>
      </c>
      <c r="D173" t="inlineStr">
        <is>
          <t>Multicloud</t>
        </is>
      </c>
      <c r="E173" t="inlineStr">
        <is>
          <t>M2</t>
        </is>
      </c>
      <c r="F173" s="2" t="inlineStr">
        <is>
          <t>¿Hace visibles proveedor, cobertura y diferencias semánticas?</t>
        </is>
      </c>
      <c r="G173" t="n">
        <v>0</v>
      </c>
      <c r="H173" t="inlineStr">
        <is>
          <t>Oficial (ausencia verificada)</t>
        </is>
      </c>
      <c r="I173" s="2" t="inlineStr">
        <is>
          <t>Mismo alcance de diseño que M1.</t>
        </is>
      </c>
      <c r="J173" t="inlineStr">
        <is>
          <t>https://docs.aws.amazon.com/cost-management/latest/userguide/cost-optimization-hub.html</t>
        </is>
      </c>
      <c r="K173" t="inlineStr">
        <is>
          <t>2026-09-16</t>
        </is>
      </c>
      <c r="L17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74">
      <c r="A174" t="inlineStr">
        <is>
          <t>E6</t>
        </is>
      </c>
      <c r="B174" t="inlineStr">
        <is>
          <t>Cloud nativa</t>
        </is>
      </c>
      <c r="C174" t="inlineStr">
        <is>
          <t>AWS Cost Optimization Hub</t>
        </is>
      </c>
      <c r="D174" t="inlineStr">
        <is>
          <t>Integracion</t>
        </is>
      </c>
      <c r="E174" t="inlineStr">
        <is>
          <t>I1</t>
        </is>
      </c>
      <c r="F174" s="2" t="inlineStr">
        <is>
          <t>¿Integra datos requeridos (facturación, uso, clúster o IaC) del escenario?</t>
        </is>
      </c>
      <c r="G174" t="inlineStr">
        <is>
          <t>NE</t>
        </is>
      </c>
      <c r="H174" t="inlineStr">
        <is>
          <t>Pendiente</t>
        </is>
      </c>
      <c r="I174" s="2" t="inlineStr">
        <is>
          <t>Consolida datos de recomendaciones desde los servicios soportados de AWS (EC2, RDS, Auto Scaling, etc.) y "accounts for your specific commercial terms with AWS, such as Reserved Instances and Savings Plans".</t>
        </is>
      </c>
      <c r="J174" t="inlineStr">
        <is>
          <t>https://docs.aws.amazon.com/cost-management/latest/userguide/cost-optimization-hub.html</t>
        </is>
      </c>
      <c r="K174" t="inlineStr">
        <is>
          <t>2026-09-16</t>
        </is>
      </c>
      <c r="L174" s="2" t="inlineStr">
        <is>
          <t>Celda heredada FP-180 (2026-09-16): el valor 2 proviene de la investigacion del escenario E1 y no cuenta con evidencia propia de E6. Segun FP-177 el indicador I1 depende del escenario, por lo que pasa a NE (no evidenciado, reduce cobertura) hasta investigarlo. La evidencia y la fuente originales se conservan como referencia del escenario de origen.</t>
        </is>
      </c>
    </row>
    <row r="175">
      <c r="A175" t="inlineStr">
        <is>
          <t>E6</t>
        </is>
      </c>
      <c r="B175" t="inlineStr">
        <is>
          <t>Cloud nativa</t>
        </is>
      </c>
      <c r="C175" t="inlineStr">
        <is>
          <t>AWS Cost Optimization Hub</t>
        </is>
      </c>
      <c r="D175" t="inlineStr">
        <is>
          <t>Integracion</t>
        </is>
      </c>
      <c r="E175" t="inlineStr">
        <is>
          <t>I2</t>
        </is>
      </c>
      <c r="F175" s="2" t="inlineStr">
        <is>
          <t>¿Se integra con el flujo de trabajo relevante (alerta, ticket, CI/CD o reporte)?</t>
        </is>
      </c>
      <c r="G175" t="inlineStr">
        <is>
          <t>NE</t>
        </is>
      </c>
      <c r="H175" t="inlineStr">
        <is>
          <t>Pendiente</t>
        </is>
      </c>
      <c r="I175" s="2" t="inlineStr">
        <is>
          <t>Las recomendaciones se reportan también en las consolas de los servicios soportados (p. ej., consola de Amazon EC2), integrándose al flujo operativo del equipo.</t>
        </is>
      </c>
      <c r="J175" t="inlineStr">
        <is>
          <t>https://docs.aws.amazon.com/cost-management/latest/userguide/cost-optimization-hub.html</t>
        </is>
      </c>
      <c r="K175" t="inlineStr">
        <is>
          <t>2026-09-16</t>
        </is>
      </c>
      <c r="L175" s="2" t="inlineStr">
        <is>
          <t>Celda heredada FP-180 (2026-09-16): el valor 2 proviene de la investigacion del escenario E1 y no cuenta con evidencia propia de E6. Segun FP-177 el indicador I2 depende del escenario, por lo que pasa a NE (no evidenciado, reduce cobertura) hasta investigarlo. La evidencia y la fuente originales se conservan como referencia del escenario de origen.</t>
        </is>
      </c>
    </row>
    <row r="176">
      <c r="A176" t="inlineStr">
        <is>
          <t>E6</t>
        </is>
      </c>
      <c r="B176" t="inlineStr">
        <is>
          <t>Cloud nativa</t>
        </is>
      </c>
      <c r="C176" t="inlineStr">
        <is>
          <t>AWS Cost Optimization Hub</t>
        </is>
      </c>
      <c r="D176" t="inlineStr">
        <is>
          <t>Adopcion</t>
        </is>
      </c>
      <c r="E176" t="inlineStr">
        <is>
          <t>AD1</t>
        </is>
      </c>
      <c r="F176" s="2" t="inlineStr">
        <is>
          <t>¿Soporta acceso/entrega para los roles del escenario?</t>
        </is>
      </c>
      <c r="G176" t="inlineStr">
        <is>
          <t>NE</t>
        </is>
      </c>
      <c r="H176" t="inlineStr">
        <is>
          <t>Pendiente</t>
        </is>
      </c>
      <c r="I176" s="2" t="inlineStr">
        <is>
          <t>El acceso se controla mediante IAM, igual que el resto de la consola de AWS Billing and Cost Management.</t>
        </is>
      </c>
      <c r="J176" t="inlineStr">
        <is>
          <t>https://docs.aws.amazon.com/cost-management/latest/userguide/cost-optimization-hub.html</t>
        </is>
      </c>
      <c r="K176" t="inlineStr">
        <is>
          <t>2026-09-16</t>
        </is>
      </c>
      <c r="L176" s="2" t="inlineStr">
        <is>
          <t>Celda heredada FP-180 (2026-09-16): el valor 2 proviene de la investigacion del escenario E1 y no cuenta con evidencia propia de E6. Segun FP-177 el indicador AD1 depende del escenario, por lo que pasa a NE (no evidenciado, reduce cobertura) hasta investigarlo. La evidencia y la fuente originales se conservan como referencia del escenario de origen.</t>
        </is>
      </c>
    </row>
    <row r="177">
      <c r="A177" t="inlineStr">
        <is>
          <t>E6</t>
        </is>
      </c>
      <c r="B177" t="inlineStr">
        <is>
          <t>Cloud nativa</t>
        </is>
      </c>
      <c r="C177" t="inlineStr">
        <is>
          <t>AWS Cost Optimization Hub</t>
        </is>
      </c>
      <c r="D177" t="inlineStr">
        <is>
          <t>Adopcion</t>
        </is>
      </c>
      <c r="E177" t="inlineStr">
        <is>
          <t>AD2</t>
        </is>
      </c>
      <c r="F177" s="2" t="inlineStr">
        <is>
          <t>¿Ofrece guías, ownership o mecanismos de seguimiento para uso sostenido?</t>
        </is>
      </c>
      <c r="G177" t="inlineStr">
        <is>
          <t>NE</t>
        </is>
      </c>
      <c r="H177" t="inlineStr">
        <is>
          <t>Pendiente</t>
        </is>
      </c>
      <c r="I177" s="2" t="inlineStr">
        <is>
          <t>No se identificó una guía de gobernanza/adopción propia y separada de la de Cost Explorer para esta función específica (simplificación de alcance registrada).</t>
        </is>
      </c>
      <c r="J177" t="inlineStr">
        <is>
          <t>https://docs.aws.amazon.com/cost-management/latest/userguide/cost-optimization-hub.html</t>
        </is>
      </c>
      <c r="K177" t="inlineStr">
        <is>
          <t>2026-09-16</t>
        </is>
      </c>
      <c r="L177"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78">
      <c r="A178" t="inlineStr">
        <is>
          <t>E6</t>
        </is>
      </c>
      <c r="B178" t="inlineStr">
        <is>
          <t>Cloud nativa</t>
        </is>
      </c>
      <c r="C178" t="inlineStr">
        <is>
          <t>AWS Cost Optimization Hub</t>
        </is>
      </c>
      <c r="D178" t="inlineStr">
        <is>
          <t>Precio</t>
        </is>
      </c>
      <c r="E178" t="inlineStr">
        <is>
          <t>P1</t>
        </is>
      </c>
      <c r="F178" s="2" t="inlineStr">
        <is>
          <t>¿Expone precio, moneda, región, unidad, período y supuestos relevantes?</t>
        </is>
      </c>
      <c r="G178" t="n">
        <v>0</v>
      </c>
      <c r="H178" t="inlineStr">
        <is>
          <t>Oficial (ausencia verificada)</t>
        </is>
      </c>
      <c r="I178" s="2" t="inlineStr">
        <is>
          <t>No expone precio/moneda/región de forma general; sus cifras son de ahorro estimado sobre recomendaciones puntuales, no transparencia de precio del servicio.</t>
        </is>
      </c>
      <c r="J178" t="inlineStr">
        <is>
          <t>https://docs.aws.amazon.com/cost-management/latest/userguide/cost-optimization-hub.html</t>
        </is>
      </c>
      <c r="K178" t="inlineStr">
        <is>
          <t>2026-09-16</t>
        </is>
      </c>
      <c r="L17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79">
      <c r="A179" t="inlineStr">
        <is>
          <t>E6</t>
        </is>
      </c>
      <c r="B179" t="inlineStr">
        <is>
          <t>Cloud nativa</t>
        </is>
      </c>
      <c r="C179" t="inlineStr">
        <is>
          <t>AWS Cost Optimization Hub</t>
        </is>
      </c>
      <c r="D179" t="inlineStr">
        <is>
          <t>Precio</t>
        </is>
      </c>
      <c r="E179" t="inlineStr">
        <is>
          <t>P2</t>
        </is>
      </c>
      <c r="F179" s="2" t="inlineStr">
        <is>
          <t>¿Permite estimar o comparar componentes sin ocultar límites de equivalencia?</t>
        </is>
      </c>
      <c r="G179" t="inlineStr">
        <is>
          <t>NE</t>
        </is>
      </c>
      <c r="H179" t="inlineStr">
        <is>
          <t>Pendiente</t>
        </is>
      </c>
      <c r="I179" s="2" t="inlineStr">
        <is>
          <t>No es una herramienta de comparación/estimación de precio contextual (esa función es de AWS Pricing Calculator, evaluada aparte).</t>
        </is>
      </c>
      <c r="J179" t="inlineStr">
        <is>
          <t>https://docs.aws.amazon.com/cost-management/latest/userguide/cost-optimization-hub.html</t>
        </is>
      </c>
      <c r="K179" t="inlineStr">
        <is>
          <t>2026-09-16</t>
        </is>
      </c>
      <c r="L17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P2 depende del escenario, por lo que pasa a NE (no evidenciado, reduce cobertura) hasta investigarlo. La evidencia y la fuente originales se conservan como referencia del escenario de origen.</t>
        </is>
      </c>
    </row>
    <row r="180">
      <c r="A180" t="inlineStr">
        <is>
          <t>E6</t>
        </is>
      </c>
      <c r="B180" t="inlineStr">
        <is>
          <t>Cloud nativa</t>
        </is>
      </c>
      <c r="C180" t="inlineStr">
        <is>
          <t>AWS Cost Optimization Hub</t>
        </is>
      </c>
      <c r="D180" t="inlineStr">
        <is>
          <t>Dependencia</t>
        </is>
      </c>
      <c r="E180" t="inlineStr">
        <is>
          <t>D1</t>
        </is>
      </c>
      <c r="F180" s="2" t="inlineStr">
        <is>
          <t>¿Exporta datos/resultados en formato utilizable y documentado?</t>
        </is>
      </c>
      <c r="G180" t="inlineStr">
        <is>
          <t>NE</t>
        </is>
      </c>
      <c r="H180" t="inlineStr">
        <is>
          <t>Pendiente</t>
        </is>
      </c>
      <c r="I180" s="2" t="inlineStr">
        <is>
          <t>No es la fuente primaria de exportación de datos de costo/uso (esa función es del CUR, evaluada dentro de Cost Explorer); simplificación de alcance para evitar doble conteo.</t>
        </is>
      </c>
      <c r="J180" t="inlineStr">
        <is>
          <t>https://docs.aws.amazon.com/cost-management/latest/userguide/cost-optimization-hub.html</t>
        </is>
      </c>
      <c r="K180" t="inlineStr">
        <is>
          <t>2026-09-16</t>
        </is>
      </c>
      <c r="L180"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81">
      <c r="A181" t="inlineStr">
        <is>
          <t>E6</t>
        </is>
      </c>
      <c r="B181" t="inlineStr">
        <is>
          <t>Cloud nativa</t>
        </is>
      </c>
      <c r="C181" t="inlineStr">
        <is>
          <t>AWS Cost Optimization Hub</t>
        </is>
      </c>
      <c r="D181" t="inlineStr">
        <is>
          <t>Dependencia</t>
        </is>
      </c>
      <c r="E181" t="inlineStr">
        <is>
          <t>D2</t>
        </is>
      </c>
      <c r="F181" s="2" t="inlineStr">
        <is>
          <t>¿Documenta dependencias propietarias y un camino de salida/configuración reversible?</t>
        </is>
      </c>
      <c r="G181" t="inlineStr">
        <is>
          <t>NE</t>
        </is>
      </c>
      <c r="H181" t="inlineStr">
        <is>
          <t>Pendiente</t>
        </is>
      </c>
      <c r="I181" s="2" t="inlineStr">
        <is>
          <t>Mismo alcance de diseño que D1.</t>
        </is>
      </c>
      <c r="J181" t="inlineStr">
        <is>
          <t>https://docs.aws.amazon.com/cost-management/latest/userguide/cost-optimization-hub.html</t>
        </is>
      </c>
      <c r="K181" t="inlineStr">
        <is>
          <t>2026-09-16</t>
        </is>
      </c>
      <c r="L181"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182">
      <c r="A182" t="inlineStr">
        <is>
          <t>E1</t>
        </is>
      </c>
      <c r="B182" t="inlineStr">
        <is>
          <t>Cloud nativa</t>
        </is>
      </c>
      <c r="C182" t="inlineStr">
        <is>
          <t>Azure Cost Management</t>
        </is>
      </c>
      <c r="D182" t="inlineStr">
        <is>
          <t>Visibilidad</t>
        </is>
      </c>
      <c r="E182" t="inlineStr">
        <is>
          <t>V1</t>
        </is>
      </c>
      <c r="F182" s="2" t="inlineStr">
        <is>
          <t>¿Desagrega costo y uso por cuenta/proyecto, servicio y período?</t>
        </is>
      </c>
      <c r="G182" t="n">
        <v>2</v>
      </c>
      <c r="H182" t="inlineStr">
        <is>
          <t>Oficial</t>
        </is>
      </c>
      <c r="I182" s="2" t="inlineStr">
        <is>
          <t>Cost analysis permite desglosar y filtrar por suscripción, grupo de recursos, servicio, etiqueta y periodo ("Common cost analysis uses"); en AKS ofrece además vistas de Kubernetes namespaces y assets con desglose de idle/service/system/unallocated charges.</t>
        </is>
      </c>
      <c r="J182" t="inlineStr">
        <is>
          <t>https://learn.microsoft.com/en-us/azure/cost-management-billing/costs/cost-analysis-common-uses</t>
        </is>
      </c>
      <c r="K182" t="inlineStr">
        <is>
          <t>2026-09-16</t>
        </is>
      </c>
      <c r="L182" s="2" t="inlineStr"/>
    </row>
    <row r="183">
      <c r="A183" t="inlineStr">
        <is>
          <t>E1</t>
        </is>
      </c>
      <c r="B183" t="inlineStr">
        <is>
          <t>Cloud nativa</t>
        </is>
      </c>
      <c r="C183" t="inlineStr">
        <is>
          <t>Azure Cost Management</t>
        </is>
      </c>
      <c r="D183" t="inlineStr">
        <is>
          <t>Visibilidad</t>
        </is>
      </c>
      <c r="E183" t="inlineStr">
        <is>
          <t>V2</t>
        </is>
      </c>
      <c r="F183" s="2" t="inlineStr">
        <is>
          <t>¿Permite rastrear un total hasta registros o fuente de facturación?</t>
        </is>
      </c>
      <c r="G183" t="n">
        <v>2</v>
      </c>
      <c r="H183" t="inlineStr">
        <is>
          <t>Oficial</t>
        </is>
      </c>
      <c r="I183" s="2" t="inlineStr">
        <is>
          <t>Los exports de Cost Management (incluido el esquema FOCUS) reconcilian con la factura: "Usage data is reconciled with your Azure invoice data".</t>
        </is>
      </c>
      <c r="J183" t="inlineStr">
        <is>
          <t>https://learn.microsoft.com/en-us/azure/aks/cost-analysis</t>
        </is>
      </c>
      <c r="K183" t="inlineStr">
        <is>
          <t>2026-09-16</t>
        </is>
      </c>
      <c r="L183" s="2" t="inlineStr"/>
    </row>
    <row r="184">
      <c r="A184" t="inlineStr">
        <is>
          <t>E1</t>
        </is>
      </c>
      <c r="B184" t="inlineStr">
        <is>
          <t>Cloud nativa</t>
        </is>
      </c>
      <c r="C184" t="inlineStr">
        <is>
          <t>Azure Cost Management</t>
        </is>
      </c>
      <c r="D184" t="inlineStr">
        <is>
          <t>Asignacion</t>
        </is>
      </c>
      <c r="E184" t="inlineStr">
        <is>
          <t>A1</t>
        </is>
      </c>
      <c r="F184" s="2" t="inlineStr">
        <is>
          <t>¿Calcula gasto asignado/no asignado por responsable, centro o entidad?</t>
        </is>
      </c>
      <c r="G184" t="n">
        <v>2</v>
      </c>
      <c r="H184" t="inlineStr">
        <is>
          <t>Oficial</t>
        </is>
      </c>
      <c r="I184" s="2" t="inlineStr">
        <is>
          <t>Cost allocation rules reasignan costos de servicios compartidos entre suscripciones/grupos de recursos/etiquetas; en AKS se expone explícitamente una categoria de "Unallocated charges" (costo no asignable a namespaces).</t>
        </is>
      </c>
      <c r="J184" t="inlineStr">
        <is>
          <t>https://learn.microsoft.com/en-us/azure/cost-management-billing/costs/allocate-costs</t>
        </is>
      </c>
      <c r="K184" t="inlineStr">
        <is>
          <t>2026-09-16</t>
        </is>
      </c>
      <c r="L184" s="2" t="inlineStr"/>
    </row>
    <row r="185">
      <c r="A185" t="inlineStr">
        <is>
          <t>E1</t>
        </is>
      </c>
      <c r="B185" t="inlineStr">
        <is>
          <t>Cloud nativa</t>
        </is>
      </c>
      <c r="C185" t="inlineStr">
        <is>
          <t>Azure Cost Management</t>
        </is>
      </c>
      <c r="D185" t="inlineStr">
        <is>
          <t>Asignacion</t>
        </is>
      </c>
      <c r="E185" t="inlineStr">
        <is>
          <t>A2</t>
        </is>
      </c>
      <c r="F185" s="2" t="inlineStr">
        <is>
          <t>¿Explicita y aplica reglas para costo compartido/multi-tenant?</t>
        </is>
      </c>
      <c r="G185" t="n">
        <v>2</v>
      </c>
      <c r="H185" t="inlineStr">
        <is>
          <t>Oficial</t>
        </is>
      </c>
      <c r="I185" s="2" t="inlineStr">
        <is>
          <t>Las cost allocation rules ofrecen varios metodos de reparto (Distribute evenly, Total/Compute/Storage/Network cost, Custom) con porcentajes explicitos que "don't change" salvo edicion manual de la regla, y se procesan "in the order in which they get created".</t>
        </is>
      </c>
      <c r="J185" t="inlineStr">
        <is>
          <t>https://learn.microsoft.com/en-us/azure/cost-management-billing/costs/allocate-costs</t>
        </is>
      </c>
      <c r="K185" t="inlineStr">
        <is>
          <t>2026-09-16</t>
        </is>
      </c>
      <c r="L185" s="2" t="inlineStr"/>
    </row>
    <row r="186">
      <c r="A186" t="inlineStr">
        <is>
          <t>E1</t>
        </is>
      </c>
      <c r="B186" t="inlineStr">
        <is>
          <t>Cloud nativa</t>
        </is>
      </c>
      <c r="C186" t="inlineStr">
        <is>
          <t>Azure Cost Management</t>
        </is>
      </c>
      <c r="D186" t="inlineStr">
        <is>
          <t>Optimizacion</t>
        </is>
      </c>
      <c r="E186" t="inlineStr">
        <is>
          <t>O1</t>
        </is>
      </c>
      <c r="F186" s="2" t="inlineStr">
        <is>
          <t>¿Detecta desperdicio, rightsizing o compromiso relevante al escenario?</t>
        </is>
      </c>
      <c r="G186" t="n">
        <v>2</v>
      </c>
      <c r="H186" t="inlineStr">
        <is>
          <t>Oficial</t>
        </is>
      </c>
      <c r="I186" s="2" t="inlineStr">
        <is>
          <t>Azure Advisor genera recomendaciones de rightsizing/apagado de recursos inactivos y reservas en múltiples servicios (VM, App Service, MySQL, Cosmos DB, Data Explorer), con métodos de cálculo de ahorro documentados por servicio.</t>
        </is>
      </c>
      <c r="J186" t="inlineStr">
        <is>
          <t>https://learn.microsoft.com/en-us/azure/advisor/advisor-reference-cost-recommendations</t>
        </is>
      </c>
      <c r="K186" t="inlineStr">
        <is>
          <t>2026-09-16</t>
        </is>
      </c>
      <c r="L186" s="2" t="inlineStr"/>
    </row>
    <row r="187">
      <c r="A187" t="inlineStr">
        <is>
          <t>E1</t>
        </is>
      </c>
      <c r="B187" t="inlineStr">
        <is>
          <t>Cloud nativa</t>
        </is>
      </c>
      <c r="C187" t="inlineStr">
        <is>
          <t>Azure Cost Management</t>
        </is>
      </c>
      <c r="D187" t="inlineStr">
        <is>
          <t>Optimizacion</t>
        </is>
      </c>
      <c r="E187" t="inlineStr">
        <is>
          <t>O2</t>
        </is>
      </c>
      <c r="F187" s="2" t="inlineStr">
        <is>
          <t>¿Explica supuesto/impacto y permite seguir una recomendación?</t>
        </is>
      </c>
      <c r="G187" t="n">
        <v>1</v>
      </c>
      <c r="H187" t="inlineStr">
        <is>
          <t>Oficial</t>
        </is>
      </c>
      <c r="I187" s="2" t="inlineStr">
        <is>
          <t>Advisor explica el impacto y metodologia de ahorro por recomendacion, pero la documentacion revisada no describe un sistema de seguimiento de estado integrado ("no detalla como hacer seguimiento del estado especifico de cada recomendacion").</t>
        </is>
      </c>
      <c r="J187" t="inlineStr">
        <is>
          <t>https://learn.microsoft.com/en-us/azure/advisor/advisor-reference-cost-recommendations</t>
        </is>
      </c>
      <c r="K187" t="inlineStr">
        <is>
          <t>2026-09-16</t>
        </is>
      </c>
      <c r="L187" s="2" t="inlineStr"/>
    </row>
    <row r="188">
      <c r="A188" t="inlineStr">
        <is>
          <t>E1</t>
        </is>
      </c>
      <c r="B188" t="inlineStr">
        <is>
          <t>Cloud nativa</t>
        </is>
      </c>
      <c r="C188" t="inlineStr">
        <is>
          <t>Azure Cost Management</t>
        </is>
      </c>
      <c r="D188" t="inlineStr">
        <is>
          <t>Automatizacion</t>
        </is>
      </c>
      <c r="E188" t="inlineStr">
        <is>
          <t>AU1</t>
        </is>
      </c>
      <c r="F188" s="2" t="inlineStr">
        <is>
          <t>¿Ejecuta o bloquea acciones/políticas de costo con control verificable?</t>
        </is>
      </c>
      <c r="G188" t="n">
        <v>2</v>
      </c>
      <c r="H188" t="inlineStr">
        <is>
          <t>Oficial</t>
        </is>
      </c>
      <c r="I188" s="2" t="inlineStr">
        <is>
          <t>Los budgets disparan Action Groups que ejecutan Automation Runbooks/Logic Apps/webhooks automáticamente al superar un umbral; el escenario oficial detiene VMs automáticamente al 80% y 100% del presupuesto, sin paso de aprobación incorporado.</t>
        </is>
      </c>
      <c r="J188" t="inlineStr">
        <is>
          <t>https://learn.microsoft.com/en-us/azure/cost-management-billing/manage/cost-management-budget-scenario</t>
        </is>
      </c>
      <c r="K188" t="inlineStr">
        <is>
          <t>2026-09-16</t>
        </is>
      </c>
      <c r="L188" s="2" t="inlineStr"/>
    </row>
    <row r="189">
      <c r="A189" t="inlineStr">
        <is>
          <t>E1</t>
        </is>
      </c>
      <c r="B189" t="inlineStr">
        <is>
          <t>Cloud nativa</t>
        </is>
      </c>
      <c r="C189" t="inlineStr">
        <is>
          <t>Azure Cost Management</t>
        </is>
      </c>
      <c r="D189" t="inlineStr">
        <is>
          <t>Automatizacion</t>
        </is>
      </c>
      <c r="E189" t="inlineStr">
        <is>
          <t>AU2</t>
        </is>
      </c>
      <c r="F189" s="2" t="inlineStr">
        <is>
          <t>¿Ofrece aprobación, reversión, registro o límites antes de actuar?</t>
        </is>
      </c>
      <c r="G189" t="n">
        <v>1</v>
      </c>
      <c r="H189" t="inlineStr">
        <is>
          <t>Oficial</t>
        </is>
      </c>
      <c r="I189" s="2" t="inlineStr">
        <is>
          <t>La documentación no describe un paso de aprobación manual nativo antes de ejecutar la acción, ni detalla registro de auditoría o reversión; requeriría construir esa salvaguarda dentro del Logic App/Runbook.</t>
        </is>
      </c>
      <c r="J189" t="inlineStr">
        <is>
          <t>https://learn.microsoft.com/en-us/azure/cost-management-billing/manage/cost-management-budget-scenario</t>
        </is>
      </c>
      <c r="K189" t="inlineStr">
        <is>
          <t>2026-09-16</t>
        </is>
      </c>
      <c r="L189" s="2" t="inlineStr"/>
    </row>
    <row r="190">
      <c r="A190" t="inlineStr">
        <is>
          <t>E1</t>
        </is>
      </c>
      <c r="B190" t="inlineStr">
        <is>
          <t>Cloud nativa</t>
        </is>
      </c>
      <c r="C190" t="inlineStr">
        <is>
          <t>Azure Cost Management</t>
        </is>
      </c>
      <c r="D190" t="inlineStr">
        <is>
          <t>Multicloud</t>
        </is>
      </c>
      <c r="E190" t="inlineStr">
        <is>
          <t>M1</t>
        </is>
      </c>
      <c r="F190" s="2" t="inlineStr">
        <is>
          <t>¿Consolida al menos dos proveedores bajo el mismo esquema declarado?</t>
        </is>
      </c>
      <c r="G190" t="n">
        <v>0</v>
      </c>
      <c r="H190" t="inlineStr">
        <is>
          <t>Oficial</t>
        </is>
      </c>
      <c r="I190" s="2" t="inlineStr">
        <is>
          <t>Cost Management cubre exclusivamente cuentas y suscripciones de Azure; no ingiere ni consolida datos de AWS/GCP dentro de la misma consola.</t>
        </is>
      </c>
      <c r="J190" t="inlineStr">
        <is>
          <t>https://learn.microsoft.com/en-us/azure/cost-management-billing/dataset-schema/cost-usage-details-focus</t>
        </is>
      </c>
      <c r="K190" t="inlineStr">
        <is>
          <t>2026-09-16</t>
        </is>
      </c>
      <c r="L190" s="2" t="inlineStr"/>
    </row>
    <row r="191">
      <c r="A191" t="inlineStr">
        <is>
          <t>E1</t>
        </is>
      </c>
      <c r="B191" t="inlineStr">
        <is>
          <t>Cloud nativa</t>
        </is>
      </c>
      <c r="C191" t="inlineStr">
        <is>
          <t>Azure Cost Management</t>
        </is>
      </c>
      <c r="D191" t="inlineStr">
        <is>
          <t>Multicloud</t>
        </is>
      </c>
      <c r="E191" t="inlineStr">
        <is>
          <t>M2</t>
        </is>
      </c>
      <c r="F191" s="2" t="inlineStr">
        <is>
          <t>¿Hace visibles proveedor, cobertura y diferencias semánticas?</t>
        </is>
      </c>
      <c r="G191" t="n">
        <v>0</v>
      </c>
      <c r="H191" t="inlineStr">
        <is>
          <t>Oficial</t>
        </is>
      </c>
      <c r="I191" s="2" t="inlineStr">
        <is>
          <t>Al no consolidar otros proveedores, no expone diferencias de cobertura o semántica entre nubes.</t>
        </is>
      </c>
      <c r="J191" t="inlineStr">
        <is>
          <t>https://learn.microsoft.com/en-us/azure/cost-management-billing/dataset-schema/cost-usage-details-focus</t>
        </is>
      </c>
      <c r="K191" t="inlineStr">
        <is>
          <t>2026-09-16</t>
        </is>
      </c>
      <c r="L191" s="2" t="inlineStr"/>
    </row>
    <row r="192">
      <c r="A192" t="inlineStr">
        <is>
          <t>E1</t>
        </is>
      </c>
      <c r="B192" t="inlineStr">
        <is>
          <t>Cloud nativa</t>
        </is>
      </c>
      <c r="C192" t="inlineStr">
        <is>
          <t>Azure Cost Management</t>
        </is>
      </c>
      <c r="D192" t="inlineStr">
        <is>
          <t>Integracion</t>
        </is>
      </c>
      <c r="E192" t="inlineStr">
        <is>
          <t>I1</t>
        </is>
      </c>
      <c r="F192" s="2" t="inlineStr">
        <is>
          <t>¿Integra datos requeridos (facturación, uso, clúster o IaC) del escenario?</t>
        </is>
      </c>
      <c r="G192" t="n">
        <v>2</v>
      </c>
      <c r="H192" t="inlineStr">
        <is>
          <t>Oficial</t>
        </is>
      </c>
      <c r="I192" s="2" t="inlineStr">
        <is>
          <t>Los exports automatizan la ingesta de datos de costo/uso; para AKS, Cost Analysis integra métricas de clúster a nivel de namespace de forma nativa ("detailed cost allocation scoped to Kubernetes constructs, such as clusters and namespaces"), sin requerir un add-on de terceros.</t>
        </is>
      </c>
      <c r="J192" t="inlineStr">
        <is>
          <t>https://learn.microsoft.com/en-us/azure/aks/cost-analysis</t>
        </is>
      </c>
      <c r="K192" t="inlineStr">
        <is>
          <t>2026-09-16</t>
        </is>
      </c>
      <c r="L192" s="2" t="inlineStr"/>
    </row>
    <row r="193">
      <c r="A193" t="inlineStr">
        <is>
          <t>E1</t>
        </is>
      </c>
      <c r="B193" t="inlineStr">
        <is>
          <t>Cloud nativa</t>
        </is>
      </c>
      <c r="C193" t="inlineStr">
        <is>
          <t>Azure Cost Management</t>
        </is>
      </c>
      <c r="D193" t="inlineStr">
        <is>
          <t>Integracion</t>
        </is>
      </c>
      <c r="E193" t="inlineStr">
        <is>
          <t>I2</t>
        </is>
      </c>
      <c r="F193" s="2" t="inlineStr">
        <is>
          <t>¿Se integra con el flujo de trabajo relevante (alerta, ticket, CI/CD o reporte)?</t>
        </is>
      </c>
      <c r="G193" t="n">
        <v>2</v>
      </c>
      <c r="H193" t="inlineStr">
        <is>
          <t>Oficial</t>
        </is>
      </c>
      <c r="I193" s="2" t="inlineStr">
        <is>
          <t>Los Action Groups integran budgets con notificaciones, webhooks y Logic Apps, incorporando el evento de costo a un flujo operativo.</t>
        </is>
      </c>
      <c r="J193" t="inlineStr">
        <is>
          <t>https://learn.microsoft.com/en-us/azure/cost-management-billing/manage/cost-management-budget-scenario</t>
        </is>
      </c>
      <c r="K193" t="inlineStr">
        <is>
          <t>2026-09-16</t>
        </is>
      </c>
      <c r="L193" s="2" t="inlineStr"/>
    </row>
    <row r="194">
      <c r="A194" t="inlineStr">
        <is>
          <t>E1</t>
        </is>
      </c>
      <c r="B194" t="inlineStr">
        <is>
          <t>Cloud nativa</t>
        </is>
      </c>
      <c r="C194" t="inlineStr">
        <is>
          <t>Azure Cost Management</t>
        </is>
      </c>
      <c r="D194" t="inlineStr">
        <is>
          <t>Adopcion</t>
        </is>
      </c>
      <c r="E194" t="inlineStr">
        <is>
          <t>AD1</t>
        </is>
      </c>
      <c r="F194" s="2" t="inlineStr">
        <is>
          <t>¿Soporta acceso/entrega para los roles del escenario?</t>
        </is>
      </c>
      <c r="G194" t="n">
        <v>2</v>
      </c>
      <c r="H194" t="inlineStr">
        <is>
          <t>Oficial</t>
        </is>
      </c>
      <c r="I194" s="2" t="inlineStr">
        <is>
          <t>El acceso a los datos de Cost Management se controla con roles RBAC ("Cost Management Reader"/"Contributor") acotados por scope (grupo de gestion, suscripcion, grupo de recursos).</t>
        </is>
      </c>
      <c r="J194" t="inlineStr">
        <is>
          <t>https://learn.microsoft.com/en-us/azure/cost-management-billing/costs/assign-access-acm-data</t>
        </is>
      </c>
      <c r="K194" t="inlineStr">
        <is>
          <t>2026-09-16</t>
        </is>
      </c>
      <c r="L194" s="2" t="inlineStr"/>
    </row>
    <row r="195">
      <c r="A195" t="inlineStr">
        <is>
          <t>E1</t>
        </is>
      </c>
      <c r="B195" t="inlineStr">
        <is>
          <t>Cloud nativa</t>
        </is>
      </c>
      <c r="C195" t="inlineStr">
        <is>
          <t>Azure Cost Management</t>
        </is>
      </c>
      <c r="D195" t="inlineStr">
        <is>
          <t>Adopcion</t>
        </is>
      </c>
      <c r="E195" t="inlineStr">
        <is>
          <t>AD2</t>
        </is>
      </c>
      <c r="F195" s="2" t="inlineStr">
        <is>
          <t>¿Ofrece guías, ownership o mecanismos de seguimiento para uso sostenido?</t>
        </is>
      </c>
      <c r="G195" t="n">
        <v>2</v>
      </c>
      <c r="H195" t="inlineStr">
        <is>
          <t>Oficial</t>
        </is>
      </c>
      <c r="I195" s="2" t="inlineStr">
        <is>
          <t>Microsoft mantiene guias oficiales de adopcion y un blog dedicado de FinOps ("FinOps Blog") con practicas de gestion de costo.</t>
        </is>
      </c>
      <c r="J195" t="inlineStr">
        <is>
          <t>https://techcommunity.microsoft.com/blog/finopsblog/generally-available-enhanced-cost-management-exports/4407748</t>
        </is>
      </c>
      <c r="K195" t="inlineStr">
        <is>
          <t>2026-09-16</t>
        </is>
      </c>
      <c r="L195" s="2" t="inlineStr"/>
    </row>
    <row r="196">
      <c r="A196" t="inlineStr">
        <is>
          <t>E1</t>
        </is>
      </c>
      <c r="B196" t="inlineStr">
        <is>
          <t>Cloud nativa</t>
        </is>
      </c>
      <c r="C196" t="inlineStr">
        <is>
          <t>Azure Cost Management</t>
        </is>
      </c>
      <c r="D196" t="inlineStr">
        <is>
          <t>Precio</t>
        </is>
      </c>
      <c r="E196" t="inlineStr">
        <is>
          <t>P1</t>
        </is>
      </c>
      <c r="F196" s="2" t="inlineStr">
        <is>
          <t>¿Expone precio, moneda, región, unidad, período y supuestos relevantes?</t>
        </is>
      </c>
      <c r="G196" t="n">
        <v>2</v>
      </c>
      <c r="H196" t="inlineStr">
        <is>
          <t>Oficial</t>
        </is>
      </c>
      <c r="I196" s="2" t="inlineStr">
        <is>
          <t>Los exports en esquema FOCUS exponen columnas estandarizadas (BilledCost, EffectiveCost, ListCost, PricingQuantity) con moneda, periodo y servicio.</t>
        </is>
      </c>
      <c r="J196" t="inlineStr">
        <is>
          <t>https://learn.microsoft.com/en-us/azure/cost-management-billing/dataset-schema/cost-usage-details-focus</t>
        </is>
      </c>
      <c r="K196" t="inlineStr">
        <is>
          <t>2026-09-16</t>
        </is>
      </c>
      <c r="L196" s="2" t="inlineStr"/>
    </row>
    <row r="197">
      <c r="A197" t="inlineStr">
        <is>
          <t>E1</t>
        </is>
      </c>
      <c r="B197" t="inlineStr">
        <is>
          <t>Cloud nativa</t>
        </is>
      </c>
      <c r="C197" t="inlineStr">
        <is>
          <t>Azure Cost Management</t>
        </is>
      </c>
      <c r="D197" t="inlineStr">
        <is>
          <t>Precio</t>
        </is>
      </c>
      <c r="E197" t="inlineStr">
        <is>
          <t>P2</t>
        </is>
      </c>
      <c r="F197" s="2" t="inlineStr">
        <is>
          <t>¿Permite estimar o comparar componentes sin ocultar límites de equivalencia?</t>
        </is>
      </c>
      <c r="G197" t="n">
        <v>1</v>
      </c>
      <c r="H197" t="inlineStr">
        <is>
          <t>Oficial</t>
        </is>
      </c>
      <c r="I197" s="2" t="inlineStr">
        <is>
          <t>Cost Management no incluye una calculadora de estimacion de componentes previa al despliegue (esa funcion es de Azure Pricing Calculator, evaluada aparte en E4).</t>
        </is>
      </c>
      <c r="J197" t="inlineStr">
        <is>
          <t>https://learn.microsoft.com/en-us/azure/cost-management-billing/costs/cost-analysis-common-uses</t>
        </is>
      </c>
      <c r="K197" t="inlineStr">
        <is>
          <t>2026-09-16</t>
        </is>
      </c>
      <c r="L197" s="2" t="inlineStr"/>
    </row>
    <row r="198">
      <c r="A198" t="inlineStr">
        <is>
          <t>E1</t>
        </is>
      </c>
      <c r="B198" t="inlineStr">
        <is>
          <t>Cloud nativa</t>
        </is>
      </c>
      <c r="C198" t="inlineStr">
        <is>
          <t>Azure Cost Management</t>
        </is>
      </c>
      <c r="D198" t="inlineStr">
        <is>
          <t>Dependencia</t>
        </is>
      </c>
      <c r="E198" t="inlineStr">
        <is>
          <t>D1</t>
        </is>
      </c>
      <c r="F198" s="2" t="inlineStr">
        <is>
          <t>¿Exporta datos/resultados en formato utilizable y documentado?</t>
        </is>
      </c>
      <c r="G198" t="n">
        <v>2</v>
      </c>
      <c r="H198" t="inlineStr">
        <is>
          <t>Oficial</t>
        </is>
      </c>
      <c r="I198" s="2" t="inlineStr">
        <is>
          <t>Los exports entregan datos en CSV/Parquet y en el esquema abierto FOCUS hacia una cuenta de almacenamiento.</t>
        </is>
      </c>
      <c r="J198" t="inlineStr">
        <is>
          <t>https://learn.microsoft.com/en-us/azure/cost-management-billing/costs/tutorial-improved-exports</t>
        </is>
      </c>
      <c r="K198" t="inlineStr">
        <is>
          <t>2026-09-16</t>
        </is>
      </c>
      <c r="L198" s="2" t="inlineStr"/>
    </row>
    <row r="199">
      <c r="A199" t="inlineStr">
        <is>
          <t>E1</t>
        </is>
      </c>
      <c r="B199" t="inlineStr">
        <is>
          <t>Cloud nativa</t>
        </is>
      </c>
      <c r="C199" t="inlineStr">
        <is>
          <t>Azure Cost Management</t>
        </is>
      </c>
      <c r="D199" t="inlineStr">
        <is>
          <t>Dependencia</t>
        </is>
      </c>
      <c r="E199" t="inlineStr">
        <is>
          <t>D2</t>
        </is>
      </c>
      <c r="F199" s="2" t="inlineStr">
        <is>
          <t>¿Documenta dependencias propietarias y un camino de salida/configuración reversible?</t>
        </is>
      </c>
      <c r="G199" t="n">
        <v>1</v>
      </c>
      <c r="H199" t="inlineStr">
        <is>
          <t>Oficial</t>
        </is>
      </c>
      <c r="I199" s="2" t="inlineStr">
        <is>
          <t>No se encontró documentación dedicada sobre un camino de salida o reversibilidad de la configuración; el riesgo de dependencia se atenúa porque los datos son exportables en formato estándar FOCUS.</t>
        </is>
      </c>
      <c r="J199" t="inlineStr">
        <is>
          <t>https://learn.microsoft.com/en-us/azure/cost-management-billing/dataset-schema/cost-usage-details-focus</t>
        </is>
      </c>
      <c r="K199" t="inlineStr">
        <is>
          <t>2026-09-16</t>
        </is>
      </c>
      <c r="L199" s="2" t="inlineStr"/>
    </row>
    <row r="200">
      <c r="A200" t="inlineStr">
        <is>
          <t>E2</t>
        </is>
      </c>
      <c r="B200" t="inlineStr">
        <is>
          <t>Cloud nativa</t>
        </is>
      </c>
      <c r="C200" t="inlineStr">
        <is>
          <t>Azure Cost Management</t>
        </is>
      </c>
      <c r="D200" t="inlineStr">
        <is>
          <t>Visibilidad</t>
        </is>
      </c>
      <c r="E200" t="inlineStr">
        <is>
          <t>V1</t>
        </is>
      </c>
      <c r="F200" s="2" t="inlineStr">
        <is>
          <t>¿Desagrega costo y uso por cuenta/proyecto, servicio y período?</t>
        </is>
      </c>
      <c r="G200" t="inlineStr">
        <is>
          <t>NE</t>
        </is>
      </c>
      <c r="H200" t="inlineStr">
        <is>
          <t>Pendiente</t>
        </is>
      </c>
      <c r="I200" s="2" t="inlineStr">
        <is>
          <t>Cost analysis permite desglosar y filtrar por suscripción, grupo de recursos, servicio, etiqueta y periodo ("Common cost analysis uses"); en AKS ofrece además vistas de Kubernetes namespaces y assets con desglose de idle/service/system/unallocated charges.</t>
        </is>
      </c>
      <c r="J200" t="inlineStr">
        <is>
          <t>https://learn.microsoft.com/en-us/azure/cost-management-billing/costs/cost-analysis-common-uses</t>
        </is>
      </c>
      <c r="K200" t="inlineStr">
        <is>
          <t>2026-09-16</t>
        </is>
      </c>
      <c r="L200" s="2" t="inlineStr">
        <is>
          <t>Celda heredada FP-180 (2026-09-16): el valor 2 proviene de la investigacion del escenario E1 y no cuenta con evidencia propia de E2. Segun FP-177 el indicador V1 depende del escenario, por lo que pasa a NE (no evidenciado, reduce cobertura) hasta investigarlo. La evidencia y la fuente originales se conservan como referencia del escenario de origen.</t>
        </is>
      </c>
    </row>
    <row r="201">
      <c r="A201" t="inlineStr">
        <is>
          <t>E2</t>
        </is>
      </c>
      <c r="B201" t="inlineStr">
        <is>
          <t>Cloud nativa</t>
        </is>
      </c>
      <c r="C201" t="inlineStr">
        <is>
          <t>Azure Cost Management</t>
        </is>
      </c>
      <c r="D201" t="inlineStr">
        <is>
          <t>Visibilidad</t>
        </is>
      </c>
      <c r="E201" t="inlineStr">
        <is>
          <t>V2</t>
        </is>
      </c>
      <c r="F201" s="2" t="inlineStr">
        <is>
          <t>¿Permite rastrear un total hasta registros o fuente de facturación?</t>
        </is>
      </c>
      <c r="G201" t="n">
        <v>2</v>
      </c>
      <c r="H201" t="inlineStr">
        <is>
          <t>Oficial</t>
        </is>
      </c>
      <c r="I201" s="2" t="inlineStr">
        <is>
          <t>Los exports de Cost Management (incluido el esquema FOCUS) reconcilian con la factura: "Usage data is reconciled with your Azure invoice data".</t>
        </is>
      </c>
      <c r="J201" t="inlineStr">
        <is>
          <t>https://learn.microsoft.com/en-us/azure/aks/cost-analysis</t>
        </is>
      </c>
      <c r="K201" t="inlineStr">
        <is>
          <t>2026-09-16</t>
        </is>
      </c>
      <c r="L201" s="2" t="inlineStr"/>
    </row>
    <row r="202">
      <c r="A202" t="inlineStr">
        <is>
          <t>E2</t>
        </is>
      </c>
      <c r="B202" t="inlineStr">
        <is>
          <t>Cloud nativa</t>
        </is>
      </c>
      <c r="C202" t="inlineStr">
        <is>
          <t>Azure Cost Management</t>
        </is>
      </c>
      <c r="D202" t="inlineStr">
        <is>
          <t>Asignacion</t>
        </is>
      </c>
      <c r="E202" t="inlineStr">
        <is>
          <t>A1</t>
        </is>
      </c>
      <c r="F202" s="2" t="inlineStr">
        <is>
          <t>¿Calcula gasto asignado/no asignado por responsable, centro o entidad?</t>
        </is>
      </c>
      <c r="G202" t="inlineStr">
        <is>
          <t>NE</t>
        </is>
      </c>
      <c r="H202" t="inlineStr">
        <is>
          <t>Pendiente</t>
        </is>
      </c>
      <c r="I202" s="2" t="inlineStr">
        <is>
          <t>Cost allocation rules reasignan costos de servicios compartidos entre suscripciones/grupos de recursos/etiquetas; en AKS se expone explícitamente una categoria de "Unallocated charges" (costo no asignable a namespaces).</t>
        </is>
      </c>
      <c r="J202" t="inlineStr">
        <is>
          <t>https://learn.microsoft.com/en-us/azure/cost-management-billing/costs/allocate-costs</t>
        </is>
      </c>
      <c r="K202" t="inlineStr">
        <is>
          <t>2026-09-16</t>
        </is>
      </c>
      <c r="L202" s="2" t="inlineStr">
        <is>
          <t>Celda heredada FP-180 (2026-09-16): el valor 2 proviene de la investigacion del escenario E1 y no cuenta con evidencia propia de E2. Segun FP-177 el indicador A1 depende del escenario, por lo que pasa a NE (no evidenciado, reduce cobertura) hasta investigarlo. La evidencia y la fuente originales se conservan como referencia del escenario de origen.</t>
        </is>
      </c>
    </row>
    <row r="203">
      <c r="A203" t="inlineStr">
        <is>
          <t>E2</t>
        </is>
      </c>
      <c r="B203" t="inlineStr">
        <is>
          <t>Cloud nativa</t>
        </is>
      </c>
      <c r="C203" t="inlineStr">
        <is>
          <t>Azure Cost Management</t>
        </is>
      </c>
      <c r="D203" t="inlineStr">
        <is>
          <t>Asignacion</t>
        </is>
      </c>
      <c r="E203" t="inlineStr">
        <is>
          <t>A2</t>
        </is>
      </c>
      <c r="F203" s="2" t="inlineStr">
        <is>
          <t>¿Explicita y aplica reglas para costo compartido/multi-tenant?</t>
        </is>
      </c>
      <c r="G203" t="inlineStr">
        <is>
          <t>NE</t>
        </is>
      </c>
      <c r="H203" t="inlineStr">
        <is>
          <t>Pendiente</t>
        </is>
      </c>
      <c r="I203" s="2" t="inlineStr">
        <is>
          <t>Las cost allocation rules ofrecen varios metodos de reparto (Distribute evenly, Total/Compute/Storage/Network cost, Custom) con porcentajes explicitos que "don't change" salvo edicion manual de la regla, y se procesan "in the order in which they get created".</t>
        </is>
      </c>
      <c r="J203" t="inlineStr">
        <is>
          <t>https://learn.microsoft.com/en-us/azure/cost-management-billing/costs/allocate-costs</t>
        </is>
      </c>
      <c r="K203" t="inlineStr">
        <is>
          <t>2026-09-16</t>
        </is>
      </c>
      <c r="L203" s="2" t="inlineStr">
        <is>
          <t>Celda heredada FP-180 (2026-09-16): el valor 2 proviene de la investigacion del escenario E1 y no cuenta con evidencia propia de E2. Segun FP-177 el indicador A2 depende del escenario, por lo que pasa a NE (no evidenciado, reduce cobertura) hasta investigarlo. La evidencia y la fuente originales se conservan como referencia del escenario de origen.</t>
        </is>
      </c>
    </row>
    <row r="204">
      <c r="A204" t="inlineStr">
        <is>
          <t>E2</t>
        </is>
      </c>
      <c r="B204" t="inlineStr">
        <is>
          <t>Cloud nativa</t>
        </is>
      </c>
      <c r="C204" t="inlineStr">
        <is>
          <t>Azure Cost Management</t>
        </is>
      </c>
      <c r="D204" t="inlineStr">
        <is>
          <t>Optimizacion</t>
        </is>
      </c>
      <c r="E204" t="inlineStr">
        <is>
          <t>O1</t>
        </is>
      </c>
      <c r="F204" s="2" t="inlineStr">
        <is>
          <t>¿Detecta desperdicio, rightsizing o compromiso relevante al escenario?</t>
        </is>
      </c>
      <c r="G204" t="inlineStr">
        <is>
          <t>NE</t>
        </is>
      </c>
      <c r="H204" t="inlineStr">
        <is>
          <t>Pendiente</t>
        </is>
      </c>
      <c r="I204" s="2" t="inlineStr">
        <is>
          <t>Azure Advisor genera recomendaciones de rightsizing/apagado de recursos inactivos y reservas en múltiples servicios (VM, App Service, MySQL, Cosmos DB, Data Explorer), con métodos de cálculo de ahorro documentados por servicio.</t>
        </is>
      </c>
      <c r="J204" t="inlineStr">
        <is>
          <t>https://learn.microsoft.com/en-us/azure/advisor/advisor-reference-cost-recommendations</t>
        </is>
      </c>
      <c r="K204" t="inlineStr">
        <is>
          <t>2026-09-16</t>
        </is>
      </c>
      <c r="L204" s="2" t="inlineStr">
        <is>
          <t>Celda heredada FP-180 (2026-09-16): el valor 2 proviene de la investigacion del escenario E1 y no cuenta con evidencia propia de E2. Segun FP-177 el indicador O1 depende del escenario, por lo que pasa a NE (no evidenciado, reduce cobertura) hasta investigarlo. La evidencia y la fuente originales se conservan como referencia del escenario de origen.</t>
        </is>
      </c>
    </row>
    <row r="205">
      <c r="A205" t="inlineStr">
        <is>
          <t>E2</t>
        </is>
      </c>
      <c r="B205" t="inlineStr">
        <is>
          <t>Cloud nativa</t>
        </is>
      </c>
      <c r="C205" t="inlineStr">
        <is>
          <t>Azure Cost Management</t>
        </is>
      </c>
      <c r="D205" t="inlineStr">
        <is>
          <t>Optimizacion</t>
        </is>
      </c>
      <c r="E205" t="inlineStr">
        <is>
          <t>O2</t>
        </is>
      </c>
      <c r="F205" s="2" t="inlineStr">
        <is>
          <t>¿Explica supuesto/impacto y permite seguir una recomendación?</t>
        </is>
      </c>
      <c r="G205" t="n">
        <v>1</v>
      </c>
      <c r="H205" t="inlineStr">
        <is>
          <t>Oficial</t>
        </is>
      </c>
      <c r="I205" s="2" t="inlineStr">
        <is>
          <t>Advisor explica el impacto y metodologia de ahorro por recomendacion, pero la documentacion revisada no describe un sistema de seguimiento de estado integrado ("no detalla como hacer seguimiento del estado especifico de cada recomendacion").</t>
        </is>
      </c>
      <c r="J205" t="inlineStr">
        <is>
          <t>https://learn.microsoft.com/en-us/azure/advisor/advisor-reference-cost-recommendations</t>
        </is>
      </c>
      <c r="K205" t="inlineStr">
        <is>
          <t>2026-09-16</t>
        </is>
      </c>
      <c r="L205" s="2" t="inlineStr"/>
    </row>
    <row r="206">
      <c r="A206" t="inlineStr">
        <is>
          <t>E2</t>
        </is>
      </c>
      <c r="B206" t="inlineStr">
        <is>
          <t>Cloud nativa</t>
        </is>
      </c>
      <c r="C206" t="inlineStr">
        <is>
          <t>Azure Cost Management</t>
        </is>
      </c>
      <c r="D206" t="inlineStr">
        <is>
          <t>Automatizacion</t>
        </is>
      </c>
      <c r="E206" t="inlineStr">
        <is>
          <t>AU1</t>
        </is>
      </c>
      <c r="F206" s="2" t="inlineStr">
        <is>
          <t>¿Ejecuta o bloquea acciones/políticas de costo con control verificable?</t>
        </is>
      </c>
      <c r="G206" t="inlineStr">
        <is>
          <t>NE</t>
        </is>
      </c>
      <c r="H206" t="inlineStr">
        <is>
          <t>Pendiente</t>
        </is>
      </c>
      <c r="I206" s="2" t="inlineStr">
        <is>
          <t>Los budgets disparan Action Groups que ejecutan Automation Runbooks/Logic Apps/webhooks automáticamente al superar un umbral; el escenario oficial detiene VMs automáticamente al 80% y 100% del presupuesto, sin paso de aprobación incorporado.</t>
        </is>
      </c>
      <c r="J206" t="inlineStr">
        <is>
          <t>https://learn.microsoft.com/en-us/azure/cost-management-billing/manage/cost-management-budget-scenario</t>
        </is>
      </c>
      <c r="K206" t="inlineStr">
        <is>
          <t>2026-09-16</t>
        </is>
      </c>
      <c r="L206" s="2" t="inlineStr">
        <is>
          <t>Celda heredada FP-180 (2026-09-16): el valor 2 proviene de la investigacion del escenario E1 y no cuenta con evidencia propia de E2. Segun FP-177 el indicador AU1 depende del escenario, por lo que pasa a NE (no evidenciado, reduce cobertura) hasta investigarlo. La evidencia y la fuente originales se conservan como referencia del escenario de origen.</t>
        </is>
      </c>
    </row>
    <row r="207">
      <c r="A207" t="inlineStr">
        <is>
          <t>E2</t>
        </is>
      </c>
      <c r="B207" t="inlineStr">
        <is>
          <t>Cloud nativa</t>
        </is>
      </c>
      <c r="C207" t="inlineStr">
        <is>
          <t>Azure Cost Management</t>
        </is>
      </c>
      <c r="D207" t="inlineStr">
        <is>
          <t>Automatizacion</t>
        </is>
      </c>
      <c r="E207" t="inlineStr">
        <is>
          <t>AU2</t>
        </is>
      </c>
      <c r="F207" s="2" t="inlineStr">
        <is>
          <t>¿Ofrece aprobación, reversión, registro o límites antes de actuar?</t>
        </is>
      </c>
      <c r="G207" t="n">
        <v>1</v>
      </c>
      <c r="H207" t="inlineStr">
        <is>
          <t>Oficial</t>
        </is>
      </c>
      <c r="I207" s="2" t="inlineStr">
        <is>
          <t>La documentación no describe un paso de aprobación manual nativo antes de ejecutar la acción, ni detalla registro de auditoría o reversión; requeriría construir esa salvaguarda dentro del Logic App/Runbook.</t>
        </is>
      </c>
      <c r="J207" t="inlineStr">
        <is>
          <t>https://learn.microsoft.com/en-us/azure/cost-management-billing/manage/cost-management-budget-scenario</t>
        </is>
      </c>
      <c r="K207" t="inlineStr">
        <is>
          <t>2026-09-16</t>
        </is>
      </c>
      <c r="L207" s="2" t="inlineStr"/>
    </row>
    <row r="208">
      <c r="A208" t="inlineStr">
        <is>
          <t>E2</t>
        </is>
      </c>
      <c r="B208" t="inlineStr">
        <is>
          <t>Cloud nativa</t>
        </is>
      </c>
      <c r="C208" t="inlineStr">
        <is>
          <t>Azure Cost Management</t>
        </is>
      </c>
      <c r="D208" t="inlineStr">
        <is>
          <t>Multicloud</t>
        </is>
      </c>
      <c r="E208" t="inlineStr">
        <is>
          <t>M1</t>
        </is>
      </c>
      <c r="F208" s="2" t="inlineStr">
        <is>
          <t>¿Consolida al menos dos proveedores bajo el mismo esquema declarado?</t>
        </is>
      </c>
      <c r="G208" t="n">
        <v>0</v>
      </c>
      <c r="H208" t="inlineStr">
        <is>
          <t>Oficial</t>
        </is>
      </c>
      <c r="I208" s="2" t="inlineStr">
        <is>
          <t>Cost Management cubre exclusivamente cuentas y suscripciones de Azure; no ingiere ni consolida datos de AWS/GCP dentro de la misma consola.</t>
        </is>
      </c>
      <c r="J208" t="inlineStr">
        <is>
          <t>https://learn.microsoft.com/en-us/azure/cost-management-billing/dataset-schema/cost-usage-details-focus</t>
        </is>
      </c>
      <c r="K208" t="inlineStr">
        <is>
          <t>2026-09-16</t>
        </is>
      </c>
      <c r="L208" s="2" t="inlineStr"/>
    </row>
    <row r="209">
      <c r="A209" t="inlineStr">
        <is>
          <t>E2</t>
        </is>
      </c>
      <c r="B209" t="inlineStr">
        <is>
          <t>Cloud nativa</t>
        </is>
      </c>
      <c r="C209" t="inlineStr">
        <is>
          <t>Azure Cost Management</t>
        </is>
      </c>
      <c r="D209" t="inlineStr">
        <is>
          <t>Multicloud</t>
        </is>
      </c>
      <c r="E209" t="inlineStr">
        <is>
          <t>M2</t>
        </is>
      </c>
      <c r="F209" s="2" t="inlineStr">
        <is>
          <t>¿Hace visibles proveedor, cobertura y diferencias semánticas?</t>
        </is>
      </c>
      <c r="G209" t="n">
        <v>0</v>
      </c>
      <c r="H209" t="inlineStr">
        <is>
          <t>Oficial</t>
        </is>
      </c>
      <c r="I209" s="2" t="inlineStr">
        <is>
          <t>Al no consolidar otros proveedores, no expone diferencias de cobertura o semántica entre nubes.</t>
        </is>
      </c>
      <c r="J209" t="inlineStr">
        <is>
          <t>https://learn.microsoft.com/en-us/azure/cost-management-billing/dataset-schema/cost-usage-details-focus</t>
        </is>
      </c>
      <c r="K209" t="inlineStr">
        <is>
          <t>2026-09-16</t>
        </is>
      </c>
      <c r="L209" s="2" t="inlineStr"/>
    </row>
    <row r="210">
      <c r="A210" t="inlineStr">
        <is>
          <t>E2</t>
        </is>
      </c>
      <c r="B210" t="inlineStr">
        <is>
          <t>Cloud nativa</t>
        </is>
      </c>
      <c r="C210" t="inlineStr">
        <is>
          <t>Azure Cost Management</t>
        </is>
      </c>
      <c r="D210" t="inlineStr">
        <is>
          <t>Integracion</t>
        </is>
      </c>
      <c r="E210" t="inlineStr">
        <is>
          <t>I1</t>
        </is>
      </c>
      <c r="F210" s="2" t="inlineStr">
        <is>
          <t>¿Integra datos requeridos (facturación, uso, clúster o IaC) del escenario?</t>
        </is>
      </c>
      <c r="G210" t="inlineStr">
        <is>
          <t>NE</t>
        </is>
      </c>
      <c r="H210" t="inlineStr">
        <is>
          <t>Pendiente</t>
        </is>
      </c>
      <c r="I210" s="2" t="inlineStr">
        <is>
          <t>Los exports automatizan la ingesta de datos de costo/uso; para AKS, Cost Analysis integra métricas de clúster a nivel de namespace de forma nativa ("detailed cost allocation scoped to Kubernetes constructs, such as clusters and namespaces"), sin requerir un add-on de terceros.</t>
        </is>
      </c>
      <c r="J210" t="inlineStr">
        <is>
          <t>https://learn.microsoft.com/en-us/azure/aks/cost-analysis</t>
        </is>
      </c>
      <c r="K210" t="inlineStr">
        <is>
          <t>2026-09-16</t>
        </is>
      </c>
      <c r="L210" s="2" t="inlineStr">
        <is>
          <t>Celda heredada FP-180 (2026-09-16): el valor 2 proviene de la investigacion del escenario E1 y no cuenta con evidencia propia de E2. Segun FP-177 el indicador I1 depende del escenario, por lo que pasa a NE (no evidenciado, reduce cobertura) hasta investigarlo. La evidencia y la fuente originales se conservan como referencia del escenario de origen.</t>
        </is>
      </c>
    </row>
    <row r="211">
      <c r="A211" t="inlineStr">
        <is>
          <t>E2</t>
        </is>
      </c>
      <c r="B211" t="inlineStr">
        <is>
          <t>Cloud nativa</t>
        </is>
      </c>
      <c r="C211" t="inlineStr">
        <is>
          <t>Azure Cost Management</t>
        </is>
      </c>
      <c r="D211" t="inlineStr">
        <is>
          <t>Integracion</t>
        </is>
      </c>
      <c r="E211" t="inlineStr">
        <is>
          <t>I2</t>
        </is>
      </c>
      <c r="F211" s="2" t="inlineStr">
        <is>
          <t>¿Se integra con el flujo de trabajo relevante (alerta, ticket, CI/CD o reporte)?</t>
        </is>
      </c>
      <c r="G211" t="inlineStr">
        <is>
          <t>NE</t>
        </is>
      </c>
      <c r="H211" t="inlineStr">
        <is>
          <t>Pendiente</t>
        </is>
      </c>
      <c r="I211" s="2" t="inlineStr">
        <is>
          <t>Los Action Groups integran budgets con notificaciones, webhooks y Logic Apps, incorporando el evento de costo a un flujo operativo.</t>
        </is>
      </c>
      <c r="J211" t="inlineStr">
        <is>
          <t>https://learn.microsoft.com/en-us/azure/cost-management-billing/manage/cost-management-budget-scenario</t>
        </is>
      </c>
      <c r="K211" t="inlineStr">
        <is>
          <t>2026-09-16</t>
        </is>
      </c>
      <c r="L211" s="2" t="inlineStr">
        <is>
          <t>Celda heredada FP-180 (2026-09-16): el valor 2 proviene de la investigacion del escenario E1 y no cuenta con evidencia propia de E2. Segun FP-177 el indicador I2 depende del escenario, por lo que pasa a NE (no evidenciado, reduce cobertura) hasta investigarlo. La evidencia y la fuente originales se conservan como referencia del escenario de origen.</t>
        </is>
      </c>
    </row>
    <row r="212">
      <c r="A212" t="inlineStr">
        <is>
          <t>E2</t>
        </is>
      </c>
      <c r="B212" t="inlineStr">
        <is>
          <t>Cloud nativa</t>
        </is>
      </c>
      <c r="C212" t="inlineStr">
        <is>
          <t>Azure Cost Management</t>
        </is>
      </c>
      <c r="D212" t="inlineStr">
        <is>
          <t>Adopcion</t>
        </is>
      </c>
      <c r="E212" t="inlineStr">
        <is>
          <t>AD1</t>
        </is>
      </c>
      <c r="F212" s="2" t="inlineStr">
        <is>
          <t>¿Soporta acceso/entrega para los roles del escenario?</t>
        </is>
      </c>
      <c r="G212" t="inlineStr">
        <is>
          <t>NE</t>
        </is>
      </c>
      <c r="H212" t="inlineStr">
        <is>
          <t>Pendiente</t>
        </is>
      </c>
      <c r="I212" s="2" t="inlineStr">
        <is>
          <t>El acceso a los datos de Cost Management se controla con roles RBAC ("Cost Management Reader"/"Contributor") acotados por scope (grupo de gestion, suscripcion, grupo de recursos).</t>
        </is>
      </c>
      <c r="J212" t="inlineStr">
        <is>
          <t>https://learn.microsoft.com/en-us/azure/cost-management-billing/costs/assign-access-acm-data</t>
        </is>
      </c>
      <c r="K212" t="inlineStr">
        <is>
          <t>2026-09-16</t>
        </is>
      </c>
      <c r="L212" s="2" t="inlineStr">
        <is>
          <t>Celda heredada FP-180 (2026-09-16): el valor 2 proviene de la investigacion del escenario E1 y no cuenta con evidencia propia de E2. Segun FP-177 el indicador AD1 depende del escenario, por lo que pasa a NE (no evidenciado, reduce cobertura) hasta investigarlo. La evidencia y la fuente originales se conservan como referencia del escenario de origen.</t>
        </is>
      </c>
    </row>
    <row r="213">
      <c r="A213" t="inlineStr">
        <is>
          <t>E2</t>
        </is>
      </c>
      <c r="B213" t="inlineStr">
        <is>
          <t>Cloud nativa</t>
        </is>
      </c>
      <c r="C213" t="inlineStr">
        <is>
          <t>Azure Cost Management</t>
        </is>
      </c>
      <c r="D213" t="inlineStr">
        <is>
          <t>Adopcion</t>
        </is>
      </c>
      <c r="E213" t="inlineStr">
        <is>
          <t>AD2</t>
        </is>
      </c>
      <c r="F213" s="2" t="inlineStr">
        <is>
          <t>¿Ofrece guías, ownership o mecanismos de seguimiento para uso sostenido?</t>
        </is>
      </c>
      <c r="G213" t="n">
        <v>2</v>
      </c>
      <c r="H213" t="inlineStr">
        <is>
          <t>Oficial</t>
        </is>
      </c>
      <c r="I213" s="2" t="inlineStr">
        <is>
          <t>Microsoft mantiene guias oficiales de adopcion y un blog dedicado de FinOps ("FinOps Blog") con practicas de gestion de costo.</t>
        </is>
      </c>
      <c r="J213" t="inlineStr">
        <is>
          <t>https://techcommunity.microsoft.com/blog/finopsblog/generally-available-enhanced-cost-management-exports/4407748</t>
        </is>
      </c>
      <c r="K213" t="inlineStr">
        <is>
          <t>2026-09-16</t>
        </is>
      </c>
      <c r="L213" s="2" t="inlineStr"/>
    </row>
    <row r="214">
      <c r="A214" t="inlineStr">
        <is>
          <t>E2</t>
        </is>
      </c>
      <c r="B214" t="inlineStr">
        <is>
          <t>Cloud nativa</t>
        </is>
      </c>
      <c r="C214" t="inlineStr">
        <is>
          <t>Azure Cost Management</t>
        </is>
      </c>
      <c r="D214" t="inlineStr">
        <is>
          <t>Precio</t>
        </is>
      </c>
      <c r="E214" t="inlineStr">
        <is>
          <t>P1</t>
        </is>
      </c>
      <c r="F214" s="2" t="inlineStr">
        <is>
          <t>¿Expone precio, moneda, región, unidad, período y supuestos relevantes?</t>
        </is>
      </c>
      <c r="G214" t="n">
        <v>2</v>
      </c>
      <c r="H214" t="inlineStr">
        <is>
          <t>Oficial</t>
        </is>
      </c>
      <c r="I214" s="2" t="inlineStr">
        <is>
          <t>Los exports en esquema FOCUS exponen columnas estandarizadas (BilledCost, EffectiveCost, ListCost, PricingQuantity) con moneda, periodo y servicio.</t>
        </is>
      </c>
      <c r="J214" t="inlineStr">
        <is>
          <t>https://learn.microsoft.com/en-us/azure/cost-management-billing/dataset-schema/cost-usage-details-focus</t>
        </is>
      </c>
      <c r="K214" t="inlineStr">
        <is>
          <t>2026-09-16</t>
        </is>
      </c>
      <c r="L214" s="2" t="inlineStr"/>
    </row>
    <row r="215">
      <c r="A215" t="inlineStr">
        <is>
          <t>E2</t>
        </is>
      </c>
      <c r="B215" t="inlineStr">
        <is>
          <t>Cloud nativa</t>
        </is>
      </c>
      <c r="C215" t="inlineStr">
        <is>
          <t>Azure Cost Management</t>
        </is>
      </c>
      <c r="D215" t="inlineStr">
        <is>
          <t>Precio</t>
        </is>
      </c>
      <c r="E215" t="inlineStr">
        <is>
          <t>P2</t>
        </is>
      </c>
      <c r="F215" s="2" t="inlineStr">
        <is>
          <t>¿Permite estimar o comparar componentes sin ocultar límites de equivalencia?</t>
        </is>
      </c>
      <c r="G215" t="inlineStr">
        <is>
          <t>NE</t>
        </is>
      </c>
      <c r="H215" t="inlineStr">
        <is>
          <t>Pendiente</t>
        </is>
      </c>
      <c r="I215" s="2" t="inlineStr">
        <is>
          <t>Cost Management no incluye una calculadora de estimacion de componentes previa al despliegue (esa funcion es de Azure Pricing Calculator, evaluada aparte en E4).</t>
        </is>
      </c>
      <c r="J215" t="inlineStr">
        <is>
          <t>https://learn.microsoft.com/en-us/azure/cost-management-billing/costs/cost-analysis-common-uses</t>
        </is>
      </c>
      <c r="K215" t="inlineStr">
        <is>
          <t>2026-09-16</t>
        </is>
      </c>
      <c r="L215" s="2" t="inlineStr">
        <is>
          <t>Celda heredada FP-180 (2026-09-16): el valor 1 proviene de la investigacion del escenario E1 y no cuenta con evidencia propia de E2. Segun FP-177 el indicador P2 depende del escenario, por lo que pasa a NE (no evidenciado, reduce cobertura) hasta investigarlo. La evidencia y la fuente originales se conservan como referencia del escenario de origen.</t>
        </is>
      </c>
    </row>
    <row r="216">
      <c r="A216" t="inlineStr">
        <is>
          <t>E2</t>
        </is>
      </c>
      <c r="B216" t="inlineStr">
        <is>
          <t>Cloud nativa</t>
        </is>
      </c>
      <c r="C216" t="inlineStr">
        <is>
          <t>Azure Cost Management</t>
        </is>
      </c>
      <c r="D216" t="inlineStr">
        <is>
          <t>Dependencia</t>
        </is>
      </c>
      <c r="E216" t="inlineStr">
        <is>
          <t>D1</t>
        </is>
      </c>
      <c r="F216" s="2" t="inlineStr">
        <is>
          <t>¿Exporta datos/resultados en formato utilizable y documentado?</t>
        </is>
      </c>
      <c r="G216" t="n">
        <v>2</v>
      </c>
      <c r="H216" t="inlineStr">
        <is>
          <t>Oficial</t>
        </is>
      </c>
      <c r="I216" s="2" t="inlineStr">
        <is>
          <t>Los exports entregan datos en CSV/Parquet y en el esquema abierto FOCUS hacia una cuenta de almacenamiento.</t>
        </is>
      </c>
      <c r="J216" t="inlineStr">
        <is>
          <t>https://learn.microsoft.com/en-us/azure/cost-management-billing/costs/tutorial-improved-exports</t>
        </is>
      </c>
      <c r="K216" t="inlineStr">
        <is>
          <t>2026-09-16</t>
        </is>
      </c>
      <c r="L216" s="2" t="inlineStr"/>
    </row>
    <row r="217">
      <c r="A217" t="inlineStr">
        <is>
          <t>E2</t>
        </is>
      </c>
      <c r="B217" t="inlineStr">
        <is>
          <t>Cloud nativa</t>
        </is>
      </c>
      <c r="C217" t="inlineStr">
        <is>
          <t>Azure Cost Management</t>
        </is>
      </c>
      <c r="D217" t="inlineStr">
        <is>
          <t>Dependencia</t>
        </is>
      </c>
      <c r="E217" t="inlineStr">
        <is>
          <t>D2</t>
        </is>
      </c>
      <c r="F217" s="2" t="inlineStr">
        <is>
          <t>¿Documenta dependencias propietarias y un camino de salida/configuración reversible?</t>
        </is>
      </c>
      <c r="G217" t="n">
        <v>1</v>
      </c>
      <c r="H217" t="inlineStr">
        <is>
          <t>Oficial</t>
        </is>
      </c>
      <c r="I217" s="2" t="inlineStr">
        <is>
          <t>No se encontró documentación dedicada sobre un camino de salida o reversibilidad de la configuración; el riesgo de dependencia se atenúa porque los datos son exportables en formato estándar FOCUS.</t>
        </is>
      </c>
      <c r="J217" t="inlineStr">
        <is>
          <t>https://learn.microsoft.com/en-us/azure/cost-management-billing/dataset-schema/cost-usage-details-focus</t>
        </is>
      </c>
      <c r="K217" t="inlineStr">
        <is>
          <t>2026-09-16</t>
        </is>
      </c>
      <c r="L217" s="2" t="inlineStr"/>
    </row>
    <row r="218">
      <c r="A218" t="inlineStr">
        <is>
          <t>E3</t>
        </is>
      </c>
      <c r="B218" t="inlineStr">
        <is>
          <t>Cloud nativa</t>
        </is>
      </c>
      <c r="C218" t="inlineStr">
        <is>
          <t>Azure Cost Management</t>
        </is>
      </c>
      <c r="D218" t="inlineStr">
        <is>
          <t>Visibilidad</t>
        </is>
      </c>
      <c r="E218" t="inlineStr">
        <is>
          <t>V1</t>
        </is>
      </c>
      <c r="F218" s="2" t="inlineStr">
        <is>
          <t>¿Desagrega costo y uso por cuenta/proyecto, servicio y período?</t>
        </is>
      </c>
      <c r="G218" t="inlineStr">
        <is>
          <t>NE</t>
        </is>
      </c>
      <c r="H218" t="inlineStr">
        <is>
          <t>Pendiente</t>
        </is>
      </c>
      <c r="I218" s="2" t="inlineStr">
        <is>
          <t>Cost analysis permite desglosar y filtrar por suscripción, grupo de recursos, servicio, etiqueta y periodo ("Common cost analysis uses"); en AKS ofrece además vistas de Kubernetes namespaces y assets con desglose de idle/service/system/unallocated charges.</t>
        </is>
      </c>
      <c r="J218" t="inlineStr">
        <is>
          <t>https://learn.microsoft.com/en-us/azure/cost-management-billing/costs/cost-analysis-common-uses</t>
        </is>
      </c>
      <c r="K218" t="inlineStr">
        <is>
          <t>2026-09-16</t>
        </is>
      </c>
      <c r="L218" s="2" t="inlineStr">
        <is>
          <t>Celda heredada FP-180 (2026-09-16): el valor 2 proviene de la investigacion del escenario E1 y no cuenta con evidencia propia de E3. Segun FP-177 el indicador V1 depende del escenario, por lo que pasa a NE (no evidenciado, reduce cobertura) hasta investigarlo. La evidencia y la fuente originales se conservan como referencia del escenario de origen.</t>
        </is>
      </c>
    </row>
    <row r="219">
      <c r="A219" t="inlineStr">
        <is>
          <t>E3</t>
        </is>
      </c>
      <c r="B219" t="inlineStr">
        <is>
          <t>Cloud nativa</t>
        </is>
      </c>
      <c r="C219" t="inlineStr">
        <is>
          <t>Azure Cost Management</t>
        </is>
      </c>
      <c r="D219" t="inlineStr">
        <is>
          <t>Visibilidad</t>
        </is>
      </c>
      <c r="E219" t="inlineStr">
        <is>
          <t>V2</t>
        </is>
      </c>
      <c r="F219" s="2" t="inlineStr">
        <is>
          <t>¿Permite rastrear un total hasta registros o fuente de facturación?</t>
        </is>
      </c>
      <c r="G219" t="n">
        <v>2</v>
      </c>
      <c r="H219" t="inlineStr">
        <is>
          <t>Oficial</t>
        </is>
      </c>
      <c r="I219" s="2" t="inlineStr">
        <is>
          <t>Los exports de Cost Management (incluido el esquema FOCUS) reconcilian con la factura: "Usage data is reconciled with your Azure invoice data".</t>
        </is>
      </c>
      <c r="J219" t="inlineStr">
        <is>
          <t>https://learn.microsoft.com/en-us/azure/aks/cost-analysis</t>
        </is>
      </c>
      <c r="K219" t="inlineStr">
        <is>
          <t>2026-09-16</t>
        </is>
      </c>
      <c r="L219" s="2" t="inlineStr"/>
    </row>
    <row r="220">
      <c r="A220" t="inlineStr">
        <is>
          <t>E3</t>
        </is>
      </c>
      <c r="B220" t="inlineStr">
        <is>
          <t>Cloud nativa</t>
        </is>
      </c>
      <c r="C220" t="inlineStr">
        <is>
          <t>Azure Cost Management</t>
        </is>
      </c>
      <c r="D220" t="inlineStr">
        <is>
          <t>Asignacion</t>
        </is>
      </c>
      <c r="E220" t="inlineStr">
        <is>
          <t>A1</t>
        </is>
      </c>
      <c r="F220" s="2" t="inlineStr">
        <is>
          <t>¿Calcula gasto asignado/no asignado por responsable, centro o entidad?</t>
        </is>
      </c>
      <c r="G220" t="inlineStr">
        <is>
          <t>NE</t>
        </is>
      </c>
      <c r="H220" t="inlineStr">
        <is>
          <t>Pendiente</t>
        </is>
      </c>
      <c r="I220" s="2" t="inlineStr">
        <is>
          <t>Cost allocation rules reasignan costos de servicios compartidos entre suscripciones/grupos de recursos/etiquetas; en AKS se expone explícitamente una categoria de "Unallocated charges" (costo no asignable a namespaces).</t>
        </is>
      </c>
      <c r="J220" t="inlineStr">
        <is>
          <t>https://learn.microsoft.com/en-us/azure/cost-management-billing/costs/allocate-costs</t>
        </is>
      </c>
      <c r="K220" t="inlineStr">
        <is>
          <t>2026-09-16</t>
        </is>
      </c>
      <c r="L220" s="2" t="inlineStr">
        <is>
          <t>Celda heredada FP-180 (2026-09-16): el valor 2 proviene de la investigacion del escenario E1 y no cuenta con evidencia propia de E3. Segun FP-177 el indicador A1 depende del escenario, por lo que pasa a NE (no evidenciado, reduce cobertura) hasta investigarlo. La evidencia y la fuente originales se conservan como referencia del escenario de origen.</t>
        </is>
      </c>
    </row>
    <row r="221">
      <c r="A221" t="inlineStr">
        <is>
          <t>E3</t>
        </is>
      </c>
      <c r="B221" t="inlineStr">
        <is>
          <t>Cloud nativa</t>
        </is>
      </c>
      <c r="C221" t="inlineStr">
        <is>
          <t>Azure Cost Management</t>
        </is>
      </c>
      <c r="D221" t="inlineStr">
        <is>
          <t>Asignacion</t>
        </is>
      </c>
      <c r="E221" t="inlineStr">
        <is>
          <t>A2</t>
        </is>
      </c>
      <c r="F221" s="2" t="inlineStr">
        <is>
          <t>¿Explicita y aplica reglas para costo compartido/multi-tenant?</t>
        </is>
      </c>
      <c r="G221" t="inlineStr">
        <is>
          <t>NE</t>
        </is>
      </c>
      <c r="H221" t="inlineStr">
        <is>
          <t>Pendiente</t>
        </is>
      </c>
      <c r="I221" s="2" t="inlineStr">
        <is>
          <t>Las cost allocation rules ofrecen varios metodos de reparto (Distribute evenly, Total/Compute/Storage/Network cost, Custom) con porcentajes explicitos que "don't change" salvo edicion manual de la regla, y se procesan "in the order in which they get created".</t>
        </is>
      </c>
      <c r="J221" t="inlineStr">
        <is>
          <t>https://learn.microsoft.com/en-us/azure/cost-management-billing/costs/allocate-costs</t>
        </is>
      </c>
      <c r="K221" t="inlineStr">
        <is>
          <t>2026-09-16</t>
        </is>
      </c>
      <c r="L221" s="2" t="inlineStr">
        <is>
          <t>Celda heredada FP-180 (2026-09-16): el valor 2 proviene de la investigacion del escenario E1 y no cuenta con evidencia propia de E3. Segun FP-177 el indicador A2 depende del escenario, por lo que pasa a NE (no evidenciado, reduce cobertura) hasta investigarlo. La evidencia y la fuente originales se conservan como referencia del escenario de origen.</t>
        </is>
      </c>
    </row>
    <row r="222">
      <c r="A222" t="inlineStr">
        <is>
          <t>E3</t>
        </is>
      </c>
      <c r="B222" t="inlineStr">
        <is>
          <t>Cloud nativa</t>
        </is>
      </c>
      <c r="C222" t="inlineStr">
        <is>
          <t>Azure Cost Management</t>
        </is>
      </c>
      <c r="D222" t="inlineStr">
        <is>
          <t>Optimizacion</t>
        </is>
      </c>
      <c r="E222" t="inlineStr">
        <is>
          <t>O1</t>
        </is>
      </c>
      <c r="F222" s="2" t="inlineStr">
        <is>
          <t>¿Detecta desperdicio, rightsizing o compromiso relevante al escenario?</t>
        </is>
      </c>
      <c r="G222" t="inlineStr">
        <is>
          <t>NE</t>
        </is>
      </c>
      <c r="H222" t="inlineStr">
        <is>
          <t>Pendiente</t>
        </is>
      </c>
      <c r="I222" s="2" t="inlineStr">
        <is>
          <t>Azure Advisor genera recomendaciones de rightsizing/apagado de recursos inactivos y reservas en múltiples servicios (VM, App Service, MySQL, Cosmos DB, Data Explorer), con métodos de cálculo de ahorro documentados por servicio.</t>
        </is>
      </c>
      <c r="J222" t="inlineStr">
        <is>
          <t>https://learn.microsoft.com/en-us/azure/advisor/advisor-reference-cost-recommendations</t>
        </is>
      </c>
      <c r="K222" t="inlineStr">
        <is>
          <t>2026-09-16</t>
        </is>
      </c>
      <c r="L222" s="2" t="inlineStr">
        <is>
          <t>Celda heredada FP-180 (2026-09-16): el valor 2 proviene de la investigacion del escenario E1 y no cuenta con evidencia propia de E3. Segun FP-177 el indicador O1 depende del escenario, por lo que pasa a NE (no evidenciado, reduce cobertura) hasta investigarlo. La evidencia y la fuente originales se conservan como referencia del escenario de origen.</t>
        </is>
      </c>
    </row>
    <row r="223">
      <c r="A223" t="inlineStr">
        <is>
          <t>E3</t>
        </is>
      </c>
      <c r="B223" t="inlineStr">
        <is>
          <t>Cloud nativa</t>
        </is>
      </c>
      <c r="C223" t="inlineStr">
        <is>
          <t>Azure Cost Management</t>
        </is>
      </c>
      <c r="D223" t="inlineStr">
        <is>
          <t>Optimizacion</t>
        </is>
      </c>
      <c r="E223" t="inlineStr">
        <is>
          <t>O2</t>
        </is>
      </c>
      <c r="F223" s="2" t="inlineStr">
        <is>
          <t>¿Explica supuesto/impacto y permite seguir una recomendación?</t>
        </is>
      </c>
      <c r="G223" t="n">
        <v>1</v>
      </c>
      <c r="H223" t="inlineStr">
        <is>
          <t>Oficial</t>
        </is>
      </c>
      <c r="I223" s="2" t="inlineStr">
        <is>
          <t>Advisor explica el impacto y metodologia de ahorro por recomendacion, pero la documentacion revisada no describe un sistema de seguimiento de estado integrado ("no detalla como hacer seguimiento del estado especifico de cada recomendacion").</t>
        </is>
      </c>
      <c r="J223" t="inlineStr">
        <is>
          <t>https://learn.microsoft.com/en-us/azure/advisor/advisor-reference-cost-recommendations</t>
        </is>
      </c>
      <c r="K223" t="inlineStr">
        <is>
          <t>2026-09-16</t>
        </is>
      </c>
      <c r="L223" s="2" t="inlineStr"/>
    </row>
    <row r="224">
      <c r="A224" t="inlineStr">
        <is>
          <t>E3</t>
        </is>
      </c>
      <c r="B224" t="inlineStr">
        <is>
          <t>Cloud nativa</t>
        </is>
      </c>
      <c r="C224" t="inlineStr">
        <is>
          <t>Azure Cost Management</t>
        </is>
      </c>
      <c r="D224" t="inlineStr">
        <is>
          <t>Automatizacion</t>
        </is>
      </c>
      <c r="E224" t="inlineStr">
        <is>
          <t>AU1</t>
        </is>
      </c>
      <c r="F224" s="2" t="inlineStr">
        <is>
          <t>¿Ejecuta o bloquea acciones/políticas de costo con control verificable?</t>
        </is>
      </c>
      <c r="G224" t="inlineStr">
        <is>
          <t>NE</t>
        </is>
      </c>
      <c r="H224" t="inlineStr">
        <is>
          <t>Pendiente</t>
        </is>
      </c>
      <c r="I224" s="2" t="inlineStr">
        <is>
          <t>Los budgets disparan Action Groups que ejecutan Automation Runbooks/Logic Apps/webhooks automáticamente al superar un umbral; el escenario oficial detiene VMs automáticamente al 80% y 100% del presupuesto, sin paso de aprobación incorporado.</t>
        </is>
      </c>
      <c r="J224" t="inlineStr">
        <is>
          <t>https://learn.microsoft.com/en-us/azure/cost-management-billing/manage/cost-management-budget-scenario</t>
        </is>
      </c>
      <c r="K224" t="inlineStr">
        <is>
          <t>2026-09-16</t>
        </is>
      </c>
      <c r="L224" s="2" t="inlineStr">
        <is>
          <t>Celda heredada FP-180 (2026-09-16): el valor 2 proviene de la investigacion del escenario E1 y no cuenta con evidencia propia de E3. Segun FP-177 el indicador AU1 depende del escenario, por lo que pasa a NE (no evidenciado, reduce cobertura) hasta investigarlo. La evidencia y la fuente originales se conservan como referencia del escenario de origen.</t>
        </is>
      </c>
    </row>
    <row r="225">
      <c r="A225" t="inlineStr">
        <is>
          <t>E3</t>
        </is>
      </c>
      <c r="B225" t="inlineStr">
        <is>
          <t>Cloud nativa</t>
        </is>
      </c>
      <c r="C225" t="inlineStr">
        <is>
          <t>Azure Cost Management</t>
        </is>
      </c>
      <c r="D225" t="inlineStr">
        <is>
          <t>Automatizacion</t>
        </is>
      </c>
      <c r="E225" t="inlineStr">
        <is>
          <t>AU2</t>
        </is>
      </c>
      <c r="F225" s="2" t="inlineStr">
        <is>
          <t>¿Ofrece aprobación, reversión, registro o límites antes de actuar?</t>
        </is>
      </c>
      <c r="G225" t="n">
        <v>1</v>
      </c>
      <c r="H225" t="inlineStr">
        <is>
          <t>Oficial</t>
        </is>
      </c>
      <c r="I225" s="2" t="inlineStr">
        <is>
          <t>La documentación no describe un paso de aprobación manual nativo antes de ejecutar la acción, ni detalla registro de auditoría o reversión; requeriría construir esa salvaguarda dentro del Logic App/Runbook.</t>
        </is>
      </c>
      <c r="J225" t="inlineStr">
        <is>
          <t>https://learn.microsoft.com/en-us/azure/cost-management-billing/manage/cost-management-budget-scenario</t>
        </is>
      </c>
      <c r="K225" t="inlineStr">
        <is>
          <t>2026-09-16</t>
        </is>
      </c>
      <c r="L225" s="2" t="inlineStr"/>
    </row>
    <row r="226">
      <c r="A226" t="inlineStr">
        <is>
          <t>E3</t>
        </is>
      </c>
      <c r="B226" t="inlineStr">
        <is>
          <t>Cloud nativa</t>
        </is>
      </c>
      <c r="C226" t="inlineStr">
        <is>
          <t>Azure Cost Management</t>
        </is>
      </c>
      <c r="D226" t="inlineStr">
        <is>
          <t>Multicloud</t>
        </is>
      </c>
      <c r="E226" t="inlineStr">
        <is>
          <t>M1</t>
        </is>
      </c>
      <c r="F226" s="2" t="inlineStr">
        <is>
          <t>¿Consolida al menos dos proveedores bajo el mismo esquema declarado?</t>
        </is>
      </c>
      <c r="G226" t="n">
        <v>0</v>
      </c>
      <c r="H226" t="inlineStr">
        <is>
          <t>Oficial</t>
        </is>
      </c>
      <c r="I226" s="2" t="inlineStr">
        <is>
          <t>Cost Management cubre exclusivamente cuentas y suscripciones de Azure; no ingiere ni consolida datos de AWS/GCP dentro de la misma consola.</t>
        </is>
      </c>
      <c r="J226" t="inlineStr">
        <is>
          <t>https://learn.microsoft.com/en-us/azure/cost-management-billing/dataset-schema/cost-usage-details-focus</t>
        </is>
      </c>
      <c r="K226" t="inlineStr">
        <is>
          <t>2026-09-16</t>
        </is>
      </c>
      <c r="L226" s="2" t="inlineStr"/>
    </row>
    <row r="227">
      <c r="A227" t="inlineStr">
        <is>
          <t>E3</t>
        </is>
      </c>
      <c r="B227" t="inlineStr">
        <is>
          <t>Cloud nativa</t>
        </is>
      </c>
      <c r="C227" t="inlineStr">
        <is>
          <t>Azure Cost Management</t>
        </is>
      </c>
      <c r="D227" t="inlineStr">
        <is>
          <t>Multicloud</t>
        </is>
      </c>
      <c r="E227" t="inlineStr">
        <is>
          <t>M2</t>
        </is>
      </c>
      <c r="F227" s="2" t="inlineStr">
        <is>
          <t>¿Hace visibles proveedor, cobertura y diferencias semánticas?</t>
        </is>
      </c>
      <c r="G227" t="n">
        <v>0</v>
      </c>
      <c r="H227" t="inlineStr">
        <is>
          <t>Oficial</t>
        </is>
      </c>
      <c r="I227" s="2" t="inlineStr">
        <is>
          <t>Al no consolidar otros proveedores, no expone diferencias de cobertura o semántica entre nubes.</t>
        </is>
      </c>
      <c r="J227" t="inlineStr">
        <is>
          <t>https://learn.microsoft.com/en-us/azure/cost-management-billing/dataset-schema/cost-usage-details-focus</t>
        </is>
      </c>
      <c r="K227" t="inlineStr">
        <is>
          <t>2026-09-16</t>
        </is>
      </c>
      <c r="L227" s="2" t="inlineStr"/>
    </row>
    <row r="228">
      <c r="A228" t="inlineStr">
        <is>
          <t>E3</t>
        </is>
      </c>
      <c r="B228" t="inlineStr">
        <is>
          <t>Cloud nativa</t>
        </is>
      </c>
      <c r="C228" t="inlineStr">
        <is>
          <t>Azure Cost Management</t>
        </is>
      </c>
      <c r="D228" t="inlineStr">
        <is>
          <t>Integracion</t>
        </is>
      </c>
      <c r="E228" t="inlineStr">
        <is>
          <t>I1</t>
        </is>
      </c>
      <c r="F228" s="2" t="inlineStr">
        <is>
          <t>¿Integra datos requeridos (facturación, uso, clúster o IaC) del escenario?</t>
        </is>
      </c>
      <c r="G228" t="inlineStr">
        <is>
          <t>NE</t>
        </is>
      </c>
      <c r="H228" t="inlineStr">
        <is>
          <t>Pendiente</t>
        </is>
      </c>
      <c r="I228" s="2" t="inlineStr">
        <is>
          <t>Los exports automatizan la ingesta de datos de costo/uso; para AKS, Cost Analysis integra métricas de clúster a nivel de namespace de forma nativa ("detailed cost allocation scoped to Kubernetes constructs, such as clusters and namespaces"), sin requerir un add-on de terceros.</t>
        </is>
      </c>
      <c r="J228" t="inlineStr">
        <is>
          <t>https://learn.microsoft.com/en-us/azure/aks/cost-analysis</t>
        </is>
      </c>
      <c r="K228" t="inlineStr">
        <is>
          <t>2026-09-16</t>
        </is>
      </c>
      <c r="L228" s="2" t="inlineStr">
        <is>
          <t>Celda heredada FP-180 (2026-09-16): el valor 2 proviene de la investigacion del escenario E1 y no cuenta con evidencia propia de E3. Segun FP-177 el indicador I1 depende del escenario, por lo que pasa a NE (no evidenciado, reduce cobertura) hasta investigarlo. La evidencia y la fuente originales se conservan como referencia del escenario de origen.</t>
        </is>
      </c>
    </row>
    <row r="229">
      <c r="A229" t="inlineStr">
        <is>
          <t>E3</t>
        </is>
      </c>
      <c r="B229" t="inlineStr">
        <is>
          <t>Cloud nativa</t>
        </is>
      </c>
      <c r="C229" t="inlineStr">
        <is>
          <t>Azure Cost Management</t>
        </is>
      </c>
      <c r="D229" t="inlineStr">
        <is>
          <t>Integracion</t>
        </is>
      </c>
      <c r="E229" t="inlineStr">
        <is>
          <t>I2</t>
        </is>
      </c>
      <c r="F229" s="2" t="inlineStr">
        <is>
          <t>¿Se integra con el flujo de trabajo relevante (alerta, ticket, CI/CD o reporte)?</t>
        </is>
      </c>
      <c r="G229" t="inlineStr">
        <is>
          <t>NE</t>
        </is>
      </c>
      <c r="H229" t="inlineStr">
        <is>
          <t>Pendiente</t>
        </is>
      </c>
      <c r="I229" s="2" t="inlineStr">
        <is>
          <t>Los Action Groups integran budgets con notificaciones, webhooks y Logic Apps, incorporando el evento de costo a un flujo operativo.</t>
        </is>
      </c>
      <c r="J229" t="inlineStr">
        <is>
          <t>https://learn.microsoft.com/en-us/azure/cost-management-billing/manage/cost-management-budget-scenario</t>
        </is>
      </c>
      <c r="K229" t="inlineStr">
        <is>
          <t>2026-09-16</t>
        </is>
      </c>
      <c r="L229" s="2" t="inlineStr">
        <is>
          <t>Celda heredada FP-180 (2026-09-16): el valor 2 proviene de la investigacion del escenario E1 y no cuenta con evidencia propia de E3. Segun FP-177 el indicador I2 depende del escenario, por lo que pasa a NE (no evidenciado, reduce cobertura) hasta investigarlo. La evidencia y la fuente originales se conservan como referencia del escenario de origen.</t>
        </is>
      </c>
    </row>
    <row r="230">
      <c r="A230" t="inlineStr">
        <is>
          <t>E3</t>
        </is>
      </c>
      <c r="B230" t="inlineStr">
        <is>
          <t>Cloud nativa</t>
        </is>
      </c>
      <c r="C230" t="inlineStr">
        <is>
          <t>Azure Cost Management</t>
        </is>
      </c>
      <c r="D230" t="inlineStr">
        <is>
          <t>Adopcion</t>
        </is>
      </c>
      <c r="E230" t="inlineStr">
        <is>
          <t>AD1</t>
        </is>
      </c>
      <c r="F230" s="2" t="inlineStr">
        <is>
          <t>¿Soporta acceso/entrega para los roles del escenario?</t>
        </is>
      </c>
      <c r="G230" t="inlineStr">
        <is>
          <t>NE</t>
        </is>
      </c>
      <c r="H230" t="inlineStr">
        <is>
          <t>Pendiente</t>
        </is>
      </c>
      <c r="I230" s="2" t="inlineStr">
        <is>
          <t>El acceso a los datos de Cost Management se controla con roles RBAC ("Cost Management Reader"/"Contributor") acotados por scope (grupo de gestion, suscripcion, grupo de recursos).</t>
        </is>
      </c>
      <c r="J230" t="inlineStr">
        <is>
          <t>https://learn.microsoft.com/en-us/azure/cost-management-billing/costs/assign-access-acm-data</t>
        </is>
      </c>
      <c r="K230" t="inlineStr">
        <is>
          <t>2026-09-16</t>
        </is>
      </c>
      <c r="L230" s="2" t="inlineStr">
        <is>
          <t>Celda heredada FP-180 (2026-09-16): el valor 2 proviene de la investigacion del escenario E1 y no cuenta con evidencia propia de E3. Segun FP-177 el indicador AD1 depende del escenario, por lo que pasa a NE (no evidenciado, reduce cobertura) hasta investigarlo. La evidencia y la fuente originales se conservan como referencia del escenario de origen.</t>
        </is>
      </c>
    </row>
    <row r="231">
      <c r="A231" t="inlineStr">
        <is>
          <t>E3</t>
        </is>
      </c>
      <c r="B231" t="inlineStr">
        <is>
          <t>Cloud nativa</t>
        </is>
      </c>
      <c r="C231" t="inlineStr">
        <is>
          <t>Azure Cost Management</t>
        </is>
      </c>
      <c r="D231" t="inlineStr">
        <is>
          <t>Adopcion</t>
        </is>
      </c>
      <c r="E231" t="inlineStr">
        <is>
          <t>AD2</t>
        </is>
      </c>
      <c r="F231" s="2" t="inlineStr">
        <is>
          <t>¿Ofrece guías, ownership o mecanismos de seguimiento para uso sostenido?</t>
        </is>
      </c>
      <c r="G231" t="n">
        <v>2</v>
      </c>
      <c r="H231" t="inlineStr">
        <is>
          <t>Oficial</t>
        </is>
      </c>
      <c r="I231" s="2" t="inlineStr">
        <is>
          <t>Microsoft mantiene guias oficiales de adopcion y un blog dedicado de FinOps ("FinOps Blog") con practicas de gestion de costo.</t>
        </is>
      </c>
      <c r="J231" t="inlineStr">
        <is>
          <t>https://techcommunity.microsoft.com/blog/finopsblog/generally-available-enhanced-cost-management-exports/4407748</t>
        </is>
      </c>
      <c r="K231" t="inlineStr">
        <is>
          <t>2026-09-16</t>
        </is>
      </c>
      <c r="L231" s="2" t="inlineStr"/>
    </row>
    <row r="232">
      <c r="A232" t="inlineStr">
        <is>
          <t>E3</t>
        </is>
      </c>
      <c r="B232" t="inlineStr">
        <is>
          <t>Cloud nativa</t>
        </is>
      </c>
      <c r="C232" t="inlineStr">
        <is>
          <t>Azure Cost Management</t>
        </is>
      </c>
      <c r="D232" t="inlineStr">
        <is>
          <t>Precio</t>
        </is>
      </c>
      <c r="E232" t="inlineStr">
        <is>
          <t>P1</t>
        </is>
      </c>
      <c r="F232" s="2" t="inlineStr">
        <is>
          <t>¿Expone precio, moneda, región, unidad, período y supuestos relevantes?</t>
        </is>
      </c>
      <c r="G232" t="n">
        <v>2</v>
      </c>
      <c r="H232" t="inlineStr">
        <is>
          <t>Oficial</t>
        </is>
      </c>
      <c r="I232" s="2" t="inlineStr">
        <is>
          <t>Los exports en esquema FOCUS exponen columnas estandarizadas (BilledCost, EffectiveCost, ListCost, PricingQuantity) con moneda, periodo y servicio.</t>
        </is>
      </c>
      <c r="J232" t="inlineStr">
        <is>
          <t>https://learn.microsoft.com/en-us/azure/cost-management-billing/dataset-schema/cost-usage-details-focus</t>
        </is>
      </c>
      <c r="K232" t="inlineStr">
        <is>
          <t>2026-09-16</t>
        </is>
      </c>
      <c r="L232" s="2" t="inlineStr"/>
    </row>
    <row r="233">
      <c r="A233" t="inlineStr">
        <is>
          <t>E3</t>
        </is>
      </c>
      <c r="B233" t="inlineStr">
        <is>
          <t>Cloud nativa</t>
        </is>
      </c>
      <c r="C233" t="inlineStr">
        <is>
          <t>Azure Cost Management</t>
        </is>
      </c>
      <c r="D233" t="inlineStr">
        <is>
          <t>Precio</t>
        </is>
      </c>
      <c r="E233" t="inlineStr">
        <is>
          <t>P2</t>
        </is>
      </c>
      <c r="F233" s="2" t="inlineStr">
        <is>
          <t>¿Permite estimar o comparar componentes sin ocultar límites de equivalencia?</t>
        </is>
      </c>
      <c r="G233" t="inlineStr">
        <is>
          <t>NE</t>
        </is>
      </c>
      <c r="H233" t="inlineStr">
        <is>
          <t>Pendiente</t>
        </is>
      </c>
      <c r="I233" s="2" t="inlineStr">
        <is>
          <t>Cost Management no incluye una calculadora de estimacion de componentes previa al despliegue (esa funcion es de Azure Pricing Calculator, evaluada aparte en E4).</t>
        </is>
      </c>
      <c r="J233" t="inlineStr">
        <is>
          <t>https://learn.microsoft.com/en-us/azure/cost-management-billing/costs/cost-analysis-common-uses</t>
        </is>
      </c>
      <c r="K233" t="inlineStr">
        <is>
          <t>2026-09-16</t>
        </is>
      </c>
      <c r="L233" s="2" t="inlineStr">
        <is>
          <t>Celda heredada FP-180 (2026-09-16): el valor 1 proviene de la investigacion del escenario E1 y no cuenta con evidencia propia de E3. Segun FP-177 el indicador P2 depende del escenario, por lo que pasa a NE (no evidenciado, reduce cobertura) hasta investigarlo. La evidencia y la fuente originales se conservan como referencia del escenario de origen.</t>
        </is>
      </c>
    </row>
    <row r="234">
      <c r="A234" t="inlineStr">
        <is>
          <t>E3</t>
        </is>
      </c>
      <c r="B234" t="inlineStr">
        <is>
          <t>Cloud nativa</t>
        </is>
      </c>
      <c r="C234" t="inlineStr">
        <is>
          <t>Azure Cost Management</t>
        </is>
      </c>
      <c r="D234" t="inlineStr">
        <is>
          <t>Dependencia</t>
        </is>
      </c>
      <c r="E234" t="inlineStr">
        <is>
          <t>D1</t>
        </is>
      </c>
      <c r="F234" s="2" t="inlineStr">
        <is>
          <t>¿Exporta datos/resultados en formato utilizable y documentado?</t>
        </is>
      </c>
      <c r="G234" t="n">
        <v>2</v>
      </c>
      <c r="H234" t="inlineStr">
        <is>
          <t>Oficial</t>
        </is>
      </c>
      <c r="I234" s="2" t="inlineStr">
        <is>
          <t>Los exports entregan datos en CSV/Parquet y en el esquema abierto FOCUS hacia una cuenta de almacenamiento.</t>
        </is>
      </c>
      <c r="J234" t="inlineStr">
        <is>
          <t>https://learn.microsoft.com/en-us/azure/cost-management-billing/costs/tutorial-improved-exports</t>
        </is>
      </c>
      <c r="K234" t="inlineStr">
        <is>
          <t>2026-09-16</t>
        </is>
      </c>
      <c r="L234" s="2" t="inlineStr"/>
    </row>
    <row r="235">
      <c r="A235" t="inlineStr">
        <is>
          <t>E3</t>
        </is>
      </c>
      <c r="B235" t="inlineStr">
        <is>
          <t>Cloud nativa</t>
        </is>
      </c>
      <c r="C235" t="inlineStr">
        <is>
          <t>Azure Cost Management</t>
        </is>
      </c>
      <c r="D235" t="inlineStr">
        <is>
          <t>Dependencia</t>
        </is>
      </c>
      <c r="E235" t="inlineStr">
        <is>
          <t>D2</t>
        </is>
      </c>
      <c r="F235" s="2" t="inlineStr">
        <is>
          <t>¿Documenta dependencias propietarias y un camino de salida/configuración reversible?</t>
        </is>
      </c>
      <c r="G235" t="n">
        <v>1</v>
      </c>
      <c r="H235" t="inlineStr">
        <is>
          <t>Oficial</t>
        </is>
      </c>
      <c r="I235" s="2" t="inlineStr">
        <is>
          <t>No se encontró documentación dedicada sobre un camino de salida o reversibilidad de la configuración; el riesgo de dependencia se atenúa porque los datos son exportables en formato estándar FOCUS.</t>
        </is>
      </c>
      <c r="J235" t="inlineStr">
        <is>
          <t>https://learn.microsoft.com/en-us/azure/cost-management-billing/dataset-schema/cost-usage-details-focus</t>
        </is>
      </c>
      <c r="K235" t="inlineStr">
        <is>
          <t>2026-09-16</t>
        </is>
      </c>
      <c r="L235" s="2" t="inlineStr"/>
    </row>
    <row r="236">
      <c r="A236" t="inlineStr">
        <is>
          <t>E5</t>
        </is>
      </c>
      <c r="B236" t="inlineStr">
        <is>
          <t>Cloud nativa</t>
        </is>
      </c>
      <c r="C236" t="inlineStr">
        <is>
          <t>Azure Cost Management</t>
        </is>
      </c>
      <c r="D236" t="inlineStr">
        <is>
          <t>Visibilidad</t>
        </is>
      </c>
      <c r="E236" t="inlineStr">
        <is>
          <t>V1</t>
        </is>
      </c>
      <c r="F236" s="2" t="inlineStr">
        <is>
          <t>¿Desagrega costo y uso por cuenta/proyecto, servicio y período?</t>
        </is>
      </c>
      <c r="G236" t="inlineStr">
        <is>
          <t>NE</t>
        </is>
      </c>
      <c r="H236" t="inlineStr">
        <is>
          <t>Pendiente</t>
        </is>
      </c>
      <c r="I236" s="2" t="inlineStr">
        <is>
          <t>Cost analysis permite desglosar y filtrar por suscripción, grupo de recursos, servicio, etiqueta y periodo ("Common cost analysis uses"); en AKS ofrece además vistas de Kubernetes namespaces y assets con desglose de idle/service/system/unallocated charges.</t>
        </is>
      </c>
      <c r="J236" t="inlineStr">
        <is>
          <t>https://learn.microsoft.com/en-us/azure/cost-management-billing/costs/cost-analysis-common-uses</t>
        </is>
      </c>
      <c r="K236" t="inlineStr">
        <is>
          <t>2026-09-16</t>
        </is>
      </c>
      <c r="L236" s="2" t="inlineStr">
        <is>
          <t>Celda heredada FP-180 (2026-09-16): el valor 2 proviene de la investigacion del escenario E1 y no cuenta con evidencia propia de E5. Segun FP-177 el indicador V1 depende del escenario, por lo que pasa a NE (no evidenciado, reduce cobertura) hasta investigarlo. La evidencia y la fuente originales se conservan como referencia del escenario de origen.</t>
        </is>
      </c>
    </row>
    <row r="237">
      <c r="A237" t="inlineStr">
        <is>
          <t>E5</t>
        </is>
      </c>
      <c r="B237" t="inlineStr">
        <is>
          <t>Cloud nativa</t>
        </is>
      </c>
      <c r="C237" t="inlineStr">
        <is>
          <t>Azure Cost Management</t>
        </is>
      </c>
      <c r="D237" t="inlineStr">
        <is>
          <t>Visibilidad</t>
        </is>
      </c>
      <c r="E237" t="inlineStr">
        <is>
          <t>V2</t>
        </is>
      </c>
      <c r="F237" s="2" t="inlineStr">
        <is>
          <t>¿Permite rastrear un total hasta registros o fuente de facturación?</t>
        </is>
      </c>
      <c r="G237" t="n">
        <v>2</v>
      </c>
      <c r="H237" t="inlineStr">
        <is>
          <t>Oficial</t>
        </is>
      </c>
      <c r="I237" s="2" t="inlineStr">
        <is>
          <t>Los exports de Cost Management (incluido el esquema FOCUS) reconcilian con la factura: "Usage data is reconciled with your Azure invoice data".</t>
        </is>
      </c>
      <c r="J237" t="inlineStr">
        <is>
          <t>https://learn.microsoft.com/en-us/azure/aks/cost-analysis</t>
        </is>
      </c>
      <c r="K237" t="inlineStr">
        <is>
          <t>2026-09-16</t>
        </is>
      </c>
      <c r="L237" s="2" t="inlineStr"/>
    </row>
    <row r="238">
      <c r="A238" t="inlineStr">
        <is>
          <t>E5</t>
        </is>
      </c>
      <c r="B238" t="inlineStr">
        <is>
          <t>Cloud nativa</t>
        </is>
      </c>
      <c r="C238" t="inlineStr">
        <is>
          <t>Azure Cost Management</t>
        </is>
      </c>
      <c r="D238" t="inlineStr">
        <is>
          <t>Asignacion</t>
        </is>
      </c>
      <c r="E238" t="inlineStr">
        <is>
          <t>A1</t>
        </is>
      </c>
      <c r="F238" s="2" t="inlineStr">
        <is>
          <t>¿Calcula gasto asignado/no asignado por responsable, centro o entidad?</t>
        </is>
      </c>
      <c r="G238" t="inlineStr">
        <is>
          <t>NE</t>
        </is>
      </c>
      <c r="H238" t="inlineStr">
        <is>
          <t>Pendiente</t>
        </is>
      </c>
      <c r="I238" s="2" t="inlineStr">
        <is>
          <t>Cost allocation rules reasignan costos de servicios compartidos entre suscripciones/grupos de recursos/etiquetas; en AKS se expone explícitamente una categoria de "Unallocated charges" (costo no asignable a namespaces).</t>
        </is>
      </c>
      <c r="J238" t="inlineStr">
        <is>
          <t>https://learn.microsoft.com/en-us/azure/cost-management-billing/costs/allocate-costs</t>
        </is>
      </c>
      <c r="K238" t="inlineStr">
        <is>
          <t>2026-09-16</t>
        </is>
      </c>
      <c r="L238" s="2" t="inlineStr">
        <is>
          <t>Celda heredada FP-180 (2026-09-16): el valor 2 proviene de la investigacion del escenario E1 y no cuenta con evidencia propia de E5. Segun FP-177 el indicador A1 depende del escenario, por lo que pasa a NE (no evidenciado, reduce cobertura) hasta investigarlo. La evidencia y la fuente originales se conservan como referencia del escenario de origen.</t>
        </is>
      </c>
    </row>
    <row r="239">
      <c r="A239" t="inlineStr">
        <is>
          <t>E5</t>
        </is>
      </c>
      <c r="B239" t="inlineStr">
        <is>
          <t>Cloud nativa</t>
        </is>
      </c>
      <c r="C239" t="inlineStr">
        <is>
          <t>Azure Cost Management</t>
        </is>
      </c>
      <c r="D239" t="inlineStr">
        <is>
          <t>Asignacion</t>
        </is>
      </c>
      <c r="E239" t="inlineStr">
        <is>
          <t>A2</t>
        </is>
      </c>
      <c r="F239" s="2" t="inlineStr">
        <is>
          <t>¿Explicita y aplica reglas para costo compartido/multi-tenant?</t>
        </is>
      </c>
      <c r="G239" t="inlineStr">
        <is>
          <t>NE</t>
        </is>
      </c>
      <c r="H239" t="inlineStr">
        <is>
          <t>Pendiente</t>
        </is>
      </c>
      <c r="I239" s="2" t="inlineStr">
        <is>
          <t>Las cost allocation rules ofrecen varios metodos de reparto (Distribute evenly, Total/Compute/Storage/Network cost, Custom) con porcentajes explicitos que "don't change" salvo edicion manual de la regla, y se procesan "in the order in which they get created".</t>
        </is>
      </c>
      <c r="J239" t="inlineStr">
        <is>
          <t>https://learn.microsoft.com/en-us/azure/cost-management-billing/costs/allocate-costs</t>
        </is>
      </c>
      <c r="K239" t="inlineStr">
        <is>
          <t>2026-09-16</t>
        </is>
      </c>
      <c r="L239" s="2" t="inlineStr">
        <is>
          <t>Celda heredada FP-180 (2026-09-16): el valor 2 proviene de la investigacion del escenario E1 y no cuenta con evidencia propia de E5. Segun FP-177 el indicador A2 depende del escenario, por lo que pasa a NE (no evidenciado, reduce cobertura) hasta investigarlo. La evidencia y la fuente originales se conservan como referencia del escenario de origen.</t>
        </is>
      </c>
    </row>
    <row r="240">
      <c r="A240" t="inlineStr">
        <is>
          <t>E5</t>
        </is>
      </c>
      <c r="B240" t="inlineStr">
        <is>
          <t>Cloud nativa</t>
        </is>
      </c>
      <c r="C240" t="inlineStr">
        <is>
          <t>Azure Cost Management</t>
        </is>
      </c>
      <c r="D240" t="inlineStr">
        <is>
          <t>Optimizacion</t>
        </is>
      </c>
      <c r="E240" t="inlineStr">
        <is>
          <t>O1</t>
        </is>
      </c>
      <c r="F240" s="2" t="inlineStr">
        <is>
          <t>¿Detecta desperdicio, rightsizing o compromiso relevante al escenario?</t>
        </is>
      </c>
      <c r="G240" t="inlineStr">
        <is>
          <t>NE</t>
        </is>
      </c>
      <c r="H240" t="inlineStr">
        <is>
          <t>Pendiente</t>
        </is>
      </c>
      <c r="I240" s="2" t="inlineStr">
        <is>
          <t>Azure Advisor genera recomendaciones de rightsizing/apagado de recursos inactivos y reservas en múltiples servicios (VM, App Service, MySQL, Cosmos DB, Data Explorer), con métodos de cálculo de ahorro documentados por servicio.</t>
        </is>
      </c>
      <c r="J240" t="inlineStr">
        <is>
          <t>https://learn.microsoft.com/en-us/azure/advisor/advisor-reference-cost-recommendations</t>
        </is>
      </c>
      <c r="K240" t="inlineStr">
        <is>
          <t>2026-09-16</t>
        </is>
      </c>
      <c r="L240" s="2" t="inlineStr">
        <is>
          <t>Celda heredada FP-180 (2026-09-16): el valor 2 proviene de la investigacion del escenario E1 y no cuenta con evidencia propia de E5. Segun FP-177 el indicador O1 depende del escenario, por lo que pasa a NE (no evidenciado, reduce cobertura) hasta investigarlo. La evidencia y la fuente originales se conservan como referencia del escenario de origen.</t>
        </is>
      </c>
    </row>
    <row r="241">
      <c r="A241" t="inlineStr">
        <is>
          <t>E5</t>
        </is>
      </c>
      <c r="B241" t="inlineStr">
        <is>
          <t>Cloud nativa</t>
        </is>
      </c>
      <c r="C241" t="inlineStr">
        <is>
          <t>Azure Cost Management</t>
        </is>
      </c>
      <c r="D241" t="inlineStr">
        <is>
          <t>Optimizacion</t>
        </is>
      </c>
      <c r="E241" t="inlineStr">
        <is>
          <t>O2</t>
        </is>
      </c>
      <c r="F241" s="2" t="inlineStr">
        <is>
          <t>¿Explica supuesto/impacto y permite seguir una recomendación?</t>
        </is>
      </c>
      <c r="G241" t="n">
        <v>1</v>
      </c>
      <c r="H241" t="inlineStr">
        <is>
          <t>Oficial</t>
        </is>
      </c>
      <c r="I241" s="2" t="inlineStr">
        <is>
          <t>Advisor explica el impacto y metodologia de ahorro por recomendacion, pero la documentacion revisada no describe un sistema de seguimiento de estado integrado ("no detalla como hacer seguimiento del estado especifico de cada recomendacion").</t>
        </is>
      </c>
      <c r="J241" t="inlineStr">
        <is>
          <t>https://learn.microsoft.com/en-us/azure/advisor/advisor-reference-cost-recommendations</t>
        </is>
      </c>
      <c r="K241" t="inlineStr">
        <is>
          <t>2026-09-16</t>
        </is>
      </c>
      <c r="L241" s="2" t="inlineStr"/>
    </row>
    <row r="242">
      <c r="A242" t="inlineStr">
        <is>
          <t>E5</t>
        </is>
      </c>
      <c r="B242" t="inlineStr">
        <is>
          <t>Cloud nativa</t>
        </is>
      </c>
      <c r="C242" t="inlineStr">
        <is>
          <t>Azure Cost Management</t>
        </is>
      </c>
      <c r="D242" t="inlineStr">
        <is>
          <t>Automatizacion</t>
        </is>
      </c>
      <c r="E242" t="inlineStr">
        <is>
          <t>AU1</t>
        </is>
      </c>
      <c r="F242" s="2" t="inlineStr">
        <is>
          <t>¿Ejecuta o bloquea acciones/políticas de costo con control verificable?</t>
        </is>
      </c>
      <c r="G242" t="inlineStr">
        <is>
          <t>NE</t>
        </is>
      </c>
      <c r="H242" t="inlineStr">
        <is>
          <t>Pendiente</t>
        </is>
      </c>
      <c r="I242" s="2" t="inlineStr">
        <is>
          <t>Los budgets disparan Action Groups que ejecutan Automation Runbooks/Logic Apps/webhooks automáticamente al superar un umbral; el escenario oficial detiene VMs automáticamente al 80% y 100% del presupuesto, sin paso de aprobación incorporado.</t>
        </is>
      </c>
      <c r="J242" t="inlineStr">
        <is>
          <t>https://learn.microsoft.com/en-us/azure/cost-management-billing/manage/cost-management-budget-scenario</t>
        </is>
      </c>
      <c r="K242" t="inlineStr">
        <is>
          <t>2026-09-16</t>
        </is>
      </c>
      <c r="L242" s="2" t="inlineStr">
        <is>
          <t>Celda heredada FP-180 (2026-09-16): el valor 2 proviene de la investigacion del escenario E1 y no cuenta con evidencia propia de E5. Segun FP-177 el indicador AU1 depende del escenario, por lo que pasa a NE (no evidenciado, reduce cobertura) hasta investigarlo. La evidencia y la fuente originales se conservan como referencia del escenario de origen.</t>
        </is>
      </c>
    </row>
    <row r="243">
      <c r="A243" t="inlineStr">
        <is>
          <t>E5</t>
        </is>
      </c>
      <c r="B243" t="inlineStr">
        <is>
          <t>Cloud nativa</t>
        </is>
      </c>
      <c r="C243" t="inlineStr">
        <is>
          <t>Azure Cost Management</t>
        </is>
      </c>
      <c r="D243" t="inlineStr">
        <is>
          <t>Automatizacion</t>
        </is>
      </c>
      <c r="E243" t="inlineStr">
        <is>
          <t>AU2</t>
        </is>
      </c>
      <c r="F243" s="2" t="inlineStr">
        <is>
          <t>¿Ofrece aprobación, reversión, registro o límites antes de actuar?</t>
        </is>
      </c>
      <c r="G243" t="n">
        <v>1</v>
      </c>
      <c r="H243" t="inlineStr">
        <is>
          <t>Oficial</t>
        </is>
      </c>
      <c r="I243" s="2" t="inlineStr">
        <is>
          <t>La documentación no describe un paso de aprobación manual nativo antes de ejecutar la acción, ni detalla registro de auditoría o reversión; requeriría construir esa salvaguarda dentro del Logic App/Runbook.</t>
        </is>
      </c>
      <c r="J243" t="inlineStr">
        <is>
          <t>https://learn.microsoft.com/en-us/azure/cost-management-billing/manage/cost-management-budget-scenario</t>
        </is>
      </c>
      <c r="K243" t="inlineStr">
        <is>
          <t>2026-09-16</t>
        </is>
      </c>
      <c r="L243" s="2" t="inlineStr"/>
    </row>
    <row r="244">
      <c r="A244" t="inlineStr">
        <is>
          <t>E5</t>
        </is>
      </c>
      <c r="B244" t="inlineStr">
        <is>
          <t>Cloud nativa</t>
        </is>
      </c>
      <c r="C244" t="inlineStr">
        <is>
          <t>Azure Cost Management</t>
        </is>
      </c>
      <c r="D244" t="inlineStr">
        <is>
          <t>Multicloud</t>
        </is>
      </c>
      <c r="E244" t="inlineStr">
        <is>
          <t>M1</t>
        </is>
      </c>
      <c r="F244" s="2" t="inlineStr">
        <is>
          <t>¿Consolida al menos dos proveedores bajo el mismo esquema declarado?</t>
        </is>
      </c>
      <c r="G244" t="n">
        <v>0</v>
      </c>
      <c r="H244" t="inlineStr">
        <is>
          <t>Oficial</t>
        </is>
      </c>
      <c r="I244" s="2" t="inlineStr">
        <is>
          <t>Cost Management cubre exclusivamente cuentas y suscripciones de Azure; no ingiere ni consolida datos de AWS/GCP dentro de la misma consola.</t>
        </is>
      </c>
      <c r="J244" t="inlineStr">
        <is>
          <t>https://learn.microsoft.com/en-us/azure/cost-management-billing/dataset-schema/cost-usage-details-focus</t>
        </is>
      </c>
      <c r="K244" t="inlineStr">
        <is>
          <t>2026-09-16</t>
        </is>
      </c>
      <c r="L244" s="2" t="inlineStr"/>
    </row>
    <row r="245">
      <c r="A245" t="inlineStr">
        <is>
          <t>E5</t>
        </is>
      </c>
      <c r="B245" t="inlineStr">
        <is>
          <t>Cloud nativa</t>
        </is>
      </c>
      <c r="C245" t="inlineStr">
        <is>
          <t>Azure Cost Management</t>
        </is>
      </c>
      <c r="D245" t="inlineStr">
        <is>
          <t>Multicloud</t>
        </is>
      </c>
      <c r="E245" t="inlineStr">
        <is>
          <t>M2</t>
        </is>
      </c>
      <c r="F245" s="2" t="inlineStr">
        <is>
          <t>¿Hace visibles proveedor, cobertura y diferencias semánticas?</t>
        </is>
      </c>
      <c r="G245" t="n">
        <v>0</v>
      </c>
      <c r="H245" t="inlineStr">
        <is>
          <t>Oficial</t>
        </is>
      </c>
      <c r="I245" s="2" t="inlineStr">
        <is>
          <t>Al no consolidar otros proveedores, no expone diferencias de cobertura o semántica entre nubes.</t>
        </is>
      </c>
      <c r="J245" t="inlineStr">
        <is>
          <t>https://learn.microsoft.com/en-us/azure/cost-management-billing/dataset-schema/cost-usage-details-focus</t>
        </is>
      </c>
      <c r="K245" t="inlineStr">
        <is>
          <t>2026-09-16</t>
        </is>
      </c>
      <c r="L245" s="2" t="inlineStr"/>
    </row>
    <row r="246">
      <c r="A246" t="inlineStr">
        <is>
          <t>E5</t>
        </is>
      </c>
      <c r="B246" t="inlineStr">
        <is>
          <t>Cloud nativa</t>
        </is>
      </c>
      <c r="C246" t="inlineStr">
        <is>
          <t>Azure Cost Management</t>
        </is>
      </c>
      <c r="D246" t="inlineStr">
        <is>
          <t>Integracion</t>
        </is>
      </c>
      <c r="E246" t="inlineStr">
        <is>
          <t>I1</t>
        </is>
      </c>
      <c r="F246" s="2" t="inlineStr">
        <is>
          <t>¿Integra datos requeridos (facturación, uso, clúster o IaC) del escenario?</t>
        </is>
      </c>
      <c r="G246" t="inlineStr">
        <is>
          <t>NE</t>
        </is>
      </c>
      <c r="H246" t="inlineStr">
        <is>
          <t>Pendiente</t>
        </is>
      </c>
      <c r="I246" s="2" t="inlineStr">
        <is>
          <t>Los exports automatizan la ingesta de datos de costo/uso; para AKS, Cost Analysis integra métricas de clúster a nivel de namespace de forma nativa ("detailed cost allocation scoped to Kubernetes constructs, such as clusters and namespaces"), sin requerir un add-on de terceros.</t>
        </is>
      </c>
      <c r="J246" t="inlineStr">
        <is>
          <t>https://learn.microsoft.com/en-us/azure/aks/cost-analysis</t>
        </is>
      </c>
      <c r="K246" t="inlineStr">
        <is>
          <t>2026-09-16</t>
        </is>
      </c>
      <c r="L246" s="2" t="inlineStr">
        <is>
          <t>Celda heredada FP-180 (2026-09-16): el valor 2 proviene de la investigacion del escenario E1 y no cuenta con evidencia propia de E5. Segun FP-177 el indicador I1 depende del escenario, por lo que pasa a NE (no evidenciado, reduce cobertura) hasta investigarlo. La evidencia y la fuente originales se conservan como referencia del escenario de origen.</t>
        </is>
      </c>
    </row>
    <row r="247">
      <c r="A247" t="inlineStr">
        <is>
          <t>E5</t>
        </is>
      </c>
      <c r="B247" t="inlineStr">
        <is>
          <t>Cloud nativa</t>
        </is>
      </c>
      <c r="C247" t="inlineStr">
        <is>
          <t>Azure Cost Management</t>
        </is>
      </c>
      <c r="D247" t="inlineStr">
        <is>
          <t>Integracion</t>
        </is>
      </c>
      <c r="E247" t="inlineStr">
        <is>
          <t>I2</t>
        </is>
      </c>
      <c r="F247" s="2" t="inlineStr">
        <is>
          <t>¿Se integra con el flujo de trabajo relevante (alerta, ticket, CI/CD o reporte)?</t>
        </is>
      </c>
      <c r="G247" t="inlineStr">
        <is>
          <t>NE</t>
        </is>
      </c>
      <c r="H247" t="inlineStr">
        <is>
          <t>Pendiente</t>
        </is>
      </c>
      <c r="I247" s="2" t="inlineStr">
        <is>
          <t>Los Action Groups integran budgets con notificaciones, webhooks y Logic Apps, incorporando el evento de costo a un flujo operativo.</t>
        </is>
      </c>
      <c r="J247" t="inlineStr">
        <is>
          <t>https://learn.microsoft.com/en-us/azure/cost-management-billing/manage/cost-management-budget-scenario</t>
        </is>
      </c>
      <c r="K247" t="inlineStr">
        <is>
          <t>2026-09-16</t>
        </is>
      </c>
      <c r="L247" s="2" t="inlineStr">
        <is>
          <t>Celda heredada FP-180 (2026-09-16): el valor 2 proviene de la investigacion del escenario E1 y no cuenta con evidencia propia de E5. Segun FP-177 el indicador I2 depende del escenario, por lo que pasa a NE (no evidenciado, reduce cobertura) hasta investigarlo. La evidencia y la fuente originales se conservan como referencia del escenario de origen.</t>
        </is>
      </c>
    </row>
    <row r="248">
      <c r="A248" t="inlineStr">
        <is>
          <t>E5</t>
        </is>
      </c>
      <c r="B248" t="inlineStr">
        <is>
          <t>Cloud nativa</t>
        </is>
      </c>
      <c r="C248" t="inlineStr">
        <is>
          <t>Azure Cost Management</t>
        </is>
      </c>
      <c r="D248" t="inlineStr">
        <is>
          <t>Adopcion</t>
        </is>
      </c>
      <c r="E248" t="inlineStr">
        <is>
          <t>AD1</t>
        </is>
      </c>
      <c r="F248" s="2" t="inlineStr">
        <is>
          <t>¿Soporta acceso/entrega para los roles del escenario?</t>
        </is>
      </c>
      <c r="G248" t="inlineStr">
        <is>
          <t>NE</t>
        </is>
      </c>
      <c r="H248" t="inlineStr">
        <is>
          <t>Pendiente</t>
        </is>
      </c>
      <c r="I248" s="2" t="inlineStr">
        <is>
          <t>El acceso a los datos de Cost Management se controla con roles RBAC ("Cost Management Reader"/"Contributor") acotados por scope (grupo de gestion, suscripcion, grupo de recursos).</t>
        </is>
      </c>
      <c r="J248" t="inlineStr">
        <is>
          <t>https://learn.microsoft.com/en-us/azure/cost-management-billing/costs/assign-access-acm-data</t>
        </is>
      </c>
      <c r="K248" t="inlineStr">
        <is>
          <t>2026-09-16</t>
        </is>
      </c>
      <c r="L248" s="2" t="inlineStr">
        <is>
          <t>Celda heredada FP-180 (2026-09-16): el valor 2 proviene de la investigacion del escenario E1 y no cuenta con evidencia propia de E5. Segun FP-177 el indicador AD1 depende del escenario, por lo que pasa a NE (no evidenciado, reduce cobertura) hasta investigarlo. La evidencia y la fuente originales se conservan como referencia del escenario de origen.</t>
        </is>
      </c>
    </row>
    <row r="249">
      <c r="A249" t="inlineStr">
        <is>
          <t>E5</t>
        </is>
      </c>
      <c r="B249" t="inlineStr">
        <is>
          <t>Cloud nativa</t>
        </is>
      </c>
      <c r="C249" t="inlineStr">
        <is>
          <t>Azure Cost Management</t>
        </is>
      </c>
      <c r="D249" t="inlineStr">
        <is>
          <t>Adopcion</t>
        </is>
      </c>
      <c r="E249" t="inlineStr">
        <is>
          <t>AD2</t>
        </is>
      </c>
      <c r="F249" s="2" t="inlineStr">
        <is>
          <t>¿Ofrece guías, ownership o mecanismos de seguimiento para uso sostenido?</t>
        </is>
      </c>
      <c r="G249" t="n">
        <v>2</v>
      </c>
      <c r="H249" t="inlineStr">
        <is>
          <t>Oficial</t>
        </is>
      </c>
      <c r="I249" s="2" t="inlineStr">
        <is>
          <t>Microsoft mantiene guias oficiales de adopcion y un blog dedicado de FinOps ("FinOps Blog") con practicas de gestion de costo.</t>
        </is>
      </c>
      <c r="J249" t="inlineStr">
        <is>
          <t>https://techcommunity.microsoft.com/blog/finopsblog/generally-available-enhanced-cost-management-exports/4407748</t>
        </is>
      </c>
      <c r="K249" t="inlineStr">
        <is>
          <t>2026-09-16</t>
        </is>
      </c>
      <c r="L249" s="2" t="inlineStr"/>
    </row>
    <row r="250">
      <c r="A250" t="inlineStr">
        <is>
          <t>E5</t>
        </is>
      </c>
      <c r="B250" t="inlineStr">
        <is>
          <t>Cloud nativa</t>
        </is>
      </c>
      <c r="C250" t="inlineStr">
        <is>
          <t>Azure Cost Management</t>
        </is>
      </c>
      <c r="D250" t="inlineStr">
        <is>
          <t>Precio</t>
        </is>
      </c>
      <c r="E250" t="inlineStr">
        <is>
          <t>P1</t>
        </is>
      </c>
      <c r="F250" s="2" t="inlineStr">
        <is>
          <t>¿Expone precio, moneda, región, unidad, período y supuestos relevantes?</t>
        </is>
      </c>
      <c r="G250" t="n">
        <v>2</v>
      </c>
      <c r="H250" t="inlineStr">
        <is>
          <t>Oficial</t>
        </is>
      </c>
      <c r="I250" s="2" t="inlineStr">
        <is>
          <t>Los exports en esquema FOCUS exponen columnas estandarizadas (BilledCost, EffectiveCost, ListCost, PricingQuantity) con moneda, periodo y servicio.</t>
        </is>
      </c>
      <c r="J250" t="inlineStr">
        <is>
          <t>https://learn.microsoft.com/en-us/azure/cost-management-billing/dataset-schema/cost-usage-details-focus</t>
        </is>
      </c>
      <c r="K250" t="inlineStr">
        <is>
          <t>2026-09-16</t>
        </is>
      </c>
      <c r="L250" s="2" t="inlineStr"/>
    </row>
    <row r="251">
      <c r="A251" t="inlineStr">
        <is>
          <t>E5</t>
        </is>
      </c>
      <c r="B251" t="inlineStr">
        <is>
          <t>Cloud nativa</t>
        </is>
      </c>
      <c r="C251" t="inlineStr">
        <is>
          <t>Azure Cost Management</t>
        </is>
      </c>
      <c r="D251" t="inlineStr">
        <is>
          <t>Precio</t>
        </is>
      </c>
      <c r="E251" t="inlineStr">
        <is>
          <t>P2</t>
        </is>
      </c>
      <c r="F251" s="2" t="inlineStr">
        <is>
          <t>¿Permite estimar o comparar componentes sin ocultar límites de equivalencia?</t>
        </is>
      </c>
      <c r="G251" t="inlineStr">
        <is>
          <t>NE</t>
        </is>
      </c>
      <c r="H251" t="inlineStr">
        <is>
          <t>Pendiente</t>
        </is>
      </c>
      <c r="I251" s="2" t="inlineStr">
        <is>
          <t>Cost Management no incluye una calculadora de estimacion de componentes previa al despliegue (esa funcion es de Azure Pricing Calculator, evaluada aparte en E4).</t>
        </is>
      </c>
      <c r="J251" t="inlineStr">
        <is>
          <t>https://learn.microsoft.com/en-us/azure/cost-management-billing/costs/cost-analysis-common-uses</t>
        </is>
      </c>
      <c r="K251" t="inlineStr">
        <is>
          <t>2026-09-16</t>
        </is>
      </c>
      <c r="L251" s="2" t="inlineStr">
        <is>
          <t>Celda heredada FP-180 (2026-09-16): el valor 1 proviene de la investigacion del escenario E1 y no cuenta con evidencia propia de E5. Segun FP-177 el indicador P2 depende del escenario, por lo que pasa a NE (no evidenciado, reduce cobertura) hasta investigarlo. La evidencia y la fuente originales se conservan como referencia del escenario de origen.</t>
        </is>
      </c>
    </row>
    <row r="252">
      <c r="A252" t="inlineStr">
        <is>
          <t>E5</t>
        </is>
      </c>
      <c r="B252" t="inlineStr">
        <is>
          <t>Cloud nativa</t>
        </is>
      </c>
      <c r="C252" t="inlineStr">
        <is>
          <t>Azure Cost Management</t>
        </is>
      </c>
      <c r="D252" t="inlineStr">
        <is>
          <t>Dependencia</t>
        </is>
      </c>
      <c r="E252" t="inlineStr">
        <is>
          <t>D1</t>
        </is>
      </c>
      <c r="F252" s="2" t="inlineStr">
        <is>
          <t>¿Exporta datos/resultados en formato utilizable y documentado?</t>
        </is>
      </c>
      <c r="G252" t="n">
        <v>2</v>
      </c>
      <c r="H252" t="inlineStr">
        <is>
          <t>Oficial</t>
        </is>
      </c>
      <c r="I252" s="2" t="inlineStr">
        <is>
          <t>Los exports entregan datos en CSV/Parquet y en el esquema abierto FOCUS hacia una cuenta de almacenamiento.</t>
        </is>
      </c>
      <c r="J252" t="inlineStr">
        <is>
          <t>https://learn.microsoft.com/en-us/azure/cost-management-billing/costs/tutorial-improved-exports</t>
        </is>
      </c>
      <c r="K252" t="inlineStr">
        <is>
          <t>2026-09-16</t>
        </is>
      </c>
      <c r="L252" s="2" t="inlineStr"/>
    </row>
    <row r="253">
      <c r="A253" t="inlineStr">
        <is>
          <t>E5</t>
        </is>
      </c>
      <c r="B253" t="inlineStr">
        <is>
          <t>Cloud nativa</t>
        </is>
      </c>
      <c r="C253" t="inlineStr">
        <is>
          <t>Azure Cost Management</t>
        </is>
      </c>
      <c r="D253" t="inlineStr">
        <is>
          <t>Dependencia</t>
        </is>
      </c>
      <c r="E253" t="inlineStr">
        <is>
          <t>D2</t>
        </is>
      </c>
      <c r="F253" s="2" t="inlineStr">
        <is>
          <t>¿Documenta dependencias propietarias y un camino de salida/configuración reversible?</t>
        </is>
      </c>
      <c r="G253" t="n">
        <v>1</v>
      </c>
      <c r="H253" t="inlineStr">
        <is>
          <t>Oficial</t>
        </is>
      </c>
      <c r="I253" s="2" t="inlineStr">
        <is>
          <t>No se encontró documentación dedicada sobre un camino de salida o reversibilidad de la configuración; el riesgo de dependencia se atenúa porque los datos son exportables en formato estándar FOCUS.</t>
        </is>
      </c>
      <c r="J253" t="inlineStr">
        <is>
          <t>https://learn.microsoft.com/en-us/azure/cost-management-billing/dataset-schema/cost-usage-details-focus</t>
        </is>
      </c>
      <c r="K253" t="inlineStr">
        <is>
          <t>2026-09-16</t>
        </is>
      </c>
      <c r="L253" s="2" t="inlineStr"/>
    </row>
    <row r="254">
      <c r="A254" t="inlineStr">
        <is>
          <t>E6</t>
        </is>
      </c>
      <c r="B254" t="inlineStr">
        <is>
          <t>Cloud nativa</t>
        </is>
      </c>
      <c r="C254" t="inlineStr">
        <is>
          <t>Azure Cost Management</t>
        </is>
      </c>
      <c r="D254" t="inlineStr">
        <is>
          <t>Visibilidad</t>
        </is>
      </c>
      <c r="E254" t="inlineStr">
        <is>
          <t>V1</t>
        </is>
      </c>
      <c r="F254" s="2" t="inlineStr">
        <is>
          <t>¿Desagrega costo y uso por cuenta/proyecto, servicio y período?</t>
        </is>
      </c>
      <c r="G254" t="inlineStr">
        <is>
          <t>NE</t>
        </is>
      </c>
      <c r="H254" t="inlineStr">
        <is>
          <t>Pendiente</t>
        </is>
      </c>
      <c r="I254" s="2" t="inlineStr">
        <is>
          <t>Cost analysis permite desglosar y filtrar por suscripción, grupo de recursos, servicio, etiqueta y periodo ("Common cost analysis uses"); en AKS ofrece además vistas de Kubernetes namespaces y assets con desglose de idle/service/system/unallocated charges.</t>
        </is>
      </c>
      <c r="J254" t="inlineStr">
        <is>
          <t>https://learn.microsoft.com/en-us/azure/cost-management-billing/costs/cost-analysis-common-uses</t>
        </is>
      </c>
      <c r="K254" t="inlineStr">
        <is>
          <t>2026-09-16</t>
        </is>
      </c>
      <c r="L254" s="2" t="inlineStr">
        <is>
          <t>Celda heredada FP-180 (2026-09-16): el valor 2 proviene de la investigacion del escenario E1 y no cuenta con evidencia propia de E6. Segun FP-177 el indicador V1 depende del escenario, por lo que pasa a NE (no evidenciado, reduce cobertura) hasta investigarlo. La evidencia y la fuente originales se conservan como referencia del escenario de origen.</t>
        </is>
      </c>
    </row>
    <row r="255">
      <c r="A255" t="inlineStr">
        <is>
          <t>E6</t>
        </is>
      </c>
      <c r="B255" t="inlineStr">
        <is>
          <t>Cloud nativa</t>
        </is>
      </c>
      <c r="C255" t="inlineStr">
        <is>
          <t>Azure Cost Management</t>
        </is>
      </c>
      <c r="D255" t="inlineStr">
        <is>
          <t>Visibilidad</t>
        </is>
      </c>
      <c r="E255" t="inlineStr">
        <is>
          <t>V2</t>
        </is>
      </c>
      <c r="F255" s="2" t="inlineStr">
        <is>
          <t>¿Permite rastrear un total hasta registros o fuente de facturación?</t>
        </is>
      </c>
      <c r="G255" t="n">
        <v>2</v>
      </c>
      <c r="H255" t="inlineStr">
        <is>
          <t>Oficial</t>
        </is>
      </c>
      <c r="I255" s="2" t="inlineStr">
        <is>
          <t>Los exports de Cost Management (incluido el esquema FOCUS) reconcilian con la factura: "Usage data is reconciled with your Azure invoice data".</t>
        </is>
      </c>
      <c r="J255" t="inlineStr">
        <is>
          <t>https://learn.microsoft.com/en-us/azure/aks/cost-analysis</t>
        </is>
      </c>
      <c r="K255" t="inlineStr">
        <is>
          <t>2026-09-16</t>
        </is>
      </c>
      <c r="L255" s="2" t="inlineStr"/>
    </row>
    <row r="256">
      <c r="A256" t="inlineStr">
        <is>
          <t>E6</t>
        </is>
      </c>
      <c r="B256" t="inlineStr">
        <is>
          <t>Cloud nativa</t>
        </is>
      </c>
      <c r="C256" t="inlineStr">
        <is>
          <t>Azure Cost Management</t>
        </is>
      </c>
      <c r="D256" t="inlineStr">
        <is>
          <t>Asignacion</t>
        </is>
      </c>
      <c r="E256" t="inlineStr">
        <is>
          <t>A1</t>
        </is>
      </c>
      <c r="F256" s="2" t="inlineStr">
        <is>
          <t>¿Calcula gasto asignado/no asignado por responsable, centro o entidad?</t>
        </is>
      </c>
      <c r="G256" t="inlineStr">
        <is>
          <t>NE</t>
        </is>
      </c>
      <c r="H256" t="inlineStr">
        <is>
          <t>Pendiente</t>
        </is>
      </c>
      <c r="I256" s="2" t="inlineStr">
        <is>
          <t>Cost allocation rules reasignan costos de servicios compartidos entre suscripciones/grupos de recursos/etiquetas; en AKS se expone explícitamente una categoria de "Unallocated charges" (costo no asignable a namespaces).</t>
        </is>
      </c>
      <c r="J256" t="inlineStr">
        <is>
          <t>https://learn.microsoft.com/en-us/azure/cost-management-billing/costs/allocate-costs</t>
        </is>
      </c>
      <c r="K256" t="inlineStr">
        <is>
          <t>2026-09-16</t>
        </is>
      </c>
      <c r="L256" s="2" t="inlineStr">
        <is>
          <t>Celda heredada FP-180 (2026-09-16): el valor 2 proviene de la investigacion del escenario E1 y no cuenta con evidencia propia de E6. Segun FP-177 el indicador A1 depende del escenario, por lo que pasa a NE (no evidenciado, reduce cobertura) hasta investigarlo. La evidencia y la fuente originales se conservan como referencia del escenario de origen.</t>
        </is>
      </c>
    </row>
    <row r="257">
      <c r="A257" t="inlineStr">
        <is>
          <t>E6</t>
        </is>
      </c>
      <c r="B257" t="inlineStr">
        <is>
          <t>Cloud nativa</t>
        </is>
      </c>
      <c r="C257" t="inlineStr">
        <is>
          <t>Azure Cost Management</t>
        </is>
      </c>
      <c r="D257" t="inlineStr">
        <is>
          <t>Asignacion</t>
        </is>
      </c>
      <c r="E257" t="inlineStr">
        <is>
          <t>A2</t>
        </is>
      </c>
      <c r="F257" s="2" t="inlineStr">
        <is>
          <t>¿Explicita y aplica reglas para costo compartido/multi-tenant?</t>
        </is>
      </c>
      <c r="G257" t="inlineStr">
        <is>
          <t>NE</t>
        </is>
      </c>
      <c r="H257" t="inlineStr">
        <is>
          <t>Pendiente</t>
        </is>
      </c>
      <c r="I257" s="2" t="inlineStr">
        <is>
          <t>Las cost allocation rules ofrecen varios metodos de reparto (Distribute evenly, Total/Compute/Storage/Network cost, Custom) con porcentajes explicitos que "don't change" salvo edicion manual de la regla, y se procesan "in the order in which they get created".</t>
        </is>
      </c>
      <c r="J257" t="inlineStr">
        <is>
          <t>https://learn.microsoft.com/en-us/azure/cost-management-billing/costs/allocate-costs</t>
        </is>
      </c>
      <c r="K257" t="inlineStr">
        <is>
          <t>2026-09-16</t>
        </is>
      </c>
      <c r="L257" s="2" t="inlineStr">
        <is>
          <t>Celda heredada FP-180 (2026-09-16): el valor 2 proviene de la investigacion del escenario E1 y no cuenta con evidencia propia de E6. Segun FP-177 el indicador A2 depende del escenario, por lo que pasa a NE (no evidenciado, reduce cobertura) hasta investigarlo. La evidencia y la fuente originales se conservan como referencia del escenario de origen.</t>
        </is>
      </c>
    </row>
    <row r="258">
      <c r="A258" t="inlineStr">
        <is>
          <t>E6</t>
        </is>
      </c>
      <c r="B258" t="inlineStr">
        <is>
          <t>Cloud nativa</t>
        </is>
      </c>
      <c r="C258" t="inlineStr">
        <is>
          <t>Azure Cost Management</t>
        </is>
      </c>
      <c r="D258" t="inlineStr">
        <is>
          <t>Optimizacion</t>
        </is>
      </c>
      <c r="E258" t="inlineStr">
        <is>
          <t>O1</t>
        </is>
      </c>
      <c r="F258" s="2" t="inlineStr">
        <is>
          <t>¿Detecta desperdicio, rightsizing o compromiso relevante al escenario?</t>
        </is>
      </c>
      <c r="G258" t="inlineStr">
        <is>
          <t>NE</t>
        </is>
      </c>
      <c r="H258" t="inlineStr">
        <is>
          <t>Pendiente</t>
        </is>
      </c>
      <c r="I258" s="2" t="inlineStr">
        <is>
          <t>Azure Advisor genera recomendaciones de rightsizing/apagado de recursos inactivos y reservas en múltiples servicios (VM, App Service, MySQL, Cosmos DB, Data Explorer), con métodos de cálculo de ahorro documentados por servicio.</t>
        </is>
      </c>
      <c r="J258" t="inlineStr">
        <is>
          <t>https://learn.microsoft.com/en-us/azure/advisor/advisor-reference-cost-recommendations</t>
        </is>
      </c>
      <c r="K258" t="inlineStr">
        <is>
          <t>2026-09-16</t>
        </is>
      </c>
      <c r="L258" s="2" t="inlineStr">
        <is>
          <t>Celda heredada FP-180 (2026-09-16): el valor 2 proviene de la investigacion del escenario E1 y no cuenta con evidencia propia de E6. Segun FP-177 el indicador O1 depende del escenario, por lo que pasa a NE (no evidenciado, reduce cobertura) hasta investigarlo. La evidencia y la fuente originales se conservan como referencia del escenario de origen.</t>
        </is>
      </c>
    </row>
    <row r="259">
      <c r="A259" t="inlineStr">
        <is>
          <t>E6</t>
        </is>
      </c>
      <c r="B259" t="inlineStr">
        <is>
          <t>Cloud nativa</t>
        </is>
      </c>
      <c r="C259" t="inlineStr">
        <is>
          <t>Azure Cost Management</t>
        </is>
      </c>
      <c r="D259" t="inlineStr">
        <is>
          <t>Optimizacion</t>
        </is>
      </c>
      <c r="E259" t="inlineStr">
        <is>
          <t>O2</t>
        </is>
      </c>
      <c r="F259" s="2" t="inlineStr">
        <is>
          <t>¿Explica supuesto/impacto y permite seguir una recomendación?</t>
        </is>
      </c>
      <c r="G259" t="n">
        <v>1</v>
      </c>
      <c r="H259" t="inlineStr">
        <is>
          <t>Oficial</t>
        </is>
      </c>
      <c r="I259" s="2" t="inlineStr">
        <is>
          <t>Advisor explica el impacto y metodologia de ahorro por recomendacion, pero la documentacion revisada no describe un sistema de seguimiento de estado integrado ("no detalla como hacer seguimiento del estado especifico de cada recomendacion").</t>
        </is>
      </c>
      <c r="J259" t="inlineStr">
        <is>
          <t>https://learn.microsoft.com/en-us/azure/advisor/advisor-reference-cost-recommendations</t>
        </is>
      </c>
      <c r="K259" t="inlineStr">
        <is>
          <t>2026-09-16</t>
        </is>
      </c>
      <c r="L259" s="2" t="inlineStr"/>
    </row>
    <row r="260">
      <c r="A260" t="inlineStr">
        <is>
          <t>E6</t>
        </is>
      </c>
      <c r="B260" t="inlineStr">
        <is>
          <t>Cloud nativa</t>
        </is>
      </c>
      <c r="C260" t="inlineStr">
        <is>
          <t>Azure Cost Management</t>
        </is>
      </c>
      <c r="D260" t="inlineStr">
        <is>
          <t>Automatizacion</t>
        </is>
      </c>
      <c r="E260" t="inlineStr">
        <is>
          <t>AU1</t>
        </is>
      </c>
      <c r="F260" s="2" t="inlineStr">
        <is>
          <t>¿Ejecuta o bloquea acciones/políticas de costo con control verificable?</t>
        </is>
      </c>
      <c r="G260" t="inlineStr">
        <is>
          <t>NE</t>
        </is>
      </c>
      <c r="H260" t="inlineStr">
        <is>
          <t>Pendiente</t>
        </is>
      </c>
      <c r="I260" s="2" t="inlineStr">
        <is>
          <t>Los budgets disparan Action Groups que ejecutan Automation Runbooks/Logic Apps/webhooks automáticamente al superar un umbral; el escenario oficial detiene VMs automáticamente al 80% y 100% del presupuesto, sin paso de aprobación incorporado.</t>
        </is>
      </c>
      <c r="J260" t="inlineStr">
        <is>
          <t>https://learn.microsoft.com/en-us/azure/cost-management-billing/manage/cost-management-budget-scenario</t>
        </is>
      </c>
      <c r="K260" t="inlineStr">
        <is>
          <t>2026-09-16</t>
        </is>
      </c>
      <c r="L260" s="2" t="inlineStr">
        <is>
          <t>Celda heredada FP-180 (2026-09-16): el valor 2 proviene de la investigacion del escenario E1 y no cuenta con evidencia propia de E6. Segun FP-177 el indicador AU1 depende del escenario, por lo que pasa a NE (no evidenciado, reduce cobertura) hasta investigarlo. La evidencia y la fuente originales se conservan como referencia del escenario de origen.</t>
        </is>
      </c>
    </row>
    <row r="261">
      <c r="A261" t="inlineStr">
        <is>
          <t>E6</t>
        </is>
      </c>
      <c r="B261" t="inlineStr">
        <is>
          <t>Cloud nativa</t>
        </is>
      </c>
      <c r="C261" t="inlineStr">
        <is>
          <t>Azure Cost Management</t>
        </is>
      </c>
      <c r="D261" t="inlineStr">
        <is>
          <t>Automatizacion</t>
        </is>
      </c>
      <c r="E261" t="inlineStr">
        <is>
          <t>AU2</t>
        </is>
      </c>
      <c r="F261" s="2" t="inlineStr">
        <is>
          <t>¿Ofrece aprobación, reversión, registro o límites antes de actuar?</t>
        </is>
      </c>
      <c r="G261" t="n">
        <v>1</v>
      </c>
      <c r="H261" t="inlineStr">
        <is>
          <t>Oficial</t>
        </is>
      </c>
      <c r="I261" s="2" t="inlineStr">
        <is>
          <t>La documentación no describe un paso de aprobación manual nativo antes de ejecutar la acción, ni detalla registro de auditoría o reversión; requeriría construir esa salvaguarda dentro del Logic App/Runbook.</t>
        </is>
      </c>
      <c r="J261" t="inlineStr">
        <is>
          <t>https://learn.microsoft.com/en-us/azure/cost-management-billing/manage/cost-management-budget-scenario</t>
        </is>
      </c>
      <c r="K261" t="inlineStr">
        <is>
          <t>2026-09-16</t>
        </is>
      </c>
      <c r="L261" s="2" t="inlineStr"/>
    </row>
    <row r="262">
      <c r="A262" t="inlineStr">
        <is>
          <t>E6</t>
        </is>
      </c>
      <c r="B262" t="inlineStr">
        <is>
          <t>Cloud nativa</t>
        </is>
      </c>
      <c r="C262" t="inlineStr">
        <is>
          <t>Azure Cost Management</t>
        </is>
      </c>
      <c r="D262" t="inlineStr">
        <is>
          <t>Multicloud</t>
        </is>
      </c>
      <c r="E262" t="inlineStr">
        <is>
          <t>M1</t>
        </is>
      </c>
      <c r="F262" s="2" t="inlineStr">
        <is>
          <t>¿Consolida al menos dos proveedores bajo el mismo esquema declarado?</t>
        </is>
      </c>
      <c r="G262" t="n">
        <v>0</v>
      </c>
      <c r="H262" t="inlineStr">
        <is>
          <t>Oficial</t>
        </is>
      </c>
      <c r="I262" s="2" t="inlineStr">
        <is>
          <t>Cost Management cubre exclusivamente cuentas y suscripciones de Azure; no ingiere ni consolida datos de AWS/GCP dentro de la misma consola.</t>
        </is>
      </c>
      <c r="J262" t="inlineStr">
        <is>
          <t>https://learn.microsoft.com/en-us/azure/cost-management-billing/dataset-schema/cost-usage-details-focus</t>
        </is>
      </c>
      <c r="K262" t="inlineStr">
        <is>
          <t>2026-09-16</t>
        </is>
      </c>
      <c r="L262" s="2" t="inlineStr"/>
    </row>
    <row r="263">
      <c r="A263" t="inlineStr">
        <is>
          <t>E6</t>
        </is>
      </c>
      <c r="B263" t="inlineStr">
        <is>
          <t>Cloud nativa</t>
        </is>
      </c>
      <c r="C263" t="inlineStr">
        <is>
          <t>Azure Cost Management</t>
        </is>
      </c>
      <c r="D263" t="inlineStr">
        <is>
          <t>Multicloud</t>
        </is>
      </c>
      <c r="E263" t="inlineStr">
        <is>
          <t>M2</t>
        </is>
      </c>
      <c r="F263" s="2" t="inlineStr">
        <is>
          <t>¿Hace visibles proveedor, cobertura y diferencias semánticas?</t>
        </is>
      </c>
      <c r="G263" t="n">
        <v>0</v>
      </c>
      <c r="H263" t="inlineStr">
        <is>
          <t>Oficial</t>
        </is>
      </c>
      <c r="I263" s="2" t="inlineStr">
        <is>
          <t>Al no consolidar otros proveedores, no expone diferencias de cobertura o semántica entre nubes.</t>
        </is>
      </c>
      <c r="J263" t="inlineStr">
        <is>
          <t>https://learn.microsoft.com/en-us/azure/cost-management-billing/dataset-schema/cost-usage-details-focus</t>
        </is>
      </c>
      <c r="K263" t="inlineStr">
        <is>
          <t>2026-09-16</t>
        </is>
      </c>
      <c r="L263" s="2" t="inlineStr"/>
    </row>
    <row r="264">
      <c r="A264" t="inlineStr">
        <is>
          <t>E6</t>
        </is>
      </c>
      <c r="B264" t="inlineStr">
        <is>
          <t>Cloud nativa</t>
        </is>
      </c>
      <c r="C264" t="inlineStr">
        <is>
          <t>Azure Cost Management</t>
        </is>
      </c>
      <c r="D264" t="inlineStr">
        <is>
          <t>Integracion</t>
        </is>
      </c>
      <c r="E264" t="inlineStr">
        <is>
          <t>I1</t>
        </is>
      </c>
      <c r="F264" s="2" t="inlineStr">
        <is>
          <t>¿Integra datos requeridos (facturación, uso, clúster o IaC) del escenario?</t>
        </is>
      </c>
      <c r="G264" t="inlineStr">
        <is>
          <t>NE</t>
        </is>
      </c>
      <c r="H264" t="inlineStr">
        <is>
          <t>Pendiente</t>
        </is>
      </c>
      <c r="I264" s="2" t="inlineStr">
        <is>
          <t>Los exports automatizan la ingesta de datos de costo/uso; para AKS, Cost Analysis integra métricas de clúster a nivel de namespace de forma nativa ("detailed cost allocation scoped to Kubernetes constructs, such as clusters and namespaces"), sin requerir un add-on de terceros.</t>
        </is>
      </c>
      <c r="J264" t="inlineStr">
        <is>
          <t>https://learn.microsoft.com/en-us/azure/aks/cost-analysis</t>
        </is>
      </c>
      <c r="K264" t="inlineStr">
        <is>
          <t>2026-09-16</t>
        </is>
      </c>
      <c r="L264" s="2" t="inlineStr">
        <is>
          <t>Celda heredada FP-180 (2026-09-16): el valor 2 proviene de la investigacion del escenario E1 y no cuenta con evidencia propia de E6. Segun FP-177 el indicador I1 depende del escenario, por lo que pasa a NE (no evidenciado, reduce cobertura) hasta investigarlo. La evidencia y la fuente originales se conservan como referencia del escenario de origen.</t>
        </is>
      </c>
    </row>
    <row r="265">
      <c r="A265" t="inlineStr">
        <is>
          <t>E6</t>
        </is>
      </c>
      <c r="B265" t="inlineStr">
        <is>
          <t>Cloud nativa</t>
        </is>
      </c>
      <c r="C265" t="inlineStr">
        <is>
          <t>Azure Cost Management</t>
        </is>
      </c>
      <c r="D265" t="inlineStr">
        <is>
          <t>Integracion</t>
        </is>
      </c>
      <c r="E265" t="inlineStr">
        <is>
          <t>I2</t>
        </is>
      </c>
      <c r="F265" s="2" t="inlineStr">
        <is>
          <t>¿Se integra con el flujo de trabajo relevante (alerta, ticket, CI/CD o reporte)?</t>
        </is>
      </c>
      <c r="G265" t="inlineStr">
        <is>
          <t>NE</t>
        </is>
      </c>
      <c r="H265" t="inlineStr">
        <is>
          <t>Pendiente</t>
        </is>
      </c>
      <c r="I265" s="2" t="inlineStr">
        <is>
          <t>Los Action Groups integran budgets con notificaciones, webhooks y Logic Apps, incorporando el evento de costo a un flujo operativo.</t>
        </is>
      </c>
      <c r="J265" t="inlineStr">
        <is>
          <t>https://learn.microsoft.com/en-us/azure/cost-management-billing/manage/cost-management-budget-scenario</t>
        </is>
      </c>
      <c r="K265" t="inlineStr">
        <is>
          <t>2026-09-16</t>
        </is>
      </c>
      <c r="L265" s="2" t="inlineStr">
        <is>
          <t>Celda heredada FP-180 (2026-09-16): el valor 2 proviene de la investigacion del escenario E1 y no cuenta con evidencia propia de E6. Segun FP-177 el indicador I2 depende del escenario, por lo que pasa a NE (no evidenciado, reduce cobertura) hasta investigarlo. La evidencia y la fuente originales se conservan como referencia del escenario de origen.</t>
        </is>
      </c>
    </row>
    <row r="266">
      <c r="A266" t="inlineStr">
        <is>
          <t>E6</t>
        </is>
      </c>
      <c r="B266" t="inlineStr">
        <is>
          <t>Cloud nativa</t>
        </is>
      </c>
      <c r="C266" t="inlineStr">
        <is>
          <t>Azure Cost Management</t>
        </is>
      </c>
      <c r="D266" t="inlineStr">
        <is>
          <t>Adopcion</t>
        </is>
      </c>
      <c r="E266" t="inlineStr">
        <is>
          <t>AD1</t>
        </is>
      </c>
      <c r="F266" s="2" t="inlineStr">
        <is>
          <t>¿Soporta acceso/entrega para los roles del escenario?</t>
        </is>
      </c>
      <c r="G266" t="inlineStr">
        <is>
          <t>NE</t>
        </is>
      </c>
      <c r="H266" t="inlineStr">
        <is>
          <t>Pendiente</t>
        </is>
      </c>
      <c r="I266" s="2" t="inlineStr">
        <is>
          <t>El acceso a los datos de Cost Management se controla con roles RBAC ("Cost Management Reader"/"Contributor") acotados por scope (grupo de gestion, suscripcion, grupo de recursos).</t>
        </is>
      </c>
      <c r="J266" t="inlineStr">
        <is>
          <t>https://learn.microsoft.com/en-us/azure/cost-management-billing/costs/assign-access-acm-data</t>
        </is>
      </c>
      <c r="K266" t="inlineStr">
        <is>
          <t>2026-09-16</t>
        </is>
      </c>
      <c r="L266" s="2" t="inlineStr">
        <is>
          <t>Celda heredada FP-180 (2026-09-16): el valor 2 proviene de la investigacion del escenario E1 y no cuenta con evidencia propia de E6. Segun FP-177 el indicador AD1 depende del escenario, por lo que pasa a NE (no evidenciado, reduce cobertura) hasta investigarlo. La evidencia y la fuente originales se conservan como referencia del escenario de origen.</t>
        </is>
      </c>
    </row>
    <row r="267">
      <c r="A267" t="inlineStr">
        <is>
          <t>E6</t>
        </is>
      </c>
      <c r="B267" t="inlineStr">
        <is>
          <t>Cloud nativa</t>
        </is>
      </c>
      <c r="C267" t="inlineStr">
        <is>
          <t>Azure Cost Management</t>
        </is>
      </c>
      <c r="D267" t="inlineStr">
        <is>
          <t>Adopcion</t>
        </is>
      </c>
      <c r="E267" t="inlineStr">
        <is>
          <t>AD2</t>
        </is>
      </c>
      <c r="F267" s="2" t="inlineStr">
        <is>
          <t>¿Ofrece guías, ownership o mecanismos de seguimiento para uso sostenido?</t>
        </is>
      </c>
      <c r="G267" t="n">
        <v>2</v>
      </c>
      <c r="H267" t="inlineStr">
        <is>
          <t>Oficial</t>
        </is>
      </c>
      <c r="I267" s="2" t="inlineStr">
        <is>
          <t>Microsoft mantiene guias oficiales de adopcion y un blog dedicado de FinOps ("FinOps Blog") con practicas de gestion de costo.</t>
        </is>
      </c>
      <c r="J267" t="inlineStr">
        <is>
          <t>https://techcommunity.microsoft.com/blog/finopsblog/generally-available-enhanced-cost-management-exports/4407748</t>
        </is>
      </c>
      <c r="K267" t="inlineStr">
        <is>
          <t>2026-09-16</t>
        </is>
      </c>
      <c r="L267" s="2" t="inlineStr"/>
    </row>
    <row r="268">
      <c r="A268" t="inlineStr">
        <is>
          <t>E6</t>
        </is>
      </c>
      <c r="B268" t="inlineStr">
        <is>
          <t>Cloud nativa</t>
        </is>
      </c>
      <c r="C268" t="inlineStr">
        <is>
          <t>Azure Cost Management</t>
        </is>
      </c>
      <c r="D268" t="inlineStr">
        <is>
          <t>Precio</t>
        </is>
      </c>
      <c r="E268" t="inlineStr">
        <is>
          <t>P1</t>
        </is>
      </c>
      <c r="F268" s="2" t="inlineStr">
        <is>
          <t>¿Expone precio, moneda, región, unidad, período y supuestos relevantes?</t>
        </is>
      </c>
      <c r="G268" t="n">
        <v>2</v>
      </c>
      <c r="H268" t="inlineStr">
        <is>
          <t>Oficial</t>
        </is>
      </c>
      <c r="I268" s="2" t="inlineStr">
        <is>
          <t>Los exports en esquema FOCUS exponen columnas estandarizadas (BilledCost, EffectiveCost, ListCost, PricingQuantity) con moneda, periodo y servicio.</t>
        </is>
      </c>
      <c r="J268" t="inlineStr">
        <is>
          <t>https://learn.microsoft.com/en-us/azure/cost-management-billing/dataset-schema/cost-usage-details-focus</t>
        </is>
      </c>
      <c r="K268" t="inlineStr">
        <is>
          <t>2026-09-16</t>
        </is>
      </c>
      <c r="L268" s="2" t="inlineStr"/>
    </row>
    <row r="269">
      <c r="A269" t="inlineStr">
        <is>
          <t>E6</t>
        </is>
      </c>
      <c r="B269" t="inlineStr">
        <is>
          <t>Cloud nativa</t>
        </is>
      </c>
      <c r="C269" t="inlineStr">
        <is>
          <t>Azure Cost Management</t>
        </is>
      </c>
      <c r="D269" t="inlineStr">
        <is>
          <t>Precio</t>
        </is>
      </c>
      <c r="E269" t="inlineStr">
        <is>
          <t>P2</t>
        </is>
      </c>
      <c r="F269" s="2" t="inlineStr">
        <is>
          <t>¿Permite estimar o comparar componentes sin ocultar límites de equivalencia?</t>
        </is>
      </c>
      <c r="G269" t="inlineStr">
        <is>
          <t>NE</t>
        </is>
      </c>
      <c r="H269" t="inlineStr">
        <is>
          <t>Pendiente</t>
        </is>
      </c>
      <c r="I269" s="2" t="inlineStr">
        <is>
          <t>Cost Management no incluye una calculadora de estimacion de componentes previa al despliegue (esa funcion es de Azure Pricing Calculator, evaluada aparte en E4).</t>
        </is>
      </c>
      <c r="J269" t="inlineStr">
        <is>
          <t>https://learn.microsoft.com/en-us/azure/cost-management-billing/costs/cost-analysis-common-uses</t>
        </is>
      </c>
      <c r="K269" t="inlineStr">
        <is>
          <t>2026-09-16</t>
        </is>
      </c>
      <c r="L269" s="2" t="inlineStr">
        <is>
          <t>Celda heredada FP-180 (2026-09-16): el valor 1 proviene de la investigacion del escenario E1 y no cuenta con evidencia propia de E6. Segun FP-177 el indicador P2 depende del escenario, por lo que pasa a NE (no evidenciado, reduce cobertura) hasta investigarlo. La evidencia y la fuente originales se conservan como referencia del escenario de origen.</t>
        </is>
      </c>
    </row>
    <row r="270">
      <c r="A270" t="inlineStr">
        <is>
          <t>E6</t>
        </is>
      </c>
      <c r="B270" t="inlineStr">
        <is>
          <t>Cloud nativa</t>
        </is>
      </c>
      <c r="C270" t="inlineStr">
        <is>
          <t>Azure Cost Management</t>
        </is>
      </c>
      <c r="D270" t="inlineStr">
        <is>
          <t>Dependencia</t>
        </is>
      </c>
      <c r="E270" t="inlineStr">
        <is>
          <t>D1</t>
        </is>
      </c>
      <c r="F270" s="2" t="inlineStr">
        <is>
          <t>¿Exporta datos/resultados en formato utilizable y documentado?</t>
        </is>
      </c>
      <c r="G270" t="n">
        <v>2</v>
      </c>
      <c r="H270" t="inlineStr">
        <is>
          <t>Oficial</t>
        </is>
      </c>
      <c r="I270" s="2" t="inlineStr">
        <is>
          <t>Los exports entregan datos en CSV/Parquet y en el esquema abierto FOCUS hacia una cuenta de almacenamiento.</t>
        </is>
      </c>
      <c r="J270" t="inlineStr">
        <is>
          <t>https://learn.microsoft.com/en-us/azure/cost-management-billing/costs/tutorial-improved-exports</t>
        </is>
      </c>
      <c r="K270" t="inlineStr">
        <is>
          <t>2026-09-16</t>
        </is>
      </c>
      <c r="L270" s="2" t="inlineStr"/>
    </row>
    <row r="271">
      <c r="A271" t="inlineStr">
        <is>
          <t>E6</t>
        </is>
      </c>
      <c r="B271" t="inlineStr">
        <is>
          <t>Cloud nativa</t>
        </is>
      </c>
      <c r="C271" t="inlineStr">
        <is>
          <t>Azure Cost Management</t>
        </is>
      </c>
      <c r="D271" t="inlineStr">
        <is>
          <t>Dependencia</t>
        </is>
      </c>
      <c r="E271" t="inlineStr">
        <is>
          <t>D2</t>
        </is>
      </c>
      <c r="F271" s="2" t="inlineStr">
        <is>
          <t>¿Documenta dependencias propietarias y un camino de salida/configuración reversible?</t>
        </is>
      </c>
      <c r="G271" t="n">
        <v>1</v>
      </c>
      <c r="H271" t="inlineStr">
        <is>
          <t>Oficial</t>
        </is>
      </c>
      <c r="I271" s="2" t="inlineStr">
        <is>
          <t>No se encontró documentación dedicada sobre un camino de salida o reversibilidad de la configuración; el riesgo de dependencia se atenúa porque los datos son exportables en formato estándar FOCUS.</t>
        </is>
      </c>
      <c r="J271" t="inlineStr">
        <is>
          <t>https://learn.microsoft.com/en-us/azure/cost-management-billing/dataset-schema/cost-usage-details-focus</t>
        </is>
      </c>
      <c r="K271" t="inlineStr">
        <is>
          <t>2026-09-16</t>
        </is>
      </c>
      <c r="L271" s="2" t="inlineStr"/>
    </row>
    <row r="272">
      <c r="A272" t="inlineStr">
        <is>
          <t>E1</t>
        </is>
      </c>
      <c r="B272" t="inlineStr">
        <is>
          <t>Cloud nativa</t>
        </is>
      </c>
      <c r="C272" t="inlineStr">
        <is>
          <t>Google Cloud Billing</t>
        </is>
      </c>
      <c r="D272" t="inlineStr">
        <is>
          <t>Visibilidad</t>
        </is>
      </c>
      <c r="E272" t="inlineStr">
        <is>
          <t>V1</t>
        </is>
      </c>
      <c r="F272" s="2" t="inlineStr">
        <is>
          <t>¿Desagrega costo y uso por cuenta/proyecto, servicio y período?</t>
        </is>
      </c>
      <c r="G272" t="n">
        <v>2</v>
      </c>
      <c r="H272" t="inlineStr">
        <is>
          <t>Oficial</t>
        </is>
      </c>
      <c r="I272" s="2" t="inlineStr">
        <is>
          <t>Cloud Billing Reports agrupa costos "by Project", "by Service", por SKU y por "Label keys"; el reporte cambia dinámicamente al ajustar rango de tiempo, agrupación y filtros.</t>
        </is>
      </c>
      <c r="J272" t="inlineStr">
        <is>
          <t>https://docs.cloud.google.com/billing/docs/how-to/reports</t>
        </is>
      </c>
      <c r="K272" t="inlineStr">
        <is>
          <t>2026-09-16</t>
        </is>
      </c>
      <c r="L272" s="2" t="inlineStr"/>
    </row>
    <row r="273">
      <c r="A273" t="inlineStr">
        <is>
          <t>E1</t>
        </is>
      </c>
      <c r="B273" t="inlineStr">
        <is>
          <t>Cloud nativa</t>
        </is>
      </c>
      <c r="C273" t="inlineStr">
        <is>
          <t>Google Cloud Billing</t>
        </is>
      </c>
      <c r="D273" t="inlineStr">
        <is>
          <t>Visibilidad</t>
        </is>
      </c>
      <c r="E273" t="inlineStr">
        <is>
          <t>V2</t>
        </is>
      </c>
      <c r="F273" s="2" t="inlineStr">
        <is>
          <t>¿Permite rastrear un total hasta registros o fuente de facturación?</t>
        </is>
      </c>
      <c r="G273" t="n">
        <v>2</v>
      </c>
      <c r="H273" t="inlineStr">
        <is>
          <t>Oficial</t>
        </is>
      </c>
      <c r="I273" s="2" t="inlineStr">
        <is>
          <t>El export detallado de facturación a BigQuery entrega el detalle a nivel de línea de uso/costo, sirviendo de fuente trazable para reconciliar reportes.</t>
        </is>
      </c>
      <c r="J273" t="inlineStr">
        <is>
          <t>https://docs.cloud.google.com/billing/docs/how-to/export-data-bigquery-tables/detailed-usage</t>
        </is>
      </c>
      <c r="K273" t="inlineStr">
        <is>
          <t>2026-09-16</t>
        </is>
      </c>
      <c r="L273" s="2" t="inlineStr"/>
    </row>
    <row r="274">
      <c r="A274" t="inlineStr">
        <is>
          <t>E1</t>
        </is>
      </c>
      <c r="B274" t="inlineStr">
        <is>
          <t>Cloud nativa</t>
        </is>
      </c>
      <c r="C274" t="inlineStr">
        <is>
          <t>Google Cloud Billing</t>
        </is>
      </c>
      <c r="D274" t="inlineStr">
        <is>
          <t>Asignacion</t>
        </is>
      </c>
      <c r="E274" t="inlineStr">
        <is>
          <t>A1</t>
        </is>
      </c>
      <c r="F274" s="2" t="inlineStr">
        <is>
          <t>¿Calcula gasto asignado/no asignado por responsable, centro o entidad?</t>
        </is>
      </c>
      <c r="G274" t="n">
        <v>1</v>
      </c>
      <c r="H274" t="inlineStr">
        <is>
          <t>Oficial (ausencia verificada de una función equivalente; ver notas)</t>
        </is>
      </c>
      <c r="I274" s="2" t="inlineStr">
        <is>
          <t>La atribución nativa se basa en jerarquía de proyectos y labels; no se encontró una función equivalente a las "cost allocation rules" de Azure o "Cost Categories" de AWS que muestre explícitamente un total "no asignado".</t>
        </is>
      </c>
      <c r="J274" t="inlineStr">
        <is>
          <t>https://docs.cloud.google.com/billing/docs/how-to/reports</t>
        </is>
      </c>
      <c r="K274" t="inlineStr">
        <is>
          <t>2026-09-16</t>
        </is>
      </c>
      <c r="L274" s="2" t="inlineStr"/>
    </row>
    <row r="275">
      <c r="A275" t="inlineStr">
        <is>
          <t>E1</t>
        </is>
      </c>
      <c r="B275" t="inlineStr">
        <is>
          <t>Cloud nativa</t>
        </is>
      </c>
      <c r="C275" t="inlineStr">
        <is>
          <t>Google Cloud Billing</t>
        </is>
      </c>
      <c r="D275" t="inlineStr">
        <is>
          <t>Asignacion</t>
        </is>
      </c>
      <c r="E275" t="inlineStr">
        <is>
          <t>A2</t>
        </is>
      </c>
      <c r="F275" s="2" t="inlineStr">
        <is>
          <t>¿Explicita y aplica reglas para costo compartido/multi-tenant?</t>
        </is>
      </c>
      <c r="G275" t="n">
        <v>0</v>
      </c>
      <c r="H275" t="inlineStr">
        <is>
          <t>Ausencia verificada (búsqueda documental)</t>
        </is>
      </c>
      <c r="I275" s="2" t="inlineStr">
        <is>
          <t>No se encontró una función nativa de reparto porcentual de costo compartido entre múltiples proyectos/equipos equivalente a las split charge rules de Azure/Cost Categories de AWS; los labels permiten atribuir pero no dividen automáticamente un mismo recurso.</t>
        </is>
      </c>
      <c r="J275" t="inlineStr">
        <is>
          <t>https://docs.cloud.google.com/billing/docs/how-to/reports</t>
        </is>
      </c>
      <c r="K275" t="inlineStr">
        <is>
          <t>2026-09-16</t>
        </is>
      </c>
      <c r="L275" s="2" t="inlineStr"/>
    </row>
    <row r="276">
      <c r="A276" t="inlineStr">
        <is>
          <t>E1</t>
        </is>
      </c>
      <c r="B276" t="inlineStr">
        <is>
          <t>Cloud nativa</t>
        </is>
      </c>
      <c r="C276" t="inlineStr">
        <is>
          <t>Google Cloud Billing</t>
        </is>
      </c>
      <c r="D276" t="inlineStr">
        <is>
          <t>Optimizacion</t>
        </is>
      </c>
      <c r="E276" t="inlineStr">
        <is>
          <t>O1</t>
        </is>
      </c>
      <c r="F276" s="2" t="inlineStr">
        <is>
          <t>¿Detecta desperdicio, rightsizing o compromiso relevante al escenario?</t>
        </is>
      </c>
      <c r="G276" t="n">
        <v>0</v>
      </c>
      <c r="H276" t="inlineStr">
        <is>
          <t>Oficial (ausencia verificada)</t>
        </is>
      </c>
      <c r="I276" s="2" t="inlineStr">
        <is>
          <t>Cloud Billing (reportes/presupuestos/export) no genera por sí mismo recomendaciones de optimización; esa función corresponde a Recommender/FinOps hub, evaluado como producto aparte.</t>
        </is>
      </c>
      <c r="J276" t="inlineStr">
        <is>
          <t>https://docs.cloud.google.com/billing/docs/how-to/finops-hub</t>
        </is>
      </c>
      <c r="K276" t="inlineStr">
        <is>
          <t>2026-09-16</t>
        </is>
      </c>
      <c r="L27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277">
      <c r="A277" t="inlineStr">
        <is>
          <t>E1</t>
        </is>
      </c>
      <c r="B277" t="inlineStr">
        <is>
          <t>Cloud nativa</t>
        </is>
      </c>
      <c r="C277" t="inlineStr">
        <is>
          <t>Google Cloud Billing</t>
        </is>
      </c>
      <c r="D277" t="inlineStr">
        <is>
          <t>Optimizacion</t>
        </is>
      </c>
      <c r="E277" t="inlineStr">
        <is>
          <t>O2</t>
        </is>
      </c>
      <c r="F277" s="2" t="inlineStr">
        <is>
          <t>¿Explica supuesto/impacto y permite seguir una recomendación?</t>
        </is>
      </c>
      <c r="G277" t="n">
        <v>0</v>
      </c>
      <c r="H277" t="inlineStr">
        <is>
          <t>Oficial (ausencia verificada)</t>
        </is>
      </c>
      <c r="I277" s="2" t="inlineStr">
        <is>
          <t>Mismo alcance de diseño que O1.</t>
        </is>
      </c>
      <c r="J277" t="inlineStr">
        <is>
          <t>https://docs.cloud.google.com/billing/docs/how-to/finops-hub</t>
        </is>
      </c>
      <c r="K277" t="inlineStr">
        <is>
          <t>2026-09-16</t>
        </is>
      </c>
      <c r="L27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278">
      <c r="A278" t="inlineStr">
        <is>
          <t>E1</t>
        </is>
      </c>
      <c r="B278" t="inlineStr">
        <is>
          <t>Cloud nativa</t>
        </is>
      </c>
      <c r="C278" t="inlineStr">
        <is>
          <t>Google Cloud Billing</t>
        </is>
      </c>
      <c r="D278" t="inlineStr">
        <is>
          <t>Automatizacion</t>
        </is>
      </c>
      <c r="E278" t="inlineStr">
        <is>
          <t>AU1</t>
        </is>
      </c>
      <c r="F278" s="2" t="inlineStr">
        <is>
          <t>¿Ejecuta o bloquea acciones/políticas de costo con control verificable?</t>
        </is>
      </c>
      <c r="G278" t="n">
        <v>2</v>
      </c>
      <c r="H278" t="inlineStr">
        <is>
          <t>Oficial</t>
        </is>
      </c>
      <c r="I278" s="2" t="inlineStr">
        <is>
          <t>Las notificaciones programáticas de presupuesto vía Pub/Sub permiten "automatizar respuestas de control de costos", incluida deshabilitar la facturación o limitar recursos mediante Cloud Run/Functions, sin paso de aprobación documentado.</t>
        </is>
      </c>
      <c r="J278" t="inlineStr">
        <is>
          <t>https://docs.cloud.google.com/billing/docs/how-to/budgets-programmatic-notifications</t>
        </is>
      </c>
      <c r="K278" t="inlineStr">
        <is>
          <t>2026-09-16</t>
        </is>
      </c>
      <c r="L278" s="2" t="inlineStr"/>
    </row>
    <row r="279">
      <c r="A279" t="inlineStr">
        <is>
          <t>E1</t>
        </is>
      </c>
      <c r="B279" t="inlineStr">
        <is>
          <t>Cloud nativa</t>
        </is>
      </c>
      <c r="C279" t="inlineStr">
        <is>
          <t>Google Cloud Billing</t>
        </is>
      </c>
      <c r="D279" t="inlineStr">
        <is>
          <t>Automatizacion</t>
        </is>
      </c>
      <c r="E279" t="inlineStr">
        <is>
          <t>AU2</t>
        </is>
      </c>
      <c r="F279" s="2" t="inlineStr">
        <is>
          <t>¿Ofrece aprobación, reversión, registro o límites antes de actuar?</t>
        </is>
      </c>
      <c r="G279" t="n">
        <v>1</v>
      </c>
      <c r="H279" t="inlineStr">
        <is>
          <t>Oficial</t>
        </is>
      </c>
      <c r="I279" s="2" t="inlineStr">
        <is>
          <t>La documentación no describe un paso de aprobación manual nativo ni un registro de auditoría/reversión; esas salvaguardas dependerían de la Cloud Function que el equipo construya.</t>
        </is>
      </c>
      <c r="J279" t="inlineStr">
        <is>
          <t>https://docs.cloud.google.com/billing/docs/how-to/budgets-programmatic-notifications</t>
        </is>
      </c>
      <c r="K279" t="inlineStr">
        <is>
          <t>2026-09-16</t>
        </is>
      </c>
      <c r="L279" s="2" t="inlineStr"/>
    </row>
    <row r="280">
      <c r="A280" t="inlineStr">
        <is>
          <t>E1</t>
        </is>
      </c>
      <c r="B280" t="inlineStr">
        <is>
          <t>Cloud nativa</t>
        </is>
      </c>
      <c r="C280" t="inlineStr">
        <is>
          <t>Google Cloud Billing</t>
        </is>
      </c>
      <c r="D280" t="inlineStr">
        <is>
          <t>Multicloud</t>
        </is>
      </c>
      <c r="E280" t="inlineStr">
        <is>
          <t>M1</t>
        </is>
      </c>
      <c r="F280" s="2" t="inlineStr">
        <is>
          <t>¿Consolida al menos dos proveedores bajo el mismo esquema declarado?</t>
        </is>
      </c>
      <c r="G280" t="n">
        <v>0</v>
      </c>
      <c r="H280" t="inlineStr">
        <is>
          <t>Oficial</t>
        </is>
      </c>
      <c r="I280" s="2" t="inlineStr">
        <is>
          <t>Cloud Billing cubre exclusivamente cuentas de Google Cloud; no ingiere ni consolida datos de AWS/Azure dentro de la misma consola.</t>
        </is>
      </c>
      <c r="J280" t="inlineStr">
        <is>
          <t>https://docs.cloud.google.com/billing/docs/how-to/export-data-bigquery-tables/focus-export</t>
        </is>
      </c>
      <c r="K280" t="inlineStr">
        <is>
          <t>2026-09-16</t>
        </is>
      </c>
      <c r="L280" s="2" t="inlineStr"/>
    </row>
    <row r="281">
      <c r="A281" t="inlineStr">
        <is>
          <t>E1</t>
        </is>
      </c>
      <c r="B281" t="inlineStr">
        <is>
          <t>Cloud nativa</t>
        </is>
      </c>
      <c r="C281" t="inlineStr">
        <is>
          <t>Google Cloud Billing</t>
        </is>
      </c>
      <c r="D281" t="inlineStr">
        <is>
          <t>Multicloud</t>
        </is>
      </c>
      <c r="E281" t="inlineStr">
        <is>
          <t>M2</t>
        </is>
      </c>
      <c r="F281" s="2" t="inlineStr">
        <is>
          <t>¿Hace visibles proveedor, cobertura y diferencias semánticas?</t>
        </is>
      </c>
      <c r="G281" t="n">
        <v>0</v>
      </c>
      <c r="H281" t="inlineStr">
        <is>
          <t>Oficial</t>
        </is>
      </c>
      <c r="I281" s="2" t="inlineStr">
        <is>
          <t>Al no consolidar otros proveedores, no expone diferencias de cobertura o semántica entre nubes.</t>
        </is>
      </c>
      <c r="J281" t="inlineStr">
        <is>
          <t>https://docs.cloud.google.com/billing/docs/how-to/export-data-bigquery-tables/focus-export</t>
        </is>
      </c>
      <c r="K281" t="inlineStr">
        <is>
          <t>2026-09-16</t>
        </is>
      </c>
      <c r="L281" s="2" t="inlineStr"/>
    </row>
    <row r="282">
      <c r="A282" t="inlineStr">
        <is>
          <t>E1</t>
        </is>
      </c>
      <c r="B282" t="inlineStr">
        <is>
          <t>Cloud nativa</t>
        </is>
      </c>
      <c r="C282" t="inlineStr">
        <is>
          <t>Google Cloud Billing</t>
        </is>
      </c>
      <c r="D282" t="inlineStr">
        <is>
          <t>Integracion</t>
        </is>
      </c>
      <c r="E282" t="inlineStr">
        <is>
          <t>I1</t>
        </is>
      </c>
      <c r="F282" s="2" t="inlineStr">
        <is>
          <t>¿Integra datos requeridos (facturación, uso, clúster o IaC) del escenario?</t>
        </is>
      </c>
      <c r="G282" t="n">
        <v>2</v>
      </c>
      <c r="H282" t="inlineStr">
        <is>
          <t>Oficial</t>
        </is>
      </c>
      <c r="I282" s="2" t="inlineStr">
        <is>
          <t>El export detallado a BigQuery ingiere datos de costo/uso de forma automatizada; GKE cost allocation (opt-in con "--enable-cost-allocation") añade granularidad de namespace/workload/pod (hasta 50 etiquetas por Pod) al mismo export, con hasta 3 días de latencia.</t>
        </is>
      </c>
      <c r="J282" t="inlineStr">
        <is>
          <t>https://docs.cloud.google.com/kubernetes-engine/docs/how-to/cost-allocations</t>
        </is>
      </c>
      <c r="K282" t="inlineStr">
        <is>
          <t>2026-09-16</t>
        </is>
      </c>
      <c r="L282" s="2" t="inlineStr"/>
    </row>
    <row r="283">
      <c r="A283" t="inlineStr">
        <is>
          <t>E1</t>
        </is>
      </c>
      <c r="B283" t="inlineStr">
        <is>
          <t>Cloud nativa</t>
        </is>
      </c>
      <c r="C283" t="inlineStr">
        <is>
          <t>Google Cloud Billing</t>
        </is>
      </c>
      <c r="D283" t="inlineStr">
        <is>
          <t>Integracion</t>
        </is>
      </c>
      <c r="E283" t="inlineStr">
        <is>
          <t>I2</t>
        </is>
      </c>
      <c r="F283" s="2" t="inlineStr">
        <is>
          <t>¿Se integra con el flujo de trabajo relevante (alerta, ticket, CI/CD o reporte)?</t>
        </is>
      </c>
      <c r="G283" t="n">
        <v>2</v>
      </c>
      <c r="H283" t="inlineStr">
        <is>
          <t>Oficial</t>
        </is>
      </c>
      <c r="I283" s="2" t="inlineStr">
        <is>
          <t>Las notificaciones Pub/Sub se integran con Slack y otras herramientas operativas para "respuesta más rápida" al evento de costo.</t>
        </is>
      </c>
      <c r="J283" t="inlineStr">
        <is>
          <t>https://docs.cloud.google.com/billing/docs/how-to/budgets-programmatic-notifications</t>
        </is>
      </c>
      <c r="K283" t="inlineStr">
        <is>
          <t>2026-09-16</t>
        </is>
      </c>
      <c r="L283" s="2" t="inlineStr"/>
    </row>
    <row r="284">
      <c r="A284" t="inlineStr">
        <is>
          <t>E1</t>
        </is>
      </c>
      <c r="B284" t="inlineStr">
        <is>
          <t>Cloud nativa</t>
        </is>
      </c>
      <c r="C284" t="inlineStr">
        <is>
          <t>Google Cloud Billing</t>
        </is>
      </c>
      <c r="D284" t="inlineStr">
        <is>
          <t>Adopcion</t>
        </is>
      </c>
      <c r="E284" t="inlineStr">
        <is>
          <t>AD1</t>
        </is>
      </c>
      <c r="F284" s="2" t="inlineStr">
        <is>
          <t>¿Soporta acceso/entrega para los roles del escenario?</t>
        </is>
      </c>
      <c r="G284" t="n">
        <v>2</v>
      </c>
      <c r="H284" t="inlineStr">
        <is>
          <t>Oficial</t>
        </is>
      </c>
      <c r="I284" s="2" t="inlineStr">
        <is>
          <t>Roles de IAM predefinidos ("Billing Account Viewer", "Billing Account Costs Manager", "Project Billing Costs Manager") separan acceso de solo lectura de costos del resto de permisos de administración, incluso acotado por proyecto.</t>
        </is>
      </c>
      <c r="J284" t="inlineStr">
        <is>
          <t>https://docs.cloud.google.com/billing/docs/how-to/billing-access</t>
        </is>
      </c>
      <c r="K284" t="inlineStr">
        <is>
          <t>2026-09-16</t>
        </is>
      </c>
      <c r="L284" s="2" t="inlineStr"/>
    </row>
    <row r="285">
      <c r="A285" t="inlineStr">
        <is>
          <t>E1</t>
        </is>
      </c>
      <c r="B285" t="inlineStr">
        <is>
          <t>Cloud nativa</t>
        </is>
      </c>
      <c r="C285" t="inlineStr">
        <is>
          <t>Google Cloud Billing</t>
        </is>
      </c>
      <c r="D285" t="inlineStr">
        <is>
          <t>Adopcion</t>
        </is>
      </c>
      <c r="E285" t="inlineStr">
        <is>
          <t>AD2</t>
        </is>
      </c>
      <c r="F285" s="2" t="inlineStr">
        <is>
          <t>¿Ofrece guías, ownership o mecanismos de seguimiento para uso sostenido?</t>
        </is>
      </c>
      <c r="G285" t="n">
        <v>1</v>
      </c>
      <c r="H285" t="inlineStr">
        <is>
          <t>Oficial</t>
        </is>
      </c>
      <c r="I285" s="2" t="inlineStr">
        <is>
          <t>Existen guías oficiales generales de uso, pero la medición formal de adopción/gobernanza (el "FinOps score") corresponde a FinOps hub, evaluado como producto aparte.</t>
        </is>
      </c>
      <c r="J285" t="inlineStr">
        <is>
          <t>https://docs.cloud.google.com/billing/docs/how-to/finops-hub</t>
        </is>
      </c>
      <c r="K285" t="inlineStr">
        <is>
          <t>2026-09-16</t>
        </is>
      </c>
      <c r="L285" s="2" t="inlineStr"/>
    </row>
    <row r="286">
      <c r="A286" t="inlineStr">
        <is>
          <t>E1</t>
        </is>
      </c>
      <c r="B286" t="inlineStr">
        <is>
          <t>Cloud nativa</t>
        </is>
      </c>
      <c r="C286" t="inlineStr">
        <is>
          <t>Google Cloud Billing</t>
        </is>
      </c>
      <c r="D286" t="inlineStr">
        <is>
          <t>Precio</t>
        </is>
      </c>
      <c r="E286" t="inlineStr">
        <is>
          <t>P1</t>
        </is>
      </c>
      <c r="F286" s="2" t="inlineStr">
        <is>
          <t>¿Expone precio, moneda, región, unidad, período y supuestos relevantes?</t>
        </is>
      </c>
      <c r="G286" t="n">
        <v>2</v>
      </c>
      <c r="H286" t="inlineStr">
        <is>
          <t>Oficial</t>
        </is>
      </c>
      <c r="I286" s="2" t="inlineStr">
        <is>
          <t>El export FOCUS y el export detallado exponen campos estandarizados (BilledCost, ListCost, ContractedCost, ServiceName, SkuId, RegionId) con moneda, período y región.</t>
        </is>
      </c>
      <c r="J286" t="inlineStr">
        <is>
          <t>https://docs.cloud.google.com/billing/docs/how-to/export-data-bigquery-tables/focus-export</t>
        </is>
      </c>
      <c r="K286" t="inlineStr">
        <is>
          <t>2026-09-16</t>
        </is>
      </c>
      <c r="L286" s="2" t="inlineStr"/>
    </row>
    <row r="287">
      <c r="A287" t="inlineStr">
        <is>
          <t>E1</t>
        </is>
      </c>
      <c r="B287" t="inlineStr">
        <is>
          <t>Cloud nativa</t>
        </is>
      </c>
      <c r="C287" t="inlineStr">
        <is>
          <t>Google Cloud Billing</t>
        </is>
      </c>
      <c r="D287" t="inlineStr">
        <is>
          <t>Precio</t>
        </is>
      </c>
      <c r="E287" t="inlineStr">
        <is>
          <t>P2</t>
        </is>
      </c>
      <c r="F287" s="2" t="inlineStr">
        <is>
          <t>¿Permite estimar o comparar componentes sin ocultar límites de equivalencia?</t>
        </is>
      </c>
      <c r="G287" t="n">
        <v>1</v>
      </c>
      <c r="H287" t="inlineStr">
        <is>
          <t>Oficial</t>
        </is>
      </c>
      <c r="I287" s="2" t="inlineStr">
        <is>
          <t>Cloud Billing Reports no incluye una calculadora de estimación de componentes previa al despliegue (esa función es de Google Cloud Pricing Calculator, evaluada aparte en E4).</t>
        </is>
      </c>
      <c r="J287" t="inlineStr">
        <is>
          <t>https://docs.cloud.google.com/billing/docs/how-to/reports</t>
        </is>
      </c>
      <c r="K287" t="inlineStr">
        <is>
          <t>2026-09-16</t>
        </is>
      </c>
      <c r="L287" s="2" t="inlineStr"/>
    </row>
    <row r="288">
      <c r="A288" t="inlineStr">
        <is>
          <t>E1</t>
        </is>
      </c>
      <c r="B288" t="inlineStr">
        <is>
          <t>Cloud nativa</t>
        </is>
      </c>
      <c r="C288" t="inlineStr">
        <is>
          <t>Google Cloud Billing</t>
        </is>
      </c>
      <c r="D288" t="inlineStr">
        <is>
          <t>Dependencia</t>
        </is>
      </c>
      <c r="E288" t="inlineStr">
        <is>
          <t>D1</t>
        </is>
      </c>
      <c r="F288" s="2" t="inlineStr">
        <is>
          <t>¿Exporta datos/resultados en formato utilizable y documentado?</t>
        </is>
      </c>
      <c r="G288" t="n">
        <v>2</v>
      </c>
      <c r="H288" t="inlineStr">
        <is>
          <t>Oficial</t>
        </is>
      </c>
      <c r="I288" s="2" t="inlineStr">
        <is>
          <t>El export estándar y detallado a BigQuery, y el export en esquema FOCUS, entregan datos en formato abierto y consultable con SQL.</t>
        </is>
      </c>
      <c r="J288" t="inlineStr">
        <is>
          <t>https://docs.cloud.google.com/billing/docs/how-to/export-data-bigquery-tables/focus-export</t>
        </is>
      </c>
      <c r="K288" t="inlineStr">
        <is>
          <t>2026-09-16</t>
        </is>
      </c>
      <c r="L288" s="2" t="inlineStr"/>
    </row>
    <row r="289">
      <c r="A289" t="inlineStr">
        <is>
          <t>E1</t>
        </is>
      </c>
      <c r="B289" t="inlineStr">
        <is>
          <t>Cloud nativa</t>
        </is>
      </c>
      <c r="C289" t="inlineStr">
        <is>
          <t>Google Cloud Billing</t>
        </is>
      </c>
      <c r="D289" t="inlineStr">
        <is>
          <t>Dependencia</t>
        </is>
      </c>
      <c r="E289" t="inlineStr">
        <is>
          <t>D2</t>
        </is>
      </c>
      <c r="F289" s="2" t="inlineStr">
        <is>
          <t>¿Documenta dependencias propietarias y un camino de salida/configuración reversible?</t>
        </is>
      </c>
      <c r="G289" t="n">
        <v>1</v>
      </c>
      <c r="H289" t="inlineStr">
        <is>
          <t>Oficial</t>
        </is>
      </c>
      <c r="I289" s="2" t="inlineStr">
        <is>
          <t>No se encontró documentación dedicada sobre un camino de salida o reversibilidad; el riesgo de dependencia se atenúa por el export en formato FOCUS/BigQuery estándar.</t>
        </is>
      </c>
      <c r="J289" t="inlineStr">
        <is>
          <t>https://docs.cloud.google.com/billing/docs/how-to/export-data-bigquery-tables/focus-export</t>
        </is>
      </c>
      <c r="K289" t="inlineStr">
        <is>
          <t>2026-09-16</t>
        </is>
      </c>
      <c r="L289" s="2" t="inlineStr"/>
    </row>
    <row r="290">
      <c r="A290" t="inlineStr">
        <is>
          <t>E2</t>
        </is>
      </c>
      <c r="B290" t="inlineStr">
        <is>
          <t>Cloud nativa</t>
        </is>
      </c>
      <c r="C290" t="inlineStr">
        <is>
          <t>Google Cloud Billing</t>
        </is>
      </c>
      <c r="D290" t="inlineStr">
        <is>
          <t>Visibilidad</t>
        </is>
      </c>
      <c r="E290" t="inlineStr">
        <is>
          <t>V1</t>
        </is>
      </c>
      <c r="F290" s="2" t="inlineStr">
        <is>
          <t>¿Desagrega costo y uso por cuenta/proyecto, servicio y período?</t>
        </is>
      </c>
      <c r="G290" t="inlineStr">
        <is>
          <t>NE</t>
        </is>
      </c>
      <c r="H290" t="inlineStr">
        <is>
          <t>Pendiente</t>
        </is>
      </c>
      <c r="I290" s="2" t="inlineStr">
        <is>
          <t>Cloud Billing Reports agrupa costos "by Project", "by Service", por SKU y por "Label keys"; el reporte cambia dinámicamente al ajustar rango de tiempo, agrupación y filtros.</t>
        </is>
      </c>
      <c r="J290" t="inlineStr">
        <is>
          <t>https://docs.cloud.google.com/billing/docs/how-to/reports</t>
        </is>
      </c>
      <c r="K290" t="inlineStr">
        <is>
          <t>2026-09-16</t>
        </is>
      </c>
      <c r="L290" s="2" t="inlineStr">
        <is>
          <t>Celda heredada FP-180 (2026-09-16): el valor 2 proviene de la investigacion del escenario E1 y no cuenta con evidencia propia de E2. Segun FP-177 el indicador V1 depende del escenario, por lo que pasa a NE (no evidenciado, reduce cobertura) hasta investigarlo. La evidencia y la fuente originales se conservan como referencia del escenario de origen.</t>
        </is>
      </c>
    </row>
    <row r="291">
      <c r="A291" t="inlineStr">
        <is>
          <t>E2</t>
        </is>
      </c>
      <c r="B291" t="inlineStr">
        <is>
          <t>Cloud nativa</t>
        </is>
      </c>
      <c r="C291" t="inlineStr">
        <is>
          <t>Google Cloud Billing</t>
        </is>
      </c>
      <c r="D291" t="inlineStr">
        <is>
          <t>Visibilidad</t>
        </is>
      </c>
      <c r="E291" t="inlineStr">
        <is>
          <t>V2</t>
        </is>
      </c>
      <c r="F291" s="2" t="inlineStr">
        <is>
          <t>¿Permite rastrear un total hasta registros o fuente de facturación?</t>
        </is>
      </c>
      <c r="G291" t="n">
        <v>2</v>
      </c>
      <c r="H291" t="inlineStr">
        <is>
          <t>Oficial</t>
        </is>
      </c>
      <c r="I291" s="2" t="inlineStr">
        <is>
          <t>El export detallado de facturación a BigQuery entrega el detalle a nivel de línea de uso/costo, sirviendo de fuente trazable para reconciliar reportes.</t>
        </is>
      </c>
      <c r="J291" t="inlineStr">
        <is>
          <t>https://docs.cloud.google.com/billing/docs/how-to/export-data-bigquery-tables/detailed-usage</t>
        </is>
      </c>
      <c r="K291" t="inlineStr">
        <is>
          <t>2026-09-16</t>
        </is>
      </c>
      <c r="L291" s="2" t="inlineStr"/>
    </row>
    <row r="292">
      <c r="A292" t="inlineStr">
        <is>
          <t>E2</t>
        </is>
      </c>
      <c r="B292" t="inlineStr">
        <is>
          <t>Cloud nativa</t>
        </is>
      </c>
      <c r="C292" t="inlineStr">
        <is>
          <t>Google Cloud Billing</t>
        </is>
      </c>
      <c r="D292" t="inlineStr">
        <is>
          <t>Asignacion</t>
        </is>
      </c>
      <c r="E292" t="inlineStr">
        <is>
          <t>A1</t>
        </is>
      </c>
      <c r="F292" s="2" t="inlineStr">
        <is>
          <t>¿Calcula gasto asignado/no asignado por responsable, centro o entidad?</t>
        </is>
      </c>
      <c r="G292" t="inlineStr">
        <is>
          <t>NE</t>
        </is>
      </c>
      <c r="H292" t="inlineStr">
        <is>
          <t>Pendiente</t>
        </is>
      </c>
      <c r="I292" s="2" t="inlineStr">
        <is>
          <t>La atribución nativa se basa en jerarquía de proyectos y labels; no se encontró una función equivalente a las "cost allocation rules" de Azure o "Cost Categories" de AWS que muestre explícitamente un total "no asignado".</t>
        </is>
      </c>
      <c r="J292" t="inlineStr">
        <is>
          <t>https://docs.cloud.google.com/billing/docs/how-to/reports</t>
        </is>
      </c>
      <c r="K292" t="inlineStr">
        <is>
          <t>2026-09-16</t>
        </is>
      </c>
      <c r="L292" s="2" t="inlineStr">
        <is>
          <t>Celda heredada FP-180 (2026-09-16): el valor 1 proviene de la investigacion del escenario E1 y no cuenta con evidencia propia de E2. Segun FP-177 el indicador A1 depende del escenario, por lo que pasa a NE (no evidenciado, reduce cobertura) hasta investigarlo. La evidencia y la fuente originales se conservan como referencia del escenario de origen.</t>
        </is>
      </c>
    </row>
    <row r="293">
      <c r="A293" t="inlineStr">
        <is>
          <t>E2</t>
        </is>
      </c>
      <c r="B293" t="inlineStr">
        <is>
          <t>Cloud nativa</t>
        </is>
      </c>
      <c r="C293" t="inlineStr">
        <is>
          <t>Google Cloud Billing</t>
        </is>
      </c>
      <c r="D293" t="inlineStr">
        <is>
          <t>Asignacion</t>
        </is>
      </c>
      <c r="E293" t="inlineStr">
        <is>
          <t>A2</t>
        </is>
      </c>
      <c r="F293" s="2" t="inlineStr">
        <is>
          <t>¿Explicita y aplica reglas para costo compartido/multi-tenant?</t>
        </is>
      </c>
      <c r="G293" t="inlineStr">
        <is>
          <t>NE</t>
        </is>
      </c>
      <c r="H293" t="inlineStr">
        <is>
          <t>Pendiente</t>
        </is>
      </c>
      <c r="I293" s="2" t="inlineStr">
        <is>
          <t>No se encontró una función nativa de reparto porcentual de costo compartido entre múltiples proyectos/equipos equivalente a las split charge rules de Azure/Cost Categories de AWS; los labels permiten atribuir pero no dividen automáticamente un mismo recurso.</t>
        </is>
      </c>
      <c r="J293" t="inlineStr">
        <is>
          <t>https://docs.cloud.google.com/billing/docs/how-to/reports</t>
        </is>
      </c>
      <c r="K293" t="inlineStr">
        <is>
          <t>2026-09-16</t>
        </is>
      </c>
      <c r="L293" s="2" t="inlineStr">
        <is>
          <t>Celda heredada FP-180 (2026-09-16): el valor 0 proviene de la investigacion del escenario E1 y no cuenta con evidencia propia de E2. Segun FP-177 el indicador A2 depende del escenario, por lo que pasa a NE (no evidenciado, reduce cobertura) hasta investigarlo. La evidencia y la fuente originales se conservan como referencia del escenario de origen.</t>
        </is>
      </c>
    </row>
    <row r="294">
      <c r="A294" t="inlineStr">
        <is>
          <t>E2</t>
        </is>
      </c>
      <c r="B294" t="inlineStr">
        <is>
          <t>Cloud nativa</t>
        </is>
      </c>
      <c r="C294" t="inlineStr">
        <is>
          <t>Google Cloud Billing</t>
        </is>
      </c>
      <c r="D294" t="inlineStr">
        <is>
          <t>Optimizacion</t>
        </is>
      </c>
      <c r="E294" t="inlineStr">
        <is>
          <t>O1</t>
        </is>
      </c>
      <c r="F294" s="2" t="inlineStr">
        <is>
          <t>¿Detecta desperdicio, rightsizing o compromiso relevante al escenario?</t>
        </is>
      </c>
      <c r="G294" t="inlineStr">
        <is>
          <t>NE</t>
        </is>
      </c>
      <c r="H294" t="inlineStr">
        <is>
          <t>Pendiente</t>
        </is>
      </c>
      <c r="I294" s="2" t="inlineStr">
        <is>
          <t>Cloud Billing (reportes/presupuestos/export) no genera por sí mismo recomendaciones de optimización; esa función corresponde a Recommender/FinOps hub, evaluado como producto aparte.</t>
        </is>
      </c>
      <c r="J294" t="inlineStr">
        <is>
          <t>https://docs.cloud.google.com/billing/docs/how-to/finops-hub</t>
        </is>
      </c>
      <c r="K294" t="inlineStr">
        <is>
          <t>2026-09-16</t>
        </is>
      </c>
      <c r="L29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O1 depende del escenario, por lo que pasa a NE (no evidenciado, reduce cobertura) hasta investigarlo. La evidencia y la fuente originales se conservan como referencia del escenario de origen.</t>
        </is>
      </c>
    </row>
    <row r="295">
      <c r="A295" t="inlineStr">
        <is>
          <t>E2</t>
        </is>
      </c>
      <c r="B295" t="inlineStr">
        <is>
          <t>Cloud nativa</t>
        </is>
      </c>
      <c r="C295" t="inlineStr">
        <is>
          <t>Google Cloud Billing</t>
        </is>
      </c>
      <c r="D295" t="inlineStr">
        <is>
          <t>Optimizacion</t>
        </is>
      </c>
      <c r="E295" t="inlineStr">
        <is>
          <t>O2</t>
        </is>
      </c>
      <c r="F295" s="2" t="inlineStr">
        <is>
          <t>¿Explica supuesto/impacto y permite seguir una recomendación?</t>
        </is>
      </c>
      <c r="G295" t="n">
        <v>0</v>
      </c>
      <c r="H295" t="inlineStr">
        <is>
          <t>Oficial (ausencia verificada)</t>
        </is>
      </c>
      <c r="I295" s="2" t="inlineStr">
        <is>
          <t>Mismo alcance de diseño que O1.</t>
        </is>
      </c>
      <c r="J295" t="inlineStr">
        <is>
          <t>https://docs.cloud.google.com/billing/docs/how-to/finops-hub</t>
        </is>
      </c>
      <c r="K295" t="inlineStr">
        <is>
          <t>2026-09-16</t>
        </is>
      </c>
      <c r="L29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296">
      <c r="A296" t="inlineStr">
        <is>
          <t>E2</t>
        </is>
      </c>
      <c r="B296" t="inlineStr">
        <is>
          <t>Cloud nativa</t>
        </is>
      </c>
      <c r="C296" t="inlineStr">
        <is>
          <t>Google Cloud Billing</t>
        </is>
      </c>
      <c r="D296" t="inlineStr">
        <is>
          <t>Automatizacion</t>
        </is>
      </c>
      <c r="E296" t="inlineStr">
        <is>
          <t>AU1</t>
        </is>
      </c>
      <c r="F296" s="2" t="inlineStr">
        <is>
          <t>¿Ejecuta o bloquea acciones/políticas de costo con control verificable?</t>
        </is>
      </c>
      <c r="G296" t="inlineStr">
        <is>
          <t>NE</t>
        </is>
      </c>
      <c r="H296" t="inlineStr">
        <is>
          <t>Pendiente</t>
        </is>
      </c>
      <c r="I296" s="2" t="inlineStr">
        <is>
          <t>Las notificaciones programáticas de presupuesto vía Pub/Sub permiten "automatizar respuestas de control de costos", incluida deshabilitar la facturación o limitar recursos mediante Cloud Run/Functions, sin paso de aprobación documentado.</t>
        </is>
      </c>
      <c r="J296" t="inlineStr">
        <is>
          <t>https://docs.cloud.google.com/billing/docs/how-to/budgets-programmatic-notifications</t>
        </is>
      </c>
      <c r="K296" t="inlineStr">
        <is>
          <t>2026-09-16</t>
        </is>
      </c>
      <c r="L296" s="2" t="inlineStr">
        <is>
          <t>Celda heredada FP-180 (2026-09-16): el valor 2 proviene de la investigacion del escenario E1 y no cuenta con evidencia propia de E2. Segun FP-177 el indicador AU1 depende del escenario, por lo que pasa a NE (no evidenciado, reduce cobertura) hasta investigarlo. La evidencia y la fuente originales se conservan como referencia del escenario de origen.</t>
        </is>
      </c>
    </row>
    <row r="297">
      <c r="A297" t="inlineStr">
        <is>
          <t>E2</t>
        </is>
      </c>
      <c r="B297" t="inlineStr">
        <is>
          <t>Cloud nativa</t>
        </is>
      </c>
      <c r="C297" t="inlineStr">
        <is>
          <t>Google Cloud Billing</t>
        </is>
      </c>
      <c r="D297" t="inlineStr">
        <is>
          <t>Automatizacion</t>
        </is>
      </c>
      <c r="E297" t="inlineStr">
        <is>
          <t>AU2</t>
        </is>
      </c>
      <c r="F297" s="2" t="inlineStr">
        <is>
          <t>¿Ofrece aprobación, reversión, registro o límites antes de actuar?</t>
        </is>
      </c>
      <c r="G297" t="n">
        <v>1</v>
      </c>
      <c r="H297" t="inlineStr">
        <is>
          <t>Oficial</t>
        </is>
      </c>
      <c r="I297" s="2" t="inlineStr">
        <is>
          <t>La documentación no describe un paso de aprobación manual nativo ni un registro de auditoría/reversión; esas salvaguardas dependerían de la Cloud Function que el equipo construya.</t>
        </is>
      </c>
      <c r="J297" t="inlineStr">
        <is>
          <t>https://docs.cloud.google.com/billing/docs/how-to/budgets-programmatic-notifications</t>
        </is>
      </c>
      <c r="K297" t="inlineStr">
        <is>
          <t>2026-09-16</t>
        </is>
      </c>
      <c r="L297" s="2" t="inlineStr"/>
    </row>
    <row r="298">
      <c r="A298" t="inlineStr">
        <is>
          <t>E2</t>
        </is>
      </c>
      <c r="B298" t="inlineStr">
        <is>
          <t>Cloud nativa</t>
        </is>
      </c>
      <c r="C298" t="inlineStr">
        <is>
          <t>Google Cloud Billing</t>
        </is>
      </c>
      <c r="D298" t="inlineStr">
        <is>
          <t>Multicloud</t>
        </is>
      </c>
      <c r="E298" t="inlineStr">
        <is>
          <t>M1</t>
        </is>
      </c>
      <c r="F298" s="2" t="inlineStr">
        <is>
          <t>¿Consolida al menos dos proveedores bajo el mismo esquema declarado?</t>
        </is>
      </c>
      <c r="G298" t="n">
        <v>0</v>
      </c>
      <c r="H298" t="inlineStr">
        <is>
          <t>Oficial</t>
        </is>
      </c>
      <c r="I298" s="2" t="inlineStr">
        <is>
          <t>Cloud Billing cubre exclusivamente cuentas de Google Cloud; no ingiere ni consolida datos de AWS/Azure dentro de la misma consola.</t>
        </is>
      </c>
      <c r="J298" t="inlineStr">
        <is>
          <t>https://docs.cloud.google.com/billing/docs/how-to/export-data-bigquery-tables/focus-export</t>
        </is>
      </c>
      <c r="K298" t="inlineStr">
        <is>
          <t>2026-09-16</t>
        </is>
      </c>
      <c r="L298" s="2" t="inlineStr"/>
    </row>
    <row r="299">
      <c r="A299" t="inlineStr">
        <is>
          <t>E2</t>
        </is>
      </c>
      <c r="B299" t="inlineStr">
        <is>
          <t>Cloud nativa</t>
        </is>
      </c>
      <c r="C299" t="inlineStr">
        <is>
          <t>Google Cloud Billing</t>
        </is>
      </c>
      <c r="D299" t="inlineStr">
        <is>
          <t>Multicloud</t>
        </is>
      </c>
      <c r="E299" t="inlineStr">
        <is>
          <t>M2</t>
        </is>
      </c>
      <c r="F299" s="2" t="inlineStr">
        <is>
          <t>¿Hace visibles proveedor, cobertura y diferencias semánticas?</t>
        </is>
      </c>
      <c r="G299" t="n">
        <v>0</v>
      </c>
      <c r="H299" t="inlineStr">
        <is>
          <t>Oficial</t>
        </is>
      </c>
      <c r="I299" s="2" t="inlineStr">
        <is>
          <t>Al no consolidar otros proveedores, no expone diferencias de cobertura o semántica entre nubes.</t>
        </is>
      </c>
      <c r="J299" t="inlineStr">
        <is>
          <t>https://docs.cloud.google.com/billing/docs/how-to/export-data-bigquery-tables/focus-export</t>
        </is>
      </c>
      <c r="K299" t="inlineStr">
        <is>
          <t>2026-09-16</t>
        </is>
      </c>
      <c r="L299" s="2" t="inlineStr"/>
    </row>
    <row r="300">
      <c r="A300" t="inlineStr">
        <is>
          <t>E2</t>
        </is>
      </c>
      <c r="B300" t="inlineStr">
        <is>
          <t>Cloud nativa</t>
        </is>
      </c>
      <c r="C300" t="inlineStr">
        <is>
          <t>Google Cloud Billing</t>
        </is>
      </c>
      <c r="D300" t="inlineStr">
        <is>
          <t>Integracion</t>
        </is>
      </c>
      <c r="E300" t="inlineStr">
        <is>
          <t>I1</t>
        </is>
      </c>
      <c r="F300" s="2" t="inlineStr">
        <is>
          <t>¿Integra datos requeridos (facturación, uso, clúster o IaC) del escenario?</t>
        </is>
      </c>
      <c r="G300" t="inlineStr">
        <is>
          <t>NE</t>
        </is>
      </c>
      <c r="H300" t="inlineStr">
        <is>
          <t>Pendiente</t>
        </is>
      </c>
      <c r="I300" s="2" t="inlineStr">
        <is>
          <t>El export detallado a BigQuery ingiere datos de costo/uso de forma automatizada; GKE cost allocation (opt-in con "--enable-cost-allocation") añade granularidad de namespace/workload/pod (hasta 50 etiquetas por Pod) al mismo export, con hasta 3 días de latencia.</t>
        </is>
      </c>
      <c r="J300" t="inlineStr">
        <is>
          <t>https://docs.cloud.google.com/kubernetes-engine/docs/how-to/cost-allocations</t>
        </is>
      </c>
      <c r="K300" t="inlineStr">
        <is>
          <t>2026-09-16</t>
        </is>
      </c>
      <c r="L300" s="2" t="inlineStr">
        <is>
          <t>Celda heredada FP-180 (2026-09-16): el valor 2 proviene de la investigacion del escenario E1 y no cuenta con evidencia propia de E2. Segun FP-177 el indicador I1 depende del escenario, por lo que pasa a NE (no evidenciado, reduce cobertura) hasta investigarlo. La evidencia y la fuente originales se conservan como referencia del escenario de origen.</t>
        </is>
      </c>
    </row>
    <row r="301">
      <c r="A301" t="inlineStr">
        <is>
          <t>E2</t>
        </is>
      </c>
      <c r="B301" t="inlineStr">
        <is>
          <t>Cloud nativa</t>
        </is>
      </c>
      <c r="C301" t="inlineStr">
        <is>
          <t>Google Cloud Billing</t>
        </is>
      </c>
      <c r="D301" t="inlineStr">
        <is>
          <t>Integracion</t>
        </is>
      </c>
      <c r="E301" t="inlineStr">
        <is>
          <t>I2</t>
        </is>
      </c>
      <c r="F301" s="2" t="inlineStr">
        <is>
          <t>¿Se integra con el flujo de trabajo relevante (alerta, ticket, CI/CD o reporte)?</t>
        </is>
      </c>
      <c r="G301" t="inlineStr">
        <is>
          <t>NE</t>
        </is>
      </c>
      <c r="H301" t="inlineStr">
        <is>
          <t>Pendiente</t>
        </is>
      </c>
      <c r="I301" s="2" t="inlineStr">
        <is>
          <t>Las notificaciones Pub/Sub se integran con Slack y otras herramientas operativas para "respuesta más rápida" al evento de costo.</t>
        </is>
      </c>
      <c r="J301" t="inlineStr">
        <is>
          <t>https://docs.cloud.google.com/billing/docs/how-to/budgets-programmatic-notifications</t>
        </is>
      </c>
      <c r="K301" t="inlineStr">
        <is>
          <t>2026-09-16</t>
        </is>
      </c>
      <c r="L301" s="2" t="inlineStr">
        <is>
          <t>Celda heredada FP-180 (2026-09-16): el valor 2 proviene de la investigacion del escenario E1 y no cuenta con evidencia propia de E2. Segun FP-177 el indicador I2 depende del escenario, por lo que pasa a NE (no evidenciado, reduce cobertura) hasta investigarlo. La evidencia y la fuente originales se conservan como referencia del escenario de origen.</t>
        </is>
      </c>
    </row>
    <row r="302">
      <c r="A302" t="inlineStr">
        <is>
          <t>E2</t>
        </is>
      </c>
      <c r="B302" t="inlineStr">
        <is>
          <t>Cloud nativa</t>
        </is>
      </c>
      <c r="C302" t="inlineStr">
        <is>
          <t>Google Cloud Billing</t>
        </is>
      </c>
      <c r="D302" t="inlineStr">
        <is>
          <t>Adopcion</t>
        </is>
      </c>
      <c r="E302" t="inlineStr">
        <is>
          <t>AD1</t>
        </is>
      </c>
      <c r="F302" s="2" t="inlineStr">
        <is>
          <t>¿Soporta acceso/entrega para los roles del escenario?</t>
        </is>
      </c>
      <c r="G302" t="inlineStr">
        <is>
          <t>NE</t>
        </is>
      </c>
      <c r="H302" t="inlineStr">
        <is>
          <t>Pendiente</t>
        </is>
      </c>
      <c r="I302" s="2" t="inlineStr">
        <is>
          <t>Roles de IAM predefinidos ("Billing Account Viewer", "Billing Account Costs Manager", "Project Billing Costs Manager") separan acceso de solo lectura de costos del resto de permisos de administración, incluso acotado por proyecto.</t>
        </is>
      </c>
      <c r="J302" t="inlineStr">
        <is>
          <t>https://docs.cloud.google.com/billing/docs/how-to/billing-access</t>
        </is>
      </c>
      <c r="K302" t="inlineStr">
        <is>
          <t>2026-09-16</t>
        </is>
      </c>
      <c r="L302" s="2" t="inlineStr">
        <is>
          <t>Celda heredada FP-180 (2026-09-16): el valor 2 proviene de la investigacion del escenario E1 y no cuenta con evidencia propia de E2. Segun FP-177 el indicador AD1 depende del escenario, por lo que pasa a NE (no evidenciado, reduce cobertura) hasta investigarlo. La evidencia y la fuente originales se conservan como referencia del escenario de origen.</t>
        </is>
      </c>
    </row>
    <row r="303">
      <c r="A303" t="inlineStr">
        <is>
          <t>E2</t>
        </is>
      </c>
      <c r="B303" t="inlineStr">
        <is>
          <t>Cloud nativa</t>
        </is>
      </c>
      <c r="C303" t="inlineStr">
        <is>
          <t>Google Cloud Billing</t>
        </is>
      </c>
      <c r="D303" t="inlineStr">
        <is>
          <t>Adopcion</t>
        </is>
      </c>
      <c r="E303" t="inlineStr">
        <is>
          <t>AD2</t>
        </is>
      </c>
      <c r="F303" s="2" t="inlineStr">
        <is>
          <t>¿Ofrece guías, ownership o mecanismos de seguimiento para uso sostenido?</t>
        </is>
      </c>
      <c r="G303" t="n">
        <v>1</v>
      </c>
      <c r="H303" t="inlineStr">
        <is>
          <t>Oficial</t>
        </is>
      </c>
      <c r="I303" s="2" t="inlineStr">
        <is>
          <t>Existen guías oficiales generales de uso, pero la medición formal de adopción/gobernanza (el "FinOps score") corresponde a FinOps hub, evaluado como producto aparte.</t>
        </is>
      </c>
      <c r="J303" t="inlineStr">
        <is>
          <t>https://docs.cloud.google.com/billing/docs/how-to/finops-hub</t>
        </is>
      </c>
      <c r="K303" t="inlineStr">
        <is>
          <t>2026-09-16</t>
        </is>
      </c>
      <c r="L303" s="2" t="inlineStr"/>
    </row>
    <row r="304">
      <c r="A304" t="inlineStr">
        <is>
          <t>E2</t>
        </is>
      </c>
      <c r="B304" t="inlineStr">
        <is>
          <t>Cloud nativa</t>
        </is>
      </c>
      <c r="C304" t="inlineStr">
        <is>
          <t>Google Cloud Billing</t>
        </is>
      </c>
      <c r="D304" t="inlineStr">
        <is>
          <t>Precio</t>
        </is>
      </c>
      <c r="E304" t="inlineStr">
        <is>
          <t>P1</t>
        </is>
      </c>
      <c r="F304" s="2" t="inlineStr">
        <is>
          <t>¿Expone precio, moneda, región, unidad, período y supuestos relevantes?</t>
        </is>
      </c>
      <c r="G304" t="n">
        <v>2</v>
      </c>
      <c r="H304" t="inlineStr">
        <is>
          <t>Oficial</t>
        </is>
      </c>
      <c r="I304" s="2" t="inlineStr">
        <is>
          <t>El export FOCUS y el export detallado exponen campos estandarizados (BilledCost, ListCost, ContractedCost, ServiceName, SkuId, RegionId) con moneda, período y región.</t>
        </is>
      </c>
      <c r="J304" t="inlineStr">
        <is>
          <t>https://docs.cloud.google.com/billing/docs/how-to/export-data-bigquery-tables/focus-export</t>
        </is>
      </c>
      <c r="K304" t="inlineStr">
        <is>
          <t>2026-09-16</t>
        </is>
      </c>
      <c r="L304" s="2" t="inlineStr"/>
    </row>
    <row r="305">
      <c r="A305" t="inlineStr">
        <is>
          <t>E2</t>
        </is>
      </c>
      <c r="B305" t="inlineStr">
        <is>
          <t>Cloud nativa</t>
        </is>
      </c>
      <c r="C305" t="inlineStr">
        <is>
          <t>Google Cloud Billing</t>
        </is>
      </c>
      <c r="D305" t="inlineStr">
        <is>
          <t>Precio</t>
        </is>
      </c>
      <c r="E305" t="inlineStr">
        <is>
          <t>P2</t>
        </is>
      </c>
      <c r="F305" s="2" t="inlineStr">
        <is>
          <t>¿Permite estimar o comparar componentes sin ocultar límites de equivalencia?</t>
        </is>
      </c>
      <c r="G305" t="inlineStr">
        <is>
          <t>NE</t>
        </is>
      </c>
      <c r="H305" t="inlineStr">
        <is>
          <t>Pendiente</t>
        </is>
      </c>
      <c r="I305" s="2" t="inlineStr">
        <is>
          <t>Cloud Billing Reports no incluye una calculadora de estimación de componentes previa al despliegue (esa función es de Google Cloud Pricing Calculator, evaluada aparte en E4).</t>
        </is>
      </c>
      <c r="J305" t="inlineStr">
        <is>
          <t>https://docs.cloud.google.com/billing/docs/how-to/reports</t>
        </is>
      </c>
      <c r="K305" t="inlineStr">
        <is>
          <t>2026-09-16</t>
        </is>
      </c>
      <c r="L305" s="2" t="inlineStr">
        <is>
          <t>Celda heredada FP-180 (2026-09-16): el valor 1 proviene de la investigacion del escenario E1 y no cuenta con evidencia propia de E2. Segun FP-177 el indicador P2 depende del escenario, por lo que pasa a NE (no evidenciado, reduce cobertura) hasta investigarlo. La evidencia y la fuente originales se conservan como referencia del escenario de origen.</t>
        </is>
      </c>
    </row>
    <row r="306">
      <c r="A306" t="inlineStr">
        <is>
          <t>E2</t>
        </is>
      </c>
      <c r="B306" t="inlineStr">
        <is>
          <t>Cloud nativa</t>
        </is>
      </c>
      <c r="C306" t="inlineStr">
        <is>
          <t>Google Cloud Billing</t>
        </is>
      </c>
      <c r="D306" t="inlineStr">
        <is>
          <t>Dependencia</t>
        </is>
      </c>
      <c r="E306" t="inlineStr">
        <is>
          <t>D1</t>
        </is>
      </c>
      <c r="F306" s="2" t="inlineStr">
        <is>
          <t>¿Exporta datos/resultados en formato utilizable y documentado?</t>
        </is>
      </c>
      <c r="G306" t="n">
        <v>2</v>
      </c>
      <c r="H306" t="inlineStr">
        <is>
          <t>Oficial</t>
        </is>
      </c>
      <c r="I306" s="2" t="inlineStr">
        <is>
          <t>El export estándar y detallado a BigQuery, y el export en esquema FOCUS, entregan datos en formato abierto y consultable con SQL.</t>
        </is>
      </c>
      <c r="J306" t="inlineStr">
        <is>
          <t>https://docs.cloud.google.com/billing/docs/how-to/export-data-bigquery-tables/focus-export</t>
        </is>
      </c>
      <c r="K306" t="inlineStr">
        <is>
          <t>2026-09-16</t>
        </is>
      </c>
      <c r="L306" s="2" t="inlineStr"/>
    </row>
    <row r="307">
      <c r="A307" t="inlineStr">
        <is>
          <t>E2</t>
        </is>
      </c>
      <c r="B307" t="inlineStr">
        <is>
          <t>Cloud nativa</t>
        </is>
      </c>
      <c r="C307" t="inlineStr">
        <is>
          <t>Google Cloud Billing</t>
        </is>
      </c>
      <c r="D307" t="inlineStr">
        <is>
          <t>Dependencia</t>
        </is>
      </c>
      <c r="E307" t="inlineStr">
        <is>
          <t>D2</t>
        </is>
      </c>
      <c r="F307" s="2" t="inlineStr">
        <is>
          <t>¿Documenta dependencias propietarias y un camino de salida/configuración reversible?</t>
        </is>
      </c>
      <c r="G307" t="n">
        <v>1</v>
      </c>
      <c r="H307" t="inlineStr">
        <is>
          <t>Oficial</t>
        </is>
      </c>
      <c r="I307" s="2" t="inlineStr">
        <is>
          <t>No se encontró documentación dedicada sobre un camino de salida o reversibilidad; el riesgo de dependencia se atenúa por el export en formato FOCUS/BigQuery estándar.</t>
        </is>
      </c>
      <c r="J307" t="inlineStr">
        <is>
          <t>https://docs.cloud.google.com/billing/docs/how-to/export-data-bigquery-tables/focus-export</t>
        </is>
      </c>
      <c r="K307" t="inlineStr">
        <is>
          <t>2026-09-16</t>
        </is>
      </c>
      <c r="L307" s="2" t="inlineStr"/>
    </row>
    <row r="308">
      <c r="A308" t="inlineStr">
        <is>
          <t>E3</t>
        </is>
      </c>
      <c r="B308" t="inlineStr">
        <is>
          <t>Cloud nativa</t>
        </is>
      </c>
      <c r="C308" t="inlineStr">
        <is>
          <t>Google Cloud Billing</t>
        </is>
      </c>
      <c r="D308" t="inlineStr">
        <is>
          <t>Visibilidad</t>
        </is>
      </c>
      <c r="E308" t="inlineStr">
        <is>
          <t>V1</t>
        </is>
      </c>
      <c r="F308" s="2" t="inlineStr">
        <is>
          <t>¿Desagrega costo y uso por cuenta/proyecto, servicio y período?</t>
        </is>
      </c>
      <c r="G308" t="inlineStr">
        <is>
          <t>NE</t>
        </is>
      </c>
      <c r="H308" t="inlineStr">
        <is>
          <t>Pendiente</t>
        </is>
      </c>
      <c r="I308" s="2" t="inlineStr">
        <is>
          <t>Cloud Billing Reports agrupa costos "by Project", "by Service", por SKU y por "Label keys"; el reporte cambia dinámicamente al ajustar rango de tiempo, agrupación y filtros.</t>
        </is>
      </c>
      <c r="J308" t="inlineStr">
        <is>
          <t>https://docs.cloud.google.com/billing/docs/how-to/reports</t>
        </is>
      </c>
      <c r="K308" t="inlineStr">
        <is>
          <t>2026-09-16</t>
        </is>
      </c>
      <c r="L308" s="2" t="inlineStr">
        <is>
          <t>Celda heredada FP-180 (2026-09-16): el valor 2 proviene de la investigacion del escenario E1 y no cuenta con evidencia propia de E3. Segun FP-177 el indicador V1 depende del escenario, por lo que pasa a NE (no evidenciado, reduce cobertura) hasta investigarlo. La evidencia y la fuente originales se conservan como referencia del escenario de origen.</t>
        </is>
      </c>
    </row>
    <row r="309">
      <c r="A309" t="inlineStr">
        <is>
          <t>E3</t>
        </is>
      </c>
      <c r="B309" t="inlineStr">
        <is>
          <t>Cloud nativa</t>
        </is>
      </c>
      <c r="C309" t="inlineStr">
        <is>
          <t>Google Cloud Billing</t>
        </is>
      </c>
      <c r="D309" t="inlineStr">
        <is>
          <t>Visibilidad</t>
        </is>
      </c>
      <c r="E309" t="inlineStr">
        <is>
          <t>V2</t>
        </is>
      </c>
      <c r="F309" s="2" t="inlineStr">
        <is>
          <t>¿Permite rastrear un total hasta registros o fuente de facturación?</t>
        </is>
      </c>
      <c r="G309" t="n">
        <v>2</v>
      </c>
      <c r="H309" t="inlineStr">
        <is>
          <t>Oficial</t>
        </is>
      </c>
      <c r="I309" s="2" t="inlineStr">
        <is>
          <t>El export detallado de facturación a BigQuery entrega el detalle a nivel de línea de uso/costo, sirviendo de fuente trazable para reconciliar reportes.</t>
        </is>
      </c>
      <c r="J309" t="inlineStr">
        <is>
          <t>https://docs.cloud.google.com/billing/docs/how-to/export-data-bigquery-tables/detailed-usage</t>
        </is>
      </c>
      <c r="K309" t="inlineStr">
        <is>
          <t>2026-09-16</t>
        </is>
      </c>
      <c r="L309" s="2" t="inlineStr"/>
    </row>
    <row r="310">
      <c r="A310" t="inlineStr">
        <is>
          <t>E3</t>
        </is>
      </c>
      <c r="B310" t="inlineStr">
        <is>
          <t>Cloud nativa</t>
        </is>
      </c>
      <c r="C310" t="inlineStr">
        <is>
          <t>Google Cloud Billing</t>
        </is>
      </c>
      <c r="D310" t="inlineStr">
        <is>
          <t>Asignacion</t>
        </is>
      </c>
      <c r="E310" t="inlineStr">
        <is>
          <t>A1</t>
        </is>
      </c>
      <c r="F310" s="2" t="inlineStr">
        <is>
          <t>¿Calcula gasto asignado/no asignado por responsable, centro o entidad?</t>
        </is>
      </c>
      <c r="G310" t="inlineStr">
        <is>
          <t>NE</t>
        </is>
      </c>
      <c r="H310" t="inlineStr">
        <is>
          <t>Pendiente</t>
        </is>
      </c>
      <c r="I310" s="2" t="inlineStr">
        <is>
          <t>La atribución nativa se basa en jerarquía de proyectos y labels; no se encontró una función equivalente a las "cost allocation rules" de Azure o "Cost Categories" de AWS que muestre explícitamente un total "no asignado".</t>
        </is>
      </c>
      <c r="J310" t="inlineStr">
        <is>
          <t>https://docs.cloud.google.com/billing/docs/how-to/reports</t>
        </is>
      </c>
      <c r="K310" t="inlineStr">
        <is>
          <t>2026-09-16</t>
        </is>
      </c>
      <c r="L310" s="2" t="inlineStr">
        <is>
          <t>Celda heredada FP-180 (2026-09-16): el valor 1 proviene de la investigacion del escenario E1 y no cuenta con evidencia propia de E3. Segun FP-177 el indicador A1 depende del escenario, por lo que pasa a NE (no evidenciado, reduce cobertura) hasta investigarlo. La evidencia y la fuente originales se conservan como referencia del escenario de origen.</t>
        </is>
      </c>
    </row>
    <row r="311">
      <c r="A311" t="inlineStr">
        <is>
          <t>E3</t>
        </is>
      </c>
      <c r="B311" t="inlineStr">
        <is>
          <t>Cloud nativa</t>
        </is>
      </c>
      <c r="C311" t="inlineStr">
        <is>
          <t>Google Cloud Billing</t>
        </is>
      </c>
      <c r="D311" t="inlineStr">
        <is>
          <t>Asignacion</t>
        </is>
      </c>
      <c r="E311" t="inlineStr">
        <is>
          <t>A2</t>
        </is>
      </c>
      <c r="F311" s="2" t="inlineStr">
        <is>
          <t>¿Explicita y aplica reglas para costo compartido/multi-tenant?</t>
        </is>
      </c>
      <c r="G311" t="inlineStr">
        <is>
          <t>NE</t>
        </is>
      </c>
      <c r="H311" t="inlineStr">
        <is>
          <t>Pendiente</t>
        </is>
      </c>
      <c r="I311" s="2" t="inlineStr">
        <is>
          <t>No se encontró una función nativa de reparto porcentual de costo compartido entre múltiples proyectos/equipos equivalente a las split charge rules de Azure/Cost Categories de AWS; los labels permiten atribuir pero no dividen automáticamente un mismo recurso.</t>
        </is>
      </c>
      <c r="J311" t="inlineStr">
        <is>
          <t>https://docs.cloud.google.com/billing/docs/how-to/reports</t>
        </is>
      </c>
      <c r="K311" t="inlineStr">
        <is>
          <t>2026-09-16</t>
        </is>
      </c>
      <c r="L311" s="2" t="inlineStr">
        <is>
          <t>Celda heredada FP-180 (2026-09-16): el valor 0 proviene de la investigacion del escenario E1 y no cuenta con evidencia propia de E3. Segun FP-177 el indicador A2 depende del escenario, por lo que pasa a NE (no evidenciado, reduce cobertura) hasta investigarlo. La evidencia y la fuente originales se conservan como referencia del escenario de origen.</t>
        </is>
      </c>
    </row>
    <row r="312">
      <c r="A312" t="inlineStr">
        <is>
          <t>E3</t>
        </is>
      </c>
      <c r="B312" t="inlineStr">
        <is>
          <t>Cloud nativa</t>
        </is>
      </c>
      <c r="C312" t="inlineStr">
        <is>
          <t>Google Cloud Billing</t>
        </is>
      </c>
      <c r="D312" t="inlineStr">
        <is>
          <t>Optimizacion</t>
        </is>
      </c>
      <c r="E312" t="inlineStr">
        <is>
          <t>O1</t>
        </is>
      </c>
      <c r="F312" s="2" t="inlineStr">
        <is>
          <t>¿Detecta desperdicio, rightsizing o compromiso relevante al escenario?</t>
        </is>
      </c>
      <c r="G312" t="inlineStr">
        <is>
          <t>NE</t>
        </is>
      </c>
      <c r="H312" t="inlineStr">
        <is>
          <t>Pendiente</t>
        </is>
      </c>
      <c r="I312" s="2" t="inlineStr">
        <is>
          <t>Cloud Billing (reportes/presupuestos/export) no genera por sí mismo recomendaciones de optimización; esa función corresponde a Recommender/FinOps hub, evaluado como producto aparte.</t>
        </is>
      </c>
      <c r="J312" t="inlineStr">
        <is>
          <t>https://docs.cloud.google.com/billing/docs/how-to/finops-hub</t>
        </is>
      </c>
      <c r="K312" t="inlineStr">
        <is>
          <t>2026-09-16</t>
        </is>
      </c>
      <c r="L31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O1 depende del escenario, por lo que pasa a NE (no evidenciado, reduce cobertura) hasta investigarlo. La evidencia y la fuente originales se conservan como referencia del escenario de origen.</t>
        </is>
      </c>
    </row>
    <row r="313">
      <c r="A313" t="inlineStr">
        <is>
          <t>E3</t>
        </is>
      </c>
      <c r="B313" t="inlineStr">
        <is>
          <t>Cloud nativa</t>
        </is>
      </c>
      <c r="C313" t="inlineStr">
        <is>
          <t>Google Cloud Billing</t>
        </is>
      </c>
      <c r="D313" t="inlineStr">
        <is>
          <t>Optimizacion</t>
        </is>
      </c>
      <c r="E313" t="inlineStr">
        <is>
          <t>O2</t>
        </is>
      </c>
      <c r="F313" s="2" t="inlineStr">
        <is>
          <t>¿Explica supuesto/impacto y permite seguir una recomendación?</t>
        </is>
      </c>
      <c r="G313" t="n">
        <v>0</v>
      </c>
      <c r="H313" t="inlineStr">
        <is>
          <t>Oficial (ausencia verificada)</t>
        </is>
      </c>
      <c r="I313" s="2" t="inlineStr">
        <is>
          <t>Mismo alcance de diseño que O1.</t>
        </is>
      </c>
      <c r="J313" t="inlineStr">
        <is>
          <t>https://docs.cloud.google.com/billing/docs/how-to/finops-hub</t>
        </is>
      </c>
      <c r="K313" t="inlineStr">
        <is>
          <t>2026-09-16</t>
        </is>
      </c>
      <c r="L31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14">
      <c r="A314" t="inlineStr">
        <is>
          <t>E3</t>
        </is>
      </c>
      <c r="B314" t="inlineStr">
        <is>
          <t>Cloud nativa</t>
        </is>
      </c>
      <c r="C314" t="inlineStr">
        <is>
          <t>Google Cloud Billing</t>
        </is>
      </c>
      <c r="D314" t="inlineStr">
        <is>
          <t>Automatizacion</t>
        </is>
      </c>
      <c r="E314" t="inlineStr">
        <is>
          <t>AU1</t>
        </is>
      </c>
      <c r="F314" s="2" t="inlineStr">
        <is>
          <t>¿Ejecuta o bloquea acciones/políticas de costo con control verificable?</t>
        </is>
      </c>
      <c r="G314" t="inlineStr">
        <is>
          <t>NE</t>
        </is>
      </c>
      <c r="H314" t="inlineStr">
        <is>
          <t>Pendiente</t>
        </is>
      </c>
      <c r="I314" s="2" t="inlineStr">
        <is>
          <t>Las notificaciones programáticas de presupuesto vía Pub/Sub permiten "automatizar respuestas de control de costos", incluida deshabilitar la facturación o limitar recursos mediante Cloud Run/Functions, sin paso de aprobación documentado.</t>
        </is>
      </c>
      <c r="J314" t="inlineStr">
        <is>
          <t>https://docs.cloud.google.com/billing/docs/how-to/budgets-programmatic-notifications</t>
        </is>
      </c>
      <c r="K314" t="inlineStr">
        <is>
          <t>2026-09-16</t>
        </is>
      </c>
      <c r="L314" s="2" t="inlineStr">
        <is>
          <t>Celda heredada FP-180 (2026-09-16): el valor 2 proviene de la investigacion del escenario E1 y no cuenta con evidencia propia de E3. Segun FP-177 el indicador AU1 depende del escenario, por lo que pasa a NE (no evidenciado, reduce cobertura) hasta investigarlo. La evidencia y la fuente originales se conservan como referencia del escenario de origen.</t>
        </is>
      </c>
    </row>
    <row r="315">
      <c r="A315" t="inlineStr">
        <is>
          <t>E3</t>
        </is>
      </c>
      <c r="B315" t="inlineStr">
        <is>
          <t>Cloud nativa</t>
        </is>
      </c>
      <c r="C315" t="inlineStr">
        <is>
          <t>Google Cloud Billing</t>
        </is>
      </c>
      <c r="D315" t="inlineStr">
        <is>
          <t>Automatizacion</t>
        </is>
      </c>
      <c r="E315" t="inlineStr">
        <is>
          <t>AU2</t>
        </is>
      </c>
      <c r="F315" s="2" t="inlineStr">
        <is>
          <t>¿Ofrece aprobación, reversión, registro o límites antes de actuar?</t>
        </is>
      </c>
      <c r="G315" t="n">
        <v>1</v>
      </c>
      <c r="H315" t="inlineStr">
        <is>
          <t>Oficial</t>
        </is>
      </c>
      <c r="I315" s="2" t="inlineStr">
        <is>
          <t>La documentación no describe un paso de aprobación manual nativo ni un registro de auditoría/reversión; esas salvaguardas dependerían de la Cloud Function que el equipo construya.</t>
        </is>
      </c>
      <c r="J315" t="inlineStr">
        <is>
          <t>https://docs.cloud.google.com/billing/docs/how-to/budgets-programmatic-notifications</t>
        </is>
      </c>
      <c r="K315" t="inlineStr">
        <is>
          <t>2026-09-16</t>
        </is>
      </c>
      <c r="L315" s="2" t="inlineStr"/>
    </row>
    <row r="316">
      <c r="A316" t="inlineStr">
        <is>
          <t>E3</t>
        </is>
      </c>
      <c r="B316" t="inlineStr">
        <is>
          <t>Cloud nativa</t>
        </is>
      </c>
      <c r="C316" t="inlineStr">
        <is>
          <t>Google Cloud Billing</t>
        </is>
      </c>
      <c r="D316" t="inlineStr">
        <is>
          <t>Multicloud</t>
        </is>
      </c>
      <c r="E316" t="inlineStr">
        <is>
          <t>M1</t>
        </is>
      </c>
      <c r="F316" s="2" t="inlineStr">
        <is>
          <t>¿Consolida al menos dos proveedores bajo el mismo esquema declarado?</t>
        </is>
      </c>
      <c r="G316" t="n">
        <v>0</v>
      </c>
      <c r="H316" t="inlineStr">
        <is>
          <t>Oficial</t>
        </is>
      </c>
      <c r="I316" s="2" t="inlineStr">
        <is>
          <t>Cloud Billing cubre exclusivamente cuentas de Google Cloud; no ingiere ni consolida datos de AWS/Azure dentro de la misma consola.</t>
        </is>
      </c>
      <c r="J316" t="inlineStr">
        <is>
          <t>https://docs.cloud.google.com/billing/docs/how-to/export-data-bigquery-tables/focus-export</t>
        </is>
      </c>
      <c r="K316" t="inlineStr">
        <is>
          <t>2026-09-16</t>
        </is>
      </c>
      <c r="L316" s="2" t="inlineStr"/>
    </row>
    <row r="317">
      <c r="A317" t="inlineStr">
        <is>
          <t>E3</t>
        </is>
      </c>
      <c r="B317" t="inlineStr">
        <is>
          <t>Cloud nativa</t>
        </is>
      </c>
      <c r="C317" t="inlineStr">
        <is>
          <t>Google Cloud Billing</t>
        </is>
      </c>
      <c r="D317" t="inlineStr">
        <is>
          <t>Multicloud</t>
        </is>
      </c>
      <c r="E317" t="inlineStr">
        <is>
          <t>M2</t>
        </is>
      </c>
      <c r="F317" s="2" t="inlineStr">
        <is>
          <t>¿Hace visibles proveedor, cobertura y diferencias semánticas?</t>
        </is>
      </c>
      <c r="G317" t="n">
        <v>0</v>
      </c>
      <c r="H317" t="inlineStr">
        <is>
          <t>Oficial</t>
        </is>
      </c>
      <c r="I317" s="2" t="inlineStr">
        <is>
          <t>Al no consolidar otros proveedores, no expone diferencias de cobertura o semántica entre nubes.</t>
        </is>
      </c>
      <c r="J317" t="inlineStr">
        <is>
          <t>https://docs.cloud.google.com/billing/docs/how-to/export-data-bigquery-tables/focus-export</t>
        </is>
      </c>
      <c r="K317" t="inlineStr">
        <is>
          <t>2026-09-16</t>
        </is>
      </c>
      <c r="L317" s="2" t="inlineStr"/>
    </row>
    <row r="318">
      <c r="A318" t="inlineStr">
        <is>
          <t>E3</t>
        </is>
      </c>
      <c r="B318" t="inlineStr">
        <is>
          <t>Cloud nativa</t>
        </is>
      </c>
      <c r="C318" t="inlineStr">
        <is>
          <t>Google Cloud Billing</t>
        </is>
      </c>
      <c r="D318" t="inlineStr">
        <is>
          <t>Integracion</t>
        </is>
      </c>
      <c r="E318" t="inlineStr">
        <is>
          <t>I1</t>
        </is>
      </c>
      <c r="F318" s="2" t="inlineStr">
        <is>
          <t>¿Integra datos requeridos (facturación, uso, clúster o IaC) del escenario?</t>
        </is>
      </c>
      <c r="G318" t="inlineStr">
        <is>
          <t>NE</t>
        </is>
      </c>
      <c r="H318" t="inlineStr">
        <is>
          <t>Pendiente</t>
        </is>
      </c>
      <c r="I318" s="2" t="inlineStr">
        <is>
          <t>El export detallado a BigQuery ingiere datos de costo/uso de forma automatizada; GKE cost allocation (opt-in con "--enable-cost-allocation") añade granularidad de namespace/workload/pod (hasta 50 etiquetas por Pod) al mismo export, con hasta 3 días de latencia.</t>
        </is>
      </c>
      <c r="J318" t="inlineStr">
        <is>
          <t>https://docs.cloud.google.com/kubernetes-engine/docs/how-to/cost-allocations</t>
        </is>
      </c>
      <c r="K318" t="inlineStr">
        <is>
          <t>2026-09-16</t>
        </is>
      </c>
      <c r="L318" s="2" t="inlineStr">
        <is>
          <t>Celda heredada FP-180 (2026-09-16): el valor 2 proviene de la investigacion del escenario E1 y no cuenta con evidencia propia de E3. Segun FP-177 el indicador I1 depende del escenario, por lo que pasa a NE (no evidenciado, reduce cobertura) hasta investigarlo. La evidencia y la fuente originales se conservan como referencia del escenario de origen.</t>
        </is>
      </c>
    </row>
    <row r="319">
      <c r="A319" t="inlineStr">
        <is>
          <t>E3</t>
        </is>
      </c>
      <c r="B319" t="inlineStr">
        <is>
          <t>Cloud nativa</t>
        </is>
      </c>
      <c r="C319" t="inlineStr">
        <is>
          <t>Google Cloud Billing</t>
        </is>
      </c>
      <c r="D319" t="inlineStr">
        <is>
          <t>Integracion</t>
        </is>
      </c>
      <c r="E319" t="inlineStr">
        <is>
          <t>I2</t>
        </is>
      </c>
      <c r="F319" s="2" t="inlineStr">
        <is>
          <t>¿Se integra con el flujo de trabajo relevante (alerta, ticket, CI/CD o reporte)?</t>
        </is>
      </c>
      <c r="G319" t="inlineStr">
        <is>
          <t>NE</t>
        </is>
      </c>
      <c r="H319" t="inlineStr">
        <is>
          <t>Pendiente</t>
        </is>
      </c>
      <c r="I319" s="2" t="inlineStr">
        <is>
          <t>Las notificaciones Pub/Sub se integran con Slack y otras herramientas operativas para "respuesta más rápida" al evento de costo.</t>
        </is>
      </c>
      <c r="J319" t="inlineStr">
        <is>
          <t>https://docs.cloud.google.com/billing/docs/how-to/budgets-programmatic-notifications</t>
        </is>
      </c>
      <c r="K319" t="inlineStr">
        <is>
          <t>2026-09-16</t>
        </is>
      </c>
      <c r="L319" s="2" t="inlineStr">
        <is>
          <t>Celda heredada FP-180 (2026-09-16): el valor 2 proviene de la investigacion del escenario E1 y no cuenta con evidencia propia de E3. Segun FP-177 el indicador I2 depende del escenario, por lo que pasa a NE (no evidenciado, reduce cobertura) hasta investigarlo. La evidencia y la fuente originales se conservan como referencia del escenario de origen.</t>
        </is>
      </c>
    </row>
    <row r="320">
      <c r="A320" t="inlineStr">
        <is>
          <t>E3</t>
        </is>
      </c>
      <c r="B320" t="inlineStr">
        <is>
          <t>Cloud nativa</t>
        </is>
      </c>
      <c r="C320" t="inlineStr">
        <is>
          <t>Google Cloud Billing</t>
        </is>
      </c>
      <c r="D320" t="inlineStr">
        <is>
          <t>Adopcion</t>
        </is>
      </c>
      <c r="E320" t="inlineStr">
        <is>
          <t>AD1</t>
        </is>
      </c>
      <c r="F320" s="2" t="inlineStr">
        <is>
          <t>¿Soporta acceso/entrega para los roles del escenario?</t>
        </is>
      </c>
      <c r="G320" t="inlineStr">
        <is>
          <t>NE</t>
        </is>
      </c>
      <c r="H320" t="inlineStr">
        <is>
          <t>Pendiente</t>
        </is>
      </c>
      <c r="I320" s="2" t="inlineStr">
        <is>
          <t>Roles de IAM predefinidos ("Billing Account Viewer", "Billing Account Costs Manager", "Project Billing Costs Manager") separan acceso de solo lectura de costos del resto de permisos de administración, incluso acotado por proyecto.</t>
        </is>
      </c>
      <c r="J320" t="inlineStr">
        <is>
          <t>https://docs.cloud.google.com/billing/docs/how-to/billing-access</t>
        </is>
      </c>
      <c r="K320" t="inlineStr">
        <is>
          <t>2026-09-16</t>
        </is>
      </c>
      <c r="L320" s="2" t="inlineStr">
        <is>
          <t>Celda heredada FP-180 (2026-09-16): el valor 2 proviene de la investigacion del escenario E1 y no cuenta con evidencia propia de E3. Segun FP-177 el indicador AD1 depende del escenario, por lo que pasa a NE (no evidenciado, reduce cobertura) hasta investigarlo. La evidencia y la fuente originales se conservan como referencia del escenario de origen.</t>
        </is>
      </c>
    </row>
    <row r="321">
      <c r="A321" t="inlineStr">
        <is>
          <t>E3</t>
        </is>
      </c>
      <c r="B321" t="inlineStr">
        <is>
          <t>Cloud nativa</t>
        </is>
      </c>
      <c r="C321" t="inlineStr">
        <is>
          <t>Google Cloud Billing</t>
        </is>
      </c>
      <c r="D321" t="inlineStr">
        <is>
          <t>Adopcion</t>
        </is>
      </c>
      <c r="E321" t="inlineStr">
        <is>
          <t>AD2</t>
        </is>
      </c>
      <c r="F321" s="2" t="inlineStr">
        <is>
          <t>¿Ofrece guías, ownership o mecanismos de seguimiento para uso sostenido?</t>
        </is>
      </c>
      <c r="G321" t="n">
        <v>1</v>
      </c>
      <c r="H321" t="inlineStr">
        <is>
          <t>Oficial</t>
        </is>
      </c>
      <c r="I321" s="2" t="inlineStr">
        <is>
          <t>Existen guías oficiales generales de uso, pero la medición formal de adopción/gobernanza (el "FinOps score") corresponde a FinOps hub, evaluado como producto aparte.</t>
        </is>
      </c>
      <c r="J321" t="inlineStr">
        <is>
          <t>https://docs.cloud.google.com/billing/docs/how-to/finops-hub</t>
        </is>
      </c>
      <c r="K321" t="inlineStr">
        <is>
          <t>2026-09-16</t>
        </is>
      </c>
      <c r="L321" s="2" t="inlineStr"/>
    </row>
    <row r="322">
      <c r="A322" t="inlineStr">
        <is>
          <t>E3</t>
        </is>
      </c>
      <c r="B322" t="inlineStr">
        <is>
          <t>Cloud nativa</t>
        </is>
      </c>
      <c r="C322" t="inlineStr">
        <is>
          <t>Google Cloud Billing</t>
        </is>
      </c>
      <c r="D322" t="inlineStr">
        <is>
          <t>Precio</t>
        </is>
      </c>
      <c r="E322" t="inlineStr">
        <is>
          <t>P1</t>
        </is>
      </c>
      <c r="F322" s="2" t="inlineStr">
        <is>
          <t>¿Expone precio, moneda, región, unidad, período y supuestos relevantes?</t>
        </is>
      </c>
      <c r="G322" t="n">
        <v>2</v>
      </c>
      <c r="H322" t="inlineStr">
        <is>
          <t>Oficial</t>
        </is>
      </c>
      <c r="I322" s="2" t="inlineStr">
        <is>
          <t>El export FOCUS y el export detallado exponen campos estandarizados (BilledCost, ListCost, ContractedCost, ServiceName, SkuId, RegionId) con moneda, período y región.</t>
        </is>
      </c>
      <c r="J322" t="inlineStr">
        <is>
          <t>https://docs.cloud.google.com/billing/docs/how-to/export-data-bigquery-tables/focus-export</t>
        </is>
      </c>
      <c r="K322" t="inlineStr">
        <is>
          <t>2026-09-16</t>
        </is>
      </c>
      <c r="L322" s="2" t="inlineStr"/>
    </row>
    <row r="323">
      <c r="A323" t="inlineStr">
        <is>
          <t>E3</t>
        </is>
      </c>
      <c r="B323" t="inlineStr">
        <is>
          <t>Cloud nativa</t>
        </is>
      </c>
      <c r="C323" t="inlineStr">
        <is>
          <t>Google Cloud Billing</t>
        </is>
      </c>
      <c r="D323" t="inlineStr">
        <is>
          <t>Precio</t>
        </is>
      </c>
      <c r="E323" t="inlineStr">
        <is>
          <t>P2</t>
        </is>
      </c>
      <c r="F323" s="2" t="inlineStr">
        <is>
          <t>¿Permite estimar o comparar componentes sin ocultar límites de equivalencia?</t>
        </is>
      </c>
      <c r="G323" t="inlineStr">
        <is>
          <t>NE</t>
        </is>
      </c>
      <c r="H323" t="inlineStr">
        <is>
          <t>Pendiente</t>
        </is>
      </c>
      <c r="I323" s="2" t="inlineStr">
        <is>
          <t>Cloud Billing Reports no incluye una calculadora de estimación de componentes previa al despliegue (esa función es de Google Cloud Pricing Calculator, evaluada aparte en E4).</t>
        </is>
      </c>
      <c r="J323" t="inlineStr">
        <is>
          <t>https://docs.cloud.google.com/billing/docs/how-to/reports</t>
        </is>
      </c>
      <c r="K323" t="inlineStr">
        <is>
          <t>2026-09-16</t>
        </is>
      </c>
      <c r="L323" s="2" t="inlineStr">
        <is>
          <t>Celda heredada FP-180 (2026-09-16): el valor 1 proviene de la investigacion del escenario E1 y no cuenta con evidencia propia de E3. Segun FP-177 el indicador P2 depende del escenario, por lo que pasa a NE (no evidenciado, reduce cobertura) hasta investigarlo. La evidencia y la fuente originales se conservan como referencia del escenario de origen.</t>
        </is>
      </c>
    </row>
    <row r="324">
      <c r="A324" t="inlineStr">
        <is>
          <t>E3</t>
        </is>
      </c>
      <c r="B324" t="inlineStr">
        <is>
          <t>Cloud nativa</t>
        </is>
      </c>
      <c r="C324" t="inlineStr">
        <is>
          <t>Google Cloud Billing</t>
        </is>
      </c>
      <c r="D324" t="inlineStr">
        <is>
          <t>Dependencia</t>
        </is>
      </c>
      <c r="E324" t="inlineStr">
        <is>
          <t>D1</t>
        </is>
      </c>
      <c r="F324" s="2" t="inlineStr">
        <is>
          <t>¿Exporta datos/resultados en formato utilizable y documentado?</t>
        </is>
      </c>
      <c r="G324" t="n">
        <v>2</v>
      </c>
      <c r="H324" t="inlineStr">
        <is>
          <t>Oficial</t>
        </is>
      </c>
      <c r="I324" s="2" t="inlineStr">
        <is>
          <t>El export estándar y detallado a BigQuery, y el export en esquema FOCUS, entregan datos en formato abierto y consultable con SQL.</t>
        </is>
      </c>
      <c r="J324" t="inlineStr">
        <is>
          <t>https://docs.cloud.google.com/billing/docs/how-to/export-data-bigquery-tables/focus-export</t>
        </is>
      </c>
      <c r="K324" t="inlineStr">
        <is>
          <t>2026-09-16</t>
        </is>
      </c>
      <c r="L324" s="2" t="inlineStr"/>
    </row>
    <row r="325">
      <c r="A325" t="inlineStr">
        <is>
          <t>E3</t>
        </is>
      </c>
      <c r="B325" t="inlineStr">
        <is>
          <t>Cloud nativa</t>
        </is>
      </c>
      <c r="C325" t="inlineStr">
        <is>
          <t>Google Cloud Billing</t>
        </is>
      </c>
      <c r="D325" t="inlineStr">
        <is>
          <t>Dependencia</t>
        </is>
      </c>
      <c r="E325" t="inlineStr">
        <is>
          <t>D2</t>
        </is>
      </c>
      <c r="F325" s="2" t="inlineStr">
        <is>
          <t>¿Documenta dependencias propietarias y un camino de salida/configuración reversible?</t>
        </is>
      </c>
      <c r="G325" t="n">
        <v>1</v>
      </c>
      <c r="H325" t="inlineStr">
        <is>
          <t>Oficial</t>
        </is>
      </c>
      <c r="I325" s="2" t="inlineStr">
        <is>
          <t>No se encontró documentación dedicada sobre un camino de salida o reversibilidad; el riesgo de dependencia se atenúa por el export en formato FOCUS/BigQuery estándar.</t>
        </is>
      </c>
      <c r="J325" t="inlineStr">
        <is>
          <t>https://docs.cloud.google.com/billing/docs/how-to/export-data-bigquery-tables/focus-export</t>
        </is>
      </c>
      <c r="K325" t="inlineStr">
        <is>
          <t>2026-09-16</t>
        </is>
      </c>
      <c r="L325" s="2" t="inlineStr"/>
    </row>
    <row r="326">
      <c r="A326" t="inlineStr">
        <is>
          <t>E5</t>
        </is>
      </c>
      <c r="B326" t="inlineStr">
        <is>
          <t>Cloud nativa</t>
        </is>
      </c>
      <c r="C326" t="inlineStr">
        <is>
          <t>Google Cloud Billing</t>
        </is>
      </c>
      <c r="D326" t="inlineStr">
        <is>
          <t>Visibilidad</t>
        </is>
      </c>
      <c r="E326" t="inlineStr">
        <is>
          <t>V1</t>
        </is>
      </c>
      <c r="F326" s="2" t="inlineStr">
        <is>
          <t>¿Desagrega costo y uso por cuenta/proyecto, servicio y período?</t>
        </is>
      </c>
      <c r="G326" t="inlineStr">
        <is>
          <t>NE</t>
        </is>
      </c>
      <c r="H326" t="inlineStr">
        <is>
          <t>Pendiente</t>
        </is>
      </c>
      <c r="I326" s="2" t="inlineStr">
        <is>
          <t>Cloud Billing Reports agrupa costos "by Project", "by Service", por SKU y por "Label keys"; el reporte cambia dinámicamente al ajustar rango de tiempo, agrupación y filtros.</t>
        </is>
      </c>
      <c r="J326" t="inlineStr">
        <is>
          <t>https://docs.cloud.google.com/billing/docs/how-to/reports</t>
        </is>
      </c>
      <c r="K326" t="inlineStr">
        <is>
          <t>2026-09-16</t>
        </is>
      </c>
      <c r="L326" s="2" t="inlineStr">
        <is>
          <t>Celda heredada FP-180 (2026-09-16): el valor 2 proviene de la investigacion del escenario E1 y no cuenta con evidencia propia de E5. Segun FP-177 el indicador V1 depende del escenario, por lo que pasa a NE (no evidenciado, reduce cobertura) hasta investigarlo. La evidencia y la fuente originales se conservan como referencia del escenario de origen.</t>
        </is>
      </c>
    </row>
    <row r="327">
      <c r="A327" t="inlineStr">
        <is>
          <t>E5</t>
        </is>
      </c>
      <c r="B327" t="inlineStr">
        <is>
          <t>Cloud nativa</t>
        </is>
      </c>
      <c r="C327" t="inlineStr">
        <is>
          <t>Google Cloud Billing</t>
        </is>
      </c>
      <c r="D327" t="inlineStr">
        <is>
          <t>Visibilidad</t>
        </is>
      </c>
      <c r="E327" t="inlineStr">
        <is>
          <t>V2</t>
        </is>
      </c>
      <c r="F327" s="2" t="inlineStr">
        <is>
          <t>¿Permite rastrear un total hasta registros o fuente de facturación?</t>
        </is>
      </c>
      <c r="G327" t="n">
        <v>2</v>
      </c>
      <c r="H327" t="inlineStr">
        <is>
          <t>Oficial</t>
        </is>
      </c>
      <c r="I327" s="2" t="inlineStr">
        <is>
          <t>El export detallado de facturación a BigQuery entrega el detalle a nivel de línea de uso/costo, sirviendo de fuente trazable para reconciliar reportes.</t>
        </is>
      </c>
      <c r="J327" t="inlineStr">
        <is>
          <t>https://docs.cloud.google.com/billing/docs/how-to/export-data-bigquery-tables/detailed-usage</t>
        </is>
      </c>
      <c r="K327" t="inlineStr">
        <is>
          <t>2026-09-16</t>
        </is>
      </c>
      <c r="L327" s="2" t="inlineStr"/>
    </row>
    <row r="328">
      <c r="A328" t="inlineStr">
        <is>
          <t>E5</t>
        </is>
      </c>
      <c r="B328" t="inlineStr">
        <is>
          <t>Cloud nativa</t>
        </is>
      </c>
      <c r="C328" t="inlineStr">
        <is>
          <t>Google Cloud Billing</t>
        </is>
      </c>
      <c r="D328" t="inlineStr">
        <is>
          <t>Asignacion</t>
        </is>
      </c>
      <c r="E328" t="inlineStr">
        <is>
          <t>A1</t>
        </is>
      </c>
      <c r="F328" s="2" t="inlineStr">
        <is>
          <t>¿Calcula gasto asignado/no asignado por responsable, centro o entidad?</t>
        </is>
      </c>
      <c r="G328" t="inlineStr">
        <is>
          <t>NE</t>
        </is>
      </c>
      <c r="H328" t="inlineStr">
        <is>
          <t>Pendiente</t>
        </is>
      </c>
      <c r="I328" s="2" t="inlineStr">
        <is>
          <t>La atribución nativa se basa en jerarquía de proyectos y labels; no se encontró una función equivalente a las "cost allocation rules" de Azure o "Cost Categories" de AWS que muestre explícitamente un total "no asignado".</t>
        </is>
      </c>
      <c r="J328" t="inlineStr">
        <is>
          <t>https://docs.cloud.google.com/billing/docs/how-to/reports</t>
        </is>
      </c>
      <c r="K328" t="inlineStr">
        <is>
          <t>2026-09-16</t>
        </is>
      </c>
      <c r="L328" s="2" t="inlineStr">
        <is>
          <t>Celda heredada FP-180 (2026-09-16): el valor 1 proviene de la investigacion del escenario E1 y no cuenta con evidencia propia de E5. Segun FP-177 el indicador A1 depende del escenario, por lo que pasa a NE (no evidenciado, reduce cobertura) hasta investigarlo. La evidencia y la fuente originales se conservan como referencia del escenario de origen.</t>
        </is>
      </c>
    </row>
    <row r="329">
      <c r="A329" t="inlineStr">
        <is>
          <t>E5</t>
        </is>
      </c>
      <c r="B329" t="inlineStr">
        <is>
          <t>Cloud nativa</t>
        </is>
      </c>
      <c r="C329" t="inlineStr">
        <is>
          <t>Google Cloud Billing</t>
        </is>
      </c>
      <c r="D329" t="inlineStr">
        <is>
          <t>Asignacion</t>
        </is>
      </c>
      <c r="E329" t="inlineStr">
        <is>
          <t>A2</t>
        </is>
      </c>
      <c r="F329" s="2" t="inlineStr">
        <is>
          <t>¿Explicita y aplica reglas para costo compartido/multi-tenant?</t>
        </is>
      </c>
      <c r="G329" t="inlineStr">
        <is>
          <t>NE</t>
        </is>
      </c>
      <c r="H329" t="inlineStr">
        <is>
          <t>Pendiente</t>
        </is>
      </c>
      <c r="I329" s="2" t="inlineStr">
        <is>
          <t>No se encontró una función nativa de reparto porcentual de costo compartido entre múltiples proyectos/equipos equivalente a las split charge rules de Azure/Cost Categories de AWS; los labels permiten atribuir pero no dividen automáticamente un mismo recurso.</t>
        </is>
      </c>
      <c r="J329" t="inlineStr">
        <is>
          <t>https://docs.cloud.google.com/billing/docs/how-to/reports</t>
        </is>
      </c>
      <c r="K329" t="inlineStr">
        <is>
          <t>2026-09-16</t>
        </is>
      </c>
      <c r="L329" s="2" t="inlineStr">
        <is>
          <t>Celda heredada FP-180 (2026-09-16): el valor 0 proviene de la investigacion del escenario E1 y no cuenta con evidencia propia de E5. Segun FP-177 el indicador A2 depende del escenario, por lo que pasa a NE (no evidenciado, reduce cobertura) hasta investigarlo. La evidencia y la fuente originales se conservan como referencia del escenario de origen.</t>
        </is>
      </c>
    </row>
    <row r="330">
      <c r="A330" t="inlineStr">
        <is>
          <t>E5</t>
        </is>
      </c>
      <c r="B330" t="inlineStr">
        <is>
          <t>Cloud nativa</t>
        </is>
      </c>
      <c r="C330" t="inlineStr">
        <is>
          <t>Google Cloud Billing</t>
        </is>
      </c>
      <c r="D330" t="inlineStr">
        <is>
          <t>Optimizacion</t>
        </is>
      </c>
      <c r="E330" t="inlineStr">
        <is>
          <t>O1</t>
        </is>
      </c>
      <c r="F330" s="2" t="inlineStr">
        <is>
          <t>¿Detecta desperdicio, rightsizing o compromiso relevante al escenario?</t>
        </is>
      </c>
      <c r="G330" t="inlineStr">
        <is>
          <t>NE</t>
        </is>
      </c>
      <c r="H330" t="inlineStr">
        <is>
          <t>Pendiente</t>
        </is>
      </c>
      <c r="I330" s="2" t="inlineStr">
        <is>
          <t>Cloud Billing (reportes/presupuestos/export) no genera por sí mismo recomendaciones de optimización; esa función corresponde a Recommender/FinOps hub, evaluado como producto aparte.</t>
        </is>
      </c>
      <c r="J330" t="inlineStr">
        <is>
          <t>https://docs.cloud.google.com/billing/docs/how-to/finops-hub</t>
        </is>
      </c>
      <c r="K330" t="inlineStr">
        <is>
          <t>2026-09-16</t>
        </is>
      </c>
      <c r="L33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O1 depende del escenario, por lo que pasa a NE (no evidenciado, reduce cobertura) hasta investigarlo. La evidencia y la fuente originales se conservan como referencia del escenario de origen.</t>
        </is>
      </c>
    </row>
    <row r="331">
      <c r="A331" t="inlineStr">
        <is>
          <t>E5</t>
        </is>
      </c>
      <c r="B331" t="inlineStr">
        <is>
          <t>Cloud nativa</t>
        </is>
      </c>
      <c r="C331" t="inlineStr">
        <is>
          <t>Google Cloud Billing</t>
        </is>
      </c>
      <c r="D331" t="inlineStr">
        <is>
          <t>Optimizacion</t>
        </is>
      </c>
      <c r="E331" t="inlineStr">
        <is>
          <t>O2</t>
        </is>
      </c>
      <c r="F331" s="2" t="inlineStr">
        <is>
          <t>¿Explica supuesto/impacto y permite seguir una recomendación?</t>
        </is>
      </c>
      <c r="G331" t="n">
        <v>0</v>
      </c>
      <c r="H331" t="inlineStr">
        <is>
          <t>Oficial (ausencia verificada)</t>
        </is>
      </c>
      <c r="I331" s="2" t="inlineStr">
        <is>
          <t>Mismo alcance de diseño que O1.</t>
        </is>
      </c>
      <c r="J331" t="inlineStr">
        <is>
          <t>https://docs.cloud.google.com/billing/docs/how-to/finops-hub</t>
        </is>
      </c>
      <c r="K331" t="inlineStr">
        <is>
          <t>2026-09-16</t>
        </is>
      </c>
      <c r="L33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32">
      <c r="A332" t="inlineStr">
        <is>
          <t>E5</t>
        </is>
      </c>
      <c r="B332" t="inlineStr">
        <is>
          <t>Cloud nativa</t>
        </is>
      </c>
      <c r="C332" t="inlineStr">
        <is>
          <t>Google Cloud Billing</t>
        </is>
      </c>
      <c r="D332" t="inlineStr">
        <is>
          <t>Automatizacion</t>
        </is>
      </c>
      <c r="E332" t="inlineStr">
        <is>
          <t>AU1</t>
        </is>
      </c>
      <c r="F332" s="2" t="inlineStr">
        <is>
          <t>¿Ejecuta o bloquea acciones/políticas de costo con control verificable?</t>
        </is>
      </c>
      <c r="G332" t="inlineStr">
        <is>
          <t>NE</t>
        </is>
      </c>
      <c r="H332" t="inlineStr">
        <is>
          <t>Pendiente</t>
        </is>
      </c>
      <c r="I332" s="2" t="inlineStr">
        <is>
          <t>Las notificaciones programáticas de presupuesto vía Pub/Sub permiten "automatizar respuestas de control de costos", incluida deshabilitar la facturación o limitar recursos mediante Cloud Run/Functions, sin paso de aprobación documentado.</t>
        </is>
      </c>
      <c r="J332" t="inlineStr">
        <is>
          <t>https://docs.cloud.google.com/billing/docs/how-to/budgets-programmatic-notifications</t>
        </is>
      </c>
      <c r="K332" t="inlineStr">
        <is>
          <t>2026-09-16</t>
        </is>
      </c>
      <c r="L332" s="2" t="inlineStr">
        <is>
          <t>Celda heredada FP-180 (2026-09-16): el valor 2 proviene de la investigacion del escenario E1 y no cuenta con evidencia propia de E5. Segun FP-177 el indicador AU1 depende del escenario, por lo que pasa a NE (no evidenciado, reduce cobertura) hasta investigarlo. La evidencia y la fuente originales se conservan como referencia del escenario de origen.</t>
        </is>
      </c>
    </row>
    <row r="333">
      <c r="A333" t="inlineStr">
        <is>
          <t>E5</t>
        </is>
      </c>
      <c r="B333" t="inlineStr">
        <is>
          <t>Cloud nativa</t>
        </is>
      </c>
      <c r="C333" t="inlineStr">
        <is>
          <t>Google Cloud Billing</t>
        </is>
      </c>
      <c r="D333" t="inlineStr">
        <is>
          <t>Automatizacion</t>
        </is>
      </c>
      <c r="E333" t="inlineStr">
        <is>
          <t>AU2</t>
        </is>
      </c>
      <c r="F333" s="2" t="inlineStr">
        <is>
          <t>¿Ofrece aprobación, reversión, registro o límites antes de actuar?</t>
        </is>
      </c>
      <c r="G333" t="n">
        <v>1</v>
      </c>
      <c r="H333" t="inlineStr">
        <is>
          <t>Oficial</t>
        </is>
      </c>
      <c r="I333" s="2" t="inlineStr">
        <is>
          <t>La documentación no describe un paso de aprobación manual nativo ni un registro de auditoría/reversión; esas salvaguardas dependerían de la Cloud Function que el equipo construya.</t>
        </is>
      </c>
      <c r="J333" t="inlineStr">
        <is>
          <t>https://docs.cloud.google.com/billing/docs/how-to/budgets-programmatic-notifications</t>
        </is>
      </c>
      <c r="K333" t="inlineStr">
        <is>
          <t>2026-09-16</t>
        </is>
      </c>
      <c r="L333" s="2" t="inlineStr"/>
    </row>
    <row r="334">
      <c r="A334" t="inlineStr">
        <is>
          <t>E5</t>
        </is>
      </c>
      <c r="B334" t="inlineStr">
        <is>
          <t>Cloud nativa</t>
        </is>
      </c>
      <c r="C334" t="inlineStr">
        <is>
          <t>Google Cloud Billing</t>
        </is>
      </c>
      <c r="D334" t="inlineStr">
        <is>
          <t>Multicloud</t>
        </is>
      </c>
      <c r="E334" t="inlineStr">
        <is>
          <t>M1</t>
        </is>
      </c>
      <c r="F334" s="2" t="inlineStr">
        <is>
          <t>¿Consolida al menos dos proveedores bajo el mismo esquema declarado?</t>
        </is>
      </c>
      <c r="G334" t="n">
        <v>0</v>
      </c>
      <c r="H334" t="inlineStr">
        <is>
          <t>Oficial</t>
        </is>
      </c>
      <c r="I334" s="2" t="inlineStr">
        <is>
          <t>Cloud Billing cubre exclusivamente cuentas de Google Cloud; no ingiere ni consolida datos de AWS/Azure dentro de la misma consola.</t>
        </is>
      </c>
      <c r="J334" t="inlineStr">
        <is>
          <t>https://docs.cloud.google.com/billing/docs/how-to/export-data-bigquery-tables/focus-export</t>
        </is>
      </c>
      <c r="K334" t="inlineStr">
        <is>
          <t>2026-09-16</t>
        </is>
      </c>
      <c r="L334" s="2" t="inlineStr"/>
    </row>
    <row r="335">
      <c r="A335" t="inlineStr">
        <is>
          <t>E5</t>
        </is>
      </c>
      <c r="B335" t="inlineStr">
        <is>
          <t>Cloud nativa</t>
        </is>
      </c>
      <c r="C335" t="inlineStr">
        <is>
          <t>Google Cloud Billing</t>
        </is>
      </c>
      <c r="D335" t="inlineStr">
        <is>
          <t>Multicloud</t>
        </is>
      </c>
      <c r="E335" t="inlineStr">
        <is>
          <t>M2</t>
        </is>
      </c>
      <c r="F335" s="2" t="inlineStr">
        <is>
          <t>¿Hace visibles proveedor, cobertura y diferencias semánticas?</t>
        </is>
      </c>
      <c r="G335" t="n">
        <v>0</v>
      </c>
      <c r="H335" t="inlineStr">
        <is>
          <t>Oficial</t>
        </is>
      </c>
      <c r="I335" s="2" t="inlineStr">
        <is>
          <t>Al no consolidar otros proveedores, no expone diferencias de cobertura o semántica entre nubes.</t>
        </is>
      </c>
      <c r="J335" t="inlineStr">
        <is>
          <t>https://docs.cloud.google.com/billing/docs/how-to/export-data-bigquery-tables/focus-export</t>
        </is>
      </c>
      <c r="K335" t="inlineStr">
        <is>
          <t>2026-09-16</t>
        </is>
      </c>
      <c r="L335" s="2" t="inlineStr"/>
    </row>
    <row r="336">
      <c r="A336" t="inlineStr">
        <is>
          <t>E5</t>
        </is>
      </c>
      <c r="B336" t="inlineStr">
        <is>
          <t>Cloud nativa</t>
        </is>
      </c>
      <c r="C336" t="inlineStr">
        <is>
          <t>Google Cloud Billing</t>
        </is>
      </c>
      <c r="D336" t="inlineStr">
        <is>
          <t>Integracion</t>
        </is>
      </c>
      <c r="E336" t="inlineStr">
        <is>
          <t>I1</t>
        </is>
      </c>
      <c r="F336" s="2" t="inlineStr">
        <is>
          <t>¿Integra datos requeridos (facturación, uso, clúster o IaC) del escenario?</t>
        </is>
      </c>
      <c r="G336" t="inlineStr">
        <is>
          <t>NE</t>
        </is>
      </c>
      <c r="H336" t="inlineStr">
        <is>
          <t>Pendiente</t>
        </is>
      </c>
      <c r="I336" s="2" t="inlineStr">
        <is>
          <t>El export detallado a BigQuery ingiere datos de costo/uso de forma automatizada; GKE cost allocation (opt-in con "--enable-cost-allocation") añade granularidad de namespace/workload/pod (hasta 50 etiquetas por Pod) al mismo export, con hasta 3 días de latencia.</t>
        </is>
      </c>
      <c r="J336" t="inlineStr">
        <is>
          <t>https://docs.cloud.google.com/kubernetes-engine/docs/how-to/cost-allocations</t>
        </is>
      </c>
      <c r="K336" t="inlineStr">
        <is>
          <t>2026-09-16</t>
        </is>
      </c>
      <c r="L336" s="2" t="inlineStr">
        <is>
          <t>Celda heredada FP-180 (2026-09-16): el valor 2 proviene de la investigacion del escenario E1 y no cuenta con evidencia propia de E5. Segun FP-177 el indicador I1 depende del escenario, por lo que pasa a NE (no evidenciado, reduce cobertura) hasta investigarlo. La evidencia y la fuente originales se conservan como referencia del escenario de origen.</t>
        </is>
      </c>
    </row>
    <row r="337">
      <c r="A337" t="inlineStr">
        <is>
          <t>E5</t>
        </is>
      </c>
      <c r="B337" t="inlineStr">
        <is>
          <t>Cloud nativa</t>
        </is>
      </c>
      <c r="C337" t="inlineStr">
        <is>
          <t>Google Cloud Billing</t>
        </is>
      </c>
      <c r="D337" t="inlineStr">
        <is>
          <t>Integracion</t>
        </is>
      </c>
      <c r="E337" t="inlineStr">
        <is>
          <t>I2</t>
        </is>
      </c>
      <c r="F337" s="2" t="inlineStr">
        <is>
          <t>¿Se integra con el flujo de trabajo relevante (alerta, ticket, CI/CD o reporte)?</t>
        </is>
      </c>
      <c r="G337" t="inlineStr">
        <is>
          <t>NE</t>
        </is>
      </c>
      <c r="H337" t="inlineStr">
        <is>
          <t>Pendiente</t>
        </is>
      </c>
      <c r="I337" s="2" t="inlineStr">
        <is>
          <t>Las notificaciones Pub/Sub se integran con Slack y otras herramientas operativas para "respuesta más rápida" al evento de costo.</t>
        </is>
      </c>
      <c r="J337" t="inlineStr">
        <is>
          <t>https://docs.cloud.google.com/billing/docs/how-to/budgets-programmatic-notifications</t>
        </is>
      </c>
      <c r="K337" t="inlineStr">
        <is>
          <t>2026-09-16</t>
        </is>
      </c>
      <c r="L337" s="2" t="inlineStr">
        <is>
          <t>Celda heredada FP-180 (2026-09-16): el valor 2 proviene de la investigacion del escenario E1 y no cuenta con evidencia propia de E5. Segun FP-177 el indicador I2 depende del escenario, por lo que pasa a NE (no evidenciado, reduce cobertura) hasta investigarlo. La evidencia y la fuente originales se conservan como referencia del escenario de origen.</t>
        </is>
      </c>
    </row>
    <row r="338">
      <c r="A338" t="inlineStr">
        <is>
          <t>E5</t>
        </is>
      </c>
      <c r="B338" t="inlineStr">
        <is>
          <t>Cloud nativa</t>
        </is>
      </c>
      <c r="C338" t="inlineStr">
        <is>
          <t>Google Cloud Billing</t>
        </is>
      </c>
      <c r="D338" t="inlineStr">
        <is>
          <t>Adopcion</t>
        </is>
      </c>
      <c r="E338" t="inlineStr">
        <is>
          <t>AD1</t>
        </is>
      </c>
      <c r="F338" s="2" t="inlineStr">
        <is>
          <t>¿Soporta acceso/entrega para los roles del escenario?</t>
        </is>
      </c>
      <c r="G338" t="inlineStr">
        <is>
          <t>NE</t>
        </is>
      </c>
      <c r="H338" t="inlineStr">
        <is>
          <t>Pendiente</t>
        </is>
      </c>
      <c r="I338" s="2" t="inlineStr">
        <is>
          <t>Roles de IAM predefinidos ("Billing Account Viewer", "Billing Account Costs Manager", "Project Billing Costs Manager") separan acceso de solo lectura de costos del resto de permisos de administración, incluso acotado por proyecto.</t>
        </is>
      </c>
      <c r="J338" t="inlineStr">
        <is>
          <t>https://docs.cloud.google.com/billing/docs/how-to/billing-access</t>
        </is>
      </c>
      <c r="K338" t="inlineStr">
        <is>
          <t>2026-09-16</t>
        </is>
      </c>
      <c r="L338" s="2" t="inlineStr">
        <is>
          <t>Celda heredada FP-180 (2026-09-16): el valor 2 proviene de la investigacion del escenario E1 y no cuenta con evidencia propia de E5. Segun FP-177 el indicador AD1 depende del escenario, por lo que pasa a NE (no evidenciado, reduce cobertura) hasta investigarlo. La evidencia y la fuente originales se conservan como referencia del escenario de origen.</t>
        </is>
      </c>
    </row>
    <row r="339">
      <c r="A339" t="inlineStr">
        <is>
          <t>E5</t>
        </is>
      </c>
      <c r="B339" t="inlineStr">
        <is>
          <t>Cloud nativa</t>
        </is>
      </c>
      <c r="C339" t="inlineStr">
        <is>
          <t>Google Cloud Billing</t>
        </is>
      </c>
      <c r="D339" t="inlineStr">
        <is>
          <t>Adopcion</t>
        </is>
      </c>
      <c r="E339" t="inlineStr">
        <is>
          <t>AD2</t>
        </is>
      </c>
      <c r="F339" s="2" t="inlineStr">
        <is>
          <t>¿Ofrece guías, ownership o mecanismos de seguimiento para uso sostenido?</t>
        </is>
      </c>
      <c r="G339" t="n">
        <v>1</v>
      </c>
      <c r="H339" t="inlineStr">
        <is>
          <t>Oficial</t>
        </is>
      </c>
      <c r="I339" s="2" t="inlineStr">
        <is>
          <t>Existen guías oficiales generales de uso, pero la medición formal de adopción/gobernanza (el "FinOps score") corresponde a FinOps hub, evaluado como producto aparte.</t>
        </is>
      </c>
      <c r="J339" t="inlineStr">
        <is>
          <t>https://docs.cloud.google.com/billing/docs/how-to/finops-hub</t>
        </is>
      </c>
      <c r="K339" t="inlineStr">
        <is>
          <t>2026-09-16</t>
        </is>
      </c>
      <c r="L339" s="2" t="inlineStr"/>
    </row>
    <row r="340">
      <c r="A340" t="inlineStr">
        <is>
          <t>E5</t>
        </is>
      </c>
      <c r="B340" t="inlineStr">
        <is>
          <t>Cloud nativa</t>
        </is>
      </c>
      <c r="C340" t="inlineStr">
        <is>
          <t>Google Cloud Billing</t>
        </is>
      </c>
      <c r="D340" t="inlineStr">
        <is>
          <t>Precio</t>
        </is>
      </c>
      <c r="E340" t="inlineStr">
        <is>
          <t>P1</t>
        </is>
      </c>
      <c r="F340" s="2" t="inlineStr">
        <is>
          <t>¿Expone precio, moneda, región, unidad, período y supuestos relevantes?</t>
        </is>
      </c>
      <c r="G340" t="n">
        <v>2</v>
      </c>
      <c r="H340" t="inlineStr">
        <is>
          <t>Oficial</t>
        </is>
      </c>
      <c r="I340" s="2" t="inlineStr">
        <is>
          <t>El export FOCUS y el export detallado exponen campos estandarizados (BilledCost, ListCost, ContractedCost, ServiceName, SkuId, RegionId) con moneda, período y región.</t>
        </is>
      </c>
      <c r="J340" t="inlineStr">
        <is>
          <t>https://docs.cloud.google.com/billing/docs/how-to/export-data-bigquery-tables/focus-export</t>
        </is>
      </c>
      <c r="K340" t="inlineStr">
        <is>
          <t>2026-09-16</t>
        </is>
      </c>
      <c r="L340" s="2" t="inlineStr"/>
    </row>
    <row r="341">
      <c r="A341" t="inlineStr">
        <is>
          <t>E5</t>
        </is>
      </c>
      <c r="B341" t="inlineStr">
        <is>
          <t>Cloud nativa</t>
        </is>
      </c>
      <c r="C341" t="inlineStr">
        <is>
          <t>Google Cloud Billing</t>
        </is>
      </c>
      <c r="D341" t="inlineStr">
        <is>
          <t>Precio</t>
        </is>
      </c>
      <c r="E341" t="inlineStr">
        <is>
          <t>P2</t>
        </is>
      </c>
      <c r="F341" s="2" t="inlineStr">
        <is>
          <t>¿Permite estimar o comparar componentes sin ocultar límites de equivalencia?</t>
        </is>
      </c>
      <c r="G341" t="inlineStr">
        <is>
          <t>NE</t>
        </is>
      </c>
      <c r="H341" t="inlineStr">
        <is>
          <t>Pendiente</t>
        </is>
      </c>
      <c r="I341" s="2" t="inlineStr">
        <is>
          <t>Cloud Billing Reports no incluye una calculadora de estimación de componentes previa al despliegue (esa función es de Google Cloud Pricing Calculator, evaluada aparte en E4).</t>
        </is>
      </c>
      <c r="J341" t="inlineStr">
        <is>
          <t>https://docs.cloud.google.com/billing/docs/how-to/reports</t>
        </is>
      </c>
      <c r="K341" t="inlineStr">
        <is>
          <t>2026-09-16</t>
        </is>
      </c>
      <c r="L341" s="2" t="inlineStr">
        <is>
          <t>Celda heredada FP-180 (2026-09-16): el valor 1 proviene de la investigacion del escenario E1 y no cuenta con evidencia propia de E5. Segun FP-177 el indicador P2 depende del escenario, por lo que pasa a NE (no evidenciado, reduce cobertura) hasta investigarlo. La evidencia y la fuente originales se conservan como referencia del escenario de origen.</t>
        </is>
      </c>
    </row>
    <row r="342">
      <c r="A342" t="inlineStr">
        <is>
          <t>E5</t>
        </is>
      </c>
      <c r="B342" t="inlineStr">
        <is>
          <t>Cloud nativa</t>
        </is>
      </c>
      <c r="C342" t="inlineStr">
        <is>
          <t>Google Cloud Billing</t>
        </is>
      </c>
      <c r="D342" t="inlineStr">
        <is>
          <t>Dependencia</t>
        </is>
      </c>
      <c r="E342" t="inlineStr">
        <is>
          <t>D1</t>
        </is>
      </c>
      <c r="F342" s="2" t="inlineStr">
        <is>
          <t>¿Exporta datos/resultados en formato utilizable y documentado?</t>
        </is>
      </c>
      <c r="G342" t="n">
        <v>2</v>
      </c>
      <c r="H342" t="inlineStr">
        <is>
          <t>Oficial</t>
        </is>
      </c>
      <c r="I342" s="2" t="inlineStr">
        <is>
          <t>El export estándar y detallado a BigQuery, y el export en esquema FOCUS, entregan datos en formato abierto y consultable con SQL.</t>
        </is>
      </c>
      <c r="J342" t="inlineStr">
        <is>
          <t>https://docs.cloud.google.com/billing/docs/how-to/export-data-bigquery-tables/focus-export</t>
        </is>
      </c>
      <c r="K342" t="inlineStr">
        <is>
          <t>2026-09-16</t>
        </is>
      </c>
      <c r="L342" s="2" t="inlineStr"/>
    </row>
    <row r="343">
      <c r="A343" t="inlineStr">
        <is>
          <t>E5</t>
        </is>
      </c>
      <c r="B343" t="inlineStr">
        <is>
          <t>Cloud nativa</t>
        </is>
      </c>
      <c r="C343" t="inlineStr">
        <is>
          <t>Google Cloud Billing</t>
        </is>
      </c>
      <c r="D343" t="inlineStr">
        <is>
          <t>Dependencia</t>
        </is>
      </c>
      <c r="E343" t="inlineStr">
        <is>
          <t>D2</t>
        </is>
      </c>
      <c r="F343" s="2" t="inlineStr">
        <is>
          <t>¿Documenta dependencias propietarias y un camino de salida/configuración reversible?</t>
        </is>
      </c>
      <c r="G343" t="n">
        <v>1</v>
      </c>
      <c r="H343" t="inlineStr">
        <is>
          <t>Oficial</t>
        </is>
      </c>
      <c r="I343" s="2" t="inlineStr">
        <is>
          <t>No se encontró documentación dedicada sobre un camino de salida o reversibilidad; el riesgo de dependencia se atenúa por el export en formato FOCUS/BigQuery estándar.</t>
        </is>
      </c>
      <c r="J343" t="inlineStr">
        <is>
          <t>https://docs.cloud.google.com/billing/docs/how-to/export-data-bigquery-tables/focus-export</t>
        </is>
      </c>
      <c r="K343" t="inlineStr">
        <is>
          <t>2026-09-16</t>
        </is>
      </c>
      <c r="L343" s="2" t="inlineStr"/>
    </row>
    <row r="344">
      <c r="A344" t="inlineStr">
        <is>
          <t>E6</t>
        </is>
      </c>
      <c r="B344" t="inlineStr">
        <is>
          <t>Cloud nativa</t>
        </is>
      </c>
      <c r="C344" t="inlineStr">
        <is>
          <t>Google Cloud Billing</t>
        </is>
      </c>
      <c r="D344" t="inlineStr">
        <is>
          <t>Visibilidad</t>
        </is>
      </c>
      <c r="E344" t="inlineStr">
        <is>
          <t>V1</t>
        </is>
      </c>
      <c r="F344" s="2" t="inlineStr">
        <is>
          <t>¿Desagrega costo y uso por cuenta/proyecto, servicio y período?</t>
        </is>
      </c>
      <c r="G344" t="inlineStr">
        <is>
          <t>NE</t>
        </is>
      </c>
      <c r="H344" t="inlineStr">
        <is>
          <t>Pendiente</t>
        </is>
      </c>
      <c r="I344" s="2" t="inlineStr">
        <is>
          <t>Cloud Billing Reports agrupa costos "by Project", "by Service", por SKU y por "Label keys"; el reporte cambia dinámicamente al ajustar rango de tiempo, agrupación y filtros.</t>
        </is>
      </c>
      <c r="J344" t="inlineStr">
        <is>
          <t>https://docs.cloud.google.com/billing/docs/how-to/reports</t>
        </is>
      </c>
      <c r="K344" t="inlineStr">
        <is>
          <t>2026-09-16</t>
        </is>
      </c>
      <c r="L344" s="2" t="inlineStr">
        <is>
          <t>Celda heredada FP-180 (2026-09-16): el valor 2 proviene de la investigacion del escenario E1 y no cuenta con evidencia propia de E6. Segun FP-177 el indicador V1 depende del escenario, por lo que pasa a NE (no evidenciado, reduce cobertura) hasta investigarlo. La evidencia y la fuente originales se conservan como referencia del escenario de origen.</t>
        </is>
      </c>
    </row>
    <row r="345">
      <c r="A345" t="inlineStr">
        <is>
          <t>E6</t>
        </is>
      </c>
      <c r="B345" t="inlineStr">
        <is>
          <t>Cloud nativa</t>
        </is>
      </c>
      <c r="C345" t="inlineStr">
        <is>
          <t>Google Cloud Billing</t>
        </is>
      </c>
      <c r="D345" t="inlineStr">
        <is>
          <t>Visibilidad</t>
        </is>
      </c>
      <c r="E345" t="inlineStr">
        <is>
          <t>V2</t>
        </is>
      </c>
      <c r="F345" s="2" t="inlineStr">
        <is>
          <t>¿Permite rastrear un total hasta registros o fuente de facturación?</t>
        </is>
      </c>
      <c r="G345" t="n">
        <v>2</v>
      </c>
      <c r="H345" t="inlineStr">
        <is>
          <t>Oficial</t>
        </is>
      </c>
      <c r="I345" s="2" t="inlineStr">
        <is>
          <t>El export detallado de facturación a BigQuery entrega el detalle a nivel de línea de uso/costo, sirviendo de fuente trazable para reconciliar reportes.</t>
        </is>
      </c>
      <c r="J345" t="inlineStr">
        <is>
          <t>https://docs.cloud.google.com/billing/docs/how-to/export-data-bigquery-tables/detailed-usage</t>
        </is>
      </c>
      <c r="K345" t="inlineStr">
        <is>
          <t>2026-09-16</t>
        </is>
      </c>
      <c r="L345" s="2" t="inlineStr"/>
    </row>
    <row r="346">
      <c r="A346" t="inlineStr">
        <is>
          <t>E6</t>
        </is>
      </c>
      <c r="B346" t="inlineStr">
        <is>
          <t>Cloud nativa</t>
        </is>
      </c>
      <c r="C346" t="inlineStr">
        <is>
          <t>Google Cloud Billing</t>
        </is>
      </c>
      <c r="D346" t="inlineStr">
        <is>
          <t>Asignacion</t>
        </is>
      </c>
      <c r="E346" t="inlineStr">
        <is>
          <t>A1</t>
        </is>
      </c>
      <c r="F346" s="2" t="inlineStr">
        <is>
          <t>¿Calcula gasto asignado/no asignado por responsable, centro o entidad?</t>
        </is>
      </c>
      <c r="G346" t="inlineStr">
        <is>
          <t>NE</t>
        </is>
      </c>
      <c r="H346" t="inlineStr">
        <is>
          <t>Pendiente</t>
        </is>
      </c>
      <c r="I346" s="2" t="inlineStr">
        <is>
          <t>La atribución nativa se basa en jerarquía de proyectos y labels; no se encontró una función equivalente a las "cost allocation rules" de Azure o "Cost Categories" de AWS que muestre explícitamente un total "no asignado".</t>
        </is>
      </c>
      <c r="J346" t="inlineStr">
        <is>
          <t>https://docs.cloud.google.com/billing/docs/how-to/reports</t>
        </is>
      </c>
      <c r="K346" t="inlineStr">
        <is>
          <t>2026-09-16</t>
        </is>
      </c>
      <c r="L346" s="2" t="inlineStr">
        <is>
          <t>Celda heredada FP-180 (2026-09-16): el valor 1 proviene de la investigacion del escenario E1 y no cuenta con evidencia propia de E6. Segun FP-177 el indicador A1 depende del escenario, por lo que pasa a NE (no evidenciado, reduce cobertura) hasta investigarlo. La evidencia y la fuente originales se conservan como referencia del escenario de origen.</t>
        </is>
      </c>
    </row>
    <row r="347">
      <c r="A347" t="inlineStr">
        <is>
          <t>E6</t>
        </is>
      </c>
      <c r="B347" t="inlineStr">
        <is>
          <t>Cloud nativa</t>
        </is>
      </c>
      <c r="C347" t="inlineStr">
        <is>
          <t>Google Cloud Billing</t>
        </is>
      </c>
      <c r="D347" t="inlineStr">
        <is>
          <t>Asignacion</t>
        </is>
      </c>
      <c r="E347" t="inlineStr">
        <is>
          <t>A2</t>
        </is>
      </c>
      <c r="F347" s="2" t="inlineStr">
        <is>
          <t>¿Explicita y aplica reglas para costo compartido/multi-tenant?</t>
        </is>
      </c>
      <c r="G347" t="inlineStr">
        <is>
          <t>NE</t>
        </is>
      </c>
      <c r="H347" t="inlineStr">
        <is>
          <t>Pendiente</t>
        </is>
      </c>
      <c r="I347" s="2" t="inlineStr">
        <is>
          <t>No se encontró una función nativa de reparto porcentual de costo compartido entre múltiples proyectos/equipos equivalente a las split charge rules de Azure/Cost Categories de AWS; los labels permiten atribuir pero no dividen automáticamente un mismo recurso.</t>
        </is>
      </c>
      <c r="J347" t="inlineStr">
        <is>
          <t>https://docs.cloud.google.com/billing/docs/how-to/reports</t>
        </is>
      </c>
      <c r="K347" t="inlineStr">
        <is>
          <t>2026-09-16</t>
        </is>
      </c>
      <c r="L347" s="2" t="inlineStr">
        <is>
          <t>Celda heredada FP-180 (2026-09-16): el valor 0 proviene de la investigacion del escenario E1 y no cuenta con evidencia propia de E6. Segun FP-177 el indicador A2 depende del escenario, por lo que pasa a NE (no evidenciado, reduce cobertura) hasta investigarlo. La evidencia y la fuente originales se conservan como referencia del escenario de origen.</t>
        </is>
      </c>
    </row>
    <row r="348">
      <c r="A348" t="inlineStr">
        <is>
          <t>E6</t>
        </is>
      </c>
      <c r="B348" t="inlineStr">
        <is>
          <t>Cloud nativa</t>
        </is>
      </c>
      <c r="C348" t="inlineStr">
        <is>
          <t>Google Cloud Billing</t>
        </is>
      </c>
      <c r="D348" t="inlineStr">
        <is>
          <t>Optimizacion</t>
        </is>
      </c>
      <c r="E348" t="inlineStr">
        <is>
          <t>O1</t>
        </is>
      </c>
      <c r="F348" s="2" t="inlineStr">
        <is>
          <t>¿Detecta desperdicio, rightsizing o compromiso relevante al escenario?</t>
        </is>
      </c>
      <c r="G348" t="inlineStr">
        <is>
          <t>NE</t>
        </is>
      </c>
      <c r="H348" t="inlineStr">
        <is>
          <t>Pendiente</t>
        </is>
      </c>
      <c r="I348" s="2" t="inlineStr">
        <is>
          <t>Cloud Billing (reportes/presupuestos/export) no genera por sí mismo recomendaciones de optimización; esa función corresponde a Recommender/FinOps hub, evaluado como producto aparte.</t>
        </is>
      </c>
      <c r="J348" t="inlineStr">
        <is>
          <t>https://docs.cloud.google.com/billing/docs/how-to/finops-hub</t>
        </is>
      </c>
      <c r="K348" t="inlineStr">
        <is>
          <t>2026-09-16</t>
        </is>
      </c>
      <c r="L34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O1 depende del escenario, por lo que pasa a NE (no evidenciado, reduce cobertura) hasta investigarlo. La evidencia y la fuente originales se conservan como referencia del escenario de origen.</t>
        </is>
      </c>
    </row>
    <row r="349">
      <c r="A349" t="inlineStr">
        <is>
          <t>E6</t>
        </is>
      </c>
      <c r="B349" t="inlineStr">
        <is>
          <t>Cloud nativa</t>
        </is>
      </c>
      <c r="C349" t="inlineStr">
        <is>
          <t>Google Cloud Billing</t>
        </is>
      </c>
      <c r="D349" t="inlineStr">
        <is>
          <t>Optimizacion</t>
        </is>
      </c>
      <c r="E349" t="inlineStr">
        <is>
          <t>O2</t>
        </is>
      </c>
      <c r="F349" s="2" t="inlineStr">
        <is>
          <t>¿Explica supuesto/impacto y permite seguir una recomendación?</t>
        </is>
      </c>
      <c r="G349" t="n">
        <v>0</v>
      </c>
      <c r="H349" t="inlineStr">
        <is>
          <t>Oficial (ausencia verificada)</t>
        </is>
      </c>
      <c r="I349" s="2" t="inlineStr">
        <is>
          <t>Mismo alcance de diseño que O1.</t>
        </is>
      </c>
      <c r="J349" t="inlineStr">
        <is>
          <t>https://docs.cloud.google.com/billing/docs/how-to/finops-hub</t>
        </is>
      </c>
      <c r="K349" t="inlineStr">
        <is>
          <t>2026-09-16</t>
        </is>
      </c>
      <c r="L34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50">
      <c r="A350" t="inlineStr">
        <is>
          <t>E6</t>
        </is>
      </c>
      <c r="B350" t="inlineStr">
        <is>
          <t>Cloud nativa</t>
        </is>
      </c>
      <c r="C350" t="inlineStr">
        <is>
          <t>Google Cloud Billing</t>
        </is>
      </c>
      <c r="D350" t="inlineStr">
        <is>
          <t>Automatizacion</t>
        </is>
      </c>
      <c r="E350" t="inlineStr">
        <is>
          <t>AU1</t>
        </is>
      </c>
      <c r="F350" s="2" t="inlineStr">
        <is>
          <t>¿Ejecuta o bloquea acciones/políticas de costo con control verificable?</t>
        </is>
      </c>
      <c r="G350" t="inlineStr">
        <is>
          <t>NE</t>
        </is>
      </c>
      <c r="H350" t="inlineStr">
        <is>
          <t>Pendiente</t>
        </is>
      </c>
      <c r="I350" s="2" t="inlineStr">
        <is>
          <t>Las notificaciones programáticas de presupuesto vía Pub/Sub permiten "automatizar respuestas de control de costos", incluida deshabilitar la facturación o limitar recursos mediante Cloud Run/Functions, sin paso de aprobación documentado.</t>
        </is>
      </c>
      <c r="J350" t="inlineStr">
        <is>
          <t>https://docs.cloud.google.com/billing/docs/how-to/budgets-programmatic-notifications</t>
        </is>
      </c>
      <c r="K350" t="inlineStr">
        <is>
          <t>2026-09-16</t>
        </is>
      </c>
      <c r="L350" s="2" t="inlineStr">
        <is>
          <t>Celda heredada FP-180 (2026-09-16): el valor 2 proviene de la investigacion del escenario E1 y no cuenta con evidencia propia de E6. Segun FP-177 el indicador AU1 depende del escenario, por lo que pasa a NE (no evidenciado, reduce cobertura) hasta investigarlo. La evidencia y la fuente originales se conservan como referencia del escenario de origen.</t>
        </is>
      </c>
    </row>
    <row r="351">
      <c r="A351" t="inlineStr">
        <is>
          <t>E6</t>
        </is>
      </c>
      <c r="B351" t="inlineStr">
        <is>
          <t>Cloud nativa</t>
        </is>
      </c>
      <c r="C351" t="inlineStr">
        <is>
          <t>Google Cloud Billing</t>
        </is>
      </c>
      <c r="D351" t="inlineStr">
        <is>
          <t>Automatizacion</t>
        </is>
      </c>
      <c r="E351" t="inlineStr">
        <is>
          <t>AU2</t>
        </is>
      </c>
      <c r="F351" s="2" t="inlineStr">
        <is>
          <t>¿Ofrece aprobación, reversión, registro o límites antes de actuar?</t>
        </is>
      </c>
      <c r="G351" t="n">
        <v>1</v>
      </c>
      <c r="H351" t="inlineStr">
        <is>
          <t>Oficial</t>
        </is>
      </c>
      <c r="I351" s="2" t="inlineStr">
        <is>
          <t>La documentación no describe un paso de aprobación manual nativo ni un registro de auditoría/reversión; esas salvaguardas dependerían de la Cloud Function que el equipo construya.</t>
        </is>
      </c>
      <c r="J351" t="inlineStr">
        <is>
          <t>https://docs.cloud.google.com/billing/docs/how-to/budgets-programmatic-notifications</t>
        </is>
      </c>
      <c r="K351" t="inlineStr">
        <is>
          <t>2026-09-16</t>
        </is>
      </c>
      <c r="L351" s="2" t="inlineStr"/>
    </row>
    <row r="352">
      <c r="A352" t="inlineStr">
        <is>
          <t>E6</t>
        </is>
      </c>
      <c r="B352" t="inlineStr">
        <is>
          <t>Cloud nativa</t>
        </is>
      </c>
      <c r="C352" t="inlineStr">
        <is>
          <t>Google Cloud Billing</t>
        </is>
      </c>
      <c r="D352" t="inlineStr">
        <is>
          <t>Multicloud</t>
        </is>
      </c>
      <c r="E352" t="inlineStr">
        <is>
          <t>M1</t>
        </is>
      </c>
      <c r="F352" s="2" t="inlineStr">
        <is>
          <t>¿Consolida al menos dos proveedores bajo el mismo esquema declarado?</t>
        </is>
      </c>
      <c r="G352" t="n">
        <v>0</v>
      </c>
      <c r="H352" t="inlineStr">
        <is>
          <t>Oficial</t>
        </is>
      </c>
      <c r="I352" s="2" t="inlineStr">
        <is>
          <t>Cloud Billing cubre exclusivamente cuentas de Google Cloud; no ingiere ni consolida datos de AWS/Azure dentro de la misma consola.</t>
        </is>
      </c>
      <c r="J352" t="inlineStr">
        <is>
          <t>https://docs.cloud.google.com/billing/docs/how-to/export-data-bigquery-tables/focus-export</t>
        </is>
      </c>
      <c r="K352" t="inlineStr">
        <is>
          <t>2026-09-16</t>
        </is>
      </c>
      <c r="L352" s="2" t="inlineStr"/>
    </row>
    <row r="353">
      <c r="A353" t="inlineStr">
        <is>
          <t>E6</t>
        </is>
      </c>
      <c r="B353" t="inlineStr">
        <is>
          <t>Cloud nativa</t>
        </is>
      </c>
      <c r="C353" t="inlineStr">
        <is>
          <t>Google Cloud Billing</t>
        </is>
      </c>
      <c r="D353" t="inlineStr">
        <is>
          <t>Multicloud</t>
        </is>
      </c>
      <c r="E353" t="inlineStr">
        <is>
          <t>M2</t>
        </is>
      </c>
      <c r="F353" s="2" t="inlineStr">
        <is>
          <t>¿Hace visibles proveedor, cobertura y diferencias semánticas?</t>
        </is>
      </c>
      <c r="G353" t="n">
        <v>0</v>
      </c>
      <c r="H353" t="inlineStr">
        <is>
          <t>Oficial</t>
        </is>
      </c>
      <c r="I353" s="2" t="inlineStr">
        <is>
          <t>Al no consolidar otros proveedores, no expone diferencias de cobertura o semántica entre nubes.</t>
        </is>
      </c>
      <c r="J353" t="inlineStr">
        <is>
          <t>https://docs.cloud.google.com/billing/docs/how-to/export-data-bigquery-tables/focus-export</t>
        </is>
      </c>
      <c r="K353" t="inlineStr">
        <is>
          <t>2026-09-16</t>
        </is>
      </c>
      <c r="L353" s="2" t="inlineStr"/>
    </row>
    <row r="354">
      <c r="A354" t="inlineStr">
        <is>
          <t>E6</t>
        </is>
      </c>
      <c r="B354" t="inlineStr">
        <is>
          <t>Cloud nativa</t>
        </is>
      </c>
      <c r="C354" t="inlineStr">
        <is>
          <t>Google Cloud Billing</t>
        </is>
      </c>
      <c r="D354" t="inlineStr">
        <is>
          <t>Integracion</t>
        </is>
      </c>
      <c r="E354" t="inlineStr">
        <is>
          <t>I1</t>
        </is>
      </c>
      <c r="F354" s="2" t="inlineStr">
        <is>
          <t>¿Integra datos requeridos (facturación, uso, clúster o IaC) del escenario?</t>
        </is>
      </c>
      <c r="G354" t="inlineStr">
        <is>
          <t>NE</t>
        </is>
      </c>
      <c r="H354" t="inlineStr">
        <is>
          <t>Pendiente</t>
        </is>
      </c>
      <c r="I354" s="2" t="inlineStr">
        <is>
          <t>El export detallado a BigQuery ingiere datos de costo/uso de forma automatizada; GKE cost allocation (opt-in con "--enable-cost-allocation") añade granularidad de namespace/workload/pod (hasta 50 etiquetas por Pod) al mismo export, con hasta 3 días de latencia.</t>
        </is>
      </c>
      <c r="J354" t="inlineStr">
        <is>
          <t>https://docs.cloud.google.com/kubernetes-engine/docs/how-to/cost-allocations</t>
        </is>
      </c>
      <c r="K354" t="inlineStr">
        <is>
          <t>2026-09-16</t>
        </is>
      </c>
      <c r="L354" s="2" t="inlineStr">
        <is>
          <t>Celda heredada FP-180 (2026-09-16): el valor 2 proviene de la investigacion del escenario E1 y no cuenta con evidencia propia de E6. Segun FP-177 el indicador I1 depende del escenario, por lo que pasa a NE (no evidenciado, reduce cobertura) hasta investigarlo. La evidencia y la fuente originales se conservan como referencia del escenario de origen.</t>
        </is>
      </c>
    </row>
    <row r="355">
      <c r="A355" t="inlineStr">
        <is>
          <t>E6</t>
        </is>
      </c>
      <c r="B355" t="inlineStr">
        <is>
          <t>Cloud nativa</t>
        </is>
      </c>
      <c r="C355" t="inlineStr">
        <is>
          <t>Google Cloud Billing</t>
        </is>
      </c>
      <c r="D355" t="inlineStr">
        <is>
          <t>Integracion</t>
        </is>
      </c>
      <c r="E355" t="inlineStr">
        <is>
          <t>I2</t>
        </is>
      </c>
      <c r="F355" s="2" t="inlineStr">
        <is>
          <t>¿Se integra con el flujo de trabajo relevante (alerta, ticket, CI/CD o reporte)?</t>
        </is>
      </c>
      <c r="G355" t="inlineStr">
        <is>
          <t>NE</t>
        </is>
      </c>
      <c r="H355" t="inlineStr">
        <is>
          <t>Pendiente</t>
        </is>
      </c>
      <c r="I355" s="2" t="inlineStr">
        <is>
          <t>Las notificaciones Pub/Sub se integran con Slack y otras herramientas operativas para "respuesta más rápida" al evento de costo.</t>
        </is>
      </c>
      <c r="J355" t="inlineStr">
        <is>
          <t>https://docs.cloud.google.com/billing/docs/how-to/budgets-programmatic-notifications</t>
        </is>
      </c>
      <c r="K355" t="inlineStr">
        <is>
          <t>2026-09-16</t>
        </is>
      </c>
      <c r="L355" s="2" t="inlineStr">
        <is>
          <t>Celda heredada FP-180 (2026-09-16): el valor 2 proviene de la investigacion del escenario E1 y no cuenta con evidencia propia de E6. Segun FP-177 el indicador I2 depende del escenario, por lo que pasa a NE (no evidenciado, reduce cobertura) hasta investigarlo. La evidencia y la fuente originales se conservan como referencia del escenario de origen.</t>
        </is>
      </c>
    </row>
    <row r="356">
      <c r="A356" t="inlineStr">
        <is>
          <t>E6</t>
        </is>
      </c>
      <c r="B356" t="inlineStr">
        <is>
          <t>Cloud nativa</t>
        </is>
      </c>
      <c r="C356" t="inlineStr">
        <is>
          <t>Google Cloud Billing</t>
        </is>
      </c>
      <c r="D356" t="inlineStr">
        <is>
          <t>Adopcion</t>
        </is>
      </c>
      <c r="E356" t="inlineStr">
        <is>
          <t>AD1</t>
        </is>
      </c>
      <c r="F356" s="2" t="inlineStr">
        <is>
          <t>¿Soporta acceso/entrega para los roles del escenario?</t>
        </is>
      </c>
      <c r="G356" t="inlineStr">
        <is>
          <t>NE</t>
        </is>
      </c>
      <c r="H356" t="inlineStr">
        <is>
          <t>Pendiente</t>
        </is>
      </c>
      <c r="I356" s="2" t="inlineStr">
        <is>
          <t>Roles de IAM predefinidos ("Billing Account Viewer", "Billing Account Costs Manager", "Project Billing Costs Manager") separan acceso de solo lectura de costos del resto de permisos de administración, incluso acotado por proyecto.</t>
        </is>
      </c>
      <c r="J356" t="inlineStr">
        <is>
          <t>https://docs.cloud.google.com/billing/docs/how-to/billing-access</t>
        </is>
      </c>
      <c r="K356" t="inlineStr">
        <is>
          <t>2026-09-16</t>
        </is>
      </c>
      <c r="L356" s="2" t="inlineStr">
        <is>
          <t>Celda heredada FP-180 (2026-09-16): el valor 2 proviene de la investigacion del escenario E1 y no cuenta con evidencia propia de E6. Segun FP-177 el indicador AD1 depende del escenario, por lo que pasa a NE (no evidenciado, reduce cobertura) hasta investigarlo. La evidencia y la fuente originales se conservan como referencia del escenario de origen.</t>
        </is>
      </c>
    </row>
    <row r="357">
      <c r="A357" t="inlineStr">
        <is>
          <t>E6</t>
        </is>
      </c>
      <c r="B357" t="inlineStr">
        <is>
          <t>Cloud nativa</t>
        </is>
      </c>
      <c r="C357" t="inlineStr">
        <is>
          <t>Google Cloud Billing</t>
        </is>
      </c>
      <c r="D357" t="inlineStr">
        <is>
          <t>Adopcion</t>
        </is>
      </c>
      <c r="E357" t="inlineStr">
        <is>
          <t>AD2</t>
        </is>
      </c>
      <c r="F357" s="2" t="inlineStr">
        <is>
          <t>¿Ofrece guías, ownership o mecanismos de seguimiento para uso sostenido?</t>
        </is>
      </c>
      <c r="G357" t="n">
        <v>1</v>
      </c>
      <c r="H357" t="inlineStr">
        <is>
          <t>Oficial</t>
        </is>
      </c>
      <c r="I357" s="2" t="inlineStr">
        <is>
          <t>Existen guías oficiales generales de uso, pero la medición formal de adopción/gobernanza (el "FinOps score") corresponde a FinOps hub, evaluado como producto aparte.</t>
        </is>
      </c>
      <c r="J357" t="inlineStr">
        <is>
          <t>https://docs.cloud.google.com/billing/docs/how-to/finops-hub</t>
        </is>
      </c>
      <c r="K357" t="inlineStr">
        <is>
          <t>2026-09-16</t>
        </is>
      </c>
      <c r="L357" s="2" t="inlineStr"/>
    </row>
    <row r="358">
      <c r="A358" t="inlineStr">
        <is>
          <t>E6</t>
        </is>
      </c>
      <c r="B358" t="inlineStr">
        <is>
          <t>Cloud nativa</t>
        </is>
      </c>
      <c r="C358" t="inlineStr">
        <is>
          <t>Google Cloud Billing</t>
        </is>
      </c>
      <c r="D358" t="inlineStr">
        <is>
          <t>Precio</t>
        </is>
      </c>
      <c r="E358" t="inlineStr">
        <is>
          <t>P1</t>
        </is>
      </c>
      <c r="F358" s="2" t="inlineStr">
        <is>
          <t>¿Expone precio, moneda, región, unidad, período y supuestos relevantes?</t>
        </is>
      </c>
      <c r="G358" t="n">
        <v>2</v>
      </c>
      <c r="H358" t="inlineStr">
        <is>
          <t>Oficial</t>
        </is>
      </c>
      <c r="I358" s="2" t="inlineStr">
        <is>
          <t>El export FOCUS y el export detallado exponen campos estandarizados (BilledCost, ListCost, ContractedCost, ServiceName, SkuId, RegionId) con moneda, período y región.</t>
        </is>
      </c>
      <c r="J358" t="inlineStr">
        <is>
          <t>https://docs.cloud.google.com/billing/docs/how-to/export-data-bigquery-tables/focus-export</t>
        </is>
      </c>
      <c r="K358" t="inlineStr">
        <is>
          <t>2026-09-16</t>
        </is>
      </c>
      <c r="L358" s="2" t="inlineStr"/>
    </row>
    <row r="359">
      <c r="A359" t="inlineStr">
        <is>
          <t>E6</t>
        </is>
      </c>
      <c r="B359" t="inlineStr">
        <is>
          <t>Cloud nativa</t>
        </is>
      </c>
      <c r="C359" t="inlineStr">
        <is>
          <t>Google Cloud Billing</t>
        </is>
      </c>
      <c r="D359" t="inlineStr">
        <is>
          <t>Precio</t>
        </is>
      </c>
      <c r="E359" t="inlineStr">
        <is>
          <t>P2</t>
        </is>
      </c>
      <c r="F359" s="2" t="inlineStr">
        <is>
          <t>¿Permite estimar o comparar componentes sin ocultar límites de equivalencia?</t>
        </is>
      </c>
      <c r="G359" t="inlineStr">
        <is>
          <t>NE</t>
        </is>
      </c>
      <c r="H359" t="inlineStr">
        <is>
          <t>Pendiente</t>
        </is>
      </c>
      <c r="I359" s="2" t="inlineStr">
        <is>
          <t>Cloud Billing Reports no incluye una calculadora de estimación de componentes previa al despliegue (esa función es de Google Cloud Pricing Calculator, evaluada aparte en E4).</t>
        </is>
      </c>
      <c r="J359" t="inlineStr">
        <is>
          <t>https://docs.cloud.google.com/billing/docs/how-to/reports</t>
        </is>
      </c>
      <c r="K359" t="inlineStr">
        <is>
          <t>2026-09-16</t>
        </is>
      </c>
      <c r="L359" s="2" t="inlineStr">
        <is>
          <t>Celda heredada FP-180 (2026-09-16): el valor 1 proviene de la investigacion del escenario E1 y no cuenta con evidencia propia de E6. Segun FP-177 el indicador P2 depende del escenario, por lo que pasa a NE (no evidenciado, reduce cobertura) hasta investigarlo. La evidencia y la fuente originales se conservan como referencia del escenario de origen.</t>
        </is>
      </c>
    </row>
    <row r="360">
      <c r="A360" t="inlineStr">
        <is>
          <t>E6</t>
        </is>
      </c>
      <c r="B360" t="inlineStr">
        <is>
          <t>Cloud nativa</t>
        </is>
      </c>
      <c r="C360" t="inlineStr">
        <is>
          <t>Google Cloud Billing</t>
        </is>
      </c>
      <c r="D360" t="inlineStr">
        <is>
          <t>Dependencia</t>
        </is>
      </c>
      <c r="E360" t="inlineStr">
        <is>
          <t>D1</t>
        </is>
      </c>
      <c r="F360" s="2" t="inlineStr">
        <is>
          <t>¿Exporta datos/resultados en formato utilizable y documentado?</t>
        </is>
      </c>
      <c r="G360" t="n">
        <v>2</v>
      </c>
      <c r="H360" t="inlineStr">
        <is>
          <t>Oficial</t>
        </is>
      </c>
      <c r="I360" s="2" t="inlineStr">
        <is>
          <t>El export estándar y detallado a BigQuery, y el export en esquema FOCUS, entregan datos en formato abierto y consultable con SQL.</t>
        </is>
      </c>
      <c r="J360" t="inlineStr">
        <is>
          <t>https://docs.cloud.google.com/billing/docs/how-to/export-data-bigquery-tables/focus-export</t>
        </is>
      </c>
      <c r="K360" t="inlineStr">
        <is>
          <t>2026-09-16</t>
        </is>
      </c>
      <c r="L360" s="2" t="inlineStr"/>
    </row>
    <row r="361">
      <c r="A361" t="inlineStr">
        <is>
          <t>E6</t>
        </is>
      </c>
      <c r="B361" t="inlineStr">
        <is>
          <t>Cloud nativa</t>
        </is>
      </c>
      <c r="C361" t="inlineStr">
        <is>
          <t>Google Cloud Billing</t>
        </is>
      </c>
      <c r="D361" t="inlineStr">
        <is>
          <t>Dependencia</t>
        </is>
      </c>
      <c r="E361" t="inlineStr">
        <is>
          <t>D2</t>
        </is>
      </c>
      <c r="F361" s="2" t="inlineStr">
        <is>
          <t>¿Documenta dependencias propietarias y un camino de salida/configuración reversible?</t>
        </is>
      </c>
      <c r="G361" t="n">
        <v>1</v>
      </c>
      <c r="H361" t="inlineStr">
        <is>
          <t>Oficial</t>
        </is>
      </c>
      <c r="I361" s="2" t="inlineStr">
        <is>
          <t>No se encontró documentación dedicada sobre un camino de salida o reversibilidad; el riesgo de dependencia se atenúa por el export en formato FOCUS/BigQuery estándar.</t>
        </is>
      </c>
      <c r="J361" t="inlineStr">
        <is>
          <t>https://docs.cloud.google.com/billing/docs/how-to/export-data-bigquery-tables/focus-export</t>
        </is>
      </c>
      <c r="K361" t="inlineStr">
        <is>
          <t>2026-09-16</t>
        </is>
      </c>
      <c r="L361" s="2" t="inlineStr"/>
    </row>
    <row r="362">
      <c r="A362" t="inlineStr">
        <is>
          <t>E1</t>
        </is>
      </c>
      <c r="B362" t="inlineStr">
        <is>
          <t>Cloud nativa</t>
        </is>
      </c>
      <c r="C362" t="inlineStr">
        <is>
          <t>Google Cloud FinOps Hub</t>
        </is>
      </c>
      <c r="D362" t="inlineStr">
        <is>
          <t>Visibilidad</t>
        </is>
      </c>
      <c r="E362" t="inlineStr">
        <is>
          <t>V1</t>
        </is>
      </c>
      <c r="F362" s="2" t="inlineStr">
        <is>
          <t>¿Desagrega costo y uso por cuenta/proyecto, servicio y período?</t>
        </is>
      </c>
      <c r="G362" t="n">
        <v>0</v>
      </c>
      <c r="H362" t="inlineStr">
        <is>
          <t>Oficial (ausencia verificada)</t>
        </is>
      </c>
      <c r="I362" s="2" t="inlineStr">
        <is>
          <t>FinOps hub consolida ahorro y recomendaciones, no un desglose general de costo/uso (esa función es de Cloud Billing Reports).</t>
        </is>
      </c>
      <c r="J362" t="inlineStr">
        <is>
          <t>https://docs.cloud.google.com/billing/docs/how-to/finops-hub</t>
        </is>
      </c>
      <c r="K362" t="inlineStr">
        <is>
          <t>2026-09-16</t>
        </is>
      </c>
      <c r="L36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63">
      <c r="A363" t="inlineStr">
        <is>
          <t>E1</t>
        </is>
      </c>
      <c r="B363" t="inlineStr">
        <is>
          <t>Cloud nativa</t>
        </is>
      </c>
      <c r="C363" t="inlineStr">
        <is>
          <t>Google Cloud FinOps Hub</t>
        </is>
      </c>
      <c r="D363" t="inlineStr">
        <is>
          <t>Visibilidad</t>
        </is>
      </c>
      <c r="E363" t="inlineStr">
        <is>
          <t>V2</t>
        </is>
      </c>
      <c r="F363" s="2" t="inlineStr">
        <is>
          <t>¿Permite rastrear un total hasta registros o fuente de facturación?</t>
        </is>
      </c>
      <c r="G363" t="n">
        <v>0</v>
      </c>
      <c r="H363" t="inlineStr">
        <is>
          <t>Oficial (ausencia verificada)</t>
        </is>
      </c>
      <c r="I363" s="2" t="inlineStr">
        <is>
          <t>Mismo alcance de diseño que V1.</t>
        </is>
      </c>
      <c r="J363" t="inlineStr">
        <is>
          <t>https://docs.cloud.google.com/billing/docs/how-to/finops-hub</t>
        </is>
      </c>
      <c r="K363" t="inlineStr">
        <is>
          <t>2026-09-16</t>
        </is>
      </c>
      <c r="L36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64">
      <c r="A364" t="inlineStr">
        <is>
          <t>E1</t>
        </is>
      </c>
      <c r="B364" t="inlineStr">
        <is>
          <t>Cloud nativa</t>
        </is>
      </c>
      <c r="C364" t="inlineStr">
        <is>
          <t>Google Cloud FinOps Hub</t>
        </is>
      </c>
      <c r="D364" t="inlineStr">
        <is>
          <t>Asignacion</t>
        </is>
      </c>
      <c r="E364" t="inlineStr">
        <is>
          <t>A1</t>
        </is>
      </c>
      <c r="F364" s="2" t="inlineStr">
        <is>
          <t>¿Calcula gasto asignado/no asignado por responsable, centro o entidad?</t>
        </is>
      </c>
      <c r="G364" t="n">
        <v>0</v>
      </c>
      <c r="H364" t="inlineStr">
        <is>
          <t>Oficial (ausencia verificada)</t>
        </is>
      </c>
      <c r="I364" s="2" t="inlineStr">
        <is>
          <t>No calcula asignación de gasto por responsable/centro de costo.</t>
        </is>
      </c>
      <c r="J364" t="inlineStr">
        <is>
          <t>https://docs.cloud.google.com/billing/docs/how-to/finops-hub</t>
        </is>
      </c>
      <c r="K364" t="inlineStr">
        <is>
          <t>2026-09-16</t>
        </is>
      </c>
      <c r="L36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65">
      <c r="A365" t="inlineStr">
        <is>
          <t>E1</t>
        </is>
      </c>
      <c r="B365" t="inlineStr">
        <is>
          <t>Cloud nativa</t>
        </is>
      </c>
      <c r="C365" t="inlineStr">
        <is>
          <t>Google Cloud FinOps Hub</t>
        </is>
      </c>
      <c r="D365" t="inlineStr">
        <is>
          <t>Asignacion</t>
        </is>
      </c>
      <c r="E365" t="inlineStr">
        <is>
          <t>A2</t>
        </is>
      </c>
      <c r="F365" s="2" t="inlineStr">
        <is>
          <t>¿Explicita y aplica reglas para costo compartido/multi-tenant?</t>
        </is>
      </c>
      <c r="G365" t="n">
        <v>0</v>
      </c>
      <c r="H365" t="inlineStr">
        <is>
          <t>Oficial (ausencia verificada)</t>
        </is>
      </c>
      <c r="I365" s="2" t="inlineStr">
        <is>
          <t>No define reglas de reparto de costo compartido.</t>
        </is>
      </c>
      <c r="J365" t="inlineStr">
        <is>
          <t>https://docs.cloud.google.com/billing/docs/how-to/finops-hub</t>
        </is>
      </c>
      <c r="K365" t="inlineStr">
        <is>
          <t>2026-09-16</t>
        </is>
      </c>
      <c r="L36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66">
      <c r="A366" t="inlineStr">
        <is>
          <t>E1</t>
        </is>
      </c>
      <c r="B366" t="inlineStr">
        <is>
          <t>Cloud nativa</t>
        </is>
      </c>
      <c r="C366" t="inlineStr">
        <is>
          <t>Google Cloud FinOps Hub</t>
        </is>
      </c>
      <c r="D366" t="inlineStr">
        <is>
          <t>Optimizacion</t>
        </is>
      </c>
      <c r="E366" t="inlineStr">
        <is>
          <t>O1</t>
        </is>
      </c>
      <c r="F366" s="2" t="inlineStr">
        <is>
          <t>¿Detecta desperdicio, rightsizing o compromiso relevante al escenario?</t>
        </is>
      </c>
      <c r="G366" t="n">
        <v>2</v>
      </c>
      <c r="H366" t="inlineStr">
        <is>
          <t>Oficial</t>
        </is>
      </c>
      <c r="I366" s="2" t="inlineStr">
        <is>
          <t>"Explore new recommended opportunities to optimize costs" agregando recomendaciones de Compute Engine, GKE, Cloud SQL y Cloud Run en cuatro prácticas: recursos inactivos, rightsizing, cambios de configuración y CUDs.</t>
        </is>
      </c>
      <c r="J366" t="inlineStr">
        <is>
          <t>https://docs.cloud.google.com/billing/docs/how-to/finops-hub</t>
        </is>
      </c>
      <c r="K366" t="inlineStr">
        <is>
          <t>2026-09-16</t>
        </is>
      </c>
      <c r="L366" s="2" t="inlineStr"/>
    </row>
    <row r="367">
      <c r="A367" t="inlineStr">
        <is>
          <t>E1</t>
        </is>
      </c>
      <c r="B367" t="inlineStr">
        <is>
          <t>Cloud nativa</t>
        </is>
      </c>
      <c r="C367" t="inlineStr">
        <is>
          <t>Google Cloud FinOps Hub</t>
        </is>
      </c>
      <c r="D367" t="inlineStr">
        <is>
          <t>Optimizacion</t>
        </is>
      </c>
      <c r="E367" t="inlineStr">
        <is>
          <t>O2</t>
        </is>
      </c>
      <c r="F367" s="2" t="inlineStr">
        <is>
          <t>¿Explica supuesto/impacto y permite seguir una recomendación?</t>
        </is>
      </c>
      <c r="G367" t="n">
        <v>2</v>
      </c>
      <c r="H367" t="inlineStr">
        <is>
          <t>Oficial</t>
        </is>
      </c>
      <c r="I367" s="2" t="inlineStr">
        <is>
          <t>El panel muestra "Last month's realized savings" y "Potential savings per month", permitiendo comparar ahorro potencial vs. realizado a lo largo del tiempo.</t>
        </is>
      </c>
      <c r="J367" t="inlineStr">
        <is>
          <t>https://docs.cloud.google.com/billing/docs/how-to/finops-hub</t>
        </is>
      </c>
      <c r="K367" t="inlineStr">
        <is>
          <t>2026-09-16</t>
        </is>
      </c>
      <c r="L367" s="2" t="inlineStr"/>
    </row>
    <row r="368">
      <c r="A368" t="inlineStr">
        <is>
          <t>E1</t>
        </is>
      </c>
      <c r="B368" t="inlineStr">
        <is>
          <t>Cloud nativa</t>
        </is>
      </c>
      <c r="C368" t="inlineStr">
        <is>
          <t>Google Cloud FinOps Hub</t>
        </is>
      </c>
      <c r="D368" t="inlineStr">
        <is>
          <t>Automatizacion</t>
        </is>
      </c>
      <c r="E368" t="inlineStr">
        <is>
          <t>AU1</t>
        </is>
      </c>
      <c r="F368" s="2" t="inlineStr">
        <is>
          <t>¿Ejecuta o bloquea acciones/políticas de costo con control verificable?</t>
        </is>
      </c>
      <c r="G368" t="n">
        <v>1</v>
      </c>
      <c r="H368" t="inlineStr">
        <is>
          <t>Oficial</t>
        </is>
      </c>
      <c r="I368" s="2" t="inlineStr">
        <is>
          <t>Existe una guía oficial para "Review and apply FinOps hub Recommendations": el usuario revisa y aplica manualmente cada recomendación desde el panel; no se documenta ejecución autónoma sin intervención.</t>
        </is>
      </c>
      <c r="J368" t="inlineStr">
        <is>
          <t>https://docs.cloud.google.com/billing/docs/how-to/finops-recommendations-dashboard</t>
        </is>
      </c>
      <c r="K368" t="inlineStr">
        <is>
          <t>2026-09-16</t>
        </is>
      </c>
      <c r="L368" s="2" t="inlineStr"/>
    </row>
    <row r="369">
      <c r="A369" t="inlineStr">
        <is>
          <t>E1</t>
        </is>
      </c>
      <c r="B369" t="inlineStr">
        <is>
          <t>Cloud nativa</t>
        </is>
      </c>
      <c r="C369" t="inlineStr">
        <is>
          <t>Google Cloud FinOps Hub</t>
        </is>
      </c>
      <c r="D369" t="inlineStr">
        <is>
          <t>Automatizacion</t>
        </is>
      </c>
      <c r="E369" t="inlineStr">
        <is>
          <t>AU2</t>
        </is>
      </c>
      <c r="F369" s="2" t="inlineStr">
        <is>
          <t>¿Ofrece aprobación, reversión, registro o límites antes de actuar?</t>
        </is>
      </c>
      <c r="G369" t="inlineStr">
        <is>
          <t>NE</t>
        </is>
      </c>
      <c r="H369" t="inlineStr">
        <is>
          <t>Pendiente</t>
        </is>
      </c>
      <c r="I369" s="2" t="inlineStr">
        <is>
          <t>La naturaleza de "revisar y aplicar" ya exige acción manual del usuario (cubierto en AU1); no se documenta una salvaguarda adicional distinta.</t>
        </is>
      </c>
      <c r="J369" t="inlineStr">
        <is>
          <t>https://docs.cloud.google.com/billing/docs/how-to/finops-recommendations-dashboard</t>
        </is>
      </c>
      <c r="K369" t="inlineStr">
        <is>
          <t>2026-09-16</t>
        </is>
      </c>
      <c r="L369"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370">
      <c r="A370" t="inlineStr">
        <is>
          <t>E1</t>
        </is>
      </c>
      <c r="B370" t="inlineStr">
        <is>
          <t>Cloud nativa</t>
        </is>
      </c>
      <c r="C370" t="inlineStr">
        <is>
          <t>Google Cloud FinOps Hub</t>
        </is>
      </c>
      <c r="D370" t="inlineStr">
        <is>
          <t>Multicloud</t>
        </is>
      </c>
      <c r="E370" t="inlineStr">
        <is>
          <t>M1</t>
        </is>
      </c>
      <c r="F370" s="2" t="inlineStr">
        <is>
          <t>¿Consolida al menos dos proveedores bajo el mismo esquema declarado?</t>
        </is>
      </c>
      <c r="G370" t="n">
        <v>0</v>
      </c>
      <c r="H370" t="inlineStr">
        <is>
          <t>Oficial (ausencia verificada)</t>
        </is>
      </c>
      <c r="I370" s="2" t="inlineStr">
        <is>
          <t>Cubre exclusivamente recomendaciones sobre recursos de Google Cloud.</t>
        </is>
      </c>
      <c r="J370" t="inlineStr">
        <is>
          <t>https://docs.cloud.google.com/billing/docs/how-to/finops-hub</t>
        </is>
      </c>
      <c r="K370" t="inlineStr">
        <is>
          <t>2026-09-16</t>
        </is>
      </c>
      <c r="L37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71">
      <c r="A371" t="inlineStr">
        <is>
          <t>E1</t>
        </is>
      </c>
      <c r="B371" t="inlineStr">
        <is>
          <t>Cloud nativa</t>
        </is>
      </c>
      <c r="C371" t="inlineStr">
        <is>
          <t>Google Cloud FinOps Hub</t>
        </is>
      </c>
      <c r="D371" t="inlineStr">
        <is>
          <t>Multicloud</t>
        </is>
      </c>
      <c r="E371" t="inlineStr">
        <is>
          <t>M2</t>
        </is>
      </c>
      <c r="F371" s="2" t="inlineStr">
        <is>
          <t>¿Hace visibles proveedor, cobertura y diferencias semánticas?</t>
        </is>
      </c>
      <c r="G371" t="n">
        <v>0</v>
      </c>
      <c r="H371" t="inlineStr">
        <is>
          <t>Oficial (ausencia verificada)</t>
        </is>
      </c>
      <c r="I371" s="2" t="inlineStr">
        <is>
          <t>Mismo alcance de diseño que M1.</t>
        </is>
      </c>
      <c r="J371" t="inlineStr">
        <is>
          <t>https://docs.cloud.google.com/billing/docs/how-to/finops-hub</t>
        </is>
      </c>
      <c r="K371" t="inlineStr">
        <is>
          <t>2026-09-16</t>
        </is>
      </c>
      <c r="L37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72">
      <c r="A372" t="inlineStr">
        <is>
          <t>E1</t>
        </is>
      </c>
      <c r="B372" t="inlineStr">
        <is>
          <t>Cloud nativa</t>
        </is>
      </c>
      <c r="C372" t="inlineStr">
        <is>
          <t>Google Cloud FinOps Hub</t>
        </is>
      </c>
      <c r="D372" t="inlineStr">
        <is>
          <t>Integracion</t>
        </is>
      </c>
      <c r="E372" t="inlineStr">
        <is>
          <t>I1</t>
        </is>
      </c>
      <c r="F372" s="2" t="inlineStr">
        <is>
          <t>¿Integra datos requeridos (facturación, uso, clúster o IaC) del escenario?</t>
        </is>
      </c>
      <c r="G372" t="n">
        <v>2</v>
      </c>
      <c r="H372" t="inlineStr">
        <is>
          <t>Oficial</t>
        </is>
      </c>
      <c r="I372" s="2" t="inlineStr">
        <is>
          <t>Agrega datos de múltiples recomendadores de servicios de Google Cloud (Compute Engine, GKE, Cloud SQL, Cloud Run) en un panel único.</t>
        </is>
      </c>
      <c r="J372" t="inlineStr">
        <is>
          <t>https://docs.cloud.google.com/billing/docs/how-to/finops-hub</t>
        </is>
      </c>
      <c r="K372" t="inlineStr">
        <is>
          <t>2026-09-16</t>
        </is>
      </c>
      <c r="L372" s="2" t="inlineStr"/>
    </row>
    <row r="373">
      <c r="A373" t="inlineStr">
        <is>
          <t>E1</t>
        </is>
      </c>
      <c r="B373" t="inlineStr">
        <is>
          <t>Cloud nativa</t>
        </is>
      </c>
      <c r="C373" t="inlineStr">
        <is>
          <t>Google Cloud FinOps Hub</t>
        </is>
      </c>
      <c r="D373" t="inlineStr">
        <is>
          <t>Integracion</t>
        </is>
      </c>
      <c r="E373" t="inlineStr">
        <is>
          <t>I2</t>
        </is>
      </c>
      <c r="F373" s="2" t="inlineStr">
        <is>
          <t>¿Se integra con el flujo de trabajo relevante (alerta, ticket, CI/CD o reporte)?</t>
        </is>
      </c>
      <c r="G373" t="n">
        <v>1</v>
      </c>
      <c r="H373" t="inlineStr">
        <is>
          <t>Oficial</t>
        </is>
      </c>
      <c r="I373" s="2" t="inlineStr">
        <is>
          <t>El panel concentra el flujo de revisión dentro de la consola de Google Cloud; no se documentó integración directa con ticketing/CI-CD externos.</t>
        </is>
      </c>
      <c r="J373" t="inlineStr">
        <is>
          <t>https://docs.cloud.google.com/billing/docs/how-to/finops-hub</t>
        </is>
      </c>
      <c r="K373" t="inlineStr">
        <is>
          <t>2026-09-16</t>
        </is>
      </c>
      <c r="L373" s="2" t="inlineStr"/>
    </row>
    <row r="374">
      <c r="A374" t="inlineStr">
        <is>
          <t>E1</t>
        </is>
      </c>
      <c r="B374" t="inlineStr">
        <is>
          <t>Cloud nativa</t>
        </is>
      </c>
      <c r="C374" t="inlineStr">
        <is>
          <t>Google Cloud FinOps Hub</t>
        </is>
      </c>
      <c r="D374" t="inlineStr">
        <is>
          <t>Adopcion</t>
        </is>
      </c>
      <c r="E374" t="inlineStr">
        <is>
          <t>AD1</t>
        </is>
      </c>
      <c r="F374" s="2" t="inlineStr">
        <is>
          <t>¿Soporta acceso/entrega para los roles del escenario?</t>
        </is>
      </c>
      <c r="G374" t="n">
        <v>1</v>
      </c>
      <c r="H374" t="inlineStr">
        <is>
          <t>Oficial</t>
        </is>
      </c>
      <c r="I374" s="2" t="inlineStr">
        <is>
          <t>El acceso está condicionado a contar con permisos completos de la cuenta de facturación ("solo disponible con permisos de cuenta de facturación completos"), un control más binario que los roles graduales de Cloud Billing.</t>
        </is>
      </c>
      <c r="J374" t="inlineStr">
        <is>
          <t>https://docs.cloud.google.com/billing/docs/how-to/finops-hub</t>
        </is>
      </c>
      <c r="K374" t="inlineStr">
        <is>
          <t>2026-09-16</t>
        </is>
      </c>
      <c r="L374" s="2" t="inlineStr"/>
    </row>
    <row r="375">
      <c r="A375" t="inlineStr">
        <is>
          <t>E1</t>
        </is>
      </c>
      <c r="B375" t="inlineStr">
        <is>
          <t>Cloud nativa</t>
        </is>
      </c>
      <c r="C375" t="inlineStr">
        <is>
          <t>Google Cloud FinOps Hub</t>
        </is>
      </c>
      <c r="D375" t="inlineStr">
        <is>
          <t>Adopcion</t>
        </is>
      </c>
      <c r="E375" t="inlineStr">
        <is>
          <t>AD2</t>
        </is>
      </c>
      <c r="F375" s="2" t="inlineStr">
        <is>
          <t>¿Ofrece guías, ownership o mecanismos de seguimiento para uso sostenido?</t>
        </is>
      </c>
      <c r="G375" t="n">
        <v>2</v>
      </c>
      <c r="H375" t="inlineStr">
        <is>
          <t>Oficial (candidato a 3 si se corrobora con una segunda fuente independiente o verificación práctica)</t>
        </is>
      </c>
      <c r="I375" s="2" t="inlineStr">
        <is>
          <t>El "FinOps score" mide explícitamente qué tan bien la organización usa las herramientas de monitoreo/ahorro de Google Cloud (etiquetado, automatización, compra de CUDs), acercándose a una medición integrada de adopción.</t>
        </is>
      </c>
      <c r="J375" t="inlineStr">
        <is>
          <t>https://docs.cloud.google.com/billing/docs/how-to/finops-hub</t>
        </is>
      </c>
      <c r="K375" t="inlineStr">
        <is>
          <t>2026-09-16</t>
        </is>
      </c>
      <c r="L375" s="2" t="inlineStr"/>
    </row>
    <row r="376">
      <c r="A376" t="inlineStr">
        <is>
          <t>E1</t>
        </is>
      </c>
      <c r="B376" t="inlineStr">
        <is>
          <t>Cloud nativa</t>
        </is>
      </c>
      <c r="C376" t="inlineStr">
        <is>
          <t>Google Cloud FinOps Hub</t>
        </is>
      </c>
      <c r="D376" t="inlineStr">
        <is>
          <t>Precio</t>
        </is>
      </c>
      <c r="E376" t="inlineStr">
        <is>
          <t>P1</t>
        </is>
      </c>
      <c r="F376" s="2" t="inlineStr">
        <is>
          <t>¿Expone precio, moneda, región, unidad, período y supuestos relevantes?</t>
        </is>
      </c>
      <c r="G376" t="n">
        <v>0</v>
      </c>
      <c r="H376" t="inlineStr">
        <is>
          <t>Oficial (ausencia verificada)</t>
        </is>
      </c>
      <c r="I376" s="2" t="inlineStr">
        <is>
          <t>No es una herramienta de transparencia de precio general (esa función es de Cloud Billing Reports/export).</t>
        </is>
      </c>
      <c r="J376" t="inlineStr">
        <is>
          <t>https://docs.cloud.google.com/billing/docs/how-to/finops-hub</t>
        </is>
      </c>
      <c r="K376" t="inlineStr">
        <is>
          <t>2026-09-16</t>
        </is>
      </c>
      <c r="L37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77">
      <c r="A377" t="inlineStr">
        <is>
          <t>E1</t>
        </is>
      </c>
      <c r="B377" t="inlineStr">
        <is>
          <t>Cloud nativa</t>
        </is>
      </c>
      <c r="C377" t="inlineStr">
        <is>
          <t>Google Cloud FinOps Hub</t>
        </is>
      </c>
      <c r="D377" t="inlineStr">
        <is>
          <t>Precio</t>
        </is>
      </c>
      <c r="E377" t="inlineStr">
        <is>
          <t>P2</t>
        </is>
      </c>
      <c r="F377" s="2" t="inlineStr">
        <is>
          <t>¿Permite estimar o comparar componentes sin ocultar límites de equivalencia?</t>
        </is>
      </c>
      <c r="G377" t="n">
        <v>0</v>
      </c>
      <c r="H377" t="inlineStr">
        <is>
          <t>Oficial (ausencia verificada)</t>
        </is>
      </c>
      <c r="I377" s="2" t="inlineStr">
        <is>
          <t>No es una calculadora de estimación de componentes (esa función es de Google Cloud Pricing Calculator, evaluada aparte en E4).</t>
        </is>
      </c>
      <c r="J377" t="inlineStr">
        <is>
          <t>https://docs.cloud.google.com/billing/docs/how-to/finops-hub</t>
        </is>
      </c>
      <c r="K377" t="inlineStr">
        <is>
          <t>2026-09-16</t>
        </is>
      </c>
      <c r="L37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78">
      <c r="A378" t="inlineStr">
        <is>
          <t>E1</t>
        </is>
      </c>
      <c r="B378" t="inlineStr">
        <is>
          <t>Cloud nativa</t>
        </is>
      </c>
      <c r="C378" t="inlineStr">
        <is>
          <t>Google Cloud FinOps Hub</t>
        </is>
      </c>
      <c r="D378" t="inlineStr">
        <is>
          <t>Dependencia</t>
        </is>
      </c>
      <c r="E378" t="inlineStr">
        <is>
          <t>D1</t>
        </is>
      </c>
      <c r="F378" s="2" t="inlineStr">
        <is>
          <t>¿Exporta datos/resultados en formato utilizable y documentado?</t>
        </is>
      </c>
      <c r="G378" t="inlineStr">
        <is>
          <t>NE</t>
        </is>
      </c>
      <c r="H378" t="inlineStr">
        <is>
          <t>Pendiente</t>
        </is>
      </c>
      <c r="I378" s="2" t="inlineStr">
        <is>
          <t>No es la fuente primaria de exportación de datos de costo/uso (esa función es del export de Cloud Billing, evaluada aparte); simplificación de alcance para evitar doble conteo.</t>
        </is>
      </c>
      <c r="J378" t="inlineStr">
        <is>
          <t>https://docs.cloud.google.com/billing/docs/how-to/finops-hub</t>
        </is>
      </c>
      <c r="K378" t="inlineStr">
        <is>
          <t>2026-09-16</t>
        </is>
      </c>
      <c r="L378"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379">
      <c r="A379" t="inlineStr">
        <is>
          <t>E1</t>
        </is>
      </c>
      <c r="B379" t="inlineStr">
        <is>
          <t>Cloud nativa</t>
        </is>
      </c>
      <c r="C379" t="inlineStr">
        <is>
          <t>Google Cloud FinOps Hub</t>
        </is>
      </c>
      <c r="D379" t="inlineStr">
        <is>
          <t>Dependencia</t>
        </is>
      </c>
      <c r="E379" t="inlineStr">
        <is>
          <t>D2</t>
        </is>
      </c>
      <c r="F379" s="2" t="inlineStr">
        <is>
          <t>¿Documenta dependencias propietarias y un camino de salida/configuración reversible?</t>
        </is>
      </c>
      <c r="G379" t="inlineStr">
        <is>
          <t>NE</t>
        </is>
      </c>
      <c r="H379" t="inlineStr">
        <is>
          <t>Pendiente</t>
        </is>
      </c>
      <c r="I379" s="2" t="inlineStr">
        <is>
          <t>Mismo alcance de diseño que D1.</t>
        </is>
      </c>
      <c r="J379" t="inlineStr">
        <is>
          <t>https://docs.cloud.google.com/billing/docs/how-to/finops-hub</t>
        </is>
      </c>
      <c r="K379" t="inlineStr">
        <is>
          <t>2026-09-16</t>
        </is>
      </c>
      <c r="L379"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380">
      <c r="A380" t="inlineStr">
        <is>
          <t>E2</t>
        </is>
      </c>
      <c r="B380" t="inlineStr">
        <is>
          <t>Cloud nativa</t>
        </is>
      </c>
      <c r="C380" t="inlineStr">
        <is>
          <t>Google Cloud FinOps Hub</t>
        </is>
      </c>
      <c r="D380" t="inlineStr">
        <is>
          <t>Visibilidad</t>
        </is>
      </c>
      <c r="E380" t="inlineStr">
        <is>
          <t>V1</t>
        </is>
      </c>
      <c r="F380" s="2" t="inlineStr">
        <is>
          <t>¿Desagrega costo y uso por cuenta/proyecto, servicio y período?</t>
        </is>
      </c>
      <c r="G380" t="inlineStr">
        <is>
          <t>NE</t>
        </is>
      </c>
      <c r="H380" t="inlineStr">
        <is>
          <t>Pendiente</t>
        </is>
      </c>
      <c r="I380" s="2" t="inlineStr">
        <is>
          <t>FinOps hub consolida ahorro y recomendaciones, no un desglose general de costo/uso (esa función es de Cloud Billing Reports).</t>
        </is>
      </c>
      <c r="J380" t="inlineStr">
        <is>
          <t>https://docs.cloud.google.com/billing/docs/how-to/finops-hub</t>
        </is>
      </c>
      <c r="K380" t="inlineStr">
        <is>
          <t>2026-09-16</t>
        </is>
      </c>
      <c r="L38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V1 depende del escenario, por lo que pasa a NE (no evidenciado, reduce cobertura) hasta investigarlo. La evidencia y la fuente originales se conservan como referencia del escenario de origen.</t>
        </is>
      </c>
    </row>
    <row r="381">
      <c r="A381" t="inlineStr">
        <is>
          <t>E2</t>
        </is>
      </c>
      <c r="B381" t="inlineStr">
        <is>
          <t>Cloud nativa</t>
        </is>
      </c>
      <c r="C381" t="inlineStr">
        <is>
          <t>Google Cloud FinOps Hub</t>
        </is>
      </c>
      <c r="D381" t="inlineStr">
        <is>
          <t>Visibilidad</t>
        </is>
      </c>
      <c r="E381" t="inlineStr">
        <is>
          <t>V2</t>
        </is>
      </c>
      <c r="F381" s="2" t="inlineStr">
        <is>
          <t>¿Permite rastrear un total hasta registros o fuente de facturación?</t>
        </is>
      </c>
      <c r="G381" t="n">
        <v>0</v>
      </c>
      <c r="H381" t="inlineStr">
        <is>
          <t>Oficial (ausencia verificada)</t>
        </is>
      </c>
      <c r="I381" s="2" t="inlineStr">
        <is>
          <t>Mismo alcance de diseño que V1.</t>
        </is>
      </c>
      <c r="J381" t="inlineStr">
        <is>
          <t>https://docs.cloud.google.com/billing/docs/how-to/finops-hub</t>
        </is>
      </c>
      <c r="K381" t="inlineStr">
        <is>
          <t>2026-09-16</t>
        </is>
      </c>
      <c r="L38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82">
      <c r="A382" t="inlineStr">
        <is>
          <t>E2</t>
        </is>
      </c>
      <c r="B382" t="inlineStr">
        <is>
          <t>Cloud nativa</t>
        </is>
      </c>
      <c r="C382" t="inlineStr">
        <is>
          <t>Google Cloud FinOps Hub</t>
        </is>
      </c>
      <c r="D382" t="inlineStr">
        <is>
          <t>Asignacion</t>
        </is>
      </c>
      <c r="E382" t="inlineStr">
        <is>
          <t>A1</t>
        </is>
      </c>
      <c r="F382" s="2" t="inlineStr">
        <is>
          <t>¿Calcula gasto asignado/no asignado por responsable, centro o entidad?</t>
        </is>
      </c>
      <c r="G382" t="inlineStr">
        <is>
          <t>NE</t>
        </is>
      </c>
      <c r="H382" t="inlineStr">
        <is>
          <t>Pendiente</t>
        </is>
      </c>
      <c r="I382" s="2" t="inlineStr">
        <is>
          <t>No calcula asignación de gasto por responsable/centro de costo.</t>
        </is>
      </c>
      <c r="J382" t="inlineStr">
        <is>
          <t>https://docs.cloud.google.com/billing/docs/how-to/finops-hub</t>
        </is>
      </c>
      <c r="K382" t="inlineStr">
        <is>
          <t>2026-09-16</t>
        </is>
      </c>
      <c r="L38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A1 depende del escenario, por lo que pasa a NE (no evidenciado, reduce cobertura) hasta investigarlo. La evidencia y la fuente originales se conservan como referencia del escenario de origen.</t>
        </is>
      </c>
    </row>
    <row r="383">
      <c r="A383" t="inlineStr">
        <is>
          <t>E2</t>
        </is>
      </c>
      <c r="B383" t="inlineStr">
        <is>
          <t>Cloud nativa</t>
        </is>
      </c>
      <c r="C383" t="inlineStr">
        <is>
          <t>Google Cloud FinOps Hub</t>
        </is>
      </c>
      <c r="D383" t="inlineStr">
        <is>
          <t>Asignacion</t>
        </is>
      </c>
      <c r="E383" t="inlineStr">
        <is>
          <t>A2</t>
        </is>
      </c>
      <c r="F383" s="2" t="inlineStr">
        <is>
          <t>¿Explicita y aplica reglas para costo compartido/multi-tenant?</t>
        </is>
      </c>
      <c r="G383" t="inlineStr">
        <is>
          <t>NE</t>
        </is>
      </c>
      <c r="H383" t="inlineStr">
        <is>
          <t>Pendiente</t>
        </is>
      </c>
      <c r="I383" s="2" t="inlineStr">
        <is>
          <t>No define reglas de reparto de costo compartido.</t>
        </is>
      </c>
      <c r="J383" t="inlineStr">
        <is>
          <t>https://docs.cloud.google.com/billing/docs/how-to/finops-hub</t>
        </is>
      </c>
      <c r="K383" t="inlineStr">
        <is>
          <t>2026-09-16</t>
        </is>
      </c>
      <c r="L38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A2 depende del escenario, por lo que pasa a NE (no evidenciado, reduce cobertura) hasta investigarlo. La evidencia y la fuente originales se conservan como referencia del escenario de origen.</t>
        </is>
      </c>
    </row>
    <row r="384">
      <c r="A384" t="inlineStr">
        <is>
          <t>E2</t>
        </is>
      </c>
      <c r="B384" t="inlineStr">
        <is>
          <t>Cloud nativa</t>
        </is>
      </c>
      <c r="C384" t="inlineStr">
        <is>
          <t>Google Cloud FinOps Hub</t>
        </is>
      </c>
      <c r="D384" t="inlineStr">
        <is>
          <t>Optimizacion</t>
        </is>
      </c>
      <c r="E384" t="inlineStr">
        <is>
          <t>O1</t>
        </is>
      </c>
      <c r="F384" s="2" t="inlineStr">
        <is>
          <t>¿Detecta desperdicio, rightsizing o compromiso relevante al escenario?</t>
        </is>
      </c>
      <c r="G384" t="inlineStr">
        <is>
          <t>NE</t>
        </is>
      </c>
      <c r="H384" t="inlineStr">
        <is>
          <t>Pendiente</t>
        </is>
      </c>
      <c r="I384" s="2" t="inlineStr">
        <is>
          <t>"Explore new recommended opportunities to optimize costs" agregando recomendaciones de Compute Engine, GKE, Cloud SQL y Cloud Run en cuatro prácticas: recursos inactivos, rightsizing, cambios de configuración y CUDs.</t>
        </is>
      </c>
      <c r="J384" t="inlineStr">
        <is>
          <t>https://docs.cloud.google.com/billing/docs/how-to/finops-hub</t>
        </is>
      </c>
      <c r="K384" t="inlineStr">
        <is>
          <t>2026-09-16</t>
        </is>
      </c>
      <c r="L384" s="2" t="inlineStr">
        <is>
          <t>Celda heredada FP-180 (2026-09-16): el valor 2 proviene de la investigacion del escenario E1 y no cuenta con evidencia propia de E2. Segun FP-177 el indicador O1 depende del escenario, por lo que pasa a NE (no evidenciado, reduce cobertura) hasta investigarlo. La evidencia y la fuente originales se conservan como referencia del escenario de origen.</t>
        </is>
      </c>
    </row>
    <row r="385">
      <c r="A385" t="inlineStr">
        <is>
          <t>E2</t>
        </is>
      </c>
      <c r="B385" t="inlineStr">
        <is>
          <t>Cloud nativa</t>
        </is>
      </c>
      <c r="C385" t="inlineStr">
        <is>
          <t>Google Cloud FinOps Hub</t>
        </is>
      </c>
      <c r="D385" t="inlineStr">
        <is>
          <t>Optimizacion</t>
        </is>
      </c>
      <c r="E385" t="inlineStr">
        <is>
          <t>O2</t>
        </is>
      </c>
      <c r="F385" s="2" t="inlineStr">
        <is>
          <t>¿Explica supuesto/impacto y permite seguir una recomendación?</t>
        </is>
      </c>
      <c r="G385" t="n">
        <v>2</v>
      </c>
      <c r="H385" t="inlineStr">
        <is>
          <t>Oficial</t>
        </is>
      </c>
      <c r="I385" s="2" t="inlineStr">
        <is>
          <t>El panel muestra "Last month's realized savings" y "Potential savings per month", permitiendo comparar ahorro potencial vs. realizado a lo largo del tiempo.</t>
        </is>
      </c>
      <c r="J385" t="inlineStr">
        <is>
          <t>https://docs.cloud.google.com/billing/docs/how-to/finops-hub</t>
        </is>
      </c>
      <c r="K385" t="inlineStr">
        <is>
          <t>2026-09-16</t>
        </is>
      </c>
      <c r="L385" s="2" t="inlineStr"/>
    </row>
    <row r="386">
      <c r="A386" t="inlineStr">
        <is>
          <t>E2</t>
        </is>
      </c>
      <c r="B386" t="inlineStr">
        <is>
          <t>Cloud nativa</t>
        </is>
      </c>
      <c r="C386" t="inlineStr">
        <is>
          <t>Google Cloud FinOps Hub</t>
        </is>
      </c>
      <c r="D386" t="inlineStr">
        <is>
          <t>Automatizacion</t>
        </is>
      </c>
      <c r="E386" t="inlineStr">
        <is>
          <t>AU1</t>
        </is>
      </c>
      <c r="F386" s="2" t="inlineStr">
        <is>
          <t>¿Ejecuta o bloquea acciones/políticas de costo con control verificable?</t>
        </is>
      </c>
      <c r="G386" t="inlineStr">
        <is>
          <t>NE</t>
        </is>
      </c>
      <c r="H386" t="inlineStr">
        <is>
          <t>Pendiente</t>
        </is>
      </c>
      <c r="I386" s="2" t="inlineStr">
        <is>
          <t>Existe una guía oficial para "Review and apply FinOps hub Recommendations": el usuario revisa y aplica manualmente cada recomendación desde el panel; no se documenta ejecución autónoma sin intervención.</t>
        </is>
      </c>
      <c r="J386" t="inlineStr">
        <is>
          <t>https://docs.cloud.google.com/billing/docs/how-to/finops-recommendations-dashboard</t>
        </is>
      </c>
      <c r="K386" t="inlineStr">
        <is>
          <t>2026-09-16</t>
        </is>
      </c>
      <c r="L386" s="2" t="inlineStr">
        <is>
          <t>Celda heredada FP-180 (2026-09-16): el valor 1 proviene de la investigacion del escenario E1 y no cuenta con evidencia propia de E2. Segun FP-177 el indicador AU1 depende del escenario, por lo que pasa a NE (no evidenciado, reduce cobertura) hasta investigarlo. La evidencia y la fuente originales se conservan como referencia del escenario de origen.</t>
        </is>
      </c>
    </row>
    <row r="387">
      <c r="A387" t="inlineStr">
        <is>
          <t>E2</t>
        </is>
      </c>
      <c r="B387" t="inlineStr">
        <is>
          <t>Cloud nativa</t>
        </is>
      </c>
      <c r="C387" t="inlineStr">
        <is>
          <t>Google Cloud FinOps Hub</t>
        </is>
      </c>
      <c r="D387" t="inlineStr">
        <is>
          <t>Automatizacion</t>
        </is>
      </c>
      <c r="E387" t="inlineStr">
        <is>
          <t>AU2</t>
        </is>
      </c>
      <c r="F387" s="2" t="inlineStr">
        <is>
          <t>¿Ofrece aprobación, reversión, registro o límites antes de actuar?</t>
        </is>
      </c>
      <c r="G387" t="inlineStr">
        <is>
          <t>NE</t>
        </is>
      </c>
      <c r="H387" t="inlineStr">
        <is>
          <t>Pendiente</t>
        </is>
      </c>
      <c r="I387" s="2" t="inlineStr">
        <is>
          <t>La naturaleza de "revisar y aplicar" ya exige acción manual del usuario (cubierto en AU1); no se documenta una salvaguarda adicional distinta.</t>
        </is>
      </c>
      <c r="J387" t="inlineStr">
        <is>
          <t>https://docs.cloud.google.com/billing/docs/how-to/finops-recommendations-dashboard</t>
        </is>
      </c>
      <c r="K387" t="inlineStr">
        <is>
          <t>2026-09-16</t>
        </is>
      </c>
      <c r="L387"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388">
      <c r="A388" t="inlineStr">
        <is>
          <t>E2</t>
        </is>
      </c>
      <c r="B388" t="inlineStr">
        <is>
          <t>Cloud nativa</t>
        </is>
      </c>
      <c r="C388" t="inlineStr">
        <is>
          <t>Google Cloud FinOps Hub</t>
        </is>
      </c>
      <c r="D388" t="inlineStr">
        <is>
          <t>Multicloud</t>
        </is>
      </c>
      <c r="E388" t="inlineStr">
        <is>
          <t>M1</t>
        </is>
      </c>
      <c r="F388" s="2" t="inlineStr">
        <is>
          <t>¿Consolida al menos dos proveedores bajo el mismo esquema declarado?</t>
        </is>
      </c>
      <c r="G388" t="n">
        <v>0</v>
      </c>
      <c r="H388" t="inlineStr">
        <is>
          <t>Oficial (ausencia verificada)</t>
        </is>
      </c>
      <c r="I388" s="2" t="inlineStr">
        <is>
          <t>Cubre exclusivamente recomendaciones sobre recursos de Google Cloud.</t>
        </is>
      </c>
      <c r="J388" t="inlineStr">
        <is>
          <t>https://docs.cloud.google.com/billing/docs/how-to/finops-hub</t>
        </is>
      </c>
      <c r="K388" t="inlineStr">
        <is>
          <t>2026-09-16</t>
        </is>
      </c>
      <c r="L38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89">
      <c r="A389" t="inlineStr">
        <is>
          <t>E2</t>
        </is>
      </c>
      <c r="B389" t="inlineStr">
        <is>
          <t>Cloud nativa</t>
        </is>
      </c>
      <c r="C389" t="inlineStr">
        <is>
          <t>Google Cloud FinOps Hub</t>
        </is>
      </c>
      <c r="D389" t="inlineStr">
        <is>
          <t>Multicloud</t>
        </is>
      </c>
      <c r="E389" t="inlineStr">
        <is>
          <t>M2</t>
        </is>
      </c>
      <c r="F389" s="2" t="inlineStr">
        <is>
          <t>¿Hace visibles proveedor, cobertura y diferencias semánticas?</t>
        </is>
      </c>
      <c r="G389" t="n">
        <v>0</v>
      </c>
      <c r="H389" t="inlineStr">
        <is>
          <t>Oficial (ausencia verificada)</t>
        </is>
      </c>
      <c r="I389" s="2" t="inlineStr">
        <is>
          <t>Mismo alcance de diseño que M1.</t>
        </is>
      </c>
      <c r="J389" t="inlineStr">
        <is>
          <t>https://docs.cloud.google.com/billing/docs/how-to/finops-hub</t>
        </is>
      </c>
      <c r="K389" t="inlineStr">
        <is>
          <t>2026-09-16</t>
        </is>
      </c>
      <c r="L38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90">
      <c r="A390" t="inlineStr">
        <is>
          <t>E2</t>
        </is>
      </c>
      <c r="B390" t="inlineStr">
        <is>
          <t>Cloud nativa</t>
        </is>
      </c>
      <c r="C390" t="inlineStr">
        <is>
          <t>Google Cloud FinOps Hub</t>
        </is>
      </c>
      <c r="D390" t="inlineStr">
        <is>
          <t>Integracion</t>
        </is>
      </c>
      <c r="E390" t="inlineStr">
        <is>
          <t>I1</t>
        </is>
      </c>
      <c r="F390" s="2" t="inlineStr">
        <is>
          <t>¿Integra datos requeridos (facturación, uso, clúster o IaC) del escenario?</t>
        </is>
      </c>
      <c r="G390" t="inlineStr">
        <is>
          <t>NE</t>
        </is>
      </c>
      <c r="H390" t="inlineStr">
        <is>
          <t>Pendiente</t>
        </is>
      </c>
      <c r="I390" s="2" t="inlineStr">
        <is>
          <t>Agrega datos de múltiples recomendadores de servicios de Google Cloud (Compute Engine, GKE, Cloud SQL, Cloud Run) en un panel único.</t>
        </is>
      </c>
      <c r="J390" t="inlineStr">
        <is>
          <t>https://docs.cloud.google.com/billing/docs/how-to/finops-hub</t>
        </is>
      </c>
      <c r="K390" t="inlineStr">
        <is>
          <t>2026-09-16</t>
        </is>
      </c>
      <c r="L390" s="2" t="inlineStr">
        <is>
          <t>Celda heredada FP-180 (2026-09-16): el valor 2 proviene de la investigacion del escenario E1 y no cuenta con evidencia propia de E2. Segun FP-177 el indicador I1 depende del escenario, por lo que pasa a NE (no evidenciado, reduce cobertura) hasta investigarlo. La evidencia y la fuente originales se conservan como referencia del escenario de origen.</t>
        </is>
      </c>
    </row>
    <row r="391">
      <c r="A391" t="inlineStr">
        <is>
          <t>E2</t>
        </is>
      </c>
      <c r="B391" t="inlineStr">
        <is>
          <t>Cloud nativa</t>
        </is>
      </c>
      <c r="C391" t="inlineStr">
        <is>
          <t>Google Cloud FinOps Hub</t>
        </is>
      </c>
      <c r="D391" t="inlineStr">
        <is>
          <t>Integracion</t>
        </is>
      </c>
      <c r="E391" t="inlineStr">
        <is>
          <t>I2</t>
        </is>
      </c>
      <c r="F391" s="2" t="inlineStr">
        <is>
          <t>¿Se integra con el flujo de trabajo relevante (alerta, ticket, CI/CD o reporte)?</t>
        </is>
      </c>
      <c r="G391" t="inlineStr">
        <is>
          <t>NE</t>
        </is>
      </c>
      <c r="H391" t="inlineStr">
        <is>
          <t>Pendiente</t>
        </is>
      </c>
      <c r="I391" s="2" t="inlineStr">
        <is>
          <t>El panel concentra el flujo de revisión dentro de la consola de Google Cloud; no se documentó integración directa con ticketing/CI-CD externos.</t>
        </is>
      </c>
      <c r="J391" t="inlineStr">
        <is>
          <t>https://docs.cloud.google.com/billing/docs/how-to/finops-hub</t>
        </is>
      </c>
      <c r="K391" t="inlineStr">
        <is>
          <t>2026-09-16</t>
        </is>
      </c>
      <c r="L391" s="2" t="inlineStr">
        <is>
          <t>Celda heredada FP-180 (2026-09-16): el valor 1 proviene de la investigacion del escenario E1 y no cuenta con evidencia propia de E2. Segun FP-177 el indicador I2 depende del escenario, por lo que pasa a NE (no evidenciado, reduce cobertura) hasta investigarlo. La evidencia y la fuente originales se conservan como referencia del escenario de origen.</t>
        </is>
      </c>
    </row>
    <row r="392">
      <c r="A392" t="inlineStr">
        <is>
          <t>E2</t>
        </is>
      </c>
      <c r="B392" t="inlineStr">
        <is>
          <t>Cloud nativa</t>
        </is>
      </c>
      <c r="C392" t="inlineStr">
        <is>
          <t>Google Cloud FinOps Hub</t>
        </is>
      </c>
      <c r="D392" t="inlineStr">
        <is>
          <t>Adopcion</t>
        </is>
      </c>
      <c r="E392" t="inlineStr">
        <is>
          <t>AD1</t>
        </is>
      </c>
      <c r="F392" s="2" t="inlineStr">
        <is>
          <t>¿Soporta acceso/entrega para los roles del escenario?</t>
        </is>
      </c>
      <c r="G392" t="inlineStr">
        <is>
          <t>NE</t>
        </is>
      </c>
      <c r="H392" t="inlineStr">
        <is>
          <t>Pendiente</t>
        </is>
      </c>
      <c r="I392" s="2" t="inlineStr">
        <is>
          <t>El acceso está condicionado a contar con permisos completos de la cuenta de facturación ("solo disponible con permisos de cuenta de facturación completos"), un control más binario que los roles graduales de Cloud Billing.</t>
        </is>
      </c>
      <c r="J392" t="inlineStr">
        <is>
          <t>https://docs.cloud.google.com/billing/docs/how-to/finops-hub</t>
        </is>
      </c>
      <c r="K392" t="inlineStr">
        <is>
          <t>2026-09-16</t>
        </is>
      </c>
      <c r="L392" s="2" t="inlineStr">
        <is>
          <t>Celda heredada FP-180 (2026-09-16): el valor 1 proviene de la investigacion del escenario E1 y no cuenta con evidencia propia de E2. Segun FP-177 el indicador AD1 depende del escenario, por lo que pasa a NE (no evidenciado, reduce cobertura) hasta investigarlo. La evidencia y la fuente originales se conservan como referencia del escenario de origen.</t>
        </is>
      </c>
    </row>
    <row r="393">
      <c r="A393" t="inlineStr">
        <is>
          <t>E2</t>
        </is>
      </c>
      <c r="B393" t="inlineStr">
        <is>
          <t>Cloud nativa</t>
        </is>
      </c>
      <c r="C393" t="inlineStr">
        <is>
          <t>Google Cloud FinOps Hub</t>
        </is>
      </c>
      <c r="D393" t="inlineStr">
        <is>
          <t>Adopcion</t>
        </is>
      </c>
      <c r="E393" t="inlineStr">
        <is>
          <t>AD2</t>
        </is>
      </c>
      <c r="F393" s="2" t="inlineStr">
        <is>
          <t>¿Ofrece guías, ownership o mecanismos de seguimiento para uso sostenido?</t>
        </is>
      </c>
      <c r="G393" t="n">
        <v>2</v>
      </c>
      <c r="H393" t="inlineStr">
        <is>
          <t>Oficial (candidato a 3 si se corrobora con una segunda fuente independiente o verificación práctica)</t>
        </is>
      </c>
      <c r="I393" s="2" t="inlineStr">
        <is>
          <t>El "FinOps score" mide explícitamente qué tan bien la organización usa las herramientas de monitoreo/ahorro de Google Cloud (etiquetado, automatización, compra de CUDs), acercándose a una medición integrada de adopción.</t>
        </is>
      </c>
      <c r="J393" t="inlineStr">
        <is>
          <t>https://docs.cloud.google.com/billing/docs/how-to/finops-hub</t>
        </is>
      </c>
      <c r="K393" t="inlineStr">
        <is>
          <t>2026-09-16</t>
        </is>
      </c>
      <c r="L393" s="2" t="inlineStr"/>
    </row>
    <row r="394">
      <c r="A394" t="inlineStr">
        <is>
          <t>E2</t>
        </is>
      </c>
      <c r="B394" t="inlineStr">
        <is>
          <t>Cloud nativa</t>
        </is>
      </c>
      <c r="C394" t="inlineStr">
        <is>
          <t>Google Cloud FinOps Hub</t>
        </is>
      </c>
      <c r="D394" t="inlineStr">
        <is>
          <t>Precio</t>
        </is>
      </c>
      <c r="E394" t="inlineStr">
        <is>
          <t>P1</t>
        </is>
      </c>
      <c r="F394" s="2" t="inlineStr">
        <is>
          <t>¿Expone precio, moneda, región, unidad, período y supuestos relevantes?</t>
        </is>
      </c>
      <c r="G394" t="n">
        <v>0</v>
      </c>
      <c r="H394" t="inlineStr">
        <is>
          <t>Oficial (ausencia verificada)</t>
        </is>
      </c>
      <c r="I394" s="2" t="inlineStr">
        <is>
          <t>No es una herramienta de transparencia de precio general (esa función es de Cloud Billing Reports/export).</t>
        </is>
      </c>
      <c r="J394" t="inlineStr">
        <is>
          <t>https://docs.cloud.google.com/billing/docs/how-to/finops-hub</t>
        </is>
      </c>
      <c r="K394" t="inlineStr">
        <is>
          <t>2026-09-16</t>
        </is>
      </c>
      <c r="L39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395">
      <c r="A395" t="inlineStr">
        <is>
          <t>E2</t>
        </is>
      </c>
      <c r="B395" t="inlineStr">
        <is>
          <t>Cloud nativa</t>
        </is>
      </c>
      <c r="C395" t="inlineStr">
        <is>
          <t>Google Cloud FinOps Hub</t>
        </is>
      </c>
      <c r="D395" t="inlineStr">
        <is>
          <t>Precio</t>
        </is>
      </c>
      <c r="E395" t="inlineStr">
        <is>
          <t>P2</t>
        </is>
      </c>
      <c r="F395" s="2" t="inlineStr">
        <is>
          <t>¿Permite estimar o comparar componentes sin ocultar límites de equivalencia?</t>
        </is>
      </c>
      <c r="G395" t="inlineStr">
        <is>
          <t>NE</t>
        </is>
      </c>
      <c r="H395" t="inlineStr">
        <is>
          <t>Pendiente</t>
        </is>
      </c>
      <c r="I395" s="2" t="inlineStr">
        <is>
          <t>No es una calculadora de estimación de componentes (esa función es de Google Cloud Pricing Calculator, evaluada aparte en E4).</t>
        </is>
      </c>
      <c r="J395" t="inlineStr">
        <is>
          <t>https://docs.cloud.google.com/billing/docs/how-to/finops-hub</t>
        </is>
      </c>
      <c r="K395" t="inlineStr">
        <is>
          <t>2026-09-16</t>
        </is>
      </c>
      <c r="L39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E2. Segun FP-177 el indicador P2 depende del escenario, por lo que pasa a NE (no evidenciado, reduce cobertura) hasta investigarlo. La evidencia y la fuente originales se conservan como referencia del escenario de origen.</t>
        </is>
      </c>
    </row>
    <row r="396">
      <c r="A396" t="inlineStr">
        <is>
          <t>E2</t>
        </is>
      </c>
      <c r="B396" t="inlineStr">
        <is>
          <t>Cloud nativa</t>
        </is>
      </c>
      <c r="C396" t="inlineStr">
        <is>
          <t>Google Cloud FinOps Hub</t>
        </is>
      </c>
      <c r="D396" t="inlineStr">
        <is>
          <t>Dependencia</t>
        </is>
      </c>
      <c r="E396" t="inlineStr">
        <is>
          <t>D1</t>
        </is>
      </c>
      <c r="F396" s="2" t="inlineStr">
        <is>
          <t>¿Exporta datos/resultados en formato utilizable y documentado?</t>
        </is>
      </c>
      <c r="G396" t="inlineStr">
        <is>
          <t>NE</t>
        </is>
      </c>
      <c r="H396" t="inlineStr">
        <is>
          <t>Pendiente</t>
        </is>
      </c>
      <c r="I396" s="2" t="inlineStr">
        <is>
          <t>No es la fuente primaria de exportación de datos de costo/uso (esa función es del export de Cloud Billing, evaluada aparte); simplificación de alcance para evitar doble conteo.</t>
        </is>
      </c>
      <c r="J396" t="inlineStr">
        <is>
          <t>https://docs.cloud.google.com/billing/docs/how-to/finops-hub</t>
        </is>
      </c>
      <c r="K396" t="inlineStr">
        <is>
          <t>2026-09-16</t>
        </is>
      </c>
      <c r="L396"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397">
      <c r="A397" t="inlineStr">
        <is>
          <t>E2</t>
        </is>
      </c>
      <c r="B397" t="inlineStr">
        <is>
          <t>Cloud nativa</t>
        </is>
      </c>
      <c r="C397" t="inlineStr">
        <is>
          <t>Google Cloud FinOps Hub</t>
        </is>
      </c>
      <c r="D397" t="inlineStr">
        <is>
          <t>Dependencia</t>
        </is>
      </c>
      <c r="E397" t="inlineStr">
        <is>
          <t>D2</t>
        </is>
      </c>
      <c r="F397" s="2" t="inlineStr">
        <is>
          <t>¿Documenta dependencias propietarias y un camino de salida/configuración reversible?</t>
        </is>
      </c>
      <c r="G397" t="inlineStr">
        <is>
          <t>NE</t>
        </is>
      </c>
      <c r="H397" t="inlineStr">
        <is>
          <t>Pendiente</t>
        </is>
      </c>
      <c r="I397" s="2" t="inlineStr">
        <is>
          <t>Mismo alcance de diseño que D1.</t>
        </is>
      </c>
      <c r="J397" t="inlineStr">
        <is>
          <t>https://docs.cloud.google.com/billing/docs/how-to/finops-hub</t>
        </is>
      </c>
      <c r="K397" t="inlineStr">
        <is>
          <t>2026-09-16</t>
        </is>
      </c>
      <c r="L397"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398">
      <c r="A398" t="inlineStr">
        <is>
          <t>E3</t>
        </is>
      </c>
      <c r="B398" t="inlineStr">
        <is>
          <t>Cloud nativa</t>
        </is>
      </c>
      <c r="C398" t="inlineStr">
        <is>
          <t>Google Cloud FinOps Hub</t>
        </is>
      </c>
      <c r="D398" t="inlineStr">
        <is>
          <t>Visibilidad</t>
        </is>
      </c>
      <c r="E398" t="inlineStr">
        <is>
          <t>V1</t>
        </is>
      </c>
      <c r="F398" s="2" t="inlineStr">
        <is>
          <t>¿Desagrega costo y uso por cuenta/proyecto, servicio y período?</t>
        </is>
      </c>
      <c r="G398" t="inlineStr">
        <is>
          <t>NE</t>
        </is>
      </c>
      <c r="H398" t="inlineStr">
        <is>
          <t>Pendiente</t>
        </is>
      </c>
      <c r="I398" s="2" t="inlineStr">
        <is>
          <t>FinOps hub consolida ahorro y recomendaciones, no un desglose general de costo/uso (esa función es de Cloud Billing Reports).</t>
        </is>
      </c>
      <c r="J398" t="inlineStr">
        <is>
          <t>https://docs.cloud.google.com/billing/docs/how-to/finops-hub</t>
        </is>
      </c>
      <c r="K398" t="inlineStr">
        <is>
          <t>2026-09-16</t>
        </is>
      </c>
      <c r="L39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V1 depende del escenario, por lo que pasa a NE (no evidenciado, reduce cobertura) hasta investigarlo. La evidencia y la fuente originales se conservan como referencia del escenario de origen.</t>
        </is>
      </c>
    </row>
    <row r="399">
      <c r="A399" t="inlineStr">
        <is>
          <t>E3</t>
        </is>
      </c>
      <c r="B399" t="inlineStr">
        <is>
          <t>Cloud nativa</t>
        </is>
      </c>
      <c r="C399" t="inlineStr">
        <is>
          <t>Google Cloud FinOps Hub</t>
        </is>
      </c>
      <c r="D399" t="inlineStr">
        <is>
          <t>Visibilidad</t>
        </is>
      </c>
      <c r="E399" t="inlineStr">
        <is>
          <t>V2</t>
        </is>
      </c>
      <c r="F399" s="2" t="inlineStr">
        <is>
          <t>¿Permite rastrear un total hasta registros o fuente de facturación?</t>
        </is>
      </c>
      <c r="G399" t="n">
        <v>0</v>
      </c>
      <c r="H399" t="inlineStr">
        <is>
          <t>Oficial (ausencia verificada)</t>
        </is>
      </c>
      <c r="I399" s="2" t="inlineStr">
        <is>
          <t>Mismo alcance de diseño que V1.</t>
        </is>
      </c>
      <c r="J399" t="inlineStr">
        <is>
          <t>https://docs.cloud.google.com/billing/docs/how-to/finops-hub</t>
        </is>
      </c>
      <c r="K399" t="inlineStr">
        <is>
          <t>2026-09-16</t>
        </is>
      </c>
      <c r="L39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00">
      <c r="A400" t="inlineStr">
        <is>
          <t>E3</t>
        </is>
      </c>
      <c r="B400" t="inlineStr">
        <is>
          <t>Cloud nativa</t>
        </is>
      </c>
      <c r="C400" t="inlineStr">
        <is>
          <t>Google Cloud FinOps Hub</t>
        </is>
      </c>
      <c r="D400" t="inlineStr">
        <is>
          <t>Asignacion</t>
        </is>
      </c>
      <c r="E400" t="inlineStr">
        <is>
          <t>A1</t>
        </is>
      </c>
      <c r="F400" s="2" t="inlineStr">
        <is>
          <t>¿Calcula gasto asignado/no asignado por responsable, centro o entidad?</t>
        </is>
      </c>
      <c r="G400" t="inlineStr">
        <is>
          <t>NE</t>
        </is>
      </c>
      <c r="H400" t="inlineStr">
        <is>
          <t>Pendiente</t>
        </is>
      </c>
      <c r="I400" s="2" t="inlineStr">
        <is>
          <t>No calcula asignación de gasto por responsable/centro de costo.</t>
        </is>
      </c>
      <c r="J400" t="inlineStr">
        <is>
          <t>https://docs.cloud.google.com/billing/docs/how-to/finops-hub</t>
        </is>
      </c>
      <c r="K400" t="inlineStr">
        <is>
          <t>2026-09-16</t>
        </is>
      </c>
      <c r="L40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A1 depende del escenario, por lo que pasa a NE (no evidenciado, reduce cobertura) hasta investigarlo. La evidencia y la fuente originales se conservan como referencia del escenario de origen.</t>
        </is>
      </c>
    </row>
    <row r="401">
      <c r="A401" t="inlineStr">
        <is>
          <t>E3</t>
        </is>
      </c>
      <c r="B401" t="inlineStr">
        <is>
          <t>Cloud nativa</t>
        </is>
      </c>
      <c r="C401" t="inlineStr">
        <is>
          <t>Google Cloud FinOps Hub</t>
        </is>
      </c>
      <c r="D401" t="inlineStr">
        <is>
          <t>Asignacion</t>
        </is>
      </c>
      <c r="E401" t="inlineStr">
        <is>
          <t>A2</t>
        </is>
      </c>
      <c r="F401" s="2" t="inlineStr">
        <is>
          <t>¿Explicita y aplica reglas para costo compartido/multi-tenant?</t>
        </is>
      </c>
      <c r="G401" t="inlineStr">
        <is>
          <t>NE</t>
        </is>
      </c>
      <c r="H401" t="inlineStr">
        <is>
          <t>Pendiente</t>
        </is>
      </c>
      <c r="I401" s="2" t="inlineStr">
        <is>
          <t>No define reglas de reparto de costo compartido.</t>
        </is>
      </c>
      <c r="J401" t="inlineStr">
        <is>
          <t>https://docs.cloud.google.com/billing/docs/how-to/finops-hub</t>
        </is>
      </c>
      <c r="K401" t="inlineStr">
        <is>
          <t>2026-09-16</t>
        </is>
      </c>
      <c r="L40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A2 depende del escenario, por lo que pasa a NE (no evidenciado, reduce cobertura) hasta investigarlo. La evidencia y la fuente originales se conservan como referencia del escenario de origen.</t>
        </is>
      </c>
    </row>
    <row r="402">
      <c r="A402" t="inlineStr">
        <is>
          <t>E3</t>
        </is>
      </c>
      <c r="B402" t="inlineStr">
        <is>
          <t>Cloud nativa</t>
        </is>
      </c>
      <c r="C402" t="inlineStr">
        <is>
          <t>Google Cloud FinOps Hub</t>
        </is>
      </c>
      <c r="D402" t="inlineStr">
        <is>
          <t>Optimizacion</t>
        </is>
      </c>
      <c r="E402" t="inlineStr">
        <is>
          <t>O1</t>
        </is>
      </c>
      <c r="F402" s="2" t="inlineStr">
        <is>
          <t>¿Detecta desperdicio, rightsizing o compromiso relevante al escenario?</t>
        </is>
      </c>
      <c r="G402" t="inlineStr">
        <is>
          <t>NE</t>
        </is>
      </c>
      <c r="H402" t="inlineStr">
        <is>
          <t>Pendiente</t>
        </is>
      </c>
      <c r="I402" s="2" t="inlineStr">
        <is>
          <t>"Explore new recommended opportunities to optimize costs" agregando recomendaciones de Compute Engine, GKE, Cloud SQL y Cloud Run en cuatro prácticas: recursos inactivos, rightsizing, cambios de configuración y CUDs.</t>
        </is>
      </c>
      <c r="J402" t="inlineStr">
        <is>
          <t>https://docs.cloud.google.com/billing/docs/how-to/finops-hub</t>
        </is>
      </c>
      <c r="K402" t="inlineStr">
        <is>
          <t>2026-09-16</t>
        </is>
      </c>
      <c r="L402" s="2" t="inlineStr">
        <is>
          <t>Celda heredada FP-180 (2026-09-16): el valor 2 proviene de la investigacion del escenario E1 y no cuenta con evidencia propia de E3. Segun FP-177 el indicador O1 depende del escenario, por lo que pasa a NE (no evidenciado, reduce cobertura) hasta investigarlo. La evidencia y la fuente originales se conservan como referencia del escenario de origen.</t>
        </is>
      </c>
    </row>
    <row r="403">
      <c r="A403" t="inlineStr">
        <is>
          <t>E3</t>
        </is>
      </c>
      <c r="B403" t="inlineStr">
        <is>
          <t>Cloud nativa</t>
        </is>
      </c>
      <c r="C403" t="inlineStr">
        <is>
          <t>Google Cloud FinOps Hub</t>
        </is>
      </c>
      <c r="D403" t="inlineStr">
        <is>
          <t>Optimizacion</t>
        </is>
      </c>
      <c r="E403" t="inlineStr">
        <is>
          <t>O2</t>
        </is>
      </c>
      <c r="F403" s="2" t="inlineStr">
        <is>
          <t>¿Explica supuesto/impacto y permite seguir una recomendación?</t>
        </is>
      </c>
      <c r="G403" t="n">
        <v>2</v>
      </c>
      <c r="H403" t="inlineStr">
        <is>
          <t>Oficial</t>
        </is>
      </c>
      <c r="I403" s="2" t="inlineStr">
        <is>
          <t>El panel muestra "Last month's realized savings" y "Potential savings per month", permitiendo comparar ahorro potencial vs. realizado a lo largo del tiempo.</t>
        </is>
      </c>
      <c r="J403" t="inlineStr">
        <is>
          <t>https://docs.cloud.google.com/billing/docs/how-to/finops-hub</t>
        </is>
      </c>
      <c r="K403" t="inlineStr">
        <is>
          <t>2026-09-16</t>
        </is>
      </c>
      <c r="L403" s="2" t="inlineStr"/>
    </row>
    <row r="404">
      <c r="A404" t="inlineStr">
        <is>
          <t>E3</t>
        </is>
      </c>
      <c r="B404" t="inlineStr">
        <is>
          <t>Cloud nativa</t>
        </is>
      </c>
      <c r="C404" t="inlineStr">
        <is>
          <t>Google Cloud FinOps Hub</t>
        </is>
      </c>
      <c r="D404" t="inlineStr">
        <is>
          <t>Automatizacion</t>
        </is>
      </c>
      <c r="E404" t="inlineStr">
        <is>
          <t>AU1</t>
        </is>
      </c>
      <c r="F404" s="2" t="inlineStr">
        <is>
          <t>¿Ejecuta o bloquea acciones/políticas de costo con control verificable?</t>
        </is>
      </c>
      <c r="G404" t="inlineStr">
        <is>
          <t>NE</t>
        </is>
      </c>
      <c r="H404" t="inlineStr">
        <is>
          <t>Pendiente</t>
        </is>
      </c>
      <c r="I404" s="2" t="inlineStr">
        <is>
          <t>Existe una guía oficial para "Review and apply FinOps hub Recommendations": el usuario revisa y aplica manualmente cada recomendación desde el panel; no se documenta ejecución autónoma sin intervención.</t>
        </is>
      </c>
      <c r="J404" t="inlineStr">
        <is>
          <t>https://docs.cloud.google.com/billing/docs/how-to/finops-recommendations-dashboard</t>
        </is>
      </c>
      <c r="K404" t="inlineStr">
        <is>
          <t>2026-09-16</t>
        </is>
      </c>
      <c r="L404" s="2" t="inlineStr">
        <is>
          <t>Celda heredada FP-180 (2026-09-16): el valor 1 proviene de la investigacion del escenario E1 y no cuenta con evidencia propia de E3. Segun FP-177 el indicador AU1 depende del escenario, por lo que pasa a NE (no evidenciado, reduce cobertura) hasta investigarlo. La evidencia y la fuente originales se conservan como referencia del escenario de origen.</t>
        </is>
      </c>
    </row>
    <row r="405">
      <c r="A405" t="inlineStr">
        <is>
          <t>E3</t>
        </is>
      </c>
      <c r="B405" t="inlineStr">
        <is>
          <t>Cloud nativa</t>
        </is>
      </c>
      <c r="C405" t="inlineStr">
        <is>
          <t>Google Cloud FinOps Hub</t>
        </is>
      </c>
      <c r="D405" t="inlineStr">
        <is>
          <t>Automatizacion</t>
        </is>
      </c>
      <c r="E405" t="inlineStr">
        <is>
          <t>AU2</t>
        </is>
      </c>
      <c r="F405" s="2" t="inlineStr">
        <is>
          <t>¿Ofrece aprobación, reversión, registro o límites antes de actuar?</t>
        </is>
      </c>
      <c r="G405" t="inlineStr">
        <is>
          <t>NE</t>
        </is>
      </c>
      <c r="H405" t="inlineStr">
        <is>
          <t>Pendiente</t>
        </is>
      </c>
      <c r="I405" s="2" t="inlineStr">
        <is>
          <t>La naturaleza de "revisar y aplicar" ya exige acción manual del usuario (cubierto en AU1); no se documenta una salvaguarda adicional distinta.</t>
        </is>
      </c>
      <c r="J405" t="inlineStr">
        <is>
          <t>https://docs.cloud.google.com/billing/docs/how-to/finops-recommendations-dashboard</t>
        </is>
      </c>
      <c r="K405" t="inlineStr">
        <is>
          <t>2026-09-16</t>
        </is>
      </c>
      <c r="L405"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406">
      <c r="A406" t="inlineStr">
        <is>
          <t>E3</t>
        </is>
      </c>
      <c r="B406" t="inlineStr">
        <is>
          <t>Cloud nativa</t>
        </is>
      </c>
      <c r="C406" t="inlineStr">
        <is>
          <t>Google Cloud FinOps Hub</t>
        </is>
      </c>
      <c r="D406" t="inlineStr">
        <is>
          <t>Multicloud</t>
        </is>
      </c>
      <c r="E406" t="inlineStr">
        <is>
          <t>M1</t>
        </is>
      </c>
      <c r="F406" s="2" t="inlineStr">
        <is>
          <t>¿Consolida al menos dos proveedores bajo el mismo esquema declarado?</t>
        </is>
      </c>
      <c r="G406" t="n">
        <v>0</v>
      </c>
      <c r="H406" t="inlineStr">
        <is>
          <t>Oficial (ausencia verificada)</t>
        </is>
      </c>
      <c r="I406" s="2" t="inlineStr">
        <is>
          <t>Cubre exclusivamente recomendaciones sobre recursos de Google Cloud.</t>
        </is>
      </c>
      <c r="J406" t="inlineStr">
        <is>
          <t>https://docs.cloud.google.com/billing/docs/how-to/finops-hub</t>
        </is>
      </c>
      <c r="K406" t="inlineStr">
        <is>
          <t>2026-09-16</t>
        </is>
      </c>
      <c r="L40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07">
      <c r="A407" t="inlineStr">
        <is>
          <t>E3</t>
        </is>
      </c>
      <c r="B407" t="inlineStr">
        <is>
          <t>Cloud nativa</t>
        </is>
      </c>
      <c r="C407" t="inlineStr">
        <is>
          <t>Google Cloud FinOps Hub</t>
        </is>
      </c>
      <c r="D407" t="inlineStr">
        <is>
          <t>Multicloud</t>
        </is>
      </c>
      <c r="E407" t="inlineStr">
        <is>
          <t>M2</t>
        </is>
      </c>
      <c r="F407" s="2" t="inlineStr">
        <is>
          <t>¿Hace visibles proveedor, cobertura y diferencias semánticas?</t>
        </is>
      </c>
      <c r="G407" t="n">
        <v>0</v>
      </c>
      <c r="H407" t="inlineStr">
        <is>
          <t>Oficial (ausencia verificada)</t>
        </is>
      </c>
      <c r="I407" s="2" t="inlineStr">
        <is>
          <t>Mismo alcance de diseño que M1.</t>
        </is>
      </c>
      <c r="J407" t="inlineStr">
        <is>
          <t>https://docs.cloud.google.com/billing/docs/how-to/finops-hub</t>
        </is>
      </c>
      <c r="K407" t="inlineStr">
        <is>
          <t>2026-09-16</t>
        </is>
      </c>
      <c r="L40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08">
      <c r="A408" t="inlineStr">
        <is>
          <t>E3</t>
        </is>
      </c>
      <c r="B408" t="inlineStr">
        <is>
          <t>Cloud nativa</t>
        </is>
      </c>
      <c r="C408" t="inlineStr">
        <is>
          <t>Google Cloud FinOps Hub</t>
        </is>
      </c>
      <c r="D408" t="inlineStr">
        <is>
          <t>Integracion</t>
        </is>
      </c>
      <c r="E408" t="inlineStr">
        <is>
          <t>I1</t>
        </is>
      </c>
      <c r="F408" s="2" t="inlineStr">
        <is>
          <t>¿Integra datos requeridos (facturación, uso, clúster o IaC) del escenario?</t>
        </is>
      </c>
      <c r="G408" t="inlineStr">
        <is>
          <t>NE</t>
        </is>
      </c>
      <c r="H408" t="inlineStr">
        <is>
          <t>Pendiente</t>
        </is>
      </c>
      <c r="I408" s="2" t="inlineStr">
        <is>
          <t>Agrega datos de múltiples recomendadores de servicios de Google Cloud (Compute Engine, GKE, Cloud SQL, Cloud Run) en un panel único.</t>
        </is>
      </c>
      <c r="J408" t="inlineStr">
        <is>
          <t>https://docs.cloud.google.com/billing/docs/how-to/finops-hub</t>
        </is>
      </c>
      <c r="K408" t="inlineStr">
        <is>
          <t>2026-09-16</t>
        </is>
      </c>
      <c r="L408" s="2" t="inlineStr">
        <is>
          <t>Celda heredada FP-180 (2026-09-16): el valor 2 proviene de la investigacion del escenario E1 y no cuenta con evidencia propia de E3. Segun FP-177 el indicador I1 depende del escenario, por lo que pasa a NE (no evidenciado, reduce cobertura) hasta investigarlo. La evidencia y la fuente originales se conservan como referencia del escenario de origen.</t>
        </is>
      </c>
    </row>
    <row r="409">
      <c r="A409" t="inlineStr">
        <is>
          <t>E3</t>
        </is>
      </c>
      <c r="B409" t="inlineStr">
        <is>
          <t>Cloud nativa</t>
        </is>
      </c>
      <c r="C409" t="inlineStr">
        <is>
          <t>Google Cloud FinOps Hub</t>
        </is>
      </c>
      <c r="D409" t="inlineStr">
        <is>
          <t>Integracion</t>
        </is>
      </c>
      <c r="E409" t="inlineStr">
        <is>
          <t>I2</t>
        </is>
      </c>
      <c r="F409" s="2" t="inlineStr">
        <is>
          <t>¿Se integra con el flujo de trabajo relevante (alerta, ticket, CI/CD o reporte)?</t>
        </is>
      </c>
      <c r="G409" t="inlineStr">
        <is>
          <t>NE</t>
        </is>
      </c>
      <c r="H409" t="inlineStr">
        <is>
          <t>Pendiente</t>
        </is>
      </c>
      <c r="I409" s="2" t="inlineStr">
        <is>
          <t>El panel concentra el flujo de revisión dentro de la consola de Google Cloud; no se documentó integración directa con ticketing/CI-CD externos.</t>
        </is>
      </c>
      <c r="J409" t="inlineStr">
        <is>
          <t>https://docs.cloud.google.com/billing/docs/how-to/finops-hub</t>
        </is>
      </c>
      <c r="K409" t="inlineStr">
        <is>
          <t>2026-09-16</t>
        </is>
      </c>
      <c r="L409" s="2" t="inlineStr">
        <is>
          <t>Celda heredada FP-180 (2026-09-16): el valor 1 proviene de la investigacion del escenario E1 y no cuenta con evidencia propia de E3. Segun FP-177 el indicador I2 depende del escenario, por lo que pasa a NE (no evidenciado, reduce cobertura) hasta investigarlo. La evidencia y la fuente originales se conservan como referencia del escenario de origen.</t>
        </is>
      </c>
    </row>
    <row r="410">
      <c r="A410" t="inlineStr">
        <is>
          <t>E3</t>
        </is>
      </c>
      <c r="B410" t="inlineStr">
        <is>
          <t>Cloud nativa</t>
        </is>
      </c>
      <c r="C410" t="inlineStr">
        <is>
          <t>Google Cloud FinOps Hub</t>
        </is>
      </c>
      <c r="D410" t="inlineStr">
        <is>
          <t>Adopcion</t>
        </is>
      </c>
      <c r="E410" t="inlineStr">
        <is>
          <t>AD1</t>
        </is>
      </c>
      <c r="F410" s="2" t="inlineStr">
        <is>
          <t>¿Soporta acceso/entrega para los roles del escenario?</t>
        </is>
      </c>
      <c r="G410" t="inlineStr">
        <is>
          <t>NE</t>
        </is>
      </c>
      <c r="H410" t="inlineStr">
        <is>
          <t>Pendiente</t>
        </is>
      </c>
      <c r="I410" s="2" t="inlineStr">
        <is>
          <t>El acceso está condicionado a contar con permisos completos de la cuenta de facturación ("solo disponible con permisos de cuenta de facturación completos"), un control más binario que los roles graduales de Cloud Billing.</t>
        </is>
      </c>
      <c r="J410" t="inlineStr">
        <is>
          <t>https://docs.cloud.google.com/billing/docs/how-to/finops-hub</t>
        </is>
      </c>
      <c r="K410" t="inlineStr">
        <is>
          <t>2026-09-16</t>
        </is>
      </c>
      <c r="L410" s="2" t="inlineStr">
        <is>
          <t>Celda heredada FP-180 (2026-09-16): el valor 1 proviene de la investigacion del escenario E1 y no cuenta con evidencia propia de E3. Segun FP-177 el indicador AD1 depende del escenario, por lo que pasa a NE (no evidenciado, reduce cobertura) hasta investigarlo. La evidencia y la fuente originales se conservan como referencia del escenario de origen.</t>
        </is>
      </c>
    </row>
    <row r="411">
      <c r="A411" t="inlineStr">
        <is>
          <t>E3</t>
        </is>
      </c>
      <c r="B411" t="inlineStr">
        <is>
          <t>Cloud nativa</t>
        </is>
      </c>
      <c r="C411" t="inlineStr">
        <is>
          <t>Google Cloud FinOps Hub</t>
        </is>
      </c>
      <c r="D411" t="inlineStr">
        <is>
          <t>Adopcion</t>
        </is>
      </c>
      <c r="E411" t="inlineStr">
        <is>
          <t>AD2</t>
        </is>
      </c>
      <c r="F411" s="2" t="inlineStr">
        <is>
          <t>¿Ofrece guías, ownership o mecanismos de seguimiento para uso sostenido?</t>
        </is>
      </c>
      <c r="G411" t="n">
        <v>2</v>
      </c>
      <c r="H411" t="inlineStr">
        <is>
          <t>Oficial (candidato a 3 si se corrobora con una segunda fuente independiente o verificación práctica)</t>
        </is>
      </c>
      <c r="I411" s="2" t="inlineStr">
        <is>
          <t>El "FinOps score" mide explícitamente qué tan bien la organización usa las herramientas de monitoreo/ahorro de Google Cloud (etiquetado, automatización, compra de CUDs), acercándose a una medición integrada de adopción.</t>
        </is>
      </c>
      <c r="J411" t="inlineStr">
        <is>
          <t>https://docs.cloud.google.com/billing/docs/how-to/finops-hub</t>
        </is>
      </c>
      <c r="K411" t="inlineStr">
        <is>
          <t>2026-09-16</t>
        </is>
      </c>
      <c r="L411" s="2" t="inlineStr"/>
    </row>
    <row r="412">
      <c r="A412" t="inlineStr">
        <is>
          <t>E3</t>
        </is>
      </c>
      <c r="B412" t="inlineStr">
        <is>
          <t>Cloud nativa</t>
        </is>
      </c>
      <c r="C412" t="inlineStr">
        <is>
          <t>Google Cloud FinOps Hub</t>
        </is>
      </c>
      <c r="D412" t="inlineStr">
        <is>
          <t>Precio</t>
        </is>
      </c>
      <c r="E412" t="inlineStr">
        <is>
          <t>P1</t>
        </is>
      </c>
      <c r="F412" s="2" t="inlineStr">
        <is>
          <t>¿Expone precio, moneda, región, unidad, período y supuestos relevantes?</t>
        </is>
      </c>
      <c r="G412" t="n">
        <v>0</v>
      </c>
      <c r="H412" t="inlineStr">
        <is>
          <t>Oficial (ausencia verificada)</t>
        </is>
      </c>
      <c r="I412" s="2" t="inlineStr">
        <is>
          <t>No es una herramienta de transparencia de precio general (esa función es de Cloud Billing Reports/export).</t>
        </is>
      </c>
      <c r="J412" t="inlineStr">
        <is>
          <t>https://docs.cloud.google.com/billing/docs/how-to/finops-hub</t>
        </is>
      </c>
      <c r="K412" t="inlineStr">
        <is>
          <t>2026-09-16</t>
        </is>
      </c>
      <c r="L41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13">
      <c r="A413" t="inlineStr">
        <is>
          <t>E3</t>
        </is>
      </c>
      <c r="B413" t="inlineStr">
        <is>
          <t>Cloud nativa</t>
        </is>
      </c>
      <c r="C413" t="inlineStr">
        <is>
          <t>Google Cloud FinOps Hub</t>
        </is>
      </c>
      <c r="D413" t="inlineStr">
        <is>
          <t>Precio</t>
        </is>
      </c>
      <c r="E413" t="inlineStr">
        <is>
          <t>P2</t>
        </is>
      </c>
      <c r="F413" s="2" t="inlineStr">
        <is>
          <t>¿Permite estimar o comparar componentes sin ocultar límites de equivalencia?</t>
        </is>
      </c>
      <c r="G413" t="inlineStr">
        <is>
          <t>NE</t>
        </is>
      </c>
      <c r="H413" t="inlineStr">
        <is>
          <t>Pendiente</t>
        </is>
      </c>
      <c r="I413" s="2" t="inlineStr">
        <is>
          <t>No es una calculadora de estimación de componentes (esa función es de Google Cloud Pricing Calculator, evaluada aparte en E4).</t>
        </is>
      </c>
      <c r="J413" t="inlineStr">
        <is>
          <t>https://docs.cloud.google.com/billing/docs/how-to/finops-hub</t>
        </is>
      </c>
      <c r="K413" t="inlineStr">
        <is>
          <t>2026-09-16</t>
        </is>
      </c>
      <c r="L41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E3. Segun FP-177 el indicador P2 depende del escenario, por lo que pasa a NE (no evidenciado, reduce cobertura) hasta investigarlo. La evidencia y la fuente originales se conservan como referencia del escenario de origen.</t>
        </is>
      </c>
    </row>
    <row r="414">
      <c r="A414" t="inlineStr">
        <is>
          <t>E3</t>
        </is>
      </c>
      <c r="B414" t="inlineStr">
        <is>
          <t>Cloud nativa</t>
        </is>
      </c>
      <c r="C414" t="inlineStr">
        <is>
          <t>Google Cloud FinOps Hub</t>
        </is>
      </c>
      <c r="D414" t="inlineStr">
        <is>
          <t>Dependencia</t>
        </is>
      </c>
      <c r="E414" t="inlineStr">
        <is>
          <t>D1</t>
        </is>
      </c>
      <c r="F414" s="2" t="inlineStr">
        <is>
          <t>¿Exporta datos/resultados en formato utilizable y documentado?</t>
        </is>
      </c>
      <c r="G414" t="inlineStr">
        <is>
          <t>NE</t>
        </is>
      </c>
      <c r="H414" t="inlineStr">
        <is>
          <t>Pendiente</t>
        </is>
      </c>
      <c r="I414" s="2" t="inlineStr">
        <is>
          <t>No es la fuente primaria de exportación de datos de costo/uso (esa función es del export de Cloud Billing, evaluada aparte); simplificación de alcance para evitar doble conteo.</t>
        </is>
      </c>
      <c r="J414" t="inlineStr">
        <is>
          <t>https://docs.cloud.google.com/billing/docs/how-to/finops-hub</t>
        </is>
      </c>
      <c r="K414" t="inlineStr">
        <is>
          <t>2026-09-16</t>
        </is>
      </c>
      <c r="L414"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415">
      <c r="A415" t="inlineStr">
        <is>
          <t>E3</t>
        </is>
      </c>
      <c r="B415" t="inlineStr">
        <is>
          <t>Cloud nativa</t>
        </is>
      </c>
      <c r="C415" t="inlineStr">
        <is>
          <t>Google Cloud FinOps Hub</t>
        </is>
      </c>
      <c r="D415" t="inlineStr">
        <is>
          <t>Dependencia</t>
        </is>
      </c>
      <c r="E415" t="inlineStr">
        <is>
          <t>D2</t>
        </is>
      </c>
      <c r="F415" s="2" t="inlineStr">
        <is>
          <t>¿Documenta dependencias propietarias y un camino de salida/configuración reversible?</t>
        </is>
      </c>
      <c r="G415" t="inlineStr">
        <is>
          <t>NE</t>
        </is>
      </c>
      <c r="H415" t="inlineStr">
        <is>
          <t>Pendiente</t>
        </is>
      </c>
      <c r="I415" s="2" t="inlineStr">
        <is>
          <t>Mismo alcance de diseño que D1.</t>
        </is>
      </c>
      <c r="J415" t="inlineStr">
        <is>
          <t>https://docs.cloud.google.com/billing/docs/how-to/finops-hub</t>
        </is>
      </c>
      <c r="K415" t="inlineStr">
        <is>
          <t>2026-09-16</t>
        </is>
      </c>
      <c r="L415"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416">
      <c r="A416" t="inlineStr">
        <is>
          <t>E5</t>
        </is>
      </c>
      <c r="B416" t="inlineStr">
        <is>
          <t>Cloud nativa</t>
        </is>
      </c>
      <c r="C416" t="inlineStr">
        <is>
          <t>Google Cloud FinOps Hub</t>
        </is>
      </c>
      <c r="D416" t="inlineStr">
        <is>
          <t>Visibilidad</t>
        </is>
      </c>
      <c r="E416" t="inlineStr">
        <is>
          <t>V1</t>
        </is>
      </c>
      <c r="F416" s="2" t="inlineStr">
        <is>
          <t>¿Desagrega costo y uso por cuenta/proyecto, servicio y período?</t>
        </is>
      </c>
      <c r="G416" t="inlineStr">
        <is>
          <t>NE</t>
        </is>
      </c>
      <c r="H416" t="inlineStr">
        <is>
          <t>Pendiente</t>
        </is>
      </c>
      <c r="I416" s="2" t="inlineStr">
        <is>
          <t>FinOps hub consolida ahorro y recomendaciones, no un desglose general de costo/uso (esa función es de Cloud Billing Reports).</t>
        </is>
      </c>
      <c r="J416" t="inlineStr">
        <is>
          <t>https://docs.cloud.google.com/billing/docs/how-to/finops-hub</t>
        </is>
      </c>
      <c r="K416" t="inlineStr">
        <is>
          <t>2026-09-16</t>
        </is>
      </c>
      <c r="L41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V1 depende del escenario, por lo que pasa a NE (no evidenciado, reduce cobertura) hasta investigarlo. La evidencia y la fuente originales se conservan como referencia del escenario de origen.</t>
        </is>
      </c>
    </row>
    <row r="417">
      <c r="A417" t="inlineStr">
        <is>
          <t>E5</t>
        </is>
      </c>
      <c r="B417" t="inlineStr">
        <is>
          <t>Cloud nativa</t>
        </is>
      </c>
      <c r="C417" t="inlineStr">
        <is>
          <t>Google Cloud FinOps Hub</t>
        </is>
      </c>
      <c r="D417" t="inlineStr">
        <is>
          <t>Visibilidad</t>
        </is>
      </c>
      <c r="E417" t="inlineStr">
        <is>
          <t>V2</t>
        </is>
      </c>
      <c r="F417" s="2" t="inlineStr">
        <is>
          <t>¿Permite rastrear un total hasta registros o fuente de facturación?</t>
        </is>
      </c>
      <c r="G417" t="n">
        <v>0</v>
      </c>
      <c r="H417" t="inlineStr">
        <is>
          <t>Oficial (ausencia verificada)</t>
        </is>
      </c>
      <c r="I417" s="2" t="inlineStr">
        <is>
          <t>Mismo alcance de diseño que V1.</t>
        </is>
      </c>
      <c r="J417" t="inlineStr">
        <is>
          <t>https://docs.cloud.google.com/billing/docs/how-to/finops-hub</t>
        </is>
      </c>
      <c r="K417" t="inlineStr">
        <is>
          <t>2026-09-16</t>
        </is>
      </c>
      <c r="L41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18">
      <c r="A418" t="inlineStr">
        <is>
          <t>E5</t>
        </is>
      </c>
      <c r="B418" t="inlineStr">
        <is>
          <t>Cloud nativa</t>
        </is>
      </c>
      <c r="C418" t="inlineStr">
        <is>
          <t>Google Cloud FinOps Hub</t>
        </is>
      </c>
      <c r="D418" t="inlineStr">
        <is>
          <t>Asignacion</t>
        </is>
      </c>
      <c r="E418" t="inlineStr">
        <is>
          <t>A1</t>
        </is>
      </c>
      <c r="F418" s="2" t="inlineStr">
        <is>
          <t>¿Calcula gasto asignado/no asignado por responsable, centro o entidad?</t>
        </is>
      </c>
      <c r="G418" t="inlineStr">
        <is>
          <t>NE</t>
        </is>
      </c>
      <c r="H418" t="inlineStr">
        <is>
          <t>Pendiente</t>
        </is>
      </c>
      <c r="I418" s="2" t="inlineStr">
        <is>
          <t>No calcula asignación de gasto por responsable/centro de costo.</t>
        </is>
      </c>
      <c r="J418" t="inlineStr">
        <is>
          <t>https://docs.cloud.google.com/billing/docs/how-to/finops-hub</t>
        </is>
      </c>
      <c r="K418" t="inlineStr">
        <is>
          <t>2026-09-16</t>
        </is>
      </c>
      <c r="L41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A1 depende del escenario, por lo que pasa a NE (no evidenciado, reduce cobertura) hasta investigarlo. La evidencia y la fuente originales se conservan como referencia del escenario de origen.</t>
        </is>
      </c>
    </row>
    <row r="419">
      <c r="A419" t="inlineStr">
        <is>
          <t>E5</t>
        </is>
      </c>
      <c r="B419" t="inlineStr">
        <is>
          <t>Cloud nativa</t>
        </is>
      </c>
      <c r="C419" t="inlineStr">
        <is>
          <t>Google Cloud FinOps Hub</t>
        </is>
      </c>
      <c r="D419" t="inlineStr">
        <is>
          <t>Asignacion</t>
        </is>
      </c>
      <c r="E419" t="inlineStr">
        <is>
          <t>A2</t>
        </is>
      </c>
      <c r="F419" s="2" t="inlineStr">
        <is>
          <t>¿Explicita y aplica reglas para costo compartido/multi-tenant?</t>
        </is>
      </c>
      <c r="G419" t="inlineStr">
        <is>
          <t>NE</t>
        </is>
      </c>
      <c r="H419" t="inlineStr">
        <is>
          <t>Pendiente</t>
        </is>
      </c>
      <c r="I419" s="2" t="inlineStr">
        <is>
          <t>No define reglas de reparto de costo compartido.</t>
        </is>
      </c>
      <c r="J419" t="inlineStr">
        <is>
          <t>https://docs.cloud.google.com/billing/docs/how-to/finops-hub</t>
        </is>
      </c>
      <c r="K419" t="inlineStr">
        <is>
          <t>2026-09-16</t>
        </is>
      </c>
      <c r="L41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A2 depende del escenario, por lo que pasa a NE (no evidenciado, reduce cobertura) hasta investigarlo. La evidencia y la fuente originales se conservan como referencia del escenario de origen.</t>
        </is>
      </c>
    </row>
    <row r="420">
      <c r="A420" t="inlineStr">
        <is>
          <t>E5</t>
        </is>
      </c>
      <c r="B420" t="inlineStr">
        <is>
          <t>Cloud nativa</t>
        </is>
      </c>
      <c r="C420" t="inlineStr">
        <is>
          <t>Google Cloud FinOps Hub</t>
        </is>
      </c>
      <c r="D420" t="inlineStr">
        <is>
          <t>Optimizacion</t>
        </is>
      </c>
      <c r="E420" t="inlineStr">
        <is>
          <t>O1</t>
        </is>
      </c>
      <c r="F420" s="2" t="inlineStr">
        <is>
          <t>¿Detecta desperdicio, rightsizing o compromiso relevante al escenario?</t>
        </is>
      </c>
      <c r="G420" t="inlineStr">
        <is>
          <t>NE</t>
        </is>
      </c>
      <c r="H420" t="inlineStr">
        <is>
          <t>Pendiente</t>
        </is>
      </c>
      <c r="I420" s="2" t="inlineStr">
        <is>
          <t>"Explore new recommended opportunities to optimize costs" agregando recomendaciones de Compute Engine, GKE, Cloud SQL y Cloud Run en cuatro prácticas: recursos inactivos, rightsizing, cambios de configuración y CUDs.</t>
        </is>
      </c>
      <c r="J420" t="inlineStr">
        <is>
          <t>https://docs.cloud.google.com/billing/docs/how-to/finops-hub</t>
        </is>
      </c>
      <c r="K420" t="inlineStr">
        <is>
          <t>2026-09-16</t>
        </is>
      </c>
      <c r="L420" s="2" t="inlineStr">
        <is>
          <t>Celda heredada FP-180 (2026-09-16): el valor 2 proviene de la investigacion del escenario E1 y no cuenta con evidencia propia de E5. Segun FP-177 el indicador O1 depende del escenario, por lo que pasa a NE (no evidenciado, reduce cobertura) hasta investigarlo. La evidencia y la fuente originales se conservan como referencia del escenario de origen.</t>
        </is>
      </c>
    </row>
    <row r="421">
      <c r="A421" t="inlineStr">
        <is>
          <t>E5</t>
        </is>
      </c>
      <c r="B421" t="inlineStr">
        <is>
          <t>Cloud nativa</t>
        </is>
      </c>
      <c r="C421" t="inlineStr">
        <is>
          <t>Google Cloud FinOps Hub</t>
        </is>
      </c>
      <c r="D421" t="inlineStr">
        <is>
          <t>Optimizacion</t>
        </is>
      </c>
      <c r="E421" t="inlineStr">
        <is>
          <t>O2</t>
        </is>
      </c>
      <c r="F421" s="2" t="inlineStr">
        <is>
          <t>¿Explica supuesto/impacto y permite seguir una recomendación?</t>
        </is>
      </c>
      <c r="G421" t="n">
        <v>2</v>
      </c>
      <c r="H421" t="inlineStr">
        <is>
          <t>Oficial</t>
        </is>
      </c>
      <c r="I421" s="2" t="inlineStr">
        <is>
          <t>El panel muestra "Last month's realized savings" y "Potential savings per month", permitiendo comparar ahorro potencial vs. realizado a lo largo del tiempo.</t>
        </is>
      </c>
      <c r="J421" t="inlineStr">
        <is>
          <t>https://docs.cloud.google.com/billing/docs/how-to/finops-hub</t>
        </is>
      </c>
      <c r="K421" t="inlineStr">
        <is>
          <t>2026-09-16</t>
        </is>
      </c>
      <c r="L421" s="2" t="inlineStr"/>
    </row>
    <row r="422">
      <c r="A422" t="inlineStr">
        <is>
          <t>E5</t>
        </is>
      </c>
      <c r="B422" t="inlineStr">
        <is>
          <t>Cloud nativa</t>
        </is>
      </c>
      <c r="C422" t="inlineStr">
        <is>
          <t>Google Cloud FinOps Hub</t>
        </is>
      </c>
      <c r="D422" t="inlineStr">
        <is>
          <t>Automatizacion</t>
        </is>
      </c>
      <c r="E422" t="inlineStr">
        <is>
          <t>AU1</t>
        </is>
      </c>
      <c r="F422" s="2" t="inlineStr">
        <is>
          <t>¿Ejecuta o bloquea acciones/políticas de costo con control verificable?</t>
        </is>
      </c>
      <c r="G422" t="inlineStr">
        <is>
          <t>NE</t>
        </is>
      </c>
      <c r="H422" t="inlineStr">
        <is>
          <t>Pendiente</t>
        </is>
      </c>
      <c r="I422" s="2" t="inlineStr">
        <is>
          <t>Existe una guía oficial para "Review and apply FinOps hub Recommendations": el usuario revisa y aplica manualmente cada recomendación desde el panel; no se documenta ejecución autónoma sin intervención.</t>
        </is>
      </c>
      <c r="J422" t="inlineStr">
        <is>
          <t>https://docs.cloud.google.com/billing/docs/how-to/finops-recommendations-dashboard</t>
        </is>
      </c>
      <c r="K422" t="inlineStr">
        <is>
          <t>2026-09-16</t>
        </is>
      </c>
      <c r="L422" s="2" t="inlineStr">
        <is>
          <t>Celda heredada FP-180 (2026-09-16): el valor 1 proviene de la investigacion del escenario E1 y no cuenta con evidencia propia de E5. Segun FP-177 el indicador AU1 depende del escenario, por lo que pasa a NE (no evidenciado, reduce cobertura) hasta investigarlo. La evidencia y la fuente originales se conservan como referencia del escenario de origen.</t>
        </is>
      </c>
    </row>
    <row r="423">
      <c r="A423" t="inlineStr">
        <is>
          <t>E5</t>
        </is>
      </c>
      <c r="B423" t="inlineStr">
        <is>
          <t>Cloud nativa</t>
        </is>
      </c>
      <c r="C423" t="inlineStr">
        <is>
          <t>Google Cloud FinOps Hub</t>
        </is>
      </c>
      <c r="D423" t="inlineStr">
        <is>
          <t>Automatizacion</t>
        </is>
      </c>
      <c r="E423" t="inlineStr">
        <is>
          <t>AU2</t>
        </is>
      </c>
      <c r="F423" s="2" t="inlineStr">
        <is>
          <t>¿Ofrece aprobación, reversión, registro o límites antes de actuar?</t>
        </is>
      </c>
      <c r="G423" t="inlineStr">
        <is>
          <t>NE</t>
        </is>
      </c>
      <c r="H423" t="inlineStr">
        <is>
          <t>Pendiente</t>
        </is>
      </c>
      <c r="I423" s="2" t="inlineStr">
        <is>
          <t>La naturaleza de "revisar y aplicar" ya exige acción manual del usuario (cubierto en AU1); no se documenta una salvaguarda adicional distinta.</t>
        </is>
      </c>
      <c r="J423" t="inlineStr">
        <is>
          <t>https://docs.cloud.google.com/billing/docs/how-to/finops-recommendations-dashboard</t>
        </is>
      </c>
      <c r="K423" t="inlineStr">
        <is>
          <t>2026-09-16</t>
        </is>
      </c>
      <c r="L423"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424">
      <c r="A424" t="inlineStr">
        <is>
          <t>E5</t>
        </is>
      </c>
      <c r="B424" t="inlineStr">
        <is>
          <t>Cloud nativa</t>
        </is>
      </c>
      <c r="C424" t="inlineStr">
        <is>
          <t>Google Cloud FinOps Hub</t>
        </is>
      </c>
      <c r="D424" t="inlineStr">
        <is>
          <t>Multicloud</t>
        </is>
      </c>
      <c r="E424" t="inlineStr">
        <is>
          <t>M1</t>
        </is>
      </c>
      <c r="F424" s="2" t="inlineStr">
        <is>
          <t>¿Consolida al menos dos proveedores bajo el mismo esquema declarado?</t>
        </is>
      </c>
      <c r="G424" t="n">
        <v>0</v>
      </c>
      <c r="H424" t="inlineStr">
        <is>
          <t>Oficial (ausencia verificada)</t>
        </is>
      </c>
      <c r="I424" s="2" t="inlineStr">
        <is>
          <t>Cubre exclusivamente recomendaciones sobre recursos de Google Cloud.</t>
        </is>
      </c>
      <c r="J424" t="inlineStr">
        <is>
          <t>https://docs.cloud.google.com/billing/docs/how-to/finops-hub</t>
        </is>
      </c>
      <c r="K424" t="inlineStr">
        <is>
          <t>2026-09-16</t>
        </is>
      </c>
      <c r="L42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25">
      <c r="A425" t="inlineStr">
        <is>
          <t>E5</t>
        </is>
      </c>
      <c r="B425" t="inlineStr">
        <is>
          <t>Cloud nativa</t>
        </is>
      </c>
      <c r="C425" t="inlineStr">
        <is>
          <t>Google Cloud FinOps Hub</t>
        </is>
      </c>
      <c r="D425" t="inlineStr">
        <is>
          <t>Multicloud</t>
        </is>
      </c>
      <c r="E425" t="inlineStr">
        <is>
          <t>M2</t>
        </is>
      </c>
      <c r="F425" s="2" t="inlineStr">
        <is>
          <t>¿Hace visibles proveedor, cobertura y diferencias semánticas?</t>
        </is>
      </c>
      <c r="G425" t="n">
        <v>0</v>
      </c>
      <c r="H425" t="inlineStr">
        <is>
          <t>Oficial (ausencia verificada)</t>
        </is>
      </c>
      <c r="I425" s="2" t="inlineStr">
        <is>
          <t>Mismo alcance de diseño que M1.</t>
        </is>
      </c>
      <c r="J425" t="inlineStr">
        <is>
          <t>https://docs.cloud.google.com/billing/docs/how-to/finops-hub</t>
        </is>
      </c>
      <c r="K425" t="inlineStr">
        <is>
          <t>2026-09-16</t>
        </is>
      </c>
      <c r="L42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26">
      <c r="A426" t="inlineStr">
        <is>
          <t>E5</t>
        </is>
      </c>
      <c r="B426" t="inlineStr">
        <is>
          <t>Cloud nativa</t>
        </is>
      </c>
      <c r="C426" t="inlineStr">
        <is>
          <t>Google Cloud FinOps Hub</t>
        </is>
      </c>
      <c r="D426" t="inlineStr">
        <is>
          <t>Integracion</t>
        </is>
      </c>
      <c r="E426" t="inlineStr">
        <is>
          <t>I1</t>
        </is>
      </c>
      <c r="F426" s="2" t="inlineStr">
        <is>
          <t>¿Integra datos requeridos (facturación, uso, clúster o IaC) del escenario?</t>
        </is>
      </c>
      <c r="G426" t="inlineStr">
        <is>
          <t>NE</t>
        </is>
      </c>
      <c r="H426" t="inlineStr">
        <is>
          <t>Pendiente</t>
        </is>
      </c>
      <c r="I426" s="2" t="inlineStr">
        <is>
          <t>Agrega datos de múltiples recomendadores de servicios de Google Cloud (Compute Engine, GKE, Cloud SQL, Cloud Run) en un panel único.</t>
        </is>
      </c>
      <c r="J426" t="inlineStr">
        <is>
          <t>https://docs.cloud.google.com/billing/docs/how-to/finops-hub</t>
        </is>
      </c>
      <c r="K426" t="inlineStr">
        <is>
          <t>2026-09-16</t>
        </is>
      </c>
      <c r="L426" s="2" t="inlineStr">
        <is>
          <t>Celda heredada FP-180 (2026-09-16): el valor 2 proviene de la investigacion del escenario E1 y no cuenta con evidencia propia de E5. Segun FP-177 el indicador I1 depende del escenario, por lo que pasa a NE (no evidenciado, reduce cobertura) hasta investigarlo. La evidencia y la fuente originales se conservan como referencia del escenario de origen.</t>
        </is>
      </c>
    </row>
    <row r="427">
      <c r="A427" t="inlineStr">
        <is>
          <t>E5</t>
        </is>
      </c>
      <c r="B427" t="inlineStr">
        <is>
          <t>Cloud nativa</t>
        </is>
      </c>
      <c r="C427" t="inlineStr">
        <is>
          <t>Google Cloud FinOps Hub</t>
        </is>
      </c>
      <c r="D427" t="inlineStr">
        <is>
          <t>Integracion</t>
        </is>
      </c>
      <c r="E427" t="inlineStr">
        <is>
          <t>I2</t>
        </is>
      </c>
      <c r="F427" s="2" t="inlineStr">
        <is>
          <t>¿Se integra con el flujo de trabajo relevante (alerta, ticket, CI/CD o reporte)?</t>
        </is>
      </c>
      <c r="G427" t="inlineStr">
        <is>
          <t>NE</t>
        </is>
      </c>
      <c r="H427" t="inlineStr">
        <is>
          <t>Pendiente</t>
        </is>
      </c>
      <c r="I427" s="2" t="inlineStr">
        <is>
          <t>El panel concentra el flujo de revisión dentro de la consola de Google Cloud; no se documentó integración directa con ticketing/CI-CD externos.</t>
        </is>
      </c>
      <c r="J427" t="inlineStr">
        <is>
          <t>https://docs.cloud.google.com/billing/docs/how-to/finops-hub</t>
        </is>
      </c>
      <c r="K427" t="inlineStr">
        <is>
          <t>2026-09-16</t>
        </is>
      </c>
      <c r="L427" s="2" t="inlineStr">
        <is>
          <t>Celda heredada FP-180 (2026-09-16): el valor 1 proviene de la investigacion del escenario E1 y no cuenta con evidencia propia de E5. Segun FP-177 el indicador I2 depende del escenario, por lo que pasa a NE (no evidenciado, reduce cobertura) hasta investigarlo. La evidencia y la fuente originales se conservan como referencia del escenario de origen.</t>
        </is>
      </c>
    </row>
    <row r="428">
      <c r="A428" t="inlineStr">
        <is>
          <t>E5</t>
        </is>
      </c>
      <c r="B428" t="inlineStr">
        <is>
          <t>Cloud nativa</t>
        </is>
      </c>
      <c r="C428" t="inlineStr">
        <is>
          <t>Google Cloud FinOps Hub</t>
        </is>
      </c>
      <c r="D428" t="inlineStr">
        <is>
          <t>Adopcion</t>
        </is>
      </c>
      <c r="E428" t="inlineStr">
        <is>
          <t>AD1</t>
        </is>
      </c>
      <c r="F428" s="2" t="inlineStr">
        <is>
          <t>¿Soporta acceso/entrega para los roles del escenario?</t>
        </is>
      </c>
      <c r="G428" t="inlineStr">
        <is>
          <t>NE</t>
        </is>
      </c>
      <c r="H428" t="inlineStr">
        <is>
          <t>Pendiente</t>
        </is>
      </c>
      <c r="I428" s="2" t="inlineStr">
        <is>
          <t>El acceso está condicionado a contar con permisos completos de la cuenta de facturación ("solo disponible con permisos de cuenta de facturación completos"), un control más binario que los roles graduales de Cloud Billing.</t>
        </is>
      </c>
      <c r="J428" t="inlineStr">
        <is>
          <t>https://docs.cloud.google.com/billing/docs/how-to/finops-hub</t>
        </is>
      </c>
      <c r="K428" t="inlineStr">
        <is>
          <t>2026-09-16</t>
        </is>
      </c>
      <c r="L428" s="2" t="inlineStr">
        <is>
          <t>Celda heredada FP-180 (2026-09-16): el valor 1 proviene de la investigacion del escenario E1 y no cuenta con evidencia propia de E5. Segun FP-177 el indicador AD1 depende del escenario, por lo que pasa a NE (no evidenciado, reduce cobertura) hasta investigarlo. La evidencia y la fuente originales se conservan como referencia del escenario de origen.</t>
        </is>
      </c>
    </row>
    <row r="429">
      <c r="A429" t="inlineStr">
        <is>
          <t>E5</t>
        </is>
      </c>
      <c r="B429" t="inlineStr">
        <is>
          <t>Cloud nativa</t>
        </is>
      </c>
      <c r="C429" t="inlineStr">
        <is>
          <t>Google Cloud FinOps Hub</t>
        </is>
      </c>
      <c r="D429" t="inlineStr">
        <is>
          <t>Adopcion</t>
        </is>
      </c>
      <c r="E429" t="inlineStr">
        <is>
          <t>AD2</t>
        </is>
      </c>
      <c r="F429" s="2" t="inlineStr">
        <is>
          <t>¿Ofrece guías, ownership o mecanismos de seguimiento para uso sostenido?</t>
        </is>
      </c>
      <c r="G429" t="n">
        <v>2</v>
      </c>
      <c r="H429" t="inlineStr">
        <is>
          <t>Oficial (candidato a 3 si se corrobora con una segunda fuente independiente o verificación práctica)</t>
        </is>
      </c>
      <c r="I429" s="2" t="inlineStr">
        <is>
          <t>El "FinOps score" mide explícitamente qué tan bien la organización usa las herramientas de monitoreo/ahorro de Google Cloud (etiquetado, automatización, compra de CUDs), acercándose a una medición integrada de adopción.</t>
        </is>
      </c>
      <c r="J429" t="inlineStr">
        <is>
          <t>https://docs.cloud.google.com/billing/docs/how-to/finops-hub</t>
        </is>
      </c>
      <c r="K429" t="inlineStr">
        <is>
          <t>2026-09-16</t>
        </is>
      </c>
      <c r="L429" s="2" t="inlineStr"/>
    </row>
    <row r="430">
      <c r="A430" t="inlineStr">
        <is>
          <t>E5</t>
        </is>
      </c>
      <c r="B430" t="inlineStr">
        <is>
          <t>Cloud nativa</t>
        </is>
      </c>
      <c r="C430" t="inlineStr">
        <is>
          <t>Google Cloud FinOps Hub</t>
        </is>
      </c>
      <c r="D430" t="inlineStr">
        <is>
          <t>Precio</t>
        </is>
      </c>
      <c r="E430" t="inlineStr">
        <is>
          <t>P1</t>
        </is>
      </c>
      <c r="F430" s="2" t="inlineStr">
        <is>
          <t>¿Expone precio, moneda, región, unidad, período y supuestos relevantes?</t>
        </is>
      </c>
      <c r="G430" t="n">
        <v>0</v>
      </c>
      <c r="H430" t="inlineStr">
        <is>
          <t>Oficial (ausencia verificada)</t>
        </is>
      </c>
      <c r="I430" s="2" t="inlineStr">
        <is>
          <t>No es una herramienta de transparencia de precio general (esa función es de Cloud Billing Reports/export).</t>
        </is>
      </c>
      <c r="J430" t="inlineStr">
        <is>
          <t>https://docs.cloud.google.com/billing/docs/how-to/finops-hub</t>
        </is>
      </c>
      <c r="K430" t="inlineStr">
        <is>
          <t>2026-09-16</t>
        </is>
      </c>
      <c r="L430"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31">
      <c r="A431" t="inlineStr">
        <is>
          <t>E5</t>
        </is>
      </c>
      <c r="B431" t="inlineStr">
        <is>
          <t>Cloud nativa</t>
        </is>
      </c>
      <c r="C431" t="inlineStr">
        <is>
          <t>Google Cloud FinOps Hub</t>
        </is>
      </c>
      <c r="D431" t="inlineStr">
        <is>
          <t>Precio</t>
        </is>
      </c>
      <c r="E431" t="inlineStr">
        <is>
          <t>P2</t>
        </is>
      </c>
      <c r="F431" s="2" t="inlineStr">
        <is>
          <t>¿Permite estimar o comparar componentes sin ocultar límites de equivalencia?</t>
        </is>
      </c>
      <c r="G431" t="inlineStr">
        <is>
          <t>NE</t>
        </is>
      </c>
      <c r="H431" t="inlineStr">
        <is>
          <t>Pendiente</t>
        </is>
      </c>
      <c r="I431" s="2" t="inlineStr">
        <is>
          <t>No es una calculadora de estimación de componentes (esa función es de Google Cloud Pricing Calculator, evaluada aparte en E4).</t>
        </is>
      </c>
      <c r="J431" t="inlineStr">
        <is>
          <t>https://docs.cloud.google.com/billing/docs/how-to/finops-hub</t>
        </is>
      </c>
      <c r="K431" t="inlineStr">
        <is>
          <t>2026-09-16</t>
        </is>
      </c>
      <c r="L431"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E5. Segun FP-177 el indicador P2 depende del escenario, por lo que pasa a NE (no evidenciado, reduce cobertura) hasta investigarlo. La evidencia y la fuente originales se conservan como referencia del escenario de origen.</t>
        </is>
      </c>
    </row>
    <row r="432">
      <c r="A432" t="inlineStr">
        <is>
          <t>E5</t>
        </is>
      </c>
      <c r="B432" t="inlineStr">
        <is>
          <t>Cloud nativa</t>
        </is>
      </c>
      <c r="C432" t="inlineStr">
        <is>
          <t>Google Cloud FinOps Hub</t>
        </is>
      </c>
      <c r="D432" t="inlineStr">
        <is>
          <t>Dependencia</t>
        </is>
      </c>
      <c r="E432" t="inlineStr">
        <is>
          <t>D1</t>
        </is>
      </c>
      <c r="F432" s="2" t="inlineStr">
        <is>
          <t>¿Exporta datos/resultados en formato utilizable y documentado?</t>
        </is>
      </c>
      <c r="G432" t="inlineStr">
        <is>
          <t>NE</t>
        </is>
      </c>
      <c r="H432" t="inlineStr">
        <is>
          <t>Pendiente</t>
        </is>
      </c>
      <c r="I432" s="2" t="inlineStr">
        <is>
          <t>No es la fuente primaria de exportación de datos de costo/uso (esa función es del export de Cloud Billing, evaluada aparte); simplificación de alcance para evitar doble conteo.</t>
        </is>
      </c>
      <c r="J432" t="inlineStr">
        <is>
          <t>https://docs.cloud.google.com/billing/docs/how-to/finops-hub</t>
        </is>
      </c>
      <c r="K432" t="inlineStr">
        <is>
          <t>2026-09-16</t>
        </is>
      </c>
      <c r="L432"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433">
      <c r="A433" t="inlineStr">
        <is>
          <t>E5</t>
        </is>
      </c>
      <c r="B433" t="inlineStr">
        <is>
          <t>Cloud nativa</t>
        </is>
      </c>
      <c r="C433" t="inlineStr">
        <is>
          <t>Google Cloud FinOps Hub</t>
        </is>
      </c>
      <c r="D433" t="inlineStr">
        <is>
          <t>Dependencia</t>
        </is>
      </c>
      <c r="E433" t="inlineStr">
        <is>
          <t>D2</t>
        </is>
      </c>
      <c r="F433" s="2" t="inlineStr">
        <is>
          <t>¿Documenta dependencias propietarias y un camino de salida/configuración reversible?</t>
        </is>
      </c>
      <c r="G433" t="inlineStr">
        <is>
          <t>NE</t>
        </is>
      </c>
      <c r="H433" t="inlineStr">
        <is>
          <t>Pendiente</t>
        </is>
      </c>
      <c r="I433" s="2" t="inlineStr">
        <is>
          <t>Mismo alcance de diseño que D1.</t>
        </is>
      </c>
      <c r="J433" t="inlineStr">
        <is>
          <t>https://docs.cloud.google.com/billing/docs/how-to/finops-hub</t>
        </is>
      </c>
      <c r="K433" t="inlineStr">
        <is>
          <t>2026-09-16</t>
        </is>
      </c>
      <c r="L433"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434">
      <c r="A434" t="inlineStr">
        <is>
          <t>E6</t>
        </is>
      </c>
      <c r="B434" t="inlineStr">
        <is>
          <t>Cloud nativa</t>
        </is>
      </c>
      <c r="C434" t="inlineStr">
        <is>
          <t>Google Cloud FinOps Hub</t>
        </is>
      </c>
      <c r="D434" t="inlineStr">
        <is>
          <t>Visibilidad</t>
        </is>
      </c>
      <c r="E434" t="inlineStr">
        <is>
          <t>V1</t>
        </is>
      </c>
      <c r="F434" s="2" t="inlineStr">
        <is>
          <t>¿Desagrega costo y uso por cuenta/proyecto, servicio y período?</t>
        </is>
      </c>
      <c r="G434" t="inlineStr">
        <is>
          <t>NE</t>
        </is>
      </c>
      <c r="H434" t="inlineStr">
        <is>
          <t>Pendiente</t>
        </is>
      </c>
      <c r="I434" s="2" t="inlineStr">
        <is>
          <t>FinOps hub consolida ahorro y recomendaciones, no un desglose general de costo/uso (esa función es de Cloud Billing Reports).</t>
        </is>
      </c>
      <c r="J434" t="inlineStr">
        <is>
          <t>https://docs.cloud.google.com/billing/docs/how-to/finops-hub</t>
        </is>
      </c>
      <c r="K434" t="inlineStr">
        <is>
          <t>2026-09-16</t>
        </is>
      </c>
      <c r="L43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V1 depende del escenario, por lo que pasa a NE (no evidenciado, reduce cobertura) hasta investigarlo. La evidencia y la fuente originales se conservan como referencia del escenario de origen.</t>
        </is>
      </c>
    </row>
    <row r="435">
      <c r="A435" t="inlineStr">
        <is>
          <t>E6</t>
        </is>
      </c>
      <c r="B435" t="inlineStr">
        <is>
          <t>Cloud nativa</t>
        </is>
      </c>
      <c r="C435" t="inlineStr">
        <is>
          <t>Google Cloud FinOps Hub</t>
        </is>
      </c>
      <c r="D435" t="inlineStr">
        <is>
          <t>Visibilidad</t>
        </is>
      </c>
      <c r="E435" t="inlineStr">
        <is>
          <t>V2</t>
        </is>
      </c>
      <c r="F435" s="2" t="inlineStr">
        <is>
          <t>¿Permite rastrear un total hasta registros o fuente de facturación?</t>
        </is>
      </c>
      <c r="G435" t="n">
        <v>0</v>
      </c>
      <c r="H435" t="inlineStr">
        <is>
          <t>Oficial (ausencia verificada)</t>
        </is>
      </c>
      <c r="I435" s="2" t="inlineStr">
        <is>
          <t>Mismo alcance de diseño que V1.</t>
        </is>
      </c>
      <c r="J435" t="inlineStr">
        <is>
          <t>https://docs.cloud.google.com/billing/docs/how-to/finops-hub</t>
        </is>
      </c>
      <c r="K435" t="inlineStr">
        <is>
          <t>2026-09-16</t>
        </is>
      </c>
      <c r="L43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36">
      <c r="A436" t="inlineStr">
        <is>
          <t>E6</t>
        </is>
      </c>
      <c r="B436" t="inlineStr">
        <is>
          <t>Cloud nativa</t>
        </is>
      </c>
      <c r="C436" t="inlineStr">
        <is>
          <t>Google Cloud FinOps Hub</t>
        </is>
      </c>
      <c r="D436" t="inlineStr">
        <is>
          <t>Asignacion</t>
        </is>
      </c>
      <c r="E436" t="inlineStr">
        <is>
          <t>A1</t>
        </is>
      </c>
      <c r="F436" s="2" t="inlineStr">
        <is>
          <t>¿Calcula gasto asignado/no asignado por responsable, centro o entidad?</t>
        </is>
      </c>
      <c r="G436" t="inlineStr">
        <is>
          <t>NE</t>
        </is>
      </c>
      <c r="H436" t="inlineStr">
        <is>
          <t>Pendiente</t>
        </is>
      </c>
      <c r="I436" s="2" t="inlineStr">
        <is>
          <t>No calcula asignación de gasto por responsable/centro de costo.</t>
        </is>
      </c>
      <c r="J436" t="inlineStr">
        <is>
          <t>https://docs.cloud.google.com/billing/docs/how-to/finops-hub</t>
        </is>
      </c>
      <c r="K436" t="inlineStr">
        <is>
          <t>2026-09-16</t>
        </is>
      </c>
      <c r="L43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A1 depende del escenario, por lo que pasa a NE (no evidenciado, reduce cobertura) hasta investigarlo. La evidencia y la fuente originales se conservan como referencia del escenario de origen.</t>
        </is>
      </c>
    </row>
    <row r="437">
      <c r="A437" t="inlineStr">
        <is>
          <t>E6</t>
        </is>
      </c>
      <c r="B437" t="inlineStr">
        <is>
          <t>Cloud nativa</t>
        </is>
      </c>
      <c r="C437" t="inlineStr">
        <is>
          <t>Google Cloud FinOps Hub</t>
        </is>
      </c>
      <c r="D437" t="inlineStr">
        <is>
          <t>Asignacion</t>
        </is>
      </c>
      <c r="E437" t="inlineStr">
        <is>
          <t>A2</t>
        </is>
      </c>
      <c r="F437" s="2" t="inlineStr">
        <is>
          <t>¿Explicita y aplica reglas para costo compartido/multi-tenant?</t>
        </is>
      </c>
      <c r="G437" t="inlineStr">
        <is>
          <t>NE</t>
        </is>
      </c>
      <c r="H437" t="inlineStr">
        <is>
          <t>Pendiente</t>
        </is>
      </c>
      <c r="I437" s="2" t="inlineStr">
        <is>
          <t>No define reglas de reparto de costo compartido.</t>
        </is>
      </c>
      <c r="J437" t="inlineStr">
        <is>
          <t>https://docs.cloud.google.com/billing/docs/how-to/finops-hub</t>
        </is>
      </c>
      <c r="K437" t="inlineStr">
        <is>
          <t>2026-09-16</t>
        </is>
      </c>
      <c r="L43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A2 depende del escenario, por lo que pasa a NE (no evidenciado, reduce cobertura) hasta investigarlo. La evidencia y la fuente originales se conservan como referencia del escenario de origen.</t>
        </is>
      </c>
    </row>
    <row r="438">
      <c r="A438" t="inlineStr">
        <is>
          <t>E6</t>
        </is>
      </c>
      <c r="B438" t="inlineStr">
        <is>
          <t>Cloud nativa</t>
        </is>
      </c>
      <c r="C438" t="inlineStr">
        <is>
          <t>Google Cloud FinOps Hub</t>
        </is>
      </c>
      <c r="D438" t="inlineStr">
        <is>
          <t>Optimizacion</t>
        </is>
      </c>
      <c r="E438" t="inlineStr">
        <is>
          <t>O1</t>
        </is>
      </c>
      <c r="F438" s="2" t="inlineStr">
        <is>
          <t>¿Detecta desperdicio, rightsizing o compromiso relevante al escenario?</t>
        </is>
      </c>
      <c r="G438" t="inlineStr">
        <is>
          <t>NE</t>
        </is>
      </c>
      <c r="H438" t="inlineStr">
        <is>
          <t>Pendiente</t>
        </is>
      </c>
      <c r="I438" s="2" t="inlineStr">
        <is>
          <t>"Explore new recommended opportunities to optimize costs" agregando recomendaciones de Compute Engine, GKE, Cloud SQL y Cloud Run en cuatro prácticas: recursos inactivos, rightsizing, cambios de configuración y CUDs.</t>
        </is>
      </c>
      <c r="J438" t="inlineStr">
        <is>
          <t>https://docs.cloud.google.com/billing/docs/how-to/finops-hub</t>
        </is>
      </c>
      <c r="K438" t="inlineStr">
        <is>
          <t>2026-09-16</t>
        </is>
      </c>
      <c r="L438" s="2" t="inlineStr">
        <is>
          <t>Celda heredada FP-180 (2026-09-16): el valor 2 proviene de la investigacion del escenario E1 y no cuenta con evidencia propia de E6. Segun FP-177 el indicador O1 depende del escenario, por lo que pasa a NE (no evidenciado, reduce cobertura) hasta investigarlo. La evidencia y la fuente originales se conservan como referencia del escenario de origen.</t>
        </is>
      </c>
    </row>
    <row r="439">
      <c r="A439" t="inlineStr">
        <is>
          <t>E6</t>
        </is>
      </c>
      <c r="B439" t="inlineStr">
        <is>
          <t>Cloud nativa</t>
        </is>
      </c>
      <c r="C439" t="inlineStr">
        <is>
          <t>Google Cloud FinOps Hub</t>
        </is>
      </c>
      <c r="D439" t="inlineStr">
        <is>
          <t>Optimizacion</t>
        </is>
      </c>
      <c r="E439" t="inlineStr">
        <is>
          <t>O2</t>
        </is>
      </c>
      <c r="F439" s="2" t="inlineStr">
        <is>
          <t>¿Explica supuesto/impacto y permite seguir una recomendación?</t>
        </is>
      </c>
      <c r="G439" t="n">
        <v>2</v>
      </c>
      <c r="H439" t="inlineStr">
        <is>
          <t>Oficial</t>
        </is>
      </c>
      <c r="I439" s="2" t="inlineStr">
        <is>
          <t>El panel muestra "Last month's realized savings" y "Potential savings per month", permitiendo comparar ahorro potencial vs. realizado a lo largo del tiempo.</t>
        </is>
      </c>
      <c r="J439" t="inlineStr">
        <is>
          <t>https://docs.cloud.google.com/billing/docs/how-to/finops-hub</t>
        </is>
      </c>
      <c r="K439" t="inlineStr">
        <is>
          <t>2026-09-16</t>
        </is>
      </c>
      <c r="L439" s="2" t="inlineStr"/>
    </row>
    <row r="440">
      <c r="A440" t="inlineStr">
        <is>
          <t>E6</t>
        </is>
      </c>
      <c r="B440" t="inlineStr">
        <is>
          <t>Cloud nativa</t>
        </is>
      </c>
      <c r="C440" t="inlineStr">
        <is>
          <t>Google Cloud FinOps Hub</t>
        </is>
      </c>
      <c r="D440" t="inlineStr">
        <is>
          <t>Automatizacion</t>
        </is>
      </c>
      <c r="E440" t="inlineStr">
        <is>
          <t>AU1</t>
        </is>
      </c>
      <c r="F440" s="2" t="inlineStr">
        <is>
          <t>¿Ejecuta o bloquea acciones/políticas de costo con control verificable?</t>
        </is>
      </c>
      <c r="G440" t="inlineStr">
        <is>
          <t>NE</t>
        </is>
      </c>
      <c r="H440" t="inlineStr">
        <is>
          <t>Pendiente</t>
        </is>
      </c>
      <c r="I440" s="2" t="inlineStr">
        <is>
          <t>Existe una guía oficial para "Review and apply FinOps hub Recommendations": el usuario revisa y aplica manualmente cada recomendación desde el panel; no se documenta ejecución autónoma sin intervención.</t>
        </is>
      </c>
      <c r="J440" t="inlineStr">
        <is>
          <t>https://docs.cloud.google.com/billing/docs/how-to/finops-recommendations-dashboard</t>
        </is>
      </c>
      <c r="K440" t="inlineStr">
        <is>
          <t>2026-09-16</t>
        </is>
      </c>
      <c r="L440" s="2" t="inlineStr">
        <is>
          <t>Celda heredada FP-180 (2026-09-16): el valor 1 proviene de la investigacion del escenario E1 y no cuenta con evidencia propia de E6. Segun FP-177 el indicador AU1 depende del escenario, por lo que pasa a NE (no evidenciado, reduce cobertura) hasta investigarlo. La evidencia y la fuente originales se conservan como referencia del escenario de origen.</t>
        </is>
      </c>
    </row>
    <row r="441">
      <c r="A441" t="inlineStr">
        <is>
          <t>E6</t>
        </is>
      </c>
      <c r="B441" t="inlineStr">
        <is>
          <t>Cloud nativa</t>
        </is>
      </c>
      <c r="C441" t="inlineStr">
        <is>
          <t>Google Cloud FinOps Hub</t>
        </is>
      </c>
      <c r="D441" t="inlineStr">
        <is>
          <t>Automatizacion</t>
        </is>
      </c>
      <c r="E441" t="inlineStr">
        <is>
          <t>AU2</t>
        </is>
      </c>
      <c r="F441" s="2" t="inlineStr">
        <is>
          <t>¿Ofrece aprobación, reversión, registro o límites antes de actuar?</t>
        </is>
      </c>
      <c r="G441" t="inlineStr">
        <is>
          <t>NE</t>
        </is>
      </c>
      <c r="H441" t="inlineStr">
        <is>
          <t>Pendiente</t>
        </is>
      </c>
      <c r="I441" s="2" t="inlineStr">
        <is>
          <t>La naturaleza de "revisar y aplicar" ya exige acción manual del usuario (cubierto en AU1); no se documenta una salvaguarda adicional distinta.</t>
        </is>
      </c>
      <c r="J441" t="inlineStr">
        <is>
          <t>https://docs.cloud.google.com/billing/docs/how-to/finops-recommendations-dashboard</t>
        </is>
      </c>
      <c r="K441" t="inlineStr">
        <is>
          <t>2026-09-16</t>
        </is>
      </c>
      <c r="L441"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442">
      <c r="A442" t="inlineStr">
        <is>
          <t>E6</t>
        </is>
      </c>
      <c r="B442" t="inlineStr">
        <is>
          <t>Cloud nativa</t>
        </is>
      </c>
      <c r="C442" t="inlineStr">
        <is>
          <t>Google Cloud FinOps Hub</t>
        </is>
      </c>
      <c r="D442" t="inlineStr">
        <is>
          <t>Multicloud</t>
        </is>
      </c>
      <c r="E442" t="inlineStr">
        <is>
          <t>M1</t>
        </is>
      </c>
      <c r="F442" s="2" t="inlineStr">
        <is>
          <t>¿Consolida al menos dos proveedores bajo el mismo esquema declarado?</t>
        </is>
      </c>
      <c r="G442" t="n">
        <v>0</v>
      </c>
      <c r="H442" t="inlineStr">
        <is>
          <t>Oficial (ausencia verificada)</t>
        </is>
      </c>
      <c r="I442" s="2" t="inlineStr">
        <is>
          <t>Cubre exclusivamente recomendaciones sobre recursos de Google Cloud.</t>
        </is>
      </c>
      <c r="J442" t="inlineStr">
        <is>
          <t>https://docs.cloud.google.com/billing/docs/how-to/finops-hub</t>
        </is>
      </c>
      <c r="K442" t="inlineStr">
        <is>
          <t>2026-09-16</t>
        </is>
      </c>
      <c r="L44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43">
      <c r="A443" t="inlineStr">
        <is>
          <t>E6</t>
        </is>
      </c>
      <c r="B443" t="inlineStr">
        <is>
          <t>Cloud nativa</t>
        </is>
      </c>
      <c r="C443" t="inlineStr">
        <is>
          <t>Google Cloud FinOps Hub</t>
        </is>
      </c>
      <c r="D443" t="inlineStr">
        <is>
          <t>Multicloud</t>
        </is>
      </c>
      <c r="E443" t="inlineStr">
        <is>
          <t>M2</t>
        </is>
      </c>
      <c r="F443" s="2" t="inlineStr">
        <is>
          <t>¿Hace visibles proveedor, cobertura y diferencias semánticas?</t>
        </is>
      </c>
      <c r="G443" t="n">
        <v>0</v>
      </c>
      <c r="H443" t="inlineStr">
        <is>
          <t>Oficial (ausencia verificada)</t>
        </is>
      </c>
      <c r="I443" s="2" t="inlineStr">
        <is>
          <t>Mismo alcance de diseño que M1.</t>
        </is>
      </c>
      <c r="J443" t="inlineStr">
        <is>
          <t>https://docs.cloud.google.com/billing/docs/how-to/finops-hub</t>
        </is>
      </c>
      <c r="K443" t="inlineStr">
        <is>
          <t>2026-09-16</t>
        </is>
      </c>
      <c r="L443"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44">
      <c r="A444" t="inlineStr">
        <is>
          <t>E6</t>
        </is>
      </c>
      <c r="B444" t="inlineStr">
        <is>
          <t>Cloud nativa</t>
        </is>
      </c>
      <c r="C444" t="inlineStr">
        <is>
          <t>Google Cloud FinOps Hub</t>
        </is>
      </c>
      <c r="D444" t="inlineStr">
        <is>
          <t>Integracion</t>
        </is>
      </c>
      <c r="E444" t="inlineStr">
        <is>
          <t>I1</t>
        </is>
      </c>
      <c r="F444" s="2" t="inlineStr">
        <is>
          <t>¿Integra datos requeridos (facturación, uso, clúster o IaC) del escenario?</t>
        </is>
      </c>
      <c r="G444" t="inlineStr">
        <is>
          <t>NE</t>
        </is>
      </c>
      <c r="H444" t="inlineStr">
        <is>
          <t>Pendiente</t>
        </is>
      </c>
      <c r="I444" s="2" t="inlineStr">
        <is>
          <t>Agrega datos de múltiples recomendadores de servicios de Google Cloud (Compute Engine, GKE, Cloud SQL, Cloud Run) en un panel único.</t>
        </is>
      </c>
      <c r="J444" t="inlineStr">
        <is>
          <t>https://docs.cloud.google.com/billing/docs/how-to/finops-hub</t>
        </is>
      </c>
      <c r="K444" t="inlineStr">
        <is>
          <t>2026-09-16</t>
        </is>
      </c>
      <c r="L444" s="2" t="inlineStr">
        <is>
          <t>Celda heredada FP-180 (2026-09-16): el valor 2 proviene de la investigacion del escenario E1 y no cuenta con evidencia propia de E6. Segun FP-177 el indicador I1 depende del escenario, por lo que pasa a NE (no evidenciado, reduce cobertura) hasta investigarlo. La evidencia y la fuente originales se conservan como referencia del escenario de origen.</t>
        </is>
      </c>
    </row>
    <row r="445">
      <c r="A445" t="inlineStr">
        <is>
          <t>E6</t>
        </is>
      </c>
      <c r="B445" t="inlineStr">
        <is>
          <t>Cloud nativa</t>
        </is>
      </c>
      <c r="C445" t="inlineStr">
        <is>
          <t>Google Cloud FinOps Hub</t>
        </is>
      </c>
      <c r="D445" t="inlineStr">
        <is>
          <t>Integracion</t>
        </is>
      </c>
      <c r="E445" t="inlineStr">
        <is>
          <t>I2</t>
        </is>
      </c>
      <c r="F445" s="2" t="inlineStr">
        <is>
          <t>¿Se integra con el flujo de trabajo relevante (alerta, ticket, CI/CD o reporte)?</t>
        </is>
      </c>
      <c r="G445" t="inlineStr">
        <is>
          <t>NE</t>
        </is>
      </c>
      <c r="H445" t="inlineStr">
        <is>
          <t>Pendiente</t>
        </is>
      </c>
      <c r="I445" s="2" t="inlineStr">
        <is>
          <t>El panel concentra el flujo de revisión dentro de la consola de Google Cloud; no se documentó integración directa con ticketing/CI-CD externos.</t>
        </is>
      </c>
      <c r="J445" t="inlineStr">
        <is>
          <t>https://docs.cloud.google.com/billing/docs/how-to/finops-hub</t>
        </is>
      </c>
      <c r="K445" t="inlineStr">
        <is>
          <t>2026-09-16</t>
        </is>
      </c>
      <c r="L445" s="2" t="inlineStr">
        <is>
          <t>Celda heredada FP-180 (2026-09-16): el valor 1 proviene de la investigacion del escenario E1 y no cuenta con evidencia propia de E6. Segun FP-177 el indicador I2 depende del escenario, por lo que pasa a NE (no evidenciado, reduce cobertura) hasta investigarlo. La evidencia y la fuente originales se conservan como referencia del escenario de origen.</t>
        </is>
      </c>
    </row>
    <row r="446">
      <c r="A446" t="inlineStr">
        <is>
          <t>E6</t>
        </is>
      </c>
      <c r="B446" t="inlineStr">
        <is>
          <t>Cloud nativa</t>
        </is>
      </c>
      <c r="C446" t="inlineStr">
        <is>
          <t>Google Cloud FinOps Hub</t>
        </is>
      </c>
      <c r="D446" t="inlineStr">
        <is>
          <t>Adopcion</t>
        </is>
      </c>
      <c r="E446" t="inlineStr">
        <is>
          <t>AD1</t>
        </is>
      </c>
      <c r="F446" s="2" t="inlineStr">
        <is>
          <t>¿Soporta acceso/entrega para los roles del escenario?</t>
        </is>
      </c>
      <c r="G446" t="inlineStr">
        <is>
          <t>NE</t>
        </is>
      </c>
      <c r="H446" t="inlineStr">
        <is>
          <t>Pendiente</t>
        </is>
      </c>
      <c r="I446" s="2" t="inlineStr">
        <is>
          <t>El acceso está condicionado a contar con permisos completos de la cuenta de facturación ("solo disponible con permisos de cuenta de facturación completos"), un control más binario que los roles graduales de Cloud Billing.</t>
        </is>
      </c>
      <c r="J446" t="inlineStr">
        <is>
          <t>https://docs.cloud.google.com/billing/docs/how-to/finops-hub</t>
        </is>
      </c>
      <c r="K446" t="inlineStr">
        <is>
          <t>2026-09-16</t>
        </is>
      </c>
      <c r="L446" s="2" t="inlineStr">
        <is>
          <t>Celda heredada FP-180 (2026-09-16): el valor 1 proviene de la investigacion del escenario E1 y no cuenta con evidencia propia de E6. Segun FP-177 el indicador AD1 depende del escenario, por lo que pasa a NE (no evidenciado, reduce cobertura) hasta investigarlo. La evidencia y la fuente originales se conservan como referencia del escenario de origen.</t>
        </is>
      </c>
    </row>
    <row r="447">
      <c r="A447" t="inlineStr">
        <is>
          <t>E6</t>
        </is>
      </c>
      <c r="B447" t="inlineStr">
        <is>
          <t>Cloud nativa</t>
        </is>
      </c>
      <c r="C447" t="inlineStr">
        <is>
          <t>Google Cloud FinOps Hub</t>
        </is>
      </c>
      <c r="D447" t="inlineStr">
        <is>
          <t>Adopcion</t>
        </is>
      </c>
      <c r="E447" t="inlineStr">
        <is>
          <t>AD2</t>
        </is>
      </c>
      <c r="F447" s="2" t="inlineStr">
        <is>
          <t>¿Ofrece guías, ownership o mecanismos de seguimiento para uso sostenido?</t>
        </is>
      </c>
      <c r="G447" t="n">
        <v>2</v>
      </c>
      <c r="H447" t="inlineStr">
        <is>
          <t>Oficial (candidato a 3 si se corrobora con una segunda fuente independiente o verificación práctica)</t>
        </is>
      </c>
      <c r="I447" s="2" t="inlineStr">
        <is>
          <t>El "FinOps score" mide explícitamente qué tan bien la organización usa las herramientas de monitoreo/ahorro de Google Cloud (etiquetado, automatización, compra de CUDs), acercándose a una medición integrada de adopción.</t>
        </is>
      </c>
      <c r="J447" t="inlineStr">
        <is>
          <t>https://docs.cloud.google.com/billing/docs/how-to/finops-hub</t>
        </is>
      </c>
      <c r="K447" t="inlineStr">
        <is>
          <t>2026-09-16</t>
        </is>
      </c>
      <c r="L447" s="2" t="inlineStr"/>
    </row>
    <row r="448">
      <c r="A448" t="inlineStr">
        <is>
          <t>E6</t>
        </is>
      </c>
      <c r="B448" t="inlineStr">
        <is>
          <t>Cloud nativa</t>
        </is>
      </c>
      <c r="C448" t="inlineStr">
        <is>
          <t>Google Cloud FinOps Hub</t>
        </is>
      </c>
      <c r="D448" t="inlineStr">
        <is>
          <t>Precio</t>
        </is>
      </c>
      <c r="E448" t="inlineStr">
        <is>
          <t>P1</t>
        </is>
      </c>
      <c r="F448" s="2" t="inlineStr">
        <is>
          <t>¿Expone precio, moneda, región, unidad, período y supuestos relevantes?</t>
        </is>
      </c>
      <c r="G448" t="n">
        <v>0</v>
      </c>
      <c r="H448" t="inlineStr">
        <is>
          <t>Oficial (ausencia verificada)</t>
        </is>
      </c>
      <c r="I448" s="2" t="inlineStr">
        <is>
          <t>No es una herramienta de transparencia de precio general (esa función es de Cloud Billing Reports/export).</t>
        </is>
      </c>
      <c r="J448" t="inlineStr">
        <is>
          <t>https://docs.cloud.google.com/billing/docs/how-to/finops-hub</t>
        </is>
      </c>
      <c r="K448" t="inlineStr">
        <is>
          <t>2026-09-16</t>
        </is>
      </c>
      <c r="L44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449">
      <c r="A449" t="inlineStr">
        <is>
          <t>E6</t>
        </is>
      </c>
      <c r="B449" t="inlineStr">
        <is>
          <t>Cloud nativa</t>
        </is>
      </c>
      <c r="C449" t="inlineStr">
        <is>
          <t>Google Cloud FinOps Hub</t>
        </is>
      </c>
      <c r="D449" t="inlineStr">
        <is>
          <t>Precio</t>
        </is>
      </c>
      <c r="E449" t="inlineStr">
        <is>
          <t>P2</t>
        </is>
      </c>
      <c r="F449" s="2" t="inlineStr">
        <is>
          <t>¿Permite estimar o comparar componentes sin ocultar límites de equivalencia?</t>
        </is>
      </c>
      <c r="G449" t="inlineStr">
        <is>
          <t>NE</t>
        </is>
      </c>
      <c r="H449" t="inlineStr">
        <is>
          <t>Pendiente</t>
        </is>
      </c>
      <c r="I449" s="2" t="inlineStr">
        <is>
          <t>No es una calculadora de estimación de componentes (esa función es de Google Cloud Pricing Calculator, evaluada aparte en E4).</t>
        </is>
      </c>
      <c r="J449" t="inlineStr">
        <is>
          <t>https://docs.cloud.google.com/billing/docs/how-to/finops-hub</t>
        </is>
      </c>
      <c r="K449" t="inlineStr">
        <is>
          <t>2026-09-16</t>
        </is>
      </c>
      <c r="L44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 | Celda heredada FP-180 (2026-09-16): el valor 0 proviene de la investigacion del escenario E1 y no cuenta con evidencia propia de E6. Segun FP-177 el indicador P2 depende del escenario, por lo que pasa a NE (no evidenciado, reduce cobertura) hasta investigarlo. La evidencia y la fuente originales se conservan como referencia del escenario de origen.</t>
        </is>
      </c>
    </row>
    <row r="450">
      <c r="A450" t="inlineStr">
        <is>
          <t>E6</t>
        </is>
      </c>
      <c r="B450" t="inlineStr">
        <is>
          <t>Cloud nativa</t>
        </is>
      </c>
      <c r="C450" t="inlineStr">
        <is>
          <t>Google Cloud FinOps Hub</t>
        </is>
      </c>
      <c r="D450" t="inlineStr">
        <is>
          <t>Dependencia</t>
        </is>
      </c>
      <c r="E450" t="inlineStr">
        <is>
          <t>D1</t>
        </is>
      </c>
      <c r="F450" s="2" t="inlineStr">
        <is>
          <t>¿Exporta datos/resultados en formato utilizable y documentado?</t>
        </is>
      </c>
      <c r="G450" t="inlineStr">
        <is>
          <t>NE</t>
        </is>
      </c>
      <c r="H450" t="inlineStr">
        <is>
          <t>Pendiente</t>
        </is>
      </c>
      <c r="I450" s="2" t="inlineStr">
        <is>
          <t>No es la fuente primaria de exportación de datos de costo/uso (esa función es del export de Cloud Billing, evaluada aparte); simplificación de alcance para evitar doble conteo.</t>
        </is>
      </c>
      <c r="J450" t="inlineStr">
        <is>
          <t>https://docs.cloud.google.com/billing/docs/how-to/finops-hub</t>
        </is>
      </c>
      <c r="K450" t="inlineStr">
        <is>
          <t>2026-09-16</t>
        </is>
      </c>
      <c r="L450"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451">
      <c r="A451" t="inlineStr">
        <is>
          <t>E6</t>
        </is>
      </c>
      <c r="B451" t="inlineStr">
        <is>
          <t>Cloud nativa</t>
        </is>
      </c>
      <c r="C451" t="inlineStr">
        <is>
          <t>Google Cloud FinOps Hub</t>
        </is>
      </c>
      <c r="D451" t="inlineStr">
        <is>
          <t>Dependencia</t>
        </is>
      </c>
      <c r="E451" t="inlineStr">
        <is>
          <t>D2</t>
        </is>
      </c>
      <c r="F451" s="2" t="inlineStr">
        <is>
          <t>¿Documenta dependencias propietarias y un camino de salida/configuración reversible?</t>
        </is>
      </c>
      <c r="G451" t="inlineStr">
        <is>
          <t>NE</t>
        </is>
      </c>
      <c r="H451" t="inlineStr">
        <is>
          <t>Pendiente</t>
        </is>
      </c>
      <c r="I451" s="2" t="inlineStr">
        <is>
          <t>Mismo alcance de diseño que D1.</t>
        </is>
      </c>
      <c r="J451" t="inlineStr">
        <is>
          <t>https://docs.cloud.google.com/billing/docs/how-to/finops-hub</t>
        </is>
      </c>
      <c r="K451" t="inlineStr">
        <is>
          <t>2026-09-16</t>
        </is>
      </c>
      <c r="L451" s="2" t="inlineStr">
        <is>
          <t>Corrección de alcance FP-180 (2026-09-16): el valor pasa de NA a NE. La justificación es una decisión de alcance del evaluador para evitar doble conteo entre productos del mismo proveedor, no una propiedad verificada del producto: se marca NE hasta investigarlo. La evidencia y la fuente originales no se modifican.</t>
        </is>
      </c>
    </row>
    <row r="452">
      <c r="A452" t="inlineStr">
        <is>
          <t>E1</t>
        </is>
      </c>
      <c r="B452" t="inlineStr">
        <is>
          <t>Multicloud</t>
        </is>
      </c>
      <c r="C452" t="inlineStr">
        <is>
          <t>Cloudability</t>
        </is>
      </c>
      <c r="D452" t="inlineStr">
        <is>
          <t>Visibilidad</t>
        </is>
      </c>
      <c r="E452" t="inlineStr">
        <is>
          <t>V1</t>
        </is>
      </c>
      <c r="F452" s="2" t="inlineStr">
        <is>
          <t>¿Desagrega costo y uso por cuenta/proyecto, servicio y período?</t>
        </is>
      </c>
      <c r="G452" t="inlineStr">
        <is>
          <t>NE</t>
        </is>
      </c>
      <c r="H452" t="inlineStr">
        <is>
          <t>Pendiente</t>
        </is>
      </c>
      <c r="I452" s="2" t="inlineStr">
        <is>
          <t>Apptio describe "unified visibility across technology spend" y "personalized Views for every team, app, or product"; única evidencia disponible es la página comercial del producto (la documentación técnica de IBM Docs devolvió error 403 en todos los intentos de acceso durante esta investigación).</t>
        </is>
      </c>
      <c r="J452" t="inlineStr">
        <is>
          <t>https://www.apptio.com/products/cloudability/</t>
        </is>
      </c>
      <c r="K452" t="inlineStr">
        <is>
          <t>2026-09-16</t>
        </is>
      </c>
      <c r="L45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E1. Segun FP-177 el indicador V1 depende del escenario, por lo que pasa a NE (no evidenciado, reduce cobertura) hasta investigarlo. La evidencia y la fuente originales se conservan como referencia del escenario de origen.</t>
        </is>
      </c>
    </row>
    <row r="453">
      <c r="A453" t="inlineStr">
        <is>
          <t>E1</t>
        </is>
      </c>
      <c r="B453" t="inlineStr">
        <is>
          <t>Multicloud</t>
        </is>
      </c>
      <c r="C453" t="inlineStr">
        <is>
          <t>Cloudability</t>
        </is>
      </c>
      <c r="D453" t="inlineStr">
        <is>
          <t>Visibilidad</t>
        </is>
      </c>
      <c r="E453" t="inlineStr">
        <is>
          <t>V2</t>
        </is>
      </c>
      <c r="F453" s="2" t="inlineStr">
        <is>
          <t>¿Permite rastrear un total hasta registros o fuente de facturación?</t>
        </is>
      </c>
      <c r="G453" t="inlineStr">
        <is>
          <t>NE</t>
        </is>
      </c>
      <c r="H453" t="inlineStr">
        <is>
          <t>Pendiente</t>
        </is>
      </c>
      <c r="I453" s="2" t="inlineStr">
        <is>
          <t>No se encontró evidencia (ni siquiera comercial) de una función específica de trazabilidad a factura/registro fuente en las páginas accesibles.</t>
        </is>
      </c>
      <c r="K453" t="inlineStr">
        <is>
          <t>2026-09-16</t>
        </is>
      </c>
      <c r="L45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54">
      <c r="A454" t="inlineStr">
        <is>
          <t>E1</t>
        </is>
      </c>
      <c r="B454" t="inlineStr">
        <is>
          <t>Multicloud</t>
        </is>
      </c>
      <c r="C454" t="inlineStr">
        <is>
          <t>Cloudability</t>
        </is>
      </c>
      <c r="D454" t="inlineStr">
        <is>
          <t>Asignacion</t>
        </is>
      </c>
      <c r="E454" t="inlineStr">
        <is>
          <t>A1</t>
        </is>
      </c>
      <c r="F454" s="2" t="inlineStr">
        <is>
          <t>¿Calcula gasto asignado/no asignado por responsable, centro o entidad?</t>
        </is>
      </c>
      <c r="G454" t="inlineStr">
        <is>
          <t>NE</t>
        </is>
      </c>
      <c r="H454" t="inlineStr">
        <is>
          <t>Pendiente</t>
        </is>
      </c>
      <c r="I454" s="2" t="inlineStr">
        <is>
          <t>"Business Mapping" categoriza el gasto a la taxonomía de negocio y habilita chargeback/showback (incluye integración con ServiceNow); única evidencia disponible es comercial.</t>
        </is>
      </c>
      <c r="J454" t="inlineStr">
        <is>
          <t>https://www.apptio.com/products/cloudability/business-mapping/</t>
        </is>
      </c>
      <c r="K454" t="inlineStr">
        <is>
          <t>2026-09-16</t>
        </is>
      </c>
      <c r="L454"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E1. Segun FP-177 el indicador A1 depende del escenario, por lo que pasa a NE (no evidenciado, reduce cobertura) hasta investigarlo. La evidencia y la fuente originales se conservan como referencia del escenario de origen.</t>
        </is>
      </c>
    </row>
    <row r="455">
      <c r="A455" t="inlineStr">
        <is>
          <t>E1</t>
        </is>
      </c>
      <c r="B455" t="inlineStr">
        <is>
          <t>Multicloud</t>
        </is>
      </c>
      <c r="C455" t="inlineStr">
        <is>
          <t>Cloudability</t>
        </is>
      </c>
      <c r="D455" t="inlineStr">
        <is>
          <t>Asignacion</t>
        </is>
      </c>
      <c r="E455" t="inlineStr">
        <is>
          <t>A2</t>
        </is>
      </c>
      <c r="F455" s="2" t="inlineStr">
        <is>
          <t>¿Explicita y aplica reglas para costo compartido/multi-tenant?</t>
        </is>
      </c>
      <c r="G455" t="inlineStr">
        <is>
          <t>NE</t>
        </is>
      </c>
      <c r="H455" t="inlineStr">
        <is>
          <t>Pendiente</t>
        </is>
      </c>
      <c r="I455" s="2" t="inlineStr">
        <is>
          <t>Business Mapping usa "sophisticated and nested evaluation criteria" para clasificar costo compartido a unidades de negocio; única evidencia disponible es comercial (no se verificó si el reparto es porcentual/reproducible).</t>
        </is>
      </c>
      <c r="J455" t="inlineStr">
        <is>
          <t>https://www.apptio.com/products/cloudability/business-mapping/</t>
        </is>
      </c>
      <c r="K455" t="inlineStr">
        <is>
          <t>2026-09-16</t>
        </is>
      </c>
      <c r="L455"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E1. Segun FP-177 el indicador A2 depende del escenario, por lo que pasa a NE (no evidenciado, reduce cobertura) hasta investigarlo. La evidencia y la fuente originales se conservan como referencia del escenario de origen.</t>
        </is>
      </c>
    </row>
    <row r="456">
      <c r="A456" t="inlineStr">
        <is>
          <t>E1</t>
        </is>
      </c>
      <c r="B456" t="inlineStr">
        <is>
          <t>Multicloud</t>
        </is>
      </c>
      <c r="C456" t="inlineStr">
        <is>
          <t>Cloudability</t>
        </is>
      </c>
      <c r="D456" t="inlineStr">
        <is>
          <t>Optimizacion</t>
        </is>
      </c>
      <c r="E456" t="inlineStr">
        <is>
          <t>O1</t>
        </is>
      </c>
      <c r="F456" s="2" t="inlineStr">
        <is>
          <t>¿Detecta desperdicio, rightsizing o compromiso relevante al escenario?</t>
        </is>
      </c>
      <c r="G456" t="inlineStr">
        <is>
          <t>NE</t>
        </is>
      </c>
      <c r="H456" t="inlineStr">
        <is>
          <t>Pendiente</t>
        </is>
      </c>
      <c r="I456" s="2" t="inlineStr">
        <is>
          <t>Rightsizing ofrece recomendaciones de "scale up, scale down and terminate" basadas en datos de observabilidad; única evidencia disponible es comercial (no se identificaron los proveedores cloud cubiertos).</t>
        </is>
      </c>
      <c r="J456" t="inlineStr">
        <is>
          <t>https://www.apptio.com/products/cloudability/rightsizing/</t>
        </is>
      </c>
      <c r="K456" t="inlineStr">
        <is>
          <t>2026-09-16</t>
        </is>
      </c>
      <c r="L456"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E1. Segun FP-177 el indicador O1 depende del escenario, por lo que pasa a NE (no evidenciado, reduce cobertura) hasta investigarlo. La evidencia y la fuente originales se conservan como referencia del escenario de origen.</t>
        </is>
      </c>
    </row>
    <row r="457">
      <c r="A457" t="inlineStr">
        <is>
          <t>E1</t>
        </is>
      </c>
      <c r="B457" t="inlineStr">
        <is>
          <t>Multicloud</t>
        </is>
      </c>
      <c r="C457" t="inlineStr">
        <is>
          <t>Cloudability</t>
        </is>
      </c>
      <c r="D457" t="inlineStr">
        <is>
          <t>Optimizacion</t>
        </is>
      </c>
      <c r="E457" t="inlineStr">
        <is>
          <t>O2</t>
        </is>
      </c>
      <c r="F457" s="2" t="inlineStr">
        <is>
          <t>¿Explica supuesto/impacto y permite seguir una recomendación?</t>
        </is>
      </c>
      <c r="G457" t="n">
        <v>1</v>
      </c>
      <c r="H457" t="inlineStr">
        <is>
          <t>Comercial</t>
        </is>
      </c>
      <c r="I457" s="2" t="inlineStr">
        <is>
          <t>La página comercial menciona "progress and implementation tracking" para estimar el ROI real, pero sin detalle verificable; única evidencia es comercial.</t>
        </is>
      </c>
      <c r="J457" t="inlineStr">
        <is>
          <t>https://www.apptio.com/products/cloudability/rightsizing/</t>
        </is>
      </c>
      <c r="K457" t="inlineStr">
        <is>
          <t>2026-09-16</t>
        </is>
      </c>
      <c r="L457"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58">
      <c r="A458" t="inlineStr">
        <is>
          <t>E1</t>
        </is>
      </c>
      <c r="B458" t="inlineStr">
        <is>
          <t>Multicloud</t>
        </is>
      </c>
      <c r="C458" t="inlineStr">
        <is>
          <t>Cloudability</t>
        </is>
      </c>
      <c r="D458" t="inlineStr">
        <is>
          <t>Automatizacion</t>
        </is>
      </c>
      <c r="E458" t="inlineStr">
        <is>
          <t>AU1</t>
        </is>
      </c>
      <c r="F458" s="2" t="inlineStr">
        <is>
          <t>¿Ejecuta o bloquea acciones/políticas de costo con control verificable?</t>
        </is>
      </c>
      <c r="G458" t="inlineStr">
        <is>
          <t>NE</t>
        </is>
      </c>
      <c r="H458" t="inlineStr">
        <is>
          <t>Pendiente</t>
        </is>
      </c>
      <c r="I458" s="2" t="inlineStr">
        <is>
          <t>No se encontró evidencia de ejecución/control automatizado de acciones de costo en las páginas comerciales accesibles; Rightsizing parece limitarse a recomendaciones con creación manual de tareas/Jira.</t>
        </is>
      </c>
      <c r="K458" t="inlineStr">
        <is>
          <t>2026-09-16</t>
        </is>
      </c>
      <c r="L458"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59">
      <c r="A459" t="inlineStr">
        <is>
          <t>E1</t>
        </is>
      </c>
      <c r="B459" t="inlineStr">
        <is>
          <t>Multicloud</t>
        </is>
      </c>
      <c r="C459" t="inlineStr">
        <is>
          <t>Cloudability</t>
        </is>
      </c>
      <c r="D459" t="inlineStr">
        <is>
          <t>Automatizacion</t>
        </is>
      </c>
      <c r="E459" t="inlineStr">
        <is>
          <t>AU2</t>
        </is>
      </c>
      <c r="F459" s="2" t="inlineStr">
        <is>
          <t>¿Ofrece aprobación, reversión, registro o límites antes de actuar?</t>
        </is>
      </c>
      <c r="G459" t="inlineStr">
        <is>
          <t>NE</t>
        </is>
      </c>
      <c r="H459" t="inlineStr">
        <is>
          <t>Pendiente</t>
        </is>
      </c>
      <c r="I459" s="2" t="inlineStr">
        <is>
          <t>Mismo motivo que AU1: sin evidencia de un mecanismo de ejecución que requiera salvaguardas verificables.</t>
        </is>
      </c>
      <c r="K459" t="inlineStr">
        <is>
          <t>2026-09-16</t>
        </is>
      </c>
      <c r="L459"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60">
      <c r="A460" t="inlineStr">
        <is>
          <t>E1</t>
        </is>
      </c>
      <c r="B460" t="inlineStr">
        <is>
          <t>Multicloud</t>
        </is>
      </c>
      <c r="C460" t="inlineStr">
        <is>
          <t>Cloudability</t>
        </is>
      </c>
      <c r="D460" t="inlineStr">
        <is>
          <t>Multicloud</t>
        </is>
      </c>
      <c r="E460" t="inlineStr">
        <is>
          <t>M1</t>
        </is>
      </c>
      <c r="F460" s="2" t="inlineStr">
        <is>
          <t>¿Consolida al menos dos proveedores bajo el mismo esquema declarado?</t>
        </is>
      </c>
      <c r="G460" t="n">
        <v>1</v>
      </c>
      <c r="H460" t="inlineStr">
        <is>
          <t>Comercial</t>
        </is>
      </c>
      <c r="I460" s="2" t="inlineStr">
        <is>
          <t>"One trusted view of all cloud and AI spend" / "single pane of glass"; única evidencia disponible es comercial y no específica los proveedores cubiertos ni un esquema de normalización declarado (a diferencia de CloudHealth/CloudZero/Vantage/Finout, que sí lo documentan).</t>
        </is>
      </c>
      <c r="J460" t="inlineStr">
        <is>
          <t>https://www.apptio.com/products/cloudability/</t>
        </is>
      </c>
      <c r="K460" t="inlineStr">
        <is>
          <t>2026-09-16</t>
        </is>
      </c>
      <c r="L460"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61">
      <c r="A461" t="inlineStr">
        <is>
          <t>E1</t>
        </is>
      </c>
      <c r="B461" t="inlineStr">
        <is>
          <t>Multicloud</t>
        </is>
      </c>
      <c r="C461" t="inlineStr">
        <is>
          <t>Cloudability</t>
        </is>
      </c>
      <c r="D461" t="inlineStr">
        <is>
          <t>Multicloud</t>
        </is>
      </c>
      <c r="E461" t="inlineStr">
        <is>
          <t>M2</t>
        </is>
      </c>
      <c r="F461" s="2" t="inlineStr">
        <is>
          <t>¿Hace visibles proveedor, cobertura y diferencias semánticas?</t>
        </is>
      </c>
      <c r="G461" t="inlineStr">
        <is>
          <t>NE</t>
        </is>
      </c>
      <c r="H461" t="inlineStr">
        <is>
          <t>Pendiente</t>
        </is>
      </c>
      <c r="I461" s="2" t="inlineStr">
        <is>
          <t>No se encontró evidencia de manejo explícito de diferencias/cobertura entre proveedores en las páginas accesibles.</t>
        </is>
      </c>
      <c r="K461" t="inlineStr">
        <is>
          <t>2026-09-16</t>
        </is>
      </c>
      <c r="L461"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62">
      <c r="A462" t="inlineStr">
        <is>
          <t>E1</t>
        </is>
      </c>
      <c r="B462" t="inlineStr">
        <is>
          <t>Multicloud</t>
        </is>
      </c>
      <c r="C462" t="inlineStr">
        <is>
          <t>Cloudability</t>
        </is>
      </c>
      <c r="D462" t="inlineStr">
        <is>
          <t>Integracion</t>
        </is>
      </c>
      <c r="E462" t="inlineStr">
        <is>
          <t>I1</t>
        </is>
      </c>
      <c r="F462" s="2" t="inlineStr">
        <is>
          <t>¿Integra datos requeridos (facturación, uso, clúster o IaC) del escenario?</t>
        </is>
      </c>
      <c r="G462" t="inlineStr">
        <is>
          <t>NE</t>
        </is>
      </c>
      <c r="H462" t="inlineStr">
        <is>
          <t>Pendiente</t>
        </is>
      </c>
      <c r="I462" s="2" t="inlineStr">
        <is>
          <t>"Container Cost Allocation" ingiere datos de observabilidad de clústeres para alimentar los modelos de rightsizing; única evidencia disponible es comercial.</t>
        </is>
      </c>
      <c r="J462" t="inlineStr">
        <is>
          <t>https://www.apptio.com/products/cloudability/</t>
        </is>
      </c>
      <c r="K462" t="inlineStr">
        <is>
          <t>2026-09-16</t>
        </is>
      </c>
      <c r="L46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E1. Segun FP-177 el indicador I1 depende del escenario, por lo que pasa a NE (no evidenciado, reduce cobertura) hasta investigarlo. La evidencia y la fuente originales se conservan como referencia del escenario de origen.</t>
        </is>
      </c>
    </row>
    <row r="463">
      <c r="A463" t="inlineStr">
        <is>
          <t>E1</t>
        </is>
      </c>
      <c r="B463" t="inlineStr">
        <is>
          <t>Multicloud</t>
        </is>
      </c>
      <c r="C463" t="inlineStr">
        <is>
          <t>Cloudability</t>
        </is>
      </c>
      <c r="D463" t="inlineStr">
        <is>
          <t>Integracion</t>
        </is>
      </c>
      <c r="E463" t="inlineStr">
        <is>
          <t>I2</t>
        </is>
      </c>
      <c r="F463" s="2" t="inlineStr">
        <is>
          <t>¿Se integra con el flujo de trabajo relevante (alerta, ticket, CI/CD o reporte)?</t>
        </is>
      </c>
      <c r="G463" t="inlineStr">
        <is>
          <t>NE</t>
        </is>
      </c>
      <c r="H463" t="inlineStr">
        <is>
          <t>Pendiente</t>
        </is>
      </c>
      <c r="I463" s="2" t="inlineStr">
        <is>
          <t>Rightsizing permite "create embedded tasks or Jira issues directly from our rightsizing recommendations"; única evidencia disponible es comercial.</t>
        </is>
      </c>
      <c r="J463" t="inlineStr">
        <is>
          <t>https://www.apptio.com/products/cloudability/rightsizing/</t>
        </is>
      </c>
      <c r="K463" t="inlineStr">
        <is>
          <t>2026-09-16</t>
        </is>
      </c>
      <c r="L46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E1. Segun FP-177 el indicador I2 depende del escenario, por lo que pasa a NE (no evidenciado, reduce cobertura) hasta investigarlo. La evidencia y la fuente originales se conservan como referencia del escenario de origen.</t>
        </is>
      </c>
    </row>
    <row r="464">
      <c r="A464" t="inlineStr">
        <is>
          <t>E1</t>
        </is>
      </c>
      <c r="B464" t="inlineStr">
        <is>
          <t>Multicloud</t>
        </is>
      </c>
      <c r="C464" t="inlineStr">
        <is>
          <t>Cloudability</t>
        </is>
      </c>
      <c r="D464" t="inlineStr">
        <is>
          <t>Adopcion</t>
        </is>
      </c>
      <c r="E464" t="inlineStr">
        <is>
          <t>AD1</t>
        </is>
      </c>
      <c r="F464" s="2" t="inlineStr">
        <is>
          <t>¿Soporta acceso/entrega para los roles del escenario?</t>
        </is>
      </c>
      <c r="G464" t="inlineStr">
        <is>
          <t>NE</t>
        </is>
      </c>
      <c r="H464" t="inlineStr">
        <is>
          <t>Pendiente</t>
        </is>
      </c>
      <c r="I464" s="2" t="inlineStr">
        <is>
          <t>El producto se describe organizado por roles (FinOps, DevOps, IT Finance, Product, Leadership, Procurement) con "personalized Views"; única evidencia disponible es comercial.</t>
        </is>
      </c>
      <c r="J464" t="inlineStr">
        <is>
          <t>https://www.apptio.com/products/cloudability/</t>
        </is>
      </c>
      <c r="K464" t="inlineStr">
        <is>
          <t>2026-09-16</t>
        </is>
      </c>
      <c r="L464"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E1. Segun FP-177 el indicador AD1 depende del escenario, por lo que pasa a NE (no evidenciado, reduce cobertura) hasta investigarlo. La evidencia y la fuente originales se conservan como referencia del escenario de origen.</t>
        </is>
      </c>
    </row>
    <row r="465">
      <c r="A465" t="inlineStr">
        <is>
          <t>E1</t>
        </is>
      </c>
      <c r="B465" t="inlineStr">
        <is>
          <t>Multicloud</t>
        </is>
      </c>
      <c r="C465" t="inlineStr">
        <is>
          <t>Cloudability</t>
        </is>
      </c>
      <c r="D465" t="inlineStr">
        <is>
          <t>Adopcion</t>
        </is>
      </c>
      <c r="E465" t="inlineStr">
        <is>
          <t>AD2</t>
        </is>
      </c>
      <c r="F465" s="2" t="inlineStr">
        <is>
          <t>¿Ofrece guías, ownership o mecanismos de seguimiento para uso sostenido?</t>
        </is>
      </c>
      <c r="G465" t="n">
        <v>1</v>
      </c>
      <c r="H465" t="inlineStr">
        <is>
          <t>Comercial</t>
        </is>
      </c>
      <c r="I465" s="2" t="inlineStr">
        <is>
          <t>Business Mapping aplica "governance rules to meet compliance requirements"; única evidencia disponible es comercial.</t>
        </is>
      </c>
      <c r="J465" t="inlineStr">
        <is>
          <t>https://www.apptio.com/products/cloudability/business-mapping/</t>
        </is>
      </c>
      <c r="K465" t="inlineStr">
        <is>
          <t>2026-09-16</t>
        </is>
      </c>
      <c r="L465"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66">
      <c r="A466" t="inlineStr">
        <is>
          <t>E1</t>
        </is>
      </c>
      <c r="B466" t="inlineStr">
        <is>
          <t>Multicloud</t>
        </is>
      </c>
      <c r="C466" t="inlineStr">
        <is>
          <t>Cloudability</t>
        </is>
      </c>
      <c r="D466" t="inlineStr">
        <is>
          <t>Precio</t>
        </is>
      </c>
      <c r="E466" t="inlineStr">
        <is>
          <t>P1</t>
        </is>
      </c>
      <c r="F466" s="2" t="inlineStr">
        <is>
          <t>¿Expone precio, moneda, región, unidad, período y supuestos relevantes?</t>
        </is>
      </c>
      <c r="G466" t="inlineStr">
        <is>
          <t>NE</t>
        </is>
      </c>
      <c r="H466" t="inlineStr">
        <is>
          <t>Pendiente</t>
        </is>
      </c>
      <c r="I466" s="2" t="inlineStr">
        <is>
          <t>No se encontró evidencia de transparencia de precio/supuestos (moneda, región, período) en las páginas comerciales accesibles.</t>
        </is>
      </c>
      <c r="K466" t="inlineStr">
        <is>
          <t>2026-09-16</t>
        </is>
      </c>
      <c r="L466"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67">
      <c r="A467" t="inlineStr">
        <is>
          <t>E1</t>
        </is>
      </c>
      <c r="B467" t="inlineStr">
        <is>
          <t>Multicloud</t>
        </is>
      </c>
      <c r="C467" t="inlineStr">
        <is>
          <t>Cloudability</t>
        </is>
      </c>
      <c r="D467" t="inlineStr">
        <is>
          <t>Precio</t>
        </is>
      </c>
      <c r="E467" t="inlineStr">
        <is>
          <t>P2</t>
        </is>
      </c>
      <c r="F467" s="2" t="inlineStr">
        <is>
          <t>¿Permite estimar o comparar componentes sin ocultar límites de equivalencia?</t>
        </is>
      </c>
      <c r="G467" t="inlineStr">
        <is>
          <t>NE</t>
        </is>
      </c>
      <c r="H467" t="inlineStr">
        <is>
          <t>Pendiente</t>
        </is>
      </c>
      <c r="I467" s="2" t="inlineStr">
        <is>
          <t>No se encontró evidencia de una función de comparación/estimación de precio contextual en las páginas accesibles.</t>
        </is>
      </c>
      <c r="K467" t="inlineStr">
        <is>
          <t>2026-09-16</t>
        </is>
      </c>
      <c r="L467"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68">
      <c r="A468" t="inlineStr">
        <is>
          <t>E1</t>
        </is>
      </c>
      <c r="B468" t="inlineStr">
        <is>
          <t>Multicloud</t>
        </is>
      </c>
      <c r="C468" t="inlineStr">
        <is>
          <t>Cloudability</t>
        </is>
      </c>
      <c r="D468" t="inlineStr">
        <is>
          <t>Dependencia</t>
        </is>
      </c>
      <c r="E468" t="inlineStr">
        <is>
          <t>D1</t>
        </is>
      </c>
      <c r="F468" s="2" t="inlineStr">
        <is>
          <t>¿Exporta datos/resultados en formato utilizable y documentado?</t>
        </is>
      </c>
      <c r="G468" t="inlineStr">
        <is>
          <t>NE</t>
        </is>
      </c>
      <c r="H468" t="inlineStr">
        <is>
          <t>Pendiente</t>
        </is>
      </c>
      <c r="I468" s="2" t="inlineStr">
        <is>
          <t>No se encontró evidencia específica de exportación/API de datos en las páginas comerciales accesibles.</t>
        </is>
      </c>
      <c r="K468" t="inlineStr">
        <is>
          <t>2026-09-16</t>
        </is>
      </c>
      <c r="L468"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69">
      <c r="A469" t="inlineStr">
        <is>
          <t>E1</t>
        </is>
      </c>
      <c r="B469" t="inlineStr">
        <is>
          <t>Multicloud</t>
        </is>
      </c>
      <c r="C469" t="inlineStr">
        <is>
          <t>Cloudability</t>
        </is>
      </c>
      <c r="D469" t="inlineStr">
        <is>
          <t>Dependencia</t>
        </is>
      </c>
      <c r="E469" t="inlineStr">
        <is>
          <t>D2</t>
        </is>
      </c>
      <c r="F469" s="2" t="inlineStr">
        <is>
          <t>¿Documenta dependencias propietarias y un camino de salida/configuración reversible?</t>
        </is>
      </c>
      <c r="G469" t="inlineStr">
        <is>
          <t>NE</t>
        </is>
      </c>
      <c r="H469" t="inlineStr">
        <is>
          <t>Pendiente</t>
        </is>
      </c>
      <c r="I469" s="2" t="inlineStr">
        <is>
          <t>No se encontró documentación sobre un camino de salida o reversibilidad.</t>
        </is>
      </c>
      <c r="K469" t="inlineStr">
        <is>
          <t>2026-09-16</t>
        </is>
      </c>
      <c r="L469"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0">
      <c r="A470" t="inlineStr">
        <is>
          <t>E2</t>
        </is>
      </c>
      <c r="B470" t="inlineStr">
        <is>
          <t>Multicloud</t>
        </is>
      </c>
      <c r="C470" t="inlineStr">
        <is>
          <t>Cloudability</t>
        </is>
      </c>
      <c r="D470" t="inlineStr">
        <is>
          <t>Visibilidad</t>
        </is>
      </c>
      <c r="E470" t="inlineStr">
        <is>
          <t>V1</t>
        </is>
      </c>
      <c r="F470" s="2" t="inlineStr">
        <is>
          <t>¿Desagrega costo y uso por cuenta/proyecto, servicio y período?</t>
        </is>
      </c>
      <c r="G470" t="n">
        <v>1</v>
      </c>
      <c r="H470" t="inlineStr">
        <is>
          <t>Comercial</t>
        </is>
      </c>
      <c r="I470" s="2" t="inlineStr">
        <is>
          <t>Apptio describe "unified visibility across technology spend" y "personalized Views for every team, app, or product"; única evidencia disponible es la página comercial del producto (la documentación técnica de IBM Docs devolvió error 403 en todos los intentos de acceso durante esta investigación).</t>
        </is>
      </c>
      <c r="J470" t="inlineStr">
        <is>
          <t>https://www.apptio.com/products/cloudability/</t>
        </is>
      </c>
      <c r="K470" t="inlineStr">
        <is>
          <t>2026-09-16</t>
        </is>
      </c>
      <c r="L470"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1">
      <c r="A471" t="inlineStr">
        <is>
          <t>E2</t>
        </is>
      </c>
      <c r="B471" t="inlineStr">
        <is>
          <t>Multicloud</t>
        </is>
      </c>
      <c r="C471" t="inlineStr">
        <is>
          <t>Cloudability</t>
        </is>
      </c>
      <c r="D471" t="inlineStr">
        <is>
          <t>Visibilidad</t>
        </is>
      </c>
      <c r="E471" t="inlineStr">
        <is>
          <t>V2</t>
        </is>
      </c>
      <c r="F471" s="2" t="inlineStr">
        <is>
          <t>¿Permite rastrear un total hasta registros o fuente de facturación?</t>
        </is>
      </c>
      <c r="G471" t="inlineStr">
        <is>
          <t>NE</t>
        </is>
      </c>
      <c r="H471" t="inlineStr">
        <is>
          <t>Pendiente</t>
        </is>
      </c>
      <c r="I471" s="2" t="inlineStr">
        <is>
          <t>No se encontró evidencia (ni siquiera comercial) de una función específica de trazabilidad a factura/registro fuente en las páginas accesibles.</t>
        </is>
      </c>
      <c r="K471" t="inlineStr">
        <is>
          <t>2026-09-16</t>
        </is>
      </c>
      <c r="L471"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2">
      <c r="A472" t="inlineStr">
        <is>
          <t>E2</t>
        </is>
      </c>
      <c r="B472" t="inlineStr">
        <is>
          <t>Multicloud</t>
        </is>
      </c>
      <c r="C472" t="inlineStr">
        <is>
          <t>Cloudability</t>
        </is>
      </c>
      <c r="D472" t="inlineStr">
        <is>
          <t>Asignacion</t>
        </is>
      </c>
      <c r="E472" t="inlineStr">
        <is>
          <t>A1</t>
        </is>
      </c>
      <c r="F472" s="2" t="inlineStr">
        <is>
          <t>¿Calcula gasto asignado/no asignado por responsable, centro o entidad?</t>
        </is>
      </c>
      <c r="G472" t="n">
        <v>1</v>
      </c>
      <c r="H472" t="inlineStr">
        <is>
          <t>Comercial</t>
        </is>
      </c>
      <c r="I472" s="2" t="inlineStr">
        <is>
          <t>"Business Mapping" categoriza el gasto a la taxonomía de negocio y habilita chargeback/showback (incluye integración con ServiceNow); única evidencia disponible es comercial.</t>
        </is>
      </c>
      <c r="J472" t="inlineStr">
        <is>
          <t>https://www.apptio.com/products/cloudability/business-mapping/</t>
        </is>
      </c>
      <c r="K472" t="inlineStr">
        <is>
          <t>2026-09-16</t>
        </is>
      </c>
      <c r="L47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3">
      <c r="A473" t="inlineStr">
        <is>
          <t>E2</t>
        </is>
      </c>
      <c r="B473" t="inlineStr">
        <is>
          <t>Multicloud</t>
        </is>
      </c>
      <c r="C473" t="inlineStr">
        <is>
          <t>Cloudability</t>
        </is>
      </c>
      <c r="D473" t="inlineStr">
        <is>
          <t>Asignacion</t>
        </is>
      </c>
      <c r="E473" t="inlineStr">
        <is>
          <t>A2</t>
        </is>
      </c>
      <c r="F473" s="2" t="inlineStr">
        <is>
          <t>¿Explicita y aplica reglas para costo compartido/multi-tenant?</t>
        </is>
      </c>
      <c r="G473" t="n">
        <v>1</v>
      </c>
      <c r="H473" t="inlineStr">
        <is>
          <t>Comercial</t>
        </is>
      </c>
      <c r="I473" s="2" t="inlineStr">
        <is>
          <t>Business Mapping usa "sophisticated and nested evaluation criteria" para clasificar costo compartido a unidades de negocio; única evidencia disponible es comercial (no se verificó si el reparto es porcentual/reproducible).</t>
        </is>
      </c>
      <c r="J473" t="inlineStr">
        <is>
          <t>https://www.apptio.com/products/cloudability/business-mapping/</t>
        </is>
      </c>
      <c r="K473" t="inlineStr">
        <is>
          <t>2026-09-16</t>
        </is>
      </c>
      <c r="L47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4">
      <c r="A474" t="inlineStr">
        <is>
          <t>E2</t>
        </is>
      </c>
      <c r="B474" t="inlineStr">
        <is>
          <t>Multicloud</t>
        </is>
      </c>
      <c r="C474" t="inlineStr">
        <is>
          <t>Cloudability</t>
        </is>
      </c>
      <c r="D474" t="inlineStr">
        <is>
          <t>Optimizacion</t>
        </is>
      </c>
      <c r="E474" t="inlineStr">
        <is>
          <t>O1</t>
        </is>
      </c>
      <c r="F474" s="2" t="inlineStr">
        <is>
          <t>¿Detecta desperdicio, rightsizing o compromiso relevante al escenario?</t>
        </is>
      </c>
      <c r="G474" t="n">
        <v>1</v>
      </c>
      <c r="H474" t="inlineStr">
        <is>
          <t>Comercial</t>
        </is>
      </c>
      <c r="I474" s="2" t="inlineStr">
        <is>
          <t>Rightsizing ofrece recomendaciones de "scale up, scale down and terminate" basadas en datos de observabilidad; única evidencia disponible es comercial (no se identificaron los proveedores cloud cubiertos).</t>
        </is>
      </c>
      <c r="J474" t="inlineStr">
        <is>
          <t>https://www.apptio.com/products/cloudability/rightsizing/</t>
        </is>
      </c>
      <c r="K474" t="inlineStr">
        <is>
          <t>2026-09-16</t>
        </is>
      </c>
      <c r="L474"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5">
      <c r="A475" t="inlineStr">
        <is>
          <t>E2</t>
        </is>
      </c>
      <c r="B475" t="inlineStr">
        <is>
          <t>Multicloud</t>
        </is>
      </c>
      <c r="C475" t="inlineStr">
        <is>
          <t>Cloudability</t>
        </is>
      </c>
      <c r="D475" t="inlineStr">
        <is>
          <t>Optimizacion</t>
        </is>
      </c>
      <c r="E475" t="inlineStr">
        <is>
          <t>O2</t>
        </is>
      </c>
      <c r="F475" s="2" t="inlineStr">
        <is>
          <t>¿Explica supuesto/impacto y permite seguir una recomendación?</t>
        </is>
      </c>
      <c r="G475" t="n">
        <v>1</v>
      </c>
      <c r="H475" t="inlineStr">
        <is>
          <t>Comercial</t>
        </is>
      </c>
      <c r="I475" s="2" t="inlineStr">
        <is>
          <t>La página comercial menciona "progress and implementation tracking" para estimar el ROI real, pero sin detalle verificable; única evidencia es comercial.</t>
        </is>
      </c>
      <c r="J475" t="inlineStr">
        <is>
          <t>https://www.apptio.com/products/cloudability/rightsizing/</t>
        </is>
      </c>
      <c r="K475" t="inlineStr">
        <is>
          <t>2026-09-16</t>
        </is>
      </c>
      <c r="L475"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6">
      <c r="A476" t="inlineStr">
        <is>
          <t>E2</t>
        </is>
      </c>
      <c r="B476" t="inlineStr">
        <is>
          <t>Multicloud</t>
        </is>
      </c>
      <c r="C476" t="inlineStr">
        <is>
          <t>Cloudability</t>
        </is>
      </c>
      <c r="D476" t="inlineStr">
        <is>
          <t>Automatizacion</t>
        </is>
      </c>
      <c r="E476" t="inlineStr">
        <is>
          <t>AU1</t>
        </is>
      </c>
      <c r="F476" s="2" t="inlineStr">
        <is>
          <t>¿Ejecuta o bloquea acciones/políticas de costo con control verificable?</t>
        </is>
      </c>
      <c r="G476" t="inlineStr">
        <is>
          <t>NE</t>
        </is>
      </c>
      <c r="H476" t="inlineStr">
        <is>
          <t>Pendiente</t>
        </is>
      </c>
      <c r="I476" s="2" t="inlineStr">
        <is>
          <t>No se encontró evidencia de ejecución/control automatizado de acciones de costo en las páginas comerciales accesibles; Rightsizing parece limitarse a recomendaciones con creación manual de tareas/Jira.</t>
        </is>
      </c>
      <c r="K476" t="inlineStr">
        <is>
          <t>2026-09-16</t>
        </is>
      </c>
      <c r="L476"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7">
      <c r="A477" t="inlineStr">
        <is>
          <t>E2</t>
        </is>
      </c>
      <c r="B477" t="inlineStr">
        <is>
          <t>Multicloud</t>
        </is>
      </c>
      <c r="C477" t="inlineStr">
        <is>
          <t>Cloudability</t>
        </is>
      </c>
      <c r="D477" t="inlineStr">
        <is>
          <t>Automatizacion</t>
        </is>
      </c>
      <c r="E477" t="inlineStr">
        <is>
          <t>AU2</t>
        </is>
      </c>
      <c r="F477" s="2" t="inlineStr">
        <is>
          <t>¿Ofrece aprobación, reversión, registro o límites antes de actuar?</t>
        </is>
      </c>
      <c r="G477" t="inlineStr">
        <is>
          <t>NE</t>
        </is>
      </c>
      <c r="H477" t="inlineStr">
        <is>
          <t>Pendiente</t>
        </is>
      </c>
      <c r="I477" s="2" t="inlineStr">
        <is>
          <t>Mismo motivo que AU1: sin evidencia de un mecanismo de ejecución que requiera salvaguardas verificables.</t>
        </is>
      </c>
      <c r="K477" t="inlineStr">
        <is>
          <t>2026-09-16</t>
        </is>
      </c>
      <c r="L477"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8">
      <c r="A478" t="inlineStr">
        <is>
          <t>E2</t>
        </is>
      </c>
      <c r="B478" t="inlineStr">
        <is>
          <t>Multicloud</t>
        </is>
      </c>
      <c r="C478" t="inlineStr">
        <is>
          <t>Cloudability</t>
        </is>
      </c>
      <c r="D478" t="inlineStr">
        <is>
          <t>Multicloud</t>
        </is>
      </c>
      <c r="E478" t="inlineStr">
        <is>
          <t>M1</t>
        </is>
      </c>
      <c r="F478" s="2" t="inlineStr">
        <is>
          <t>¿Consolida al menos dos proveedores bajo el mismo esquema declarado?</t>
        </is>
      </c>
      <c r="G478" t="n">
        <v>1</v>
      </c>
      <c r="H478" t="inlineStr">
        <is>
          <t>Comercial</t>
        </is>
      </c>
      <c r="I478" s="2" t="inlineStr">
        <is>
          <t>"One trusted view of all cloud and AI spend" / "single pane of glass"; única evidencia disponible es comercial y no específica los proveedores cubiertos ni un esquema de normalización declarado (a diferencia de CloudHealth/CloudZero/Vantage/Finout, que sí lo documentan).</t>
        </is>
      </c>
      <c r="J478" t="inlineStr">
        <is>
          <t>https://www.apptio.com/products/cloudability/</t>
        </is>
      </c>
      <c r="K478" t="inlineStr">
        <is>
          <t>2026-09-16</t>
        </is>
      </c>
      <c r="L478"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79">
      <c r="A479" t="inlineStr">
        <is>
          <t>E2</t>
        </is>
      </c>
      <c r="B479" t="inlineStr">
        <is>
          <t>Multicloud</t>
        </is>
      </c>
      <c r="C479" t="inlineStr">
        <is>
          <t>Cloudability</t>
        </is>
      </c>
      <c r="D479" t="inlineStr">
        <is>
          <t>Multicloud</t>
        </is>
      </c>
      <c r="E479" t="inlineStr">
        <is>
          <t>M2</t>
        </is>
      </c>
      <c r="F479" s="2" t="inlineStr">
        <is>
          <t>¿Hace visibles proveedor, cobertura y diferencias semánticas?</t>
        </is>
      </c>
      <c r="G479" t="inlineStr">
        <is>
          <t>NE</t>
        </is>
      </c>
      <c r="H479" t="inlineStr">
        <is>
          <t>Pendiente</t>
        </is>
      </c>
      <c r="I479" s="2" t="inlineStr">
        <is>
          <t>No se encontró evidencia de manejo explícito de diferencias/cobertura entre proveedores en las páginas accesibles.</t>
        </is>
      </c>
      <c r="K479" t="inlineStr">
        <is>
          <t>2026-09-16</t>
        </is>
      </c>
      <c r="L479"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0">
      <c r="A480" t="inlineStr">
        <is>
          <t>E2</t>
        </is>
      </c>
      <c r="B480" t="inlineStr">
        <is>
          <t>Multicloud</t>
        </is>
      </c>
      <c r="C480" t="inlineStr">
        <is>
          <t>Cloudability</t>
        </is>
      </c>
      <c r="D480" t="inlineStr">
        <is>
          <t>Integracion</t>
        </is>
      </c>
      <c r="E480" t="inlineStr">
        <is>
          <t>I1</t>
        </is>
      </c>
      <c r="F480" s="2" t="inlineStr">
        <is>
          <t>¿Integra datos requeridos (facturación, uso, clúster o IaC) del escenario?</t>
        </is>
      </c>
      <c r="G480" t="n">
        <v>1</v>
      </c>
      <c r="H480" t="inlineStr">
        <is>
          <t>Comercial</t>
        </is>
      </c>
      <c r="I480" s="2" t="inlineStr">
        <is>
          <t>"Container Cost Allocation" ingiere datos de observabilidad de clústeres para alimentar los modelos de rightsizing; única evidencia disponible es comercial.</t>
        </is>
      </c>
      <c r="J480" t="inlineStr">
        <is>
          <t>https://www.apptio.com/products/cloudability/</t>
        </is>
      </c>
      <c r="K480" t="inlineStr">
        <is>
          <t>2026-09-16</t>
        </is>
      </c>
      <c r="L480"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1">
      <c r="A481" t="inlineStr">
        <is>
          <t>E2</t>
        </is>
      </c>
      <c r="B481" t="inlineStr">
        <is>
          <t>Multicloud</t>
        </is>
      </c>
      <c r="C481" t="inlineStr">
        <is>
          <t>Cloudability</t>
        </is>
      </c>
      <c r="D481" t="inlineStr">
        <is>
          <t>Integracion</t>
        </is>
      </c>
      <c r="E481" t="inlineStr">
        <is>
          <t>I2</t>
        </is>
      </c>
      <c r="F481" s="2" t="inlineStr">
        <is>
          <t>¿Se integra con el flujo de trabajo relevante (alerta, ticket, CI/CD o reporte)?</t>
        </is>
      </c>
      <c r="G481" t="n">
        <v>1</v>
      </c>
      <c r="H481" t="inlineStr">
        <is>
          <t>Comercial</t>
        </is>
      </c>
      <c r="I481" s="2" t="inlineStr">
        <is>
          <t>Rightsizing permite "create embedded tasks or Jira issues directly from our rightsizing recommendations"; única evidencia disponible es comercial.</t>
        </is>
      </c>
      <c r="J481" t="inlineStr">
        <is>
          <t>https://www.apptio.com/products/cloudability/rightsizing/</t>
        </is>
      </c>
      <c r="K481" t="inlineStr">
        <is>
          <t>2026-09-16</t>
        </is>
      </c>
      <c r="L481"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2">
      <c r="A482" t="inlineStr">
        <is>
          <t>E2</t>
        </is>
      </c>
      <c r="B482" t="inlineStr">
        <is>
          <t>Multicloud</t>
        </is>
      </c>
      <c r="C482" t="inlineStr">
        <is>
          <t>Cloudability</t>
        </is>
      </c>
      <c r="D482" t="inlineStr">
        <is>
          <t>Adopcion</t>
        </is>
      </c>
      <c r="E482" t="inlineStr">
        <is>
          <t>AD1</t>
        </is>
      </c>
      <c r="F482" s="2" t="inlineStr">
        <is>
          <t>¿Soporta acceso/entrega para los roles del escenario?</t>
        </is>
      </c>
      <c r="G482" t="n">
        <v>1</v>
      </c>
      <c r="H482" t="inlineStr">
        <is>
          <t>Comercial</t>
        </is>
      </c>
      <c r="I482" s="2" t="inlineStr">
        <is>
          <t>El producto se describe organizado por roles (FinOps, DevOps, IT Finance, Product, Leadership, Procurement) con "personalized Views"; única evidencia disponible es comercial.</t>
        </is>
      </c>
      <c r="J482" t="inlineStr">
        <is>
          <t>https://www.apptio.com/products/cloudability/</t>
        </is>
      </c>
      <c r="K482" t="inlineStr">
        <is>
          <t>2026-09-16</t>
        </is>
      </c>
      <c r="L48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3">
      <c r="A483" t="inlineStr">
        <is>
          <t>E2</t>
        </is>
      </c>
      <c r="B483" t="inlineStr">
        <is>
          <t>Multicloud</t>
        </is>
      </c>
      <c r="C483" t="inlineStr">
        <is>
          <t>Cloudability</t>
        </is>
      </c>
      <c r="D483" t="inlineStr">
        <is>
          <t>Adopcion</t>
        </is>
      </c>
      <c r="E483" t="inlineStr">
        <is>
          <t>AD2</t>
        </is>
      </c>
      <c r="F483" s="2" t="inlineStr">
        <is>
          <t>¿Ofrece guías, ownership o mecanismos de seguimiento para uso sostenido?</t>
        </is>
      </c>
      <c r="G483" t="n">
        <v>1</v>
      </c>
      <c r="H483" t="inlineStr">
        <is>
          <t>Comercial</t>
        </is>
      </c>
      <c r="I483" s="2" t="inlineStr">
        <is>
          <t>Business Mapping aplica "governance rules to meet compliance requirements"; única evidencia disponible es comercial.</t>
        </is>
      </c>
      <c r="J483" t="inlineStr">
        <is>
          <t>https://www.apptio.com/products/cloudability/business-mapping/</t>
        </is>
      </c>
      <c r="K483" t="inlineStr">
        <is>
          <t>2026-09-16</t>
        </is>
      </c>
      <c r="L48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4">
      <c r="A484" t="inlineStr">
        <is>
          <t>E2</t>
        </is>
      </c>
      <c r="B484" t="inlineStr">
        <is>
          <t>Multicloud</t>
        </is>
      </c>
      <c r="C484" t="inlineStr">
        <is>
          <t>Cloudability</t>
        </is>
      </c>
      <c r="D484" t="inlineStr">
        <is>
          <t>Precio</t>
        </is>
      </c>
      <c r="E484" t="inlineStr">
        <is>
          <t>P1</t>
        </is>
      </c>
      <c r="F484" s="2" t="inlineStr">
        <is>
          <t>¿Expone precio, moneda, región, unidad, período y supuestos relevantes?</t>
        </is>
      </c>
      <c r="G484" t="inlineStr">
        <is>
          <t>NE</t>
        </is>
      </c>
      <c r="H484" t="inlineStr">
        <is>
          <t>Pendiente</t>
        </is>
      </c>
      <c r="I484" s="2" t="inlineStr">
        <is>
          <t>No se encontró evidencia de transparencia de precio/supuestos (moneda, región, período) en las páginas comerciales accesibles.</t>
        </is>
      </c>
      <c r="K484" t="inlineStr">
        <is>
          <t>2026-09-16</t>
        </is>
      </c>
      <c r="L484"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5">
      <c r="A485" t="inlineStr">
        <is>
          <t>E2</t>
        </is>
      </c>
      <c r="B485" t="inlineStr">
        <is>
          <t>Multicloud</t>
        </is>
      </c>
      <c r="C485" t="inlineStr">
        <is>
          <t>Cloudability</t>
        </is>
      </c>
      <c r="D485" t="inlineStr">
        <is>
          <t>Precio</t>
        </is>
      </c>
      <c r="E485" t="inlineStr">
        <is>
          <t>P2</t>
        </is>
      </c>
      <c r="F485" s="2" t="inlineStr">
        <is>
          <t>¿Permite estimar o comparar componentes sin ocultar límites de equivalencia?</t>
        </is>
      </c>
      <c r="G485" t="inlineStr">
        <is>
          <t>NE</t>
        </is>
      </c>
      <c r="H485" t="inlineStr">
        <is>
          <t>Pendiente</t>
        </is>
      </c>
      <c r="I485" s="2" t="inlineStr">
        <is>
          <t>No se encontró evidencia de una función de comparación/estimación de precio contextual en las páginas accesibles.</t>
        </is>
      </c>
      <c r="K485" t="inlineStr">
        <is>
          <t>2026-09-16</t>
        </is>
      </c>
      <c r="L485"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6">
      <c r="A486" t="inlineStr">
        <is>
          <t>E2</t>
        </is>
      </c>
      <c r="B486" t="inlineStr">
        <is>
          <t>Multicloud</t>
        </is>
      </c>
      <c r="C486" t="inlineStr">
        <is>
          <t>Cloudability</t>
        </is>
      </c>
      <c r="D486" t="inlineStr">
        <is>
          <t>Dependencia</t>
        </is>
      </c>
      <c r="E486" t="inlineStr">
        <is>
          <t>D1</t>
        </is>
      </c>
      <c r="F486" s="2" t="inlineStr">
        <is>
          <t>¿Exporta datos/resultados en formato utilizable y documentado?</t>
        </is>
      </c>
      <c r="G486" t="inlineStr">
        <is>
          <t>NE</t>
        </is>
      </c>
      <c r="H486" t="inlineStr">
        <is>
          <t>Pendiente</t>
        </is>
      </c>
      <c r="I486" s="2" t="inlineStr">
        <is>
          <t>No se encontró evidencia específica de exportación/API de datos en las páginas comerciales accesibles.</t>
        </is>
      </c>
      <c r="K486" t="inlineStr">
        <is>
          <t>2026-09-16</t>
        </is>
      </c>
      <c r="L486"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7">
      <c r="A487" t="inlineStr">
        <is>
          <t>E2</t>
        </is>
      </c>
      <c r="B487" t="inlineStr">
        <is>
          <t>Multicloud</t>
        </is>
      </c>
      <c r="C487" t="inlineStr">
        <is>
          <t>Cloudability</t>
        </is>
      </c>
      <c r="D487" t="inlineStr">
        <is>
          <t>Dependencia</t>
        </is>
      </c>
      <c r="E487" t="inlineStr">
        <is>
          <t>D2</t>
        </is>
      </c>
      <c r="F487" s="2" t="inlineStr">
        <is>
          <t>¿Documenta dependencias propietarias y un camino de salida/configuración reversible?</t>
        </is>
      </c>
      <c r="G487" t="inlineStr">
        <is>
          <t>NE</t>
        </is>
      </c>
      <c r="H487" t="inlineStr">
        <is>
          <t>Pendiente</t>
        </is>
      </c>
      <c r="I487" s="2" t="inlineStr">
        <is>
          <t>No se encontró documentación sobre un camino de salida o reversibilidad.</t>
        </is>
      </c>
      <c r="K487" t="inlineStr">
        <is>
          <t>2026-09-16</t>
        </is>
      </c>
      <c r="L487"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88">
      <c r="A488" t="inlineStr">
        <is>
          <t>E5</t>
        </is>
      </c>
      <c r="B488" t="inlineStr">
        <is>
          <t>Multicloud</t>
        </is>
      </c>
      <c r="C488" t="inlineStr">
        <is>
          <t>Cloudability</t>
        </is>
      </c>
      <c r="D488" t="inlineStr">
        <is>
          <t>Visibilidad</t>
        </is>
      </c>
      <c r="E488" t="inlineStr">
        <is>
          <t>V1</t>
        </is>
      </c>
      <c r="F488" s="2" t="inlineStr">
        <is>
          <t>¿Desagrega costo y uso por cuenta/proyecto, servicio y período?</t>
        </is>
      </c>
      <c r="G488" t="inlineStr">
        <is>
          <t>NE</t>
        </is>
      </c>
      <c r="H488" t="inlineStr">
        <is>
          <t>Pendiente</t>
        </is>
      </c>
      <c r="I488" s="2" t="inlineStr">
        <is>
          <t>Apptio describe "unified visibility across technology spend" y "personalized Views for every team, app, or product"; única evidencia disponible es la página comercial del producto (la documentación técnica de IBM Docs devolvió error 403 en todos los intentos de acceso durante esta investigación).</t>
        </is>
      </c>
      <c r="J488" t="inlineStr">
        <is>
          <t>https://www.apptio.com/products/cloudability/</t>
        </is>
      </c>
      <c r="K488" t="inlineStr">
        <is>
          <t>2026-09-16</t>
        </is>
      </c>
      <c r="L488"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E5. Segun FP-177 el indicador V1 depende del escenario, por lo que pasa a NE (no evidenciado, reduce cobertura) hasta investigarlo. La evidencia y la fuente originales se conservan como referencia del escenario de origen.</t>
        </is>
      </c>
    </row>
    <row r="489">
      <c r="A489" t="inlineStr">
        <is>
          <t>E5</t>
        </is>
      </c>
      <c r="B489" t="inlineStr">
        <is>
          <t>Multicloud</t>
        </is>
      </c>
      <c r="C489" t="inlineStr">
        <is>
          <t>Cloudability</t>
        </is>
      </c>
      <c r="D489" t="inlineStr">
        <is>
          <t>Visibilidad</t>
        </is>
      </c>
      <c r="E489" t="inlineStr">
        <is>
          <t>V2</t>
        </is>
      </c>
      <c r="F489" s="2" t="inlineStr">
        <is>
          <t>¿Permite rastrear un total hasta registros o fuente de facturación?</t>
        </is>
      </c>
      <c r="G489" t="inlineStr">
        <is>
          <t>NE</t>
        </is>
      </c>
      <c r="H489" t="inlineStr">
        <is>
          <t>Pendiente</t>
        </is>
      </c>
      <c r="I489" s="2" t="inlineStr">
        <is>
          <t>No se encontró evidencia (ni siquiera comercial) de una función específica de trazabilidad a factura/registro fuente en las páginas accesibles.</t>
        </is>
      </c>
      <c r="K489" t="inlineStr">
        <is>
          <t>2026-09-16</t>
        </is>
      </c>
      <c r="L489"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90">
      <c r="A490" t="inlineStr">
        <is>
          <t>E5</t>
        </is>
      </c>
      <c r="B490" t="inlineStr">
        <is>
          <t>Multicloud</t>
        </is>
      </c>
      <c r="C490" t="inlineStr">
        <is>
          <t>Cloudability</t>
        </is>
      </c>
      <c r="D490" t="inlineStr">
        <is>
          <t>Asignacion</t>
        </is>
      </c>
      <c r="E490" t="inlineStr">
        <is>
          <t>A1</t>
        </is>
      </c>
      <c r="F490" s="2" t="inlineStr">
        <is>
          <t>¿Calcula gasto asignado/no asignado por responsable, centro o entidad?</t>
        </is>
      </c>
      <c r="G490" t="inlineStr">
        <is>
          <t>NE</t>
        </is>
      </c>
      <c r="H490" t="inlineStr">
        <is>
          <t>Pendiente</t>
        </is>
      </c>
      <c r="I490" s="2" t="inlineStr">
        <is>
          <t>"Business Mapping" categoriza el gasto a la taxonomía de negocio y habilita chargeback/showback (incluye integración con ServiceNow); única evidencia disponible es comercial.</t>
        </is>
      </c>
      <c r="J490" t="inlineStr">
        <is>
          <t>https://www.apptio.com/products/cloudability/business-mapping/</t>
        </is>
      </c>
      <c r="K490" t="inlineStr">
        <is>
          <t>2026-09-16</t>
        </is>
      </c>
      <c r="L490"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E5. Segun FP-177 el indicador A1 depende del escenario, por lo que pasa a NE (no evidenciado, reduce cobertura) hasta investigarlo. La evidencia y la fuente originales se conservan como referencia del escenario de origen.</t>
        </is>
      </c>
    </row>
    <row r="491">
      <c r="A491" t="inlineStr">
        <is>
          <t>E5</t>
        </is>
      </c>
      <c r="B491" t="inlineStr">
        <is>
          <t>Multicloud</t>
        </is>
      </c>
      <c r="C491" t="inlineStr">
        <is>
          <t>Cloudability</t>
        </is>
      </c>
      <c r="D491" t="inlineStr">
        <is>
          <t>Asignacion</t>
        </is>
      </c>
      <c r="E491" t="inlineStr">
        <is>
          <t>A2</t>
        </is>
      </c>
      <c r="F491" s="2" t="inlineStr">
        <is>
          <t>¿Explicita y aplica reglas para costo compartido/multi-tenant?</t>
        </is>
      </c>
      <c r="G491" t="inlineStr">
        <is>
          <t>NE</t>
        </is>
      </c>
      <c r="H491" t="inlineStr">
        <is>
          <t>Pendiente</t>
        </is>
      </c>
      <c r="I491" s="2" t="inlineStr">
        <is>
          <t>Business Mapping usa "sophisticated and nested evaluation criteria" para clasificar costo compartido a unidades de negocio; única evidencia disponible es comercial (no se verificó si el reparto es porcentual/reproducible).</t>
        </is>
      </c>
      <c r="J491" t="inlineStr">
        <is>
          <t>https://www.apptio.com/products/cloudability/business-mapping/</t>
        </is>
      </c>
      <c r="K491" t="inlineStr">
        <is>
          <t>2026-09-16</t>
        </is>
      </c>
      <c r="L491"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E5. Segun FP-177 el indicador A2 depende del escenario, por lo que pasa a NE (no evidenciado, reduce cobertura) hasta investigarlo. La evidencia y la fuente originales se conservan como referencia del escenario de origen.</t>
        </is>
      </c>
    </row>
    <row r="492">
      <c r="A492" t="inlineStr">
        <is>
          <t>E5</t>
        </is>
      </c>
      <c r="B492" t="inlineStr">
        <is>
          <t>Multicloud</t>
        </is>
      </c>
      <c r="C492" t="inlineStr">
        <is>
          <t>Cloudability</t>
        </is>
      </c>
      <c r="D492" t="inlineStr">
        <is>
          <t>Optimizacion</t>
        </is>
      </c>
      <c r="E492" t="inlineStr">
        <is>
          <t>O1</t>
        </is>
      </c>
      <c r="F492" s="2" t="inlineStr">
        <is>
          <t>¿Detecta desperdicio, rightsizing o compromiso relevante al escenario?</t>
        </is>
      </c>
      <c r="G492" t="inlineStr">
        <is>
          <t>NE</t>
        </is>
      </c>
      <c r="H492" t="inlineStr">
        <is>
          <t>Pendiente</t>
        </is>
      </c>
      <c r="I492" s="2" t="inlineStr">
        <is>
          <t>Rightsizing ofrece recomendaciones de "scale up, scale down and terminate" basadas en datos de observabilidad; única evidencia disponible es comercial (no se identificaron los proveedores cloud cubiertos).</t>
        </is>
      </c>
      <c r="J492" t="inlineStr">
        <is>
          <t>https://www.apptio.com/products/cloudability/rightsizing/</t>
        </is>
      </c>
      <c r="K492" t="inlineStr">
        <is>
          <t>2026-09-16</t>
        </is>
      </c>
      <c r="L49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E5. Segun FP-177 el indicador O1 depende del escenario, por lo que pasa a NE (no evidenciado, reduce cobertura) hasta investigarlo. La evidencia y la fuente originales se conservan como referencia del escenario de origen.</t>
        </is>
      </c>
    </row>
    <row r="493">
      <c r="A493" t="inlineStr">
        <is>
          <t>E5</t>
        </is>
      </c>
      <c r="B493" t="inlineStr">
        <is>
          <t>Multicloud</t>
        </is>
      </c>
      <c r="C493" t="inlineStr">
        <is>
          <t>Cloudability</t>
        </is>
      </c>
      <c r="D493" t="inlineStr">
        <is>
          <t>Optimizacion</t>
        </is>
      </c>
      <c r="E493" t="inlineStr">
        <is>
          <t>O2</t>
        </is>
      </c>
      <c r="F493" s="2" t="inlineStr">
        <is>
          <t>¿Explica supuesto/impacto y permite seguir una recomendación?</t>
        </is>
      </c>
      <c r="G493" t="n">
        <v>1</v>
      </c>
      <c r="H493" t="inlineStr">
        <is>
          <t>Comercial</t>
        </is>
      </c>
      <c r="I493" s="2" t="inlineStr">
        <is>
          <t>La página comercial menciona "progress and implementation tracking" para estimar el ROI real, pero sin detalle verificable; única evidencia es comercial.</t>
        </is>
      </c>
      <c r="J493" t="inlineStr">
        <is>
          <t>https://www.apptio.com/products/cloudability/rightsizing/</t>
        </is>
      </c>
      <c r="K493" t="inlineStr">
        <is>
          <t>2026-09-16</t>
        </is>
      </c>
      <c r="L49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94">
      <c r="A494" t="inlineStr">
        <is>
          <t>E5</t>
        </is>
      </c>
      <c r="B494" t="inlineStr">
        <is>
          <t>Multicloud</t>
        </is>
      </c>
      <c r="C494" t="inlineStr">
        <is>
          <t>Cloudability</t>
        </is>
      </c>
      <c r="D494" t="inlineStr">
        <is>
          <t>Automatizacion</t>
        </is>
      </c>
      <c r="E494" t="inlineStr">
        <is>
          <t>AU1</t>
        </is>
      </c>
      <c r="F494" s="2" t="inlineStr">
        <is>
          <t>¿Ejecuta o bloquea acciones/políticas de costo con control verificable?</t>
        </is>
      </c>
      <c r="G494" t="inlineStr">
        <is>
          <t>NE</t>
        </is>
      </c>
      <c r="H494" t="inlineStr">
        <is>
          <t>Pendiente</t>
        </is>
      </c>
      <c r="I494" s="2" t="inlineStr">
        <is>
          <t>No se encontró evidencia de ejecución/control automatizado de acciones de costo en las páginas comerciales accesibles; Rightsizing parece limitarse a recomendaciones con creación manual de tareas/Jira.</t>
        </is>
      </c>
      <c r="K494" t="inlineStr">
        <is>
          <t>2026-09-16</t>
        </is>
      </c>
      <c r="L494"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95">
      <c r="A495" t="inlineStr">
        <is>
          <t>E5</t>
        </is>
      </c>
      <c r="B495" t="inlineStr">
        <is>
          <t>Multicloud</t>
        </is>
      </c>
      <c r="C495" t="inlineStr">
        <is>
          <t>Cloudability</t>
        </is>
      </c>
      <c r="D495" t="inlineStr">
        <is>
          <t>Automatizacion</t>
        </is>
      </c>
      <c r="E495" t="inlineStr">
        <is>
          <t>AU2</t>
        </is>
      </c>
      <c r="F495" s="2" t="inlineStr">
        <is>
          <t>¿Ofrece aprobación, reversión, registro o límites antes de actuar?</t>
        </is>
      </c>
      <c r="G495" t="inlineStr">
        <is>
          <t>NE</t>
        </is>
      </c>
      <c r="H495" t="inlineStr">
        <is>
          <t>Pendiente</t>
        </is>
      </c>
      <c r="I495" s="2" t="inlineStr">
        <is>
          <t>Mismo motivo que AU1: sin evidencia de un mecanismo de ejecución que requiera salvaguardas verificables.</t>
        </is>
      </c>
      <c r="K495" t="inlineStr">
        <is>
          <t>2026-09-16</t>
        </is>
      </c>
      <c r="L495"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96">
      <c r="A496" t="inlineStr">
        <is>
          <t>E5</t>
        </is>
      </c>
      <c r="B496" t="inlineStr">
        <is>
          <t>Multicloud</t>
        </is>
      </c>
      <c r="C496" t="inlineStr">
        <is>
          <t>Cloudability</t>
        </is>
      </c>
      <c r="D496" t="inlineStr">
        <is>
          <t>Multicloud</t>
        </is>
      </c>
      <c r="E496" t="inlineStr">
        <is>
          <t>M1</t>
        </is>
      </c>
      <c r="F496" s="2" t="inlineStr">
        <is>
          <t>¿Consolida al menos dos proveedores bajo el mismo esquema declarado?</t>
        </is>
      </c>
      <c r="G496" t="n">
        <v>1</v>
      </c>
      <c r="H496" t="inlineStr">
        <is>
          <t>Comercial</t>
        </is>
      </c>
      <c r="I496" s="2" t="inlineStr">
        <is>
          <t>"One trusted view of all cloud and AI spend" / "single pane of glass"; única evidencia disponible es comercial y no específica los proveedores cubiertos ni un esquema de normalización declarado (a diferencia de CloudHealth/CloudZero/Vantage/Finout, que sí lo documentan).</t>
        </is>
      </c>
      <c r="J496" t="inlineStr">
        <is>
          <t>https://www.apptio.com/products/cloudability/</t>
        </is>
      </c>
      <c r="K496" t="inlineStr">
        <is>
          <t>2026-09-16</t>
        </is>
      </c>
      <c r="L496"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97">
      <c r="A497" t="inlineStr">
        <is>
          <t>E5</t>
        </is>
      </c>
      <c r="B497" t="inlineStr">
        <is>
          <t>Multicloud</t>
        </is>
      </c>
      <c r="C497" t="inlineStr">
        <is>
          <t>Cloudability</t>
        </is>
      </c>
      <c r="D497" t="inlineStr">
        <is>
          <t>Multicloud</t>
        </is>
      </c>
      <c r="E497" t="inlineStr">
        <is>
          <t>M2</t>
        </is>
      </c>
      <c r="F497" s="2" t="inlineStr">
        <is>
          <t>¿Hace visibles proveedor, cobertura y diferencias semánticas?</t>
        </is>
      </c>
      <c r="G497" t="inlineStr">
        <is>
          <t>NE</t>
        </is>
      </c>
      <c r="H497" t="inlineStr">
        <is>
          <t>Pendiente</t>
        </is>
      </c>
      <c r="I497" s="2" t="inlineStr">
        <is>
          <t>No se encontró evidencia de manejo explícito de diferencias/cobertura entre proveedores en las páginas accesibles.</t>
        </is>
      </c>
      <c r="K497" t="inlineStr">
        <is>
          <t>2026-09-16</t>
        </is>
      </c>
      <c r="L497"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498">
      <c r="A498" t="inlineStr">
        <is>
          <t>E5</t>
        </is>
      </c>
      <c r="B498" t="inlineStr">
        <is>
          <t>Multicloud</t>
        </is>
      </c>
      <c r="C498" t="inlineStr">
        <is>
          <t>Cloudability</t>
        </is>
      </c>
      <c r="D498" t="inlineStr">
        <is>
          <t>Integracion</t>
        </is>
      </c>
      <c r="E498" t="inlineStr">
        <is>
          <t>I1</t>
        </is>
      </c>
      <c r="F498" s="2" t="inlineStr">
        <is>
          <t>¿Integra datos requeridos (facturación, uso, clúster o IaC) del escenario?</t>
        </is>
      </c>
      <c r="G498" t="inlineStr">
        <is>
          <t>NE</t>
        </is>
      </c>
      <c r="H498" t="inlineStr">
        <is>
          <t>Pendiente</t>
        </is>
      </c>
      <c r="I498" s="2" t="inlineStr">
        <is>
          <t>"Container Cost Allocation" ingiere datos de observabilidad de clústeres para alimentar los modelos de rightsizing; única evidencia disponible es comercial.</t>
        </is>
      </c>
      <c r="J498" t="inlineStr">
        <is>
          <t>https://www.apptio.com/products/cloudability/</t>
        </is>
      </c>
      <c r="K498" t="inlineStr">
        <is>
          <t>2026-09-16</t>
        </is>
      </c>
      <c r="L498"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E5. Segun FP-177 el indicador I1 depende del escenario, por lo que pasa a NE (no evidenciado, reduce cobertura) hasta investigarlo. La evidencia y la fuente originales se conservan como referencia del escenario de origen.</t>
        </is>
      </c>
    </row>
    <row r="499">
      <c r="A499" t="inlineStr">
        <is>
          <t>E5</t>
        </is>
      </c>
      <c r="B499" t="inlineStr">
        <is>
          <t>Multicloud</t>
        </is>
      </c>
      <c r="C499" t="inlineStr">
        <is>
          <t>Cloudability</t>
        </is>
      </c>
      <c r="D499" t="inlineStr">
        <is>
          <t>Integracion</t>
        </is>
      </c>
      <c r="E499" t="inlineStr">
        <is>
          <t>I2</t>
        </is>
      </c>
      <c r="F499" s="2" t="inlineStr">
        <is>
          <t>¿Se integra con el flujo de trabajo relevante (alerta, ticket, CI/CD o reporte)?</t>
        </is>
      </c>
      <c r="G499" t="inlineStr">
        <is>
          <t>NE</t>
        </is>
      </c>
      <c r="H499" t="inlineStr">
        <is>
          <t>Pendiente</t>
        </is>
      </c>
      <c r="I499" s="2" t="inlineStr">
        <is>
          <t>Rightsizing permite "create embedded tasks or Jira issues directly from our rightsizing recommendations"; única evidencia disponible es comercial.</t>
        </is>
      </c>
      <c r="J499" t="inlineStr">
        <is>
          <t>https://www.apptio.com/products/cloudability/rightsizing/</t>
        </is>
      </c>
      <c r="K499" t="inlineStr">
        <is>
          <t>2026-09-16</t>
        </is>
      </c>
      <c r="L499"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E5. Segun FP-177 el indicador I2 depende del escenario, por lo que pasa a NE (no evidenciado, reduce cobertura) hasta investigarlo. La evidencia y la fuente originales se conservan como referencia del escenario de origen.</t>
        </is>
      </c>
    </row>
    <row r="500">
      <c r="A500" t="inlineStr">
        <is>
          <t>E5</t>
        </is>
      </c>
      <c r="B500" t="inlineStr">
        <is>
          <t>Multicloud</t>
        </is>
      </c>
      <c r="C500" t="inlineStr">
        <is>
          <t>Cloudability</t>
        </is>
      </c>
      <c r="D500" t="inlineStr">
        <is>
          <t>Adopcion</t>
        </is>
      </c>
      <c r="E500" t="inlineStr">
        <is>
          <t>AD1</t>
        </is>
      </c>
      <c r="F500" s="2" t="inlineStr">
        <is>
          <t>¿Soporta acceso/entrega para los roles del escenario?</t>
        </is>
      </c>
      <c r="G500" t="inlineStr">
        <is>
          <t>NE</t>
        </is>
      </c>
      <c r="H500" t="inlineStr">
        <is>
          <t>Pendiente</t>
        </is>
      </c>
      <c r="I500" s="2" t="inlineStr">
        <is>
          <t>El producto se describe organizado por roles (FinOps, DevOps, IT Finance, Product, Leadership, Procurement) con "personalized Views"; única evidencia disponible es comercial.</t>
        </is>
      </c>
      <c r="J500" t="inlineStr">
        <is>
          <t>https://www.apptio.com/products/cloudability/</t>
        </is>
      </c>
      <c r="K500" t="inlineStr">
        <is>
          <t>2026-09-16</t>
        </is>
      </c>
      <c r="L500"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E5. Segun FP-177 el indicador AD1 depende del escenario, por lo que pasa a NE (no evidenciado, reduce cobertura) hasta investigarlo. La evidencia y la fuente originales se conservan como referencia del escenario de origen.</t>
        </is>
      </c>
    </row>
    <row r="501">
      <c r="A501" t="inlineStr">
        <is>
          <t>E5</t>
        </is>
      </c>
      <c r="B501" t="inlineStr">
        <is>
          <t>Multicloud</t>
        </is>
      </c>
      <c r="C501" t="inlineStr">
        <is>
          <t>Cloudability</t>
        </is>
      </c>
      <c r="D501" t="inlineStr">
        <is>
          <t>Adopcion</t>
        </is>
      </c>
      <c r="E501" t="inlineStr">
        <is>
          <t>AD2</t>
        </is>
      </c>
      <c r="F501" s="2" t="inlineStr">
        <is>
          <t>¿Ofrece guías, ownership o mecanismos de seguimiento para uso sostenido?</t>
        </is>
      </c>
      <c r="G501" t="n">
        <v>1</v>
      </c>
      <c r="H501" t="inlineStr">
        <is>
          <t>Comercial</t>
        </is>
      </c>
      <c r="I501" s="2" t="inlineStr">
        <is>
          <t>Business Mapping aplica "governance rules to meet compliance requirements"; única evidencia disponible es comercial.</t>
        </is>
      </c>
      <c r="J501" t="inlineStr">
        <is>
          <t>https://www.apptio.com/products/cloudability/business-mapping/</t>
        </is>
      </c>
      <c r="K501" t="inlineStr">
        <is>
          <t>2026-09-16</t>
        </is>
      </c>
      <c r="L501"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02">
      <c r="A502" t="inlineStr">
        <is>
          <t>E5</t>
        </is>
      </c>
      <c r="B502" t="inlineStr">
        <is>
          <t>Multicloud</t>
        </is>
      </c>
      <c r="C502" t="inlineStr">
        <is>
          <t>Cloudability</t>
        </is>
      </c>
      <c r="D502" t="inlineStr">
        <is>
          <t>Precio</t>
        </is>
      </c>
      <c r="E502" t="inlineStr">
        <is>
          <t>P1</t>
        </is>
      </c>
      <c r="F502" s="2" t="inlineStr">
        <is>
          <t>¿Expone precio, moneda, región, unidad, período y supuestos relevantes?</t>
        </is>
      </c>
      <c r="G502" t="inlineStr">
        <is>
          <t>NE</t>
        </is>
      </c>
      <c r="H502" t="inlineStr">
        <is>
          <t>Pendiente</t>
        </is>
      </c>
      <c r="I502" s="2" t="inlineStr">
        <is>
          <t>No se encontró evidencia de transparencia de precio/supuestos (moneda, región, período) en las páginas comerciales accesibles.</t>
        </is>
      </c>
      <c r="K502" t="inlineStr">
        <is>
          <t>2026-09-16</t>
        </is>
      </c>
      <c r="L50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03">
      <c r="A503" t="inlineStr">
        <is>
          <t>E5</t>
        </is>
      </c>
      <c r="B503" t="inlineStr">
        <is>
          <t>Multicloud</t>
        </is>
      </c>
      <c r="C503" t="inlineStr">
        <is>
          <t>Cloudability</t>
        </is>
      </c>
      <c r="D503" t="inlineStr">
        <is>
          <t>Precio</t>
        </is>
      </c>
      <c r="E503" t="inlineStr">
        <is>
          <t>P2</t>
        </is>
      </c>
      <c r="F503" s="2" t="inlineStr">
        <is>
          <t>¿Permite estimar o comparar componentes sin ocultar límites de equivalencia?</t>
        </is>
      </c>
      <c r="G503" t="inlineStr">
        <is>
          <t>NE</t>
        </is>
      </c>
      <c r="H503" t="inlineStr">
        <is>
          <t>Pendiente</t>
        </is>
      </c>
      <c r="I503" s="2" t="inlineStr">
        <is>
          <t>No se encontró evidencia de una función de comparación/estimación de precio contextual en las páginas accesibles.</t>
        </is>
      </c>
      <c r="K503" t="inlineStr">
        <is>
          <t>2026-09-16</t>
        </is>
      </c>
      <c r="L50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04">
      <c r="A504" t="inlineStr">
        <is>
          <t>E5</t>
        </is>
      </c>
      <c r="B504" t="inlineStr">
        <is>
          <t>Multicloud</t>
        </is>
      </c>
      <c r="C504" t="inlineStr">
        <is>
          <t>Cloudability</t>
        </is>
      </c>
      <c r="D504" t="inlineStr">
        <is>
          <t>Dependencia</t>
        </is>
      </c>
      <c r="E504" t="inlineStr">
        <is>
          <t>D1</t>
        </is>
      </c>
      <c r="F504" s="2" t="inlineStr">
        <is>
          <t>¿Exporta datos/resultados en formato utilizable y documentado?</t>
        </is>
      </c>
      <c r="G504" t="inlineStr">
        <is>
          <t>NE</t>
        </is>
      </c>
      <c r="H504" t="inlineStr">
        <is>
          <t>Pendiente</t>
        </is>
      </c>
      <c r="I504" s="2" t="inlineStr">
        <is>
          <t>No se encontró evidencia específica de exportación/API de datos en las páginas comerciales accesibles.</t>
        </is>
      </c>
      <c r="K504" t="inlineStr">
        <is>
          <t>2026-09-16</t>
        </is>
      </c>
      <c r="L504"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05">
      <c r="A505" t="inlineStr">
        <is>
          <t>E5</t>
        </is>
      </c>
      <c r="B505" t="inlineStr">
        <is>
          <t>Multicloud</t>
        </is>
      </c>
      <c r="C505" t="inlineStr">
        <is>
          <t>Cloudability</t>
        </is>
      </c>
      <c r="D505" t="inlineStr">
        <is>
          <t>Dependencia</t>
        </is>
      </c>
      <c r="E505" t="inlineStr">
        <is>
          <t>D2</t>
        </is>
      </c>
      <c r="F505" s="2" t="inlineStr">
        <is>
          <t>¿Documenta dependencias propietarias y un camino de salida/configuración reversible?</t>
        </is>
      </c>
      <c r="G505" t="inlineStr">
        <is>
          <t>NE</t>
        </is>
      </c>
      <c r="H505" t="inlineStr">
        <is>
          <t>Pendiente</t>
        </is>
      </c>
      <c r="I505" s="2" t="inlineStr">
        <is>
          <t>No se encontró documentación sobre un camino de salida o reversibilidad.</t>
        </is>
      </c>
      <c r="K505" t="inlineStr">
        <is>
          <t>2026-09-16</t>
        </is>
      </c>
      <c r="L505"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06">
      <c r="A506" t="inlineStr">
        <is>
          <t>E6</t>
        </is>
      </c>
      <c r="B506" t="inlineStr">
        <is>
          <t>Multicloud</t>
        </is>
      </c>
      <c r="C506" t="inlineStr">
        <is>
          <t>Cloudability</t>
        </is>
      </c>
      <c r="D506" t="inlineStr">
        <is>
          <t>Visibilidad</t>
        </is>
      </c>
      <c r="E506" t="inlineStr">
        <is>
          <t>V1</t>
        </is>
      </c>
      <c r="F506" s="2" t="inlineStr">
        <is>
          <t>¿Desagrega costo y uso por cuenta/proyecto, servicio y período?</t>
        </is>
      </c>
      <c r="G506" t="inlineStr">
        <is>
          <t>NE</t>
        </is>
      </c>
      <c r="H506" t="inlineStr">
        <is>
          <t>Pendiente</t>
        </is>
      </c>
      <c r="I506" s="2" t="inlineStr">
        <is>
          <t>Apptio describe "unified visibility across technology spend" y "personalized Views for every team, app, or product"; única evidencia disponible es la página comercial del producto (la documentación técnica de IBM Docs devolvió error 403 en todos los intentos de acceso durante esta investigación).</t>
        </is>
      </c>
      <c r="J506" t="inlineStr">
        <is>
          <t>https://www.apptio.com/products/cloudability/</t>
        </is>
      </c>
      <c r="K506" t="inlineStr">
        <is>
          <t>2026-09-16</t>
        </is>
      </c>
      <c r="L506"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E6. Segun FP-177 el indicador V1 depende del escenario, por lo que pasa a NE (no evidenciado, reduce cobertura) hasta investigarlo. La evidencia y la fuente originales se conservan como referencia del escenario de origen.</t>
        </is>
      </c>
    </row>
    <row r="507">
      <c r="A507" t="inlineStr">
        <is>
          <t>E6</t>
        </is>
      </c>
      <c r="B507" t="inlineStr">
        <is>
          <t>Multicloud</t>
        </is>
      </c>
      <c r="C507" t="inlineStr">
        <is>
          <t>Cloudability</t>
        </is>
      </c>
      <c r="D507" t="inlineStr">
        <is>
          <t>Visibilidad</t>
        </is>
      </c>
      <c r="E507" t="inlineStr">
        <is>
          <t>V2</t>
        </is>
      </c>
      <c r="F507" s="2" t="inlineStr">
        <is>
          <t>¿Permite rastrear un total hasta registros o fuente de facturación?</t>
        </is>
      </c>
      <c r="G507" t="inlineStr">
        <is>
          <t>NE</t>
        </is>
      </c>
      <c r="H507" t="inlineStr">
        <is>
          <t>Pendiente</t>
        </is>
      </c>
      <c r="I507" s="2" t="inlineStr">
        <is>
          <t>No se encontró evidencia (ni siquiera comercial) de una función específica de trazabilidad a factura/registro fuente en las páginas accesibles.</t>
        </is>
      </c>
      <c r="K507" t="inlineStr">
        <is>
          <t>2026-09-16</t>
        </is>
      </c>
      <c r="L507"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08">
      <c r="A508" t="inlineStr">
        <is>
          <t>E6</t>
        </is>
      </c>
      <c r="B508" t="inlineStr">
        <is>
          <t>Multicloud</t>
        </is>
      </c>
      <c r="C508" t="inlineStr">
        <is>
          <t>Cloudability</t>
        </is>
      </c>
      <c r="D508" t="inlineStr">
        <is>
          <t>Asignacion</t>
        </is>
      </c>
      <c r="E508" t="inlineStr">
        <is>
          <t>A1</t>
        </is>
      </c>
      <c r="F508" s="2" t="inlineStr">
        <is>
          <t>¿Calcula gasto asignado/no asignado por responsable, centro o entidad?</t>
        </is>
      </c>
      <c r="G508" t="inlineStr">
        <is>
          <t>NE</t>
        </is>
      </c>
      <c r="H508" t="inlineStr">
        <is>
          <t>Pendiente</t>
        </is>
      </c>
      <c r="I508" s="2" t="inlineStr">
        <is>
          <t>"Business Mapping" categoriza el gasto a la taxonomía de negocio y habilita chargeback/showback (incluye integración con ServiceNow); única evidencia disponible es comercial.</t>
        </is>
      </c>
      <c r="J508" t="inlineStr">
        <is>
          <t>https://www.apptio.com/products/cloudability/business-mapping/</t>
        </is>
      </c>
      <c r="K508" t="inlineStr">
        <is>
          <t>2026-09-16</t>
        </is>
      </c>
      <c r="L508"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E6. Segun FP-177 el indicador A1 depende del escenario, por lo que pasa a NE (no evidenciado, reduce cobertura) hasta investigarlo. La evidencia y la fuente originales se conservan como referencia del escenario de origen.</t>
        </is>
      </c>
    </row>
    <row r="509">
      <c r="A509" t="inlineStr">
        <is>
          <t>E6</t>
        </is>
      </c>
      <c r="B509" t="inlineStr">
        <is>
          <t>Multicloud</t>
        </is>
      </c>
      <c r="C509" t="inlineStr">
        <is>
          <t>Cloudability</t>
        </is>
      </c>
      <c r="D509" t="inlineStr">
        <is>
          <t>Asignacion</t>
        </is>
      </c>
      <c r="E509" t="inlineStr">
        <is>
          <t>A2</t>
        </is>
      </c>
      <c r="F509" s="2" t="inlineStr">
        <is>
          <t>¿Explicita y aplica reglas para costo compartido/multi-tenant?</t>
        </is>
      </c>
      <c r="G509" t="inlineStr">
        <is>
          <t>NE</t>
        </is>
      </c>
      <c r="H509" t="inlineStr">
        <is>
          <t>Pendiente</t>
        </is>
      </c>
      <c r="I509" s="2" t="inlineStr">
        <is>
          <t>Business Mapping usa "sophisticated and nested evaluation criteria" para clasificar costo compartido a unidades de negocio; única evidencia disponible es comercial (no se verificó si el reparto es porcentual/reproducible).</t>
        </is>
      </c>
      <c r="J509" t="inlineStr">
        <is>
          <t>https://www.apptio.com/products/cloudability/business-mapping/</t>
        </is>
      </c>
      <c r="K509" t="inlineStr">
        <is>
          <t>2026-09-16</t>
        </is>
      </c>
      <c r="L509"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E6. Segun FP-177 el indicador A2 depende del escenario, por lo que pasa a NE (no evidenciado, reduce cobertura) hasta investigarlo. La evidencia y la fuente originales se conservan como referencia del escenario de origen.</t>
        </is>
      </c>
    </row>
    <row r="510">
      <c r="A510" t="inlineStr">
        <is>
          <t>E6</t>
        </is>
      </c>
      <c r="B510" t="inlineStr">
        <is>
          <t>Multicloud</t>
        </is>
      </c>
      <c r="C510" t="inlineStr">
        <is>
          <t>Cloudability</t>
        </is>
      </c>
      <c r="D510" t="inlineStr">
        <is>
          <t>Optimizacion</t>
        </is>
      </c>
      <c r="E510" t="inlineStr">
        <is>
          <t>O1</t>
        </is>
      </c>
      <c r="F510" s="2" t="inlineStr">
        <is>
          <t>¿Detecta desperdicio, rightsizing o compromiso relevante al escenario?</t>
        </is>
      </c>
      <c r="G510" t="inlineStr">
        <is>
          <t>NE</t>
        </is>
      </c>
      <c r="H510" t="inlineStr">
        <is>
          <t>Pendiente</t>
        </is>
      </c>
      <c r="I510" s="2" t="inlineStr">
        <is>
          <t>Rightsizing ofrece recomendaciones de "scale up, scale down and terminate" basadas en datos de observabilidad; única evidencia disponible es comercial (no se identificaron los proveedores cloud cubiertos).</t>
        </is>
      </c>
      <c r="J510" t="inlineStr">
        <is>
          <t>https://www.apptio.com/products/cloudability/rightsizing/</t>
        </is>
      </c>
      <c r="K510" t="inlineStr">
        <is>
          <t>2026-09-16</t>
        </is>
      </c>
      <c r="L510"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E6. Segun FP-177 el indicador O1 depende del escenario, por lo que pasa a NE (no evidenciado, reduce cobertura) hasta investigarlo. La evidencia y la fuente originales se conservan como referencia del escenario de origen.</t>
        </is>
      </c>
    </row>
    <row r="511">
      <c r="A511" t="inlineStr">
        <is>
          <t>E6</t>
        </is>
      </c>
      <c r="B511" t="inlineStr">
        <is>
          <t>Multicloud</t>
        </is>
      </c>
      <c r="C511" t="inlineStr">
        <is>
          <t>Cloudability</t>
        </is>
      </c>
      <c r="D511" t="inlineStr">
        <is>
          <t>Optimizacion</t>
        </is>
      </c>
      <c r="E511" t="inlineStr">
        <is>
          <t>O2</t>
        </is>
      </c>
      <c r="F511" s="2" t="inlineStr">
        <is>
          <t>¿Explica supuesto/impacto y permite seguir una recomendación?</t>
        </is>
      </c>
      <c r="G511" t="n">
        <v>1</v>
      </c>
      <c r="H511" t="inlineStr">
        <is>
          <t>Comercial</t>
        </is>
      </c>
      <c r="I511" s="2" t="inlineStr">
        <is>
          <t>La página comercial menciona "progress and implementation tracking" para estimar el ROI real, pero sin detalle verificable; única evidencia es comercial.</t>
        </is>
      </c>
      <c r="J511" t="inlineStr">
        <is>
          <t>https://www.apptio.com/products/cloudability/rightsizing/</t>
        </is>
      </c>
      <c r="K511" t="inlineStr">
        <is>
          <t>2026-09-16</t>
        </is>
      </c>
      <c r="L511"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12">
      <c r="A512" t="inlineStr">
        <is>
          <t>E6</t>
        </is>
      </c>
      <c r="B512" t="inlineStr">
        <is>
          <t>Multicloud</t>
        </is>
      </c>
      <c r="C512" t="inlineStr">
        <is>
          <t>Cloudability</t>
        </is>
      </c>
      <c r="D512" t="inlineStr">
        <is>
          <t>Automatizacion</t>
        </is>
      </c>
      <c r="E512" t="inlineStr">
        <is>
          <t>AU1</t>
        </is>
      </c>
      <c r="F512" s="2" t="inlineStr">
        <is>
          <t>¿Ejecuta o bloquea acciones/políticas de costo con control verificable?</t>
        </is>
      </c>
      <c r="G512" t="inlineStr">
        <is>
          <t>NE</t>
        </is>
      </c>
      <c r="H512" t="inlineStr">
        <is>
          <t>Pendiente</t>
        </is>
      </c>
      <c r="I512" s="2" t="inlineStr">
        <is>
          <t>No se encontró evidencia de ejecución/control automatizado de acciones de costo en las páginas comerciales accesibles; Rightsizing parece limitarse a recomendaciones con creación manual de tareas/Jira.</t>
        </is>
      </c>
      <c r="K512" t="inlineStr">
        <is>
          <t>2026-09-16</t>
        </is>
      </c>
      <c r="L51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13">
      <c r="A513" t="inlineStr">
        <is>
          <t>E6</t>
        </is>
      </c>
      <c r="B513" t="inlineStr">
        <is>
          <t>Multicloud</t>
        </is>
      </c>
      <c r="C513" t="inlineStr">
        <is>
          <t>Cloudability</t>
        </is>
      </c>
      <c r="D513" t="inlineStr">
        <is>
          <t>Automatizacion</t>
        </is>
      </c>
      <c r="E513" t="inlineStr">
        <is>
          <t>AU2</t>
        </is>
      </c>
      <c r="F513" s="2" t="inlineStr">
        <is>
          <t>¿Ofrece aprobación, reversión, registro o límites antes de actuar?</t>
        </is>
      </c>
      <c r="G513" t="inlineStr">
        <is>
          <t>NE</t>
        </is>
      </c>
      <c r="H513" t="inlineStr">
        <is>
          <t>Pendiente</t>
        </is>
      </c>
      <c r="I513" s="2" t="inlineStr">
        <is>
          <t>Mismo motivo que AU1: sin evidencia de un mecanismo de ejecución que requiera salvaguardas verificables.</t>
        </is>
      </c>
      <c r="K513" t="inlineStr">
        <is>
          <t>2026-09-16</t>
        </is>
      </c>
      <c r="L51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14">
      <c r="A514" t="inlineStr">
        <is>
          <t>E6</t>
        </is>
      </c>
      <c r="B514" t="inlineStr">
        <is>
          <t>Multicloud</t>
        </is>
      </c>
      <c r="C514" t="inlineStr">
        <is>
          <t>Cloudability</t>
        </is>
      </c>
      <c r="D514" t="inlineStr">
        <is>
          <t>Multicloud</t>
        </is>
      </c>
      <c r="E514" t="inlineStr">
        <is>
          <t>M1</t>
        </is>
      </c>
      <c r="F514" s="2" t="inlineStr">
        <is>
          <t>¿Consolida al menos dos proveedores bajo el mismo esquema declarado?</t>
        </is>
      </c>
      <c r="G514" t="n">
        <v>1</v>
      </c>
      <c r="H514" t="inlineStr">
        <is>
          <t>Comercial</t>
        </is>
      </c>
      <c r="I514" s="2" t="inlineStr">
        <is>
          <t>"One trusted view of all cloud and AI spend" / "single pane of glass"; única evidencia disponible es comercial y no específica los proveedores cubiertos ni un esquema de normalización declarado (a diferencia de CloudHealth/CloudZero/Vantage/Finout, que sí lo documentan).</t>
        </is>
      </c>
      <c r="J514" t="inlineStr">
        <is>
          <t>https://www.apptio.com/products/cloudability/</t>
        </is>
      </c>
      <c r="K514" t="inlineStr">
        <is>
          <t>2026-09-16</t>
        </is>
      </c>
      <c r="L514"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15">
      <c r="A515" t="inlineStr">
        <is>
          <t>E6</t>
        </is>
      </c>
      <c r="B515" t="inlineStr">
        <is>
          <t>Multicloud</t>
        </is>
      </c>
      <c r="C515" t="inlineStr">
        <is>
          <t>Cloudability</t>
        </is>
      </c>
      <c r="D515" t="inlineStr">
        <is>
          <t>Multicloud</t>
        </is>
      </c>
      <c r="E515" t="inlineStr">
        <is>
          <t>M2</t>
        </is>
      </c>
      <c r="F515" s="2" t="inlineStr">
        <is>
          <t>¿Hace visibles proveedor, cobertura y diferencias semánticas?</t>
        </is>
      </c>
      <c r="G515" t="inlineStr">
        <is>
          <t>NE</t>
        </is>
      </c>
      <c r="H515" t="inlineStr">
        <is>
          <t>Pendiente</t>
        </is>
      </c>
      <c r="I515" s="2" t="inlineStr">
        <is>
          <t>No se encontró evidencia de manejo explícito de diferencias/cobertura entre proveedores en las páginas accesibles.</t>
        </is>
      </c>
      <c r="K515" t="inlineStr">
        <is>
          <t>2026-09-16</t>
        </is>
      </c>
      <c r="L515"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16">
      <c r="A516" t="inlineStr">
        <is>
          <t>E6</t>
        </is>
      </c>
      <c r="B516" t="inlineStr">
        <is>
          <t>Multicloud</t>
        </is>
      </c>
      <c r="C516" t="inlineStr">
        <is>
          <t>Cloudability</t>
        </is>
      </c>
      <c r="D516" t="inlineStr">
        <is>
          <t>Integracion</t>
        </is>
      </c>
      <c r="E516" t="inlineStr">
        <is>
          <t>I1</t>
        </is>
      </c>
      <c r="F516" s="2" t="inlineStr">
        <is>
          <t>¿Integra datos requeridos (facturación, uso, clúster o IaC) del escenario?</t>
        </is>
      </c>
      <c r="G516" t="inlineStr">
        <is>
          <t>NE</t>
        </is>
      </c>
      <c r="H516" t="inlineStr">
        <is>
          <t>Pendiente</t>
        </is>
      </c>
      <c r="I516" s="2" t="inlineStr">
        <is>
          <t>"Container Cost Allocation" ingiere datos de observabilidad de clústeres para alimentar los modelos de rightsizing; única evidencia disponible es comercial.</t>
        </is>
      </c>
      <c r="J516" t="inlineStr">
        <is>
          <t>https://www.apptio.com/products/cloudability/</t>
        </is>
      </c>
      <c r="K516" t="inlineStr">
        <is>
          <t>2026-09-16</t>
        </is>
      </c>
      <c r="L516"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E6. Segun FP-177 el indicador I1 depende del escenario, por lo que pasa a NE (no evidenciado, reduce cobertura) hasta investigarlo. La evidencia y la fuente originales se conservan como referencia del escenario de origen.</t>
        </is>
      </c>
    </row>
    <row r="517">
      <c r="A517" t="inlineStr">
        <is>
          <t>E6</t>
        </is>
      </c>
      <c r="B517" t="inlineStr">
        <is>
          <t>Multicloud</t>
        </is>
      </c>
      <c r="C517" t="inlineStr">
        <is>
          <t>Cloudability</t>
        </is>
      </c>
      <c r="D517" t="inlineStr">
        <is>
          <t>Integracion</t>
        </is>
      </c>
      <c r="E517" t="inlineStr">
        <is>
          <t>I2</t>
        </is>
      </c>
      <c r="F517" s="2" t="inlineStr">
        <is>
          <t>¿Se integra con el flujo de trabajo relevante (alerta, ticket, CI/CD o reporte)?</t>
        </is>
      </c>
      <c r="G517" t="inlineStr">
        <is>
          <t>NE</t>
        </is>
      </c>
      <c r="H517" t="inlineStr">
        <is>
          <t>Pendiente</t>
        </is>
      </c>
      <c r="I517" s="2" t="inlineStr">
        <is>
          <t>Rightsizing permite "create embedded tasks or Jira issues directly from our rightsizing recommendations"; única evidencia disponible es comercial.</t>
        </is>
      </c>
      <c r="J517" t="inlineStr">
        <is>
          <t>https://www.apptio.com/products/cloudability/rightsizing/</t>
        </is>
      </c>
      <c r="K517" t="inlineStr">
        <is>
          <t>2026-09-16</t>
        </is>
      </c>
      <c r="L517"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E6. Segun FP-177 el indicador I2 depende del escenario, por lo que pasa a NE (no evidenciado, reduce cobertura) hasta investigarlo. La evidencia y la fuente originales se conservan como referencia del escenario de origen.</t>
        </is>
      </c>
    </row>
    <row r="518">
      <c r="A518" t="inlineStr">
        <is>
          <t>E6</t>
        </is>
      </c>
      <c r="B518" t="inlineStr">
        <is>
          <t>Multicloud</t>
        </is>
      </c>
      <c r="C518" t="inlineStr">
        <is>
          <t>Cloudability</t>
        </is>
      </c>
      <c r="D518" t="inlineStr">
        <is>
          <t>Adopcion</t>
        </is>
      </c>
      <c r="E518" t="inlineStr">
        <is>
          <t>AD1</t>
        </is>
      </c>
      <c r="F518" s="2" t="inlineStr">
        <is>
          <t>¿Soporta acceso/entrega para los roles del escenario?</t>
        </is>
      </c>
      <c r="G518" t="inlineStr">
        <is>
          <t>NE</t>
        </is>
      </c>
      <c r="H518" t="inlineStr">
        <is>
          <t>Pendiente</t>
        </is>
      </c>
      <c r="I518" s="2" t="inlineStr">
        <is>
          <t>El producto se describe organizado por roles (FinOps, DevOps, IT Finance, Product, Leadership, Procurement) con "personalized Views"; única evidencia disponible es comercial.</t>
        </is>
      </c>
      <c r="J518" t="inlineStr">
        <is>
          <t>https://www.apptio.com/products/cloudability/</t>
        </is>
      </c>
      <c r="K518" t="inlineStr">
        <is>
          <t>2026-09-16</t>
        </is>
      </c>
      <c r="L518"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 | Celda heredada FP-180 (2026-09-16): el valor 1 proviene de la investigacion del escenario E2 y no cuenta con evidencia propia de E6. Segun FP-177 el indicador AD1 depende del escenario, por lo que pasa a NE (no evidenciado, reduce cobertura) hasta investigarlo. La evidencia y la fuente originales se conservan como referencia del escenario de origen.</t>
        </is>
      </c>
    </row>
    <row r="519">
      <c r="A519" t="inlineStr">
        <is>
          <t>E6</t>
        </is>
      </c>
      <c r="B519" t="inlineStr">
        <is>
          <t>Multicloud</t>
        </is>
      </c>
      <c r="C519" t="inlineStr">
        <is>
          <t>Cloudability</t>
        </is>
      </c>
      <c r="D519" t="inlineStr">
        <is>
          <t>Adopcion</t>
        </is>
      </c>
      <c r="E519" t="inlineStr">
        <is>
          <t>AD2</t>
        </is>
      </c>
      <c r="F519" s="2" t="inlineStr">
        <is>
          <t>¿Ofrece guías, ownership o mecanismos de seguimiento para uso sostenido?</t>
        </is>
      </c>
      <c r="G519" t="n">
        <v>1</v>
      </c>
      <c r="H519" t="inlineStr">
        <is>
          <t>Comercial</t>
        </is>
      </c>
      <c r="I519" s="2" t="inlineStr">
        <is>
          <t>Business Mapping aplica "governance rules to meet compliance requirements"; única evidencia disponible es comercial.</t>
        </is>
      </c>
      <c r="J519" t="inlineStr">
        <is>
          <t>https://www.apptio.com/products/cloudability/business-mapping/</t>
        </is>
      </c>
      <c r="K519" t="inlineStr">
        <is>
          <t>2026-09-16</t>
        </is>
      </c>
      <c r="L519"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20">
      <c r="A520" t="inlineStr">
        <is>
          <t>E6</t>
        </is>
      </c>
      <c r="B520" t="inlineStr">
        <is>
          <t>Multicloud</t>
        </is>
      </c>
      <c r="C520" t="inlineStr">
        <is>
          <t>Cloudability</t>
        </is>
      </c>
      <c r="D520" t="inlineStr">
        <is>
          <t>Precio</t>
        </is>
      </c>
      <c r="E520" t="inlineStr">
        <is>
          <t>P1</t>
        </is>
      </c>
      <c r="F520" s="2" t="inlineStr">
        <is>
          <t>¿Expone precio, moneda, región, unidad, período y supuestos relevantes?</t>
        </is>
      </c>
      <c r="G520" t="inlineStr">
        <is>
          <t>NE</t>
        </is>
      </c>
      <c r="H520" t="inlineStr">
        <is>
          <t>Pendiente</t>
        </is>
      </c>
      <c r="I520" s="2" t="inlineStr">
        <is>
          <t>No se encontró evidencia de transparencia de precio/supuestos (moneda, región, período) en las páginas comerciales accesibles.</t>
        </is>
      </c>
      <c r="K520" t="inlineStr">
        <is>
          <t>2026-09-16</t>
        </is>
      </c>
      <c r="L520"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21">
      <c r="A521" t="inlineStr">
        <is>
          <t>E6</t>
        </is>
      </c>
      <c r="B521" t="inlineStr">
        <is>
          <t>Multicloud</t>
        </is>
      </c>
      <c r="C521" t="inlineStr">
        <is>
          <t>Cloudability</t>
        </is>
      </c>
      <c r="D521" t="inlineStr">
        <is>
          <t>Precio</t>
        </is>
      </c>
      <c r="E521" t="inlineStr">
        <is>
          <t>P2</t>
        </is>
      </c>
      <c r="F521" s="2" t="inlineStr">
        <is>
          <t>¿Permite estimar o comparar componentes sin ocultar límites de equivalencia?</t>
        </is>
      </c>
      <c r="G521" t="inlineStr">
        <is>
          <t>NE</t>
        </is>
      </c>
      <c r="H521" t="inlineStr">
        <is>
          <t>Pendiente</t>
        </is>
      </c>
      <c r="I521" s="2" t="inlineStr">
        <is>
          <t>No se encontró evidencia de una función de comparación/estimación de precio contextual en las páginas accesibles.</t>
        </is>
      </c>
      <c r="K521" t="inlineStr">
        <is>
          <t>2026-09-16</t>
        </is>
      </c>
      <c r="L521"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22">
      <c r="A522" t="inlineStr">
        <is>
          <t>E6</t>
        </is>
      </c>
      <c r="B522" t="inlineStr">
        <is>
          <t>Multicloud</t>
        </is>
      </c>
      <c r="C522" t="inlineStr">
        <is>
          <t>Cloudability</t>
        </is>
      </c>
      <c r="D522" t="inlineStr">
        <is>
          <t>Dependencia</t>
        </is>
      </c>
      <c r="E522" t="inlineStr">
        <is>
          <t>D1</t>
        </is>
      </c>
      <c r="F522" s="2" t="inlineStr">
        <is>
          <t>¿Exporta datos/resultados en formato utilizable y documentado?</t>
        </is>
      </c>
      <c r="G522" t="inlineStr">
        <is>
          <t>NE</t>
        </is>
      </c>
      <c r="H522" t="inlineStr">
        <is>
          <t>Pendiente</t>
        </is>
      </c>
      <c r="I522" s="2" t="inlineStr">
        <is>
          <t>No se encontró evidencia específica de exportación/API de datos en las páginas comerciales accesibles.</t>
        </is>
      </c>
      <c r="K522" t="inlineStr">
        <is>
          <t>2026-09-16</t>
        </is>
      </c>
      <c r="L522"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23">
      <c r="A523" t="inlineStr">
        <is>
          <t>E6</t>
        </is>
      </c>
      <c r="B523" t="inlineStr">
        <is>
          <t>Multicloud</t>
        </is>
      </c>
      <c r="C523" t="inlineStr">
        <is>
          <t>Cloudability</t>
        </is>
      </c>
      <c r="D523" t="inlineStr">
        <is>
          <t>Dependencia</t>
        </is>
      </c>
      <c r="E523" t="inlineStr">
        <is>
          <t>D2</t>
        </is>
      </c>
      <c r="F523" s="2" t="inlineStr">
        <is>
          <t>¿Documenta dependencias propietarias y un camino de salida/configuración reversible?</t>
        </is>
      </c>
      <c r="G523" t="inlineStr">
        <is>
          <t>NE</t>
        </is>
      </c>
      <c r="H523" t="inlineStr">
        <is>
          <t>Pendiente</t>
        </is>
      </c>
      <c r="I523" s="2" t="inlineStr">
        <is>
          <t>No se encontró documentación sobre un camino de salida o reversibilidad.</t>
        </is>
      </c>
      <c r="K523" t="inlineStr">
        <is>
          <t>2026-09-16</t>
        </is>
      </c>
      <c r="L523" s="2" t="inlineStr">
        <is>
          <t>Limitación de investigación: la documentación técnica oficial de IBM Docs para Cloudability (ibm.com/docs/en/cloudability-...) devolvió error 403 en todos los intentos de acceso durante esta investigación (2026-09-16). Toda la evidencia disponible proviene de páginas comerciales de apptio.com, por lo que, según la metodología, ningún indicador supera el valor 1. Se recomienda que el equipo reintente el acceso a IBM Docs desde otra red o solicite acceso, y actualice estas filas si logra consultar la documentación técnica.</t>
        </is>
      </c>
    </row>
    <row r="524">
      <c r="A524" t="inlineStr">
        <is>
          <t>E1</t>
        </is>
      </c>
      <c r="B524" t="inlineStr">
        <is>
          <t>Multicloud</t>
        </is>
      </c>
      <c r="C524" t="inlineStr">
        <is>
          <t>CloudHealth</t>
        </is>
      </c>
      <c r="D524" t="inlineStr">
        <is>
          <t>Visibilidad</t>
        </is>
      </c>
      <c r="E524" t="inlineStr">
        <is>
          <t>V1</t>
        </is>
      </c>
      <c r="F524" s="2" t="inlineStr">
        <is>
          <t>¿Desagrega costo y uso por cuenta/proyecto, servicio y período?</t>
        </is>
      </c>
      <c r="G524" t="inlineStr">
        <is>
          <t>NE</t>
        </is>
      </c>
      <c r="H524" t="inlineStr">
        <is>
          <t>Pendiente</t>
        </is>
      </c>
      <c r="I524" s="2" t="inlineStr">
        <is>
          <t>"Perspectives" son "lentes" para categorizar todos los activos de la infraestructura por Producto, Equipo, Owner, Ambiente, Unidad de negocio, Función o Centro de costo, con soporte de tagging en AWS, Azure, Google Cloud y Oracle Cloud.</t>
        </is>
      </c>
      <c r="J524" t="inlineStr">
        <is>
          <t>https://docs.vmware.com/en/VMware-Tanzu-CloudHealth/SaaS/using-and-managing-vmware-tanzu-cloudhealth/GUID-introduction-to-perspectives.html</t>
        </is>
      </c>
      <c r="K524" t="inlineStr">
        <is>
          <t>2026-09-16</t>
        </is>
      </c>
      <c r="L524" s="2" t="inlineStr">
        <is>
          <t>Celda heredada FP-180 (2026-09-16): el valor 2 proviene de la investigacion del escenario E2 y no cuenta con evidencia propia de E1. Segun FP-177 el indicador V1 depende del escenario, por lo que pasa a NE (no evidenciado, reduce cobertura) hasta investigarlo. La evidencia y la fuente originales se conservan como referencia del escenario de origen.</t>
        </is>
      </c>
    </row>
    <row r="525">
      <c r="A525" t="inlineStr">
        <is>
          <t>E1</t>
        </is>
      </c>
      <c r="B525" t="inlineStr">
        <is>
          <t>Multicloud</t>
        </is>
      </c>
      <c r="C525" t="inlineStr">
        <is>
          <t>CloudHealth</t>
        </is>
      </c>
      <c r="D525" t="inlineStr">
        <is>
          <t>Visibilidad</t>
        </is>
      </c>
      <c r="E525" t="inlineStr">
        <is>
          <t>V2</t>
        </is>
      </c>
      <c r="F525" s="2" t="inlineStr">
        <is>
          <t>¿Permite rastrear un total hasta registros o fuente de facturación?</t>
        </is>
      </c>
      <c r="G525" t="n">
        <v>1</v>
      </c>
      <c r="H525" t="inlineStr">
        <is>
          <t>Oficial</t>
        </is>
      </c>
      <c r="I525" s="2" t="inlineStr">
        <is>
          <t>Cost Reports permite "drilling down" desde el valor de costo hasta el detalle del recurso, y exportar como CSV los reportes Invoice/Detailed Billing/Summarized Billing (AWS); no se encontró una función explícita de reconciliación con la factura equivalente a la de AWS/Azure/GCP.</t>
        </is>
      </c>
      <c r="J525" t="inlineStr">
        <is>
          <t>https://docs.vmware.com/en/VMware-Tanzu-CloudHealth/SaaS/working-with-reports-recommendations-vmware-tanzu-cloudhealth/GUID-cost-reports.html</t>
        </is>
      </c>
      <c r="K525" t="inlineStr">
        <is>
          <t>2026-09-16</t>
        </is>
      </c>
      <c r="L525" s="2" t="inlineStr"/>
    </row>
    <row r="526">
      <c r="A526" t="inlineStr">
        <is>
          <t>E1</t>
        </is>
      </c>
      <c r="B526" t="inlineStr">
        <is>
          <t>Multicloud</t>
        </is>
      </c>
      <c r="C526" t="inlineStr">
        <is>
          <t>CloudHealth</t>
        </is>
      </c>
      <c r="D526" t="inlineStr">
        <is>
          <t>Asignacion</t>
        </is>
      </c>
      <c r="E526" t="inlineStr">
        <is>
          <t>A1</t>
        </is>
      </c>
      <c r="F526" s="2" t="inlineStr">
        <is>
          <t>¿Calcula gasto asignado/no asignado por responsable, centro o entidad?</t>
        </is>
      </c>
      <c r="G526" t="inlineStr">
        <is>
          <t>NE</t>
        </is>
      </c>
      <c r="H526" t="inlineStr">
        <is>
          <t>Pendiente</t>
        </is>
      </c>
      <c r="I526" s="2" t="inlineStr">
        <is>
          <t>Al crear un Perspective, el 100% de los activos parte "unallocated"; la interfaz expone explícitamente porcentaje y cantidad de activos asignados/no asignados en la sección "Assets Not Allocated".</t>
        </is>
      </c>
      <c r="J526" t="inlineStr">
        <is>
          <t>https://docs.vmware.com/en/VMware-Tanzu-CloudHealth/SaaS/using-and-managing-vmware-tanzu-cloudhealth/GUID-introduction-to-perspectives.html</t>
        </is>
      </c>
      <c r="K526" t="inlineStr">
        <is>
          <t>2026-09-16</t>
        </is>
      </c>
      <c r="L526" s="2" t="inlineStr">
        <is>
          <t>Celda heredada FP-180 (2026-09-16): el valor 2 proviene de la investigacion del escenario E2 y no cuenta con evidencia propia de E1. Segun FP-177 el indicador A1 depende del escenario, por lo que pasa a NE (no evidenciado, reduce cobertura) hasta investigarlo. La evidencia y la fuente originales se conservan como referencia del escenario de origen.</t>
        </is>
      </c>
    </row>
    <row r="527">
      <c r="A527" t="inlineStr">
        <is>
          <t>E1</t>
        </is>
      </c>
      <c r="B527" t="inlineStr">
        <is>
          <t>Multicloud</t>
        </is>
      </c>
      <c r="C527" t="inlineStr">
        <is>
          <t>CloudHealth</t>
        </is>
      </c>
      <c r="D527" t="inlineStr">
        <is>
          <t>Asignacion</t>
        </is>
      </c>
      <c r="E527" t="inlineStr">
        <is>
          <t>A2</t>
        </is>
      </c>
      <c r="F527" s="2" t="inlineStr">
        <is>
          <t>¿Explicita y aplica reglas para costo compartido/multi-tenant?</t>
        </is>
      </c>
      <c r="G527" t="inlineStr">
        <is>
          <t>NE</t>
        </is>
      </c>
      <c r="H527" t="inlineStr">
        <is>
          <t>Pendiente</t>
        </is>
      </c>
      <c r="I527" s="2" t="inlineStr">
        <is>
          <t>Los Perspectives agrupan activos mediante reglas de categorización versionadas y reproducibles (grupos dentro de cada lente, p. ej. Environment: dev/staging/test/prod).</t>
        </is>
      </c>
      <c r="J527" t="inlineStr">
        <is>
          <t>https://docs.vmware.com/en/VMware-Tanzu-CloudHealth/SaaS/using-and-managing-vmware-tanzu-cloudhealth/GUID-introduction-to-perspectives.html</t>
        </is>
      </c>
      <c r="K527" t="inlineStr">
        <is>
          <t>2026-09-16</t>
        </is>
      </c>
      <c r="L527" s="2" t="inlineStr">
        <is>
          <t>Celda heredada FP-180 (2026-09-16): el valor 2 proviene de la investigacion del escenario E2 y no cuenta con evidencia propia de E1. Segun FP-177 el indicador A2 depende del escenario, por lo que pasa a NE (no evidenciado, reduce cobertura) hasta investigarlo. La evidencia y la fuente originales se conservan como referencia del escenario de origen.</t>
        </is>
      </c>
    </row>
    <row r="528">
      <c r="A528" t="inlineStr">
        <is>
          <t>E1</t>
        </is>
      </c>
      <c r="B528" t="inlineStr">
        <is>
          <t>Multicloud</t>
        </is>
      </c>
      <c r="C528" t="inlineStr">
        <is>
          <t>CloudHealth</t>
        </is>
      </c>
      <c r="D528" t="inlineStr">
        <is>
          <t>Optimizacion</t>
        </is>
      </c>
      <c r="E528" t="inlineStr">
        <is>
          <t>O1</t>
        </is>
      </c>
      <c r="F528" s="2" t="inlineStr">
        <is>
          <t>¿Detecta desperdicio, rightsizing o compromiso relevante al escenario?</t>
        </is>
      </c>
      <c r="G528" t="inlineStr">
        <is>
          <t>NE</t>
        </is>
      </c>
      <c r="H528" t="inlineStr">
        <is>
          <t>Pendiente</t>
        </is>
      </c>
      <c r="I528" s="2" t="inlineStr">
        <is>
          <t>Existen páginas de Rightsizing dedicadas para AWS, Azure y GCP: para AWS, el motor analiza CPU/memoria/IOPS y sugiere un "Best Fit" más dos alternativas (p. ej. de m4.xlarge a c4.large), ordenadas por costo.</t>
        </is>
      </c>
      <c r="J528" t="inlineStr">
        <is>
          <t>https://docs.vmware.com/en/VMware-Tanzu-CloudHealth/SaaS/working-with-reports-recommendations-vmware-tanzu-cloudhealth/GUID-aws-rightsizing-new.html</t>
        </is>
      </c>
      <c r="K528" t="inlineStr">
        <is>
          <t>2026-09-16</t>
        </is>
      </c>
      <c r="L528" s="2" t="inlineStr">
        <is>
          <t>Celda heredada FP-180 (2026-09-16): el valor 2 proviene de la investigacion del escenario E2 y no cuenta con evidencia propia de E1. Segun FP-177 el indicador O1 depende del escenario, por lo que pasa a NE (no evidenciado, reduce cobertura) hasta investigarlo. La evidencia y la fuente originales se conservan como referencia del escenario de origen.</t>
        </is>
      </c>
    </row>
    <row r="529">
      <c r="A529" t="inlineStr">
        <is>
          <t>E1</t>
        </is>
      </c>
      <c r="B529" t="inlineStr">
        <is>
          <t>Multicloud</t>
        </is>
      </c>
      <c r="C529" t="inlineStr">
        <is>
          <t>CloudHealth</t>
        </is>
      </c>
      <c r="D529" t="inlineStr">
        <is>
          <t>Optimizacion</t>
        </is>
      </c>
      <c r="E529" t="inlineStr">
        <is>
          <t>O2</t>
        </is>
      </c>
      <c r="F529" s="2" t="inlineStr">
        <is>
          <t>¿Explica supuesto/impacto y permite seguir una recomendación?</t>
        </is>
      </c>
      <c r="G529" t="n">
        <v>1</v>
      </c>
      <c r="H529" t="inlineStr">
        <is>
          <t>Oficial</t>
        </is>
      </c>
      <c r="I529" s="2" t="inlineStr">
        <is>
          <t>Cada recomendación muestra costo mensual actual, proyectado y el ahorro proyectado; la documentación revisada no describe seguimiento del estado de una recomendación ya aplicada a lo largo del tiempo.</t>
        </is>
      </c>
      <c r="J529" t="inlineStr">
        <is>
          <t>https://docs.vmware.com/en/VMware-Tanzu-CloudHealth/SaaS/working-with-reports-recommendations-vmware-tanzu-cloudhealth/GUID-aws-rightsizing-new.html</t>
        </is>
      </c>
      <c r="K529" t="inlineStr">
        <is>
          <t>2026-09-16</t>
        </is>
      </c>
      <c r="L529" s="2" t="inlineStr"/>
    </row>
    <row r="530">
      <c r="A530" t="inlineStr">
        <is>
          <t>E1</t>
        </is>
      </c>
      <c r="B530" t="inlineStr">
        <is>
          <t>Multicloud</t>
        </is>
      </c>
      <c r="C530" t="inlineStr">
        <is>
          <t>CloudHealth</t>
        </is>
      </c>
      <c r="D530" t="inlineStr">
        <is>
          <t>Automatizacion</t>
        </is>
      </c>
      <c r="E530" t="inlineStr">
        <is>
          <t>AU1</t>
        </is>
      </c>
      <c r="F530" s="2" t="inlineStr">
        <is>
          <t>¿Ejecuta o bloquea acciones/políticas de costo con control verificable?</t>
        </is>
      </c>
      <c r="G530" t="inlineStr">
        <is>
          <t>NE</t>
        </is>
      </c>
      <c r="H530" t="inlineStr">
        <is>
          <t>Pendiente</t>
        </is>
      </c>
      <c r="I530" s="2" t="inlineStr">
        <is>
          <t>Las "Policies" ejecutan acciones programadas (iniciar/detener instancias, acciones remediales) y "pueden tomar estas acciones por sí sola o después de que un aprobador dé su visto bueno".</t>
        </is>
      </c>
      <c r="J530" t="inlineStr">
        <is>
          <t>https://docs.vmware.com/en/VMware-Tanzu-CloudHealth/SaaS/getting-started-with-vmware-tanzu-cloudhealth/GUID-getting-started-with-policies.html</t>
        </is>
      </c>
      <c r="K530" t="inlineStr">
        <is>
          <t>2026-09-16</t>
        </is>
      </c>
      <c r="L530" s="2" t="inlineStr">
        <is>
          <t>Celda heredada FP-180 (2026-09-16): el valor 2 proviene de la investigacion del escenario E2 y no cuenta con evidencia propia de E1. Segun FP-177 el indicador AU1 depende del escenario, por lo que pasa a NE (no evidenciado, reduce cobertura) hasta investigarlo. La evidencia y la fuente originales se conservan como referencia del escenario de origen.</t>
        </is>
      </c>
    </row>
    <row r="531">
      <c r="A531" t="inlineStr">
        <is>
          <t>E1</t>
        </is>
      </c>
      <c r="B531" t="inlineStr">
        <is>
          <t>Multicloud</t>
        </is>
      </c>
      <c r="C531" t="inlineStr">
        <is>
          <t>CloudHealth</t>
        </is>
      </c>
      <c r="D531" t="inlineStr">
        <is>
          <t>Automatizacion</t>
        </is>
      </c>
      <c r="E531" t="inlineStr">
        <is>
          <t>AU2</t>
        </is>
      </c>
      <c r="F531" s="2" t="inlineStr">
        <is>
          <t>¿Ofrece aprobación, reversión, registro o límites antes de actuar?</t>
        </is>
      </c>
      <c r="G531" t="n">
        <v>2</v>
      </c>
      <c r="H531" t="inlineStr">
        <is>
          <t>Oficial</t>
        </is>
      </c>
      <c r="I531" s="2" t="inlineStr">
        <is>
          <t>La aprobación previa a la ejecución es configurable, y el estado de cada acción (Pending/Succeeded/Failed) se puede verificar en Dashboard &gt; Notification &gt; Actions, con notificación por correo de los recursos afectados; no se documentó un mecanismo de reversión.</t>
        </is>
      </c>
      <c r="J531" t="inlineStr">
        <is>
          <t>https://docs.vmware.com/en/VMware-Tanzu-CloudHealth/SaaS/getting-started-with-vmware-tanzu-cloudhealth/GUID-getting-started-with-policies.html</t>
        </is>
      </c>
      <c r="K531" t="inlineStr">
        <is>
          <t>2026-09-16</t>
        </is>
      </c>
      <c r="L531" s="2" t="inlineStr"/>
    </row>
    <row r="532">
      <c r="A532" t="inlineStr">
        <is>
          <t>E1</t>
        </is>
      </c>
      <c r="B532" t="inlineStr">
        <is>
          <t>Multicloud</t>
        </is>
      </c>
      <c r="C532" t="inlineStr">
        <is>
          <t>CloudHealth</t>
        </is>
      </c>
      <c r="D532" t="inlineStr">
        <is>
          <t>Multicloud</t>
        </is>
      </c>
      <c r="E532" t="inlineStr">
        <is>
          <t>M1</t>
        </is>
      </c>
      <c r="F532" s="2" t="inlineStr">
        <is>
          <t>¿Consolida al menos dos proveedores bajo el mismo esquema declarado?</t>
        </is>
      </c>
      <c r="G532" t="n">
        <v>2</v>
      </c>
      <c r="H532" t="inlineStr">
        <is>
          <t>Oficial</t>
        </is>
      </c>
      <c r="I532" s="2" t="inlineStr">
        <is>
          <t>Los Perspectives normalizan explícitamente activos etiquetables de AWS, Azure, Google Cloud y Oracle Cloud bajo el mismo esquema de clasificación ("AWS Taggable Assets", "Azure Taggable Asset", "GCP Taggable Asset").</t>
        </is>
      </c>
      <c r="J532" t="inlineStr">
        <is>
          <t>https://docs.vmware.com/en/VMware-Tanzu-CloudHealth/SaaS/using-and-managing-vmware-tanzu-cloudhealth/GUID-introduction-to-perspectives.html</t>
        </is>
      </c>
      <c r="K532" t="inlineStr">
        <is>
          <t>2026-09-16</t>
        </is>
      </c>
      <c r="L532" s="2" t="inlineStr"/>
    </row>
    <row r="533">
      <c r="A533" t="inlineStr">
        <is>
          <t>E1</t>
        </is>
      </c>
      <c r="B533" t="inlineStr">
        <is>
          <t>Multicloud</t>
        </is>
      </c>
      <c r="C533" t="inlineStr">
        <is>
          <t>CloudHealth</t>
        </is>
      </c>
      <c r="D533" t="inlineStr">
        <is>
          <t>Multicloud</t>
        </is>
      </c>
      <c r="E533" t="inlineStr">
        <is>
          <t>M2</t>
        </is>
      </c>
      <c r="F533" s="2" t="inlineStr">
        <is>
          <t>¿Hace visibles proveedor, cobertura y diferencias semánticas?</t>
        </is>
      </c>
      <c r="G533" t="n">
        <v>1</v>
      </c>
      <c r="H533" t="inlineStr">
        <is>
          <t>Oficial</t>
        </is>
      </c>
      <c r="I533" s="2" t="inlineStr">
        <is>
          <t>La documentación diferencia tipos de activos por proveedor dentro del mismo esquema, pero no se encontró un diccionario/mapeo explícito de diferencias semánticas entre nubes.</t>
        </is>
      </c>
      <c r="J533" t="inlineStr">
        <is>
          <t>https://docs.vmware.com/en/VMware-Tanzu-CloudHealth/SaaS/using-and-managing-vmware-tanzu-cloudhealth/GUID-introduction-to-perspectives.html</t>
        </is>
      </c>
      <c r="K533" t="inlineStr">
        <is>
          <t>2026-09-16</t>
        </is>
      </c>
      <c r="L533" s="2" t="inlineStr"/>
    </row>
    <row r="534">
      <c r="A534" t="inlineStr">
        <is>
          <t>E1</t>
        </is>
      </c>
      <c r="B534" t="inlineStr">
        <is>
          <t>Multicloud</t>
        </is>
      </c>
      <c r="C534" t="inlineStr">
        <is>
          <t>CloudHealth</t>
        </is>
      </c>
      <c r="D534" t="inlineStr">
        <is>
          <t>Integracion</t>
        </is>
      </c>
      <c r="E534" t="inlineStr">
        <is>
          <t>I1</t>
        </is>
      </c>
      <c r="F534" s="2" t="inlineStr">
        <is>
          <t>¿Integra datos requeridos (facturación, uso, clúster o IaC) del escenario?</t>
        </is>
      </c>
      <c r="G534" t="inlineStr">
        <is>
          <t>NE</t>
        </is>
      </c>
      <c r="H534" t="inlineStr">
        <is>
          <t>Pendiente</t>
        </is>
      </c>
      <c r="I534" s="2" t="inlineStr">
        <is>
          <t>Existen guías oficiales dedicadas para conectar cuentas de AWS y de Azure a la plataforma (conector/API definido y reproducible).</t>
        </is>
      </c>
      <c r="J534" t="inlineStr">
        <is>
          <t>https://docs.vmware.com/en/VMware-Tanzu-CloudHealth/SaaS/getting-started-with-vmware-tanzu-cloudhealth/GUID-azure-quick-start.html</t>
        </is>
      </c>
      <c r="K534" t="inlineStr">
        <is>
          <t>2026-09-16</t>
        </is>
      </c>
      <c r="L534" s="2" t="inlineStr">
        <is>
          <t>Celda heredada FP-180 (2026-09-16): el valor 2 proviene de la investigacion del escenario E2 y no cuenta con evidencia propia de E1. Segun FP-177 el indicador I1 depende del escenario, por lo que pasa a NE (no evidenciado, reduce cobertura) hasta investigarlo. La evidencia y la fuente originales se conservan como referencia del escenario de origen.</t>
        </is>
      </c>
    </row>
    <row r="535">
      <c r="A535" t="inlineStr">
        <is>
          <t>E1</t>
        </is>
      </c>
      <c r="B535" t="inlineStr">
        <is>
          <t>Multicloud</t>
        </is>
      </c>
      <c r="C535" t="inlineStr">
        <is>
          <t>CloudHealth</t>
        </is>
      </c>
      <c r="D535" t="inlineStr">
        <is>
          <t>Integracion</t>
        </is>
      </c>
      <c r="E535" t="inlineStr">
        <is>
          <t>I2</t>
        </is>
      </c>
      <c r="F535" s="2" t="inlineStr">
        <is>
          <t>¿Se integra con el flujo de trabajo relevante (alerta, ticket, CI/CD o reporte)?</t>
        </is>
      </c>
      <c r="G535" t="inlineStr">
        <is>
          <t>NE</t>
        </is>
      </c>
      <c r="H535" t="inlineStr">
        <is>
          <t>Pendiente</t>
        </is>
      </c>
      <c r="I535" s="2" t="inlineStr">
        <is>
          <t>Las Policies notifican por correo los IDs de recursos afectados; no se encontró documentación de integración directa con ticketing/CI-CD.</t>
        </is>
      </c>
      <c r="J535" t="inlineStr">
        <is>
          <t>https://docs.vmware.com/en/VMware-Tanzu-CloudHealth/SaaS/getting-started-with-vmware-tanzu-cloudhealth/GUID-getting-started-with-policies.html</t>
        </is>
      </c>
      <c r="K535" t="inlineStr">
        <is>
          <t>2026-09-16</t>
        </is>
      </c>
      <c r="L535" s="2" t="inlineStr">
        <is>
          <t>Celda heredada FP-180 (2026-09-16): el valor 1 proviene de la investigacion del escenario E2 y no cuenta con evidencia propia de E1. Segun FP-177 el indicador I2 depende del escenario, por lo que pasa a NE (no evidenciado, reduce cobertura) hasta investigarlo. La evidencia y la fuente originales se conservan como referencia del escenario de origen.</t>
        </is>
      </c>
    </row>
    <row r="536">
      <c r="A536" t="inlineStr">
        <is>
          <t>E1</t>
        </is>
      </c>
      <c r="B536" t="inlineStr">
        <is>
          <t>Multicloud</t>
        </is>
      </c>
      <c r="C536" t="inlineStr">
        <is>
          <t>CloudHealth</t>
        </is>
      </c>
      <c r="D536" t="inlineStr">
        <is>
          <t>Adopcion</t>
        </is>
      </c>
      <c r="E536" t="inlineStr">
        <is>
          <t>AD1</t>
        </is>
      </c>
      <c r="F536" s="2" t="inlineStr">
        <is>
          <t>¿Soporta acceso/entrega para los roles del escenario?</t>
        </is>
      </c>
      <c r="G536" t="inlineStr">
        <is>
          <t>NE</t>
        </is>
      </c>
      <c r="H536" t="inlineStr">
        <is>
          <t>Pendiente</t>
        </is>
      </c>
      <c r="I536" s="2" t="inlineStr">
        <is>
          <t>No se encontró, entre las páginas accesibles, documentación específica de roles/permisos para el producto Tanzu CloudHealth (solo se ubicó documentación de roles para "CloudHealth Secure State", un producto distinto de seguridad).</t>
        </is>
      </c>
      <c r="K536" t="inlineStr">
        <is>
          <t>2026-09-16</t>
        </is>
      </c>
      <c r="L536" s="2" t="inlineStr"/>
    </row>
    <row r="537">
      <c r="A537" t="inlineStr">
        <is>
          <t>E1</t>
        </is>
      </c>
      <c r="B537" t="inlineStr">
        <is>
          <t>Multicloud</t>
        </is>
      </c>
      <c r="C537" t="inlineStr">
        <is>
          <t>CloudHealth</t>
        </is>
      </c>
      <c r="D537" t="inlineStr">
        <is>
          <t>Adopcion</t>
        </is>
      </c>
      <c r="E537" t="inlineStr">
        <is>
          <t>AD2</t>
        </is>
      </c>
      <c r="F537" s="2" t="inlineStr">
        <is>
          <t>¿Ofrece guías, ownership o mecanismos de seguimiento para uso sostenido?</t>
        </is>
      </c>
      <c r="G537" t="n">
        <v>1</v>
      </c>
      <c r="H537" t="inlineStr">
        <is>
          <t>Oficial</t>
        </is>
      </c>
      <c r="I537" s="2" t="inlineStr">
        <is>
          <t>Existe documentación oficial extensa (guías, whitepapers de gestión financiera de la nube) en el portal de VMware/Broadcom, pero no se verificó una guía de adopción/gobernanza dedicada más allá de la documentación general del producto.</t>
        </is>
      </c>
      <c r="J537" t="inlineStr">
        <is>
          <t>https://docs.vmware.com/en/VMware-Tanzu-CloudHealth/index.html</t>
        </is>
      </c>
      <c r="K537" t="inlineStr">
        <is>
          <t>2026-09-16</t>
        </is>
      </c>
      <c r="L537" s="2" t="inlineStr"/>
    </row>
    <row r="538">
      <c r="A538" t="inlineStr">
        <is>
          <t>E1</t>
        </is>
      </c>
      <c r="B538" t="inlineStr">
        <is>
          <t>Multicloud</t>
        </is>
      </c>
      <c r="C538" t="inlineStr">
        <is>
          <t>CloudHealth</t>
        </is>
      </c>
      <c r="D538" t="inlineStr">
        <is>
          <t>Precio</t>
        </is>
      </c>
      <c r="E538" t="inlineStr">
        <is>
          <t>P1</t>
        </is>
      </c>
      <c r="F538" s="2" t="inlineStr">
        <is>
          <t>¿Expone precio, moneda, región, unidad, período y supuestos relevantes?</t>
        </is>
      </c>
      <c r="G538" t="inlineStr">
        <is>
          <t>NE</t>
        </is>
      </c>
      <c r="H538" t="inlineStr">
        <is>
          <t>Pendiente</t>
        </is>
      </c>
      <c r="I538" s="2" t="inlineStr">
        <is>
          <t>No se encontró evidencia específica de transparencia de supuestos de precio (moneda/región/período) en las páginas revisadas.</t>
        </is>
      </c>
      <c r="K538" t="inlineStr">
        <is>
          <t>2026-09-16</t>
        </is>
      </c>
      <c r="L538" s="2" t="inlineStr"/>
    </row>
    <row r="539">
      <c r="A539" t="inlineStr">
        <is>
          <t>E1</t>
        </is>
      </c>
      <c r="B539" t="inlineStr">
        <is>
          <t>Multicloud</t>
        </is>
      </c>
      <c r="C539" t="inlineStr">
        <is>
          <t>CloudHealth</t>
        </is>
      </c>
      <c r="D539" t="inlineStr">
        <is>
          <t>Precio</t>
        </is>
      </c>
      <c r="E539" t="inlineStr">
        <is>
          <t>P2</t>
        </is>
      </c>
      <c r="F539" s="2" t="inlineStr">
        <is>
          <t>¿Permite estimar o comparar componentes sin ocultar límites de equivalencia?</t>
        </is>
      </c>
      <c r="G539" t="inlineStr">
        <is>
          <t>NE</t>
        </is>
      </c>
      <c r="H539" t="inlineStr">
        <is>
          <t>Pendiente</t>
        </is>
      </c>
      <c r="I539" s="2" t="inlineStr">
        <is>
          <t>No se encontró evidencia de una función de comparación/estimación de precio contextual en las páginas revisadas.</t>
        </is>
      </c>
      <c r="K539" t="inlineStr">
        <is>
          <t>2026-09-16</t>
        </is>
      </c>
      <c r="L539" s="2" t="inlineStr"/>
    </row>
    <row r="540">
      <c r="A540" t="inlineStr">
        <is>
          <t>E1</t>
        </is>
      </c>
      <c r="B540" t="inlineStr">
        <is>
          <t>Multicloud</t>
        </is>
      </c>
      <c r="C540" t="inlineStr">
        <is>
          <t>CloudHealth</t>
        </is>
      </c>
      <c r="D540" t="inlineStr">
        <is>
          <t>Dependencia</t>
        </is>
      </c>
      <c r="E540" t="inlineStr">
        <is>
          <t>D1</t>
        </is>
      </c>
      <c r="F540" s="2" t="inlineStr">
        <is>
          <t>¿Exporta datos/resultados en formato utilizable y documentado?</t>
        </is>
      </c>
      <c r="G540" t="n">
        <v>2</v>
      </c>
      <c r="H540" t="inlineStr">
        <is>
          <t>Oficial</t>
        </is>
      </c>
      <c r="I540" s="2" t="inlineStr">
        <is>
          <t>Cost Reports permite descargar como CSV los reportes Invoice, Detailed Billing Report y Summarized Billing Report (documentado para AWS).</t>
        </is>
      </c>
      <c r="J540" t="inlineStr">
        <is>
          <t>https://docs.vmware.com/en/VMware-Tanzu-CloudHealth/SaaS/working-with-reports-recommendations-vmware-tanzu-cloudhealth/GUID-cost-reports.html</t>
        </is>
      </c>
      <c r="K540" t="inlineStr">
        <is>
          <t>2026-09-16</t>
        </is>
      </c>
      <c r="L540" s="2" t="inlineStr"/>
    </row>
    <row r="541">
      <c r="A541" t="inlineStr">
        <is>
          <t>E1</t>
        </is>
      </c>
      <c r="B541" t="inlineStr">
        <is>
          <t>Multicloud</t>
        </is>
      </c>
      <c r="C541" t="inlineStr">
        <is>
          <t>CloudHealth</t>
        </is>
      </c>
      <c r="D541" t="inlineStr">
        <is>
          <t>Dependencia</t>
        </is>
      </c>
      <c r="E541" t="inlineStr">
        <is>
          <t>D2</t>
        </is>
      </c>
      <c r="F541" s="2" t="inlineStr">
        <is>
          <t>¿Documenta dependencias propietarias y un camino de salida/configuración reversible?</t>
        </is>
      </c>
      <c r="G541" t="inlineStr">
        <is>
          <t>NE</t>
        </is>
      </c>
      <c r="H541" t="inlineStr">
        <is>
          <t>Pendiente</t>
        </is>
      </c>
      <c r="I541" s="2" t="inlineStr">
        <is>
          <t>No se encontró documentación sobre un camino de salida o reversibilidad de la configuración.</t>
        </is>
      </c>
      <c r="K541" t="inlineStr">
        <is>
          <t>2026-09-16</t>
        </is>
      </c>
      <c r="L541" s="2" t="inlineStr"/>
    </row>
    <row r="542">
      <c r="A542" t="inlineStr">
        <is>
          <t>E2</t>
        </is>
      </c>
      <c r="B542" t="inlineStr">
        <is>
          <t>Multicloud</t>
        </is>
      </c>
      <c r="C542" t="inlineStr">
        <is>
          <t>CloudHealth</t>
        </is>
      </c>
      <c r="D542" t="inlineStr">
        <is>
          <t>Visibilidad</t>
        </is>
      </c>
      <c r="E542" t="inlineStr">
        <is>
          <t>V1</t>
        </is>
      </c>
      <c r="F542" s="2" t="inlineStr">
        <is>
          <t>¿Desagrega costo y uso por cuenta/proyecto, servicio y período?</t>
        </is>
      </c>
      <c r="G542" t="n">
        <v>2</v>
      </c>
      <c r="H542" t="inlineStr">
        <is>
          <t>Oficial</t>
        </is>
      </c>
      <c r="I542" s="2" t="inlineStr">
        <is>
          <t>"Perspectives" son "lentes" para categorizar todos los activos de la infraestructura por Producto, Equipo, Owner, Ambiente, Unidad de negocio, Función o Centro de costo, con soporte de tagging en AWS, Azure, Google Cloud y Oracle Cloud.</t>
        </is>
      </c>
      <c r="J542" t="inlineStr">
        <is>
          <t>https://docs.vmware.com/en/VMware-Tanzu-CloudHealth/SaaS/using-and-managing-vmware-tanzu-cloudhealth/GUID-introduction-to-perspectives.html</t>
        </is>
      </c>
      <c r="K542" t="inlineStr">
        <is>
          <t>2026-09-16</t>
        </is>
      </c>
      <c r="L542" s="2" t="inlineStr"/>
    </row>
    <row r="543">
      <c r="A543" t="inlineStr">
        <is>
          <t>E2</t>
        </is>
      </c>
      <c r="B543" t="inlineStr">
        <is>
          <t>Multicloud</t>
        </is>
      </c>
      <c r="C543" t="inlineStr">
        <is>
          <t>CloudHealth</t>
        </is>
      </c>
      <c r="D543" t="inlineStr">
        <is>
          <t>Visibilidad</t>
        </is>
      </c>
      <c r="E543" t="inlineStr">
        <is>
          <t>V2</t>
        </is>
      </c>
      <c r="F543" s="2" t="inlineStr">
        <is>
          <t>¿Permite rastrear un total hasta registros o fuente de facturación?</t>
        </is>
      </c>
      <c r="G543" t="n">
        <v>1</v>
      </c>
      <c r="H543" t="inlineStr">
        <is>
          <t>Oficial</t>
        </is>
      </c>
      <c r="I543" s="2" t="inlineStr">
        <is>
          <t>Cost Reports permite "drilling down" desde el valor de costo hasta el detalle del recurso, y exportar como CSV los reportes Invoice/Detailed Billing/Summarized Billing (AWS); no se encontró una función explícita de reconciliación con la factura equivalente a la de AWS/Azure/GCP.</t>
        </is>
      </c>
      <c r="J543" t="inlineStr">
        <is>
          <t>https://docs.vmware.com/en/VMware-Tanzu-CloudHealth/SaaS/working-with-reports-recommendations-vmware-tanzu-cloudhealth/GUID-cost-reports.html</t>
        </is>
      </c>
      <c r="K543" t="inlineStr">
        <is>
          <t>2026-09-16</t>
        </is>
      </c>
      <c r="L543" s="2" t="inlineStr"/>
    </row>
    <row r="544">
      <c r="A544" t="inlineStr">
        <is>
          <t>E2</t>
        </is>
      </c>
      <c r="B544" t="inlineStr">
        <is>
          <t>Multicloud</t>
        </is>
      </c>
      <c r="C544" t="inlineStr">
        <is>
          <t>CloudHealth</t>
        </is>
      </c>
      <c r="D544" t="inlineStr">
        <is>
          <t>Asignacion</t>
        </is>
      </c>
      <c r="E544" t="inlineStr">
        <is>
          <t>A1</t>
        </is>
      </c>
      <c r="F544" s="2" t="inlineStr">
        <is>
          <t>¿Calcula gasto asignado/no asignado por responsable, centro o entidad?</t>
        </is>
      </c>
      <c r="G544" t="n">
        <v>2</v>
      </c>
      <c r="H544" t="inlineStr">
        <is>
          <t>Oficial</t>
        </is>
      </c>
      <c r="I544" s="2" t="inlineStr">
        <is>
          <t>Al crear un Perspective, el 100% de los activos parte "unallocated"; la interfaz expone explícitamente porcentaje y cantidad de activos asignados/no asignados en la sección "Assets Not Allocated".</t>
        </is>
      </c>
      <c r="J544" t="inlineStr">
        <is>
          <t>https://docs.vmware.com/en/VMware-Tanzu-CloudHealth/SaaS/using-and-managing-vmware-tanzu-cloudhealth/GUID-introduction-to-perspectives.html</t>
        </is>
      </c>
      <c r="K544" t="inlineStr">
        <is>
          <t>2026-09-16</t>
        </is>
      </c>
      <c r="L544" s="2" t="inlineStr"/>
    </row>
    <row r="545">
      <c r="A545" t="inlineStr">
        <is>
          <t>E2</t>
        </is>
      </c>
      <c r="B545" t="inlineStr">
        <is>
          <t>Multicloud</t>
        </is>
      </c>
      <c r="C545" t="inlineStr">
        <is>
          <t>CloudHealth</t>
        </is>
      </c>
      <c r="D545" t="inlineStr">
        <is>
          <t>Asignacion</t>
        </is>
      </c>
      <c r="E545" t="inlineStr">
        <is>
          <t>A2</t>
        </is>
      </c>
      <c r="F545" s="2" t="inlineStr">
        <is>
          <t>¿Explicita y aplica reglas para costo compartido/multi-tenant?</t>
        </is>
      </c>
      <c r="G545" t="n">
        <v>2</v>
      </c>
      <c r="H545" t="inlineStr">
        <is>
          <t>Oficial</t>
        </is>
      </c>
      <c r="I545" s="2" t="inlineStr">
        <is>
          <t>Los Perspectives agrupan activos mediante reglas de categorización versionadas y reproducibles (grupos dentro de cada lente, p. ej. Environment: dev/staging/test/prod).</t>
        </is>
      </c>
      <c r="J545" t="inlineStr">
        <is>
          <t>https://docs.vmware.com/en/VMware-Tanzu-CloudHealth/SaaS/using-and-managing-vmware-tanzu-cloudhealth/GUID-introduction-to-perspectives.html</t>
        </is>
      </c>
      <c r="K545" t="inlineStr">
        <is>
          <t>2026-09-16</t>
        </is>
      </c>
      <c r="L545" s="2" t="inlineStr"/>
    </row>
    <row r="546">
      <c r="A546" t="inlineStr">
        <is>
          <t>E2</t>
        </is>
      </c>
      <c r="B546" t="inlineStr">
        <is>
          <t>Multicloud</t>
        </is>
      </c>
      <c r="C546" t="inlineStr">
        <is>
          <t>CloudHealth</t>
        </is>
      </c>
      <c r="D546" t="inlineStr">
        <is>
          <t>Optimizacion</t>
        </is>
      </c>
      <c r="E546" t="inlineStr">
        <is>
          <t>O1</t>
        </is>
      </c>
      <c r="F546" s="2" t="inlineStr">
        <is>
          <t>¿Detecta desperdicio, rightsizing o compromiso relevante al escenario?</t>
        </is>
      </c>
      <c r="G546" t="n">
        <v>2</v>
      </c>
      <c r="H546" t="inlineStr">
        <is>
          <t>Oficial</t>
        </is>
      </c>
      <c r="I546" s="2" t="inlineStr">
        <is>
          <t>Existen páginas de Rightsizing dedicadas para AWS, Azure y GCP: para AWS, el motor analiza CPU/memoria/IOPS y sugiere un "Best Fit" más dos alternativas (p. ej. de m4.xlarge a c4.large), ordenadas por costo.</t>
        </is>
      </c>
      <c r="J546" t="inlineStr">
        <is>
          <t>https://docs.vmware.com/en/VMware-Tanzu-CloudHealth/SaaS/working-with-reports-recommendations-vmware-tanzu-cloudhealth/GUID-aws-rightsizing-new.html</t>
        </is>
      </c>
      <c r="K546" t="inlineStr">
        <is>
          <t>2026-09-16</t>
        </is>
      </c>
      <c r="L546" s="2" t="inlineStr"/>
    </row>
    <row r="547">
      <c r="A547" t="inlineStr">
        <is>
          <t>E2</t>
        </is>
      </c>
      <c r="B547" t="inlineStr">
        <is>
          <t>Multicloud</t>
        </is>
      </c>
      <c r="C547" t="inlineStr">
        <is>
          <t>CloudHealth</t>
        </is>
      </c>
      <c r="D547" t="inlineStr">
        <is>
          <t>Optimizacion</t>
        </is>
      </c>
      <c r="E547" t="inlineStr">
        <is>
          <t>O2</t>
        </is>
      </c>
      <c r="F547" s="2" t="inlineStr">
        <is>
          <t>¿Explica supuesto/impacto y permite seguir una recomendación?</t>
        </is>
      </c>
      <c r="G547" t="n">
        <v>1</v>
      </c>
      <c r="H547" t="inlineStr">
        <is>
          <t>Oficial</t>
        </is>
      </c>
      <c r="I547" s="2" t="inlineStr">
        <is>
          <t>Cada recomendación muestra costo mensual actual, proyectado y el ahorro proyectado; la documentación revisada no describe seguimiento del estado de una recomendación ya aplicada a lo largo del tiempo.</t>
        </is>
      </c>
      <c r="J547" t="inlineStr">
        <is>
          <t>https://docs.vmware.com/en/VMware-Tanzu-CloudHealth/SaaS/working-with-reports-recommendations-vmware-tanzu-cloudhealth/GUID-aws-rightsizing-new.html</t>
        </is>
      </c>
      <c r="K547" t="inlineStr">
        <is>
          <t>2026-09-16</t>
        </is>
      </c>
      <c r="L547" s="2" t="inlineStr"/>
    </row>
    <row r="548">
      <c r="A548" t="inlineStr">
        <is>
          <t>E2</t>
        </is>
      </c>
      <c r="B548" t="inlineStr">
        <is>
          <t>Multicloud</t>
        </is>
      </c>
      <c r="C548" t="inlineStr">
        <is>
          <t>CloudHealth</t>
        </is>
      </c>
      <c r="D548" t="inlineStr">
        <is>
          <t>Automatizacion</t>
        </is>
      </c>
      <c r="E548" t="inlineStr">
        <is>
          <t>AU1</t>
        </is>
      </c>
      <c r="F548" s="2" t="inlineStr">
        <is>
          <t>¿Ejecuta o bloquea acciones/políticas de costo con control verificable?</t>
        </is>
      </c>
      <c r="G548" t="n">
        <v>2</v>
      </c>
      <c r="H548" t="inlineStr">
        <is>
          <t>Oficial</t>
        </is>
      </c>
      <c r="I548" s="2" t="inlineStr">
        <is>
          <t>Las "Policies" ejecutan acciones programadas (iniciar/detener instancias, acciones remediales) y "pueden tomar estas acciones por sí sola o después de que un aprobador dé su visto bueno".</t>
        </is>
      </c>
      <c r="J548" t="inlineStr">
        <is>
          <t>https://docs.vmware.com/en/VMware-Tanzu-CloudHealth/SaaS/getting-started-with-vmware-tanzu-cloudhealth/GUID-getting-started-with-policies.html</t>
        </is>
      </c>
      <c r="K548" t="inlineStr">
        <is>
          <t>2026-09-16</t>
        </is>
      </c>
      <c r="L548" s="2" t="inlineStr"/>
    </row>
    <row r="549">
      <c r="A549" t="inlineStr">
        <is>
          <t>E2</t>
        </is>
      </c>
      <c r="B549" t="inlineStr">
        <is>
          <t>Multicloud</t>
        </is>
      </c>
      <c r="C549" t="inlineStr">
        <is>
          <t>CloudHealth</t>
        </is>
      </c>
      <c r="D549" t="inlineStr">
        <is>
          <t>Automatizacion</t>
        </is>
      </c>
      <c r="E549" t="inlineStr">
        <is>
          <t>AU2</t>
        </is>
      </c>
      <c r="F549" s="2" t="inlineStr">
        <is>
          <t>¿Ofrece aprobación, reversión, registro o límites antes de actuar?</t>
        </is>
      </c>
      <c r="G549" t="n">
        <v>2</v>
      </c>
      <c r="H549" t="inlineStr">
        <is>
          <t>Oficial</t>
        </is>
      </c>
      <c r="I549" s="2" t="inlineStr">
        <is>
          <t>La aprobación previa a la ejecución es configurable, y el estado de cada acción (Pending/Succeeded/Failed) se puede verificar en Dashboard &gt; Notification &gt; Actions, con notificación por correo de los recursos afectados; no se documentó un mecanismo de reversión.</t>
        </is>
      </c>
      <c r="J549" t="inlineStr">
        <is>
          <t>https://docs.vmware.com/en/VMware-Tanzu-CloudHealth/SaaS/getting-started-with-vmware-tanzu-cloudhealth/GUID-getting-started-with-policies.html</t>
        </is>
      </c>
      <c r="K549" t="inlineStr">
        <is>
          <t>2026-09-16</t>
        </is>
      </c>
      <c r="L549" s="2" t="inlineStr"/>
    </row>
    <row r="550">
      <c r="A550" t="inlineStr">
        <is>
          <t>E2</t>
        </is>
      </c>
      <c r="B550" t="inlineStr">
        <is>
          <t>Multicloud</t>
        </is>
      </c>
      <c r="C550" t="inlineStr">
        <is>
          <t>CloudHealth</t>
        </is>
      </c>
      <c r="D550" t="inlineStr">
        <is>
          <t>Multicloud</t>
        </is>
      </c>
      <c r="E550" t="inlineStr">
        <is>
          <t>M1</t>
        </is>
      </c>
      <c r="F550" s="2" t="inlineStr">
        <is>
          <t>¿Consolida al menos dos proveedores bajo el mismo esquema declarado?</t>
        </is>
      </c>
      <c r="G550" t="n">
        <v>2</v>
      </c>
      <c r="H550" t="inlineStr">
        <is>
          <t>Oficial</t>
        </is>
      </c>
      <c r="I550" s="2" t="inlineStr">
        <is>
          <t>Los Perspectives normalizan explícitamente activos etiquetables de AWS, Azure, Google Cloud y Oracle Cloud bajo el mismo esquema de clasificación ("AWS Taggable Assets", "Azure Taggable Asset", "GCP Taggable Asset").</t>
        </is>
      </c>
      <c r="J550" t="inlineStr">
        <is>
          <t>https://docs.vmware.com/en/VMware-Tanzu-CloudHealth/SaaS/using-and-managing-vmware-tanzu-cloudhealth/GUID-introduction-to-perspectives.html</t>
        </is>
      </c>
      <c r="K550" t="inlineStr">
        <is>
          <t>2026-09-16</t>
        </is>
      </c>
      <c r="L550" s="2" t="inlineStr"/>
    </row>
    <row r="551">
      <c r="A551" t="inlineStr">
        <is>
          <t>E2</t>
        </is>
      </c>
      <c r="B551" t="inlineStr">
        <is>
          <t>Multicloud</t>
        </is>
      </c>
      <c r="C551" t="inlineStr">
        <is>
          <t>CloudHealth</t>
        </is>
      </c>
      <c r="D551" t="inlineStr">
        <is>
          <t>Multicloud</t>
        </is>
      </c>
      <c r="E551" t="inlineStr">
        <is>
          <t>M2</t>
        </is>
      </c>
      <c r="F551" s="2" t="inlineStr">
        <is>
          <t>¿Hace visibles proveedor, cobertura y diferencias semánticas?</t>
        </is>
      </c>
      <c r="G551" t="n">
        <v>1</v>
      </c>
      <c r="H551" t="inlineStr">
        <is>
          <t>Oficial</t>
        </is>
      </c>
      <c r="I551" s="2" t="inlineStr">
        <is>
          <t>La documentación diferencia tipos de activos por proveedor dentro del mismo esquema, pero no se encontró un diccionario/mapeo explícito de diferencias semánticas entre nubes.</t>
        </is>
      </c>
      <c r="J551" t="inlineStr">
        <is>
          <t>https://docs.vmware.com/en/VMware-Tanzu-CloudHealth/SaaS/using-and-managing-vmware-tanzu-cloudhealth/GUID-introduction-to-perspectives.html</t>
        </is>
      </c>
      <c r="K551" t="inlineStr">
        <is>
          <t>2026-09-16</t>
        </is>
      </c>
      <c r="L551" s="2" t="inlineStr"/>
    </row>
    <row r="552">
      <c r="A552" t="inlineStr">
        <is>
          <t>E2</t>
        </is>
      </c>
      <c r="B552" t="inlineStr">
        <is>
          <t>Multicloud</t>
        </is>
      </c>
      <c r="C552" t="inlineStr">
        <is>
          <t>CloudHealth</t>
        </is>
      </c>
      <c r="D552" t="inlineStr">
        <is>
          <t>Integracion</t>
        </is>
      </c>
      <c r="E552" t="inlineStr">
        <is>
          <t>I1</t>
        </is>
      </c>
      <c r="F552" s="2" t="inlineStr">
        <is>
          <t>¿Integra datos requeridos (facturación, uso, clúster o IaC) del escenario?</t>
        </is>
      </c>
      <c r="G552" t="n">
        <v>2</v>
      </c>
      <c r="H552" t="inlineStr">
        <is>
          <t>Oficial</t>
        </is>
      </c>
      <c r="I552" s="2" t="inlineStr">
        <is>
          <t>Existen guías oficiales dedicadas para conectar cuentas de AWS y de Azure a la plataforma (conector/API definido y reproducible).</t>
        </is>
      </c>
      <c r="J552" t="inlineStr">
        <is>
          <t>https://docs.vmware.com/en/VMware-Tanzu-CloudHealth/SaaS/getting-started-with-vmware-tanzu-cloudhealth/GUID-azure-quick-start.html</t>
        </is>
      </c>
      <c r="K552" t="inlineStr">
        <is>
          <t>2026-09-16</t>
        </is>
      </c>
      <c r="L552" s="2" t="inlineStr"/>
    </row>
    <row r="553">
      <c r="A553" t="inlineStr">
        <is>
          <t>E2</t>
        </is>
      </c>
      <c r="B553" t="inlineStr">
        <is>
          <t>Multicloud</t>
        </is>
      </c>
      <c r="C553" t="inlineStr">
        <is>
          <t>CloudHealth</t>
        </is>
      </c>
      <c r="D553" t="inlineStr">
        <is>
          <t>Integracion</t>
        </is>
      </c>
      <c r="E553" t="inlineStr">
        <is>
          <t>I2</t>
        </is>
      </c>
      <c r="F553" s="2" t="inlineStr">
        <is>
          <t>¿Se integra con el flujo de trabajo relevante (alerta, ticket, CI/CD o reporte)?</t>
        </is>
      </c>
      <c r="G553" t="n">
        <v>1</v>
      </c>
      <c r="H553" t="inlineStr">
        <is>
          <t>Oficial</t>
        </is>
      </c>
      <c r="I553" s="2" t="inlineStr">
        <is>
          <t>Las Policies notifican por correo los IDs de recursos afectados; no se encontró documentación de integración directa con ticketing/CI-CD.</t>
        </is>
      </c>
      <c r="J553" t="inlineStr">
        <is>
          <t>https://docs.vmware.com/en/VMware-Tanzu-CloudHealth/SaaS/getting-started-with-vmware-tanzu-cloudhealth/GUID-getting-started-with-policies.html</t>
        </is>
      </c>
      <c r="K553" t="inlineStr">
        <is>
          <t>2026-09-16</t>
        </is>
      </c>
      <c r="L553" s="2" t="inlineStr"/>
    </row>
    <row r="554">
      <c r="A554" t="inlineStr">
        <is>
          <t>E2</t>
        </is>
      </c>
      <c r="B554" t="inlineStr">
        <is>
          <t>Multicloud</t>
        </is>
      </c>
      <c r="C554" t="inlineStr">
        <is>
          <t>CloudHealth</t>
        </is>
      </c>
      <c r="D554" t="inlineStr">
        <is>
          <t>Adopcion</t>
        </is>
      </c>
      <c r="E554" t="inlineStr">
        <is>
          <t>AD1</t>
        </is>
      </c>
      <c r="F554" s="2" t="inlineStr">
        <is>
          <t>¿Soporta acceso/entrega para los roles del escenario?</t>
        </is>
      </c>
      <c r="G554" t="n">
        <v>2</v>
      </c>
      <c r="H554" t="inlineStr">
        <is>
          <t>Oficial</t>
        </is>
      </c>
      <c r="I554" s="2" t="inlineStr">
        <is>
          <t>La plataforma define tres roles integrados y permite derivarlos: Administrator «has access to all privileges across all data»; Power Users «have the ability to perform all operations available to an administrator except the ability to create, edit, or delete organizations and users»; y Standard Users «can view but not modify most content». Además, «you can copy one of the built-in role documents (Standard User, Administrator, or Power User) and modify the copy to create your own. A role document is a set of privileges (read, write, update, delete)». Las organizaciones acotan qué datos ve cada usuario, lo que permite separar al responsable FinOps central, a arquitectura empresarial y a compras/finanzas exigidos por E2. No se asigna 3 porque falta la segunda evidencia (uso verificable) que pide FP-177.</t>
        </is>
      </c>
      <c r="J554" t="inlineStr">
        <is>
          <t>https://techdocs.broadcom.com/us/en/vmware-tanzu/cloudhealth/tanzu-cloudhealth/saas/tnz-cloudhealth/using-and-managing-tanzu-cloudhealth-managing-classic-organizations-if-applicable.html</t>
        </is>
      </c>
      <c r="K554" t="inlineStr">
        <is>
          <t>2026-09-16</t>
        </is>
      </c>
      <c r="L554" s="2" t="inlineStr">
        <is>
          <t>Investigación E2 FP-180 (2026-09-16): celda completada con evidencia propia del escenario, verificada contra documentación oficial.</t>
        </is>
      </c>
    </row>
    <row r="555">
      <c r="A555" t="inlineStr">
        <is>
          <t>E2</t>
        </is>
      </c>
      <c r="B555" t="inlineStr">
        <is>
          <t>Multicloud</t>
        </is>
      </c>
      <c r="C555" t="inlineStr">
        <is>
          <t>CloudHealth</t>
        </is>
      </c>
      <c r="D555" t="inlineStr">
        <is>
          <t>Adopcion</t>
        </is>
      </c>
      <c r="E555" t="inlineStr">
        <is>
          <t>AD2</t>
        </is>
      </c>
      <c r="F555" s="2" t="inlineStr">
        <is>
          <t>¿Ofrece guías, ownership o mecanismos de seguimiento para uso sostenido?</t>
        </is>
      </c>
      <c r="G555" t="n">
        <v>1</v>
      </c>
      <c r="H555" t="inlineStr">
        <is>
          <t>Oficial</t>
        </is>
      </c>
      <c r="I555" s="2" t="inlineStr">
        <is>
          <t>Existe documentación oficial extensa (guías, whitepapers de gestión financiera de la nube) en el portal de VMware/Broadcom, pero no se verificó una guía de adopción/gobernanza dedicada más allá de la documentación general del producto.</t>
        </is>
      </c>
      <c r="J555" t="inlineStr">
        <is>
          <t>https://docs.vmware.com/en/VMware-Tanzu-CloudHealth/index.html</t>
        </is>
      </c>
      <c r="K555" t="inlineStr">
        <is>
          <t>2026-09-16</t>
        </is>
      </c>
      <c r="L555" s="2" t="inlineStr"/>
    </row>
    <row r="556">
      <c r="A556" t="inlineStr">
        <is>
          <t>E2</t>
        </is>
      </c>
      <c r="B556" t="inlineStr">
        <is>
          <t>Multicloud</t>
        </is>
      </c>
      <c r="C556" t="inlineStr">
        <is>
          <t>CloudHealth</t>
        </is>
      </c>
      <c r="D556" t="inlineStr">
        <is>
          <t>Precio</t>
        </is>
      </c>
      <c r="E556" t="inlineStr">
        <is>
          <t>P1</t>
        </is>
      </c>
      <c r="F556" s="2" t="inlineStr">
        <is>
          <t>¿Expone precio, moneda, región, unidad, período y supuestos relevantes?</t>
        </is>
      </c>
      <c r="G556" t="inlineStr">
        <is>
          <t>NE</t>
        </is>
      </c>
      <c r="H556" t="inlineStr">
        <is>
          <t>Pendiente</t>
        </is>
      </c>
      <c r="I556" s="2" t="inlineStr">
        <is>
          <t>No se encontró evidencia específica de transparencia de supuestos de precio (moneda/región/período) en las páginas revisadas.</t>
        </is>
      </c>
      <c r="K556" t="inlineStr">
        <is>
          <t>2026-09-16</t>
        </is>
      </c>
      <c r="L556" s="2" t="inlineStr"/>
    </row>
    <row r="557">
      <c r="A557" t="inlineStr">
        <is>
          <t>E2</t>
        </is>
      </c>
      <c r="B557" t="inlineStr">
        <is>
          <t>Multicloud</t>
        </is>
      </c>
      <c r="C557" t="inlineStr">
        <is>
          <t>CloudHealth</t>
        </is>
      </c>
      <c r="D557" t="inlineStr">
        <is>
          <t>Precio</t>
        </is>
      </c>
      <c r="E557" t="inlineStr">
        <is>
          <t>P2</t>
        </is>
      </c>
      <c r="F557" s="2" t="inlineStr">
        <is>
          <t>¿Permite estimar o comparar componentes sin ocultar límites de equivalencia?</t>
        </is>
      </c>
      <c r="G557" t="inlineStr">
        <is>
          <t>NE</t>
        </is>
      </c>
      <c r="H557" t="inlineStr">
        <is>
          <t>Pendiente</t>
        </is>
      </c>
      <c r="I557" s="2" t="inlineStr">
        <is>
          <t>No se encontró evidencia de una función de comparación/estimación de precio contextual en las páginas revisadas.</t>
        </is>
      </c>
      <c r="K557" t="inlineStr">
        <is>
          <t>2026-09-16</t>
        </is>
      </c>
      <c r="L557" s="2" t="inlineStr"/>
    </row>
    <row r="558">
      <c r="A558" t="inlineStr">
        <is>
          <t>E2</t>
        </is>
      </c>
      <c r="B558" t="inlineStr">
        <is>
          <t>Multicloud</t>
        </is>
      </c>
      <c r="C558" t="inlineStr">
        <is>
          <t>CloudHealth</t>
        </is>
      </c>
      <c r="D558" t="inlineStr">
        <is>
          <t>Dependencia</t>
        </is>
      </c>
      <c r="E558" t="inlineStr">
        <is>
          <t>D1</t>
        </is>
      </c>
      <c r="F558" s="2" t="inlineStr">
        <is>
          <t>¿Exporta datos/resultados en formato utilizable y documentado?</t>
        </is>
      </c>
      <c r="G558" t="n">
        <v>2</v>
      </c>
      <c r="H558" t="inlineStr">
        <is>
          <t>Oficial</t>
        </is>
      </c>
      <c r="I558" s="2" t="inlineStr">
        <is>
          <t>Cost Reports permite descargar como CSV los reportes Invoice, Detailed Billing Report y Summarized Billing Report (documentado para AWS).</t>
        </is>
      </c>
      <c r="J558" t="inlineStr">
        <is>
          <t>https://docs.vmware.com/en/VMware-Tanzu-CloudHealth/SaaS/working-with-reports-recommendations-vmware-tanzu-cloudhealth/GUID-cost-reports.html</t>
        </is>
      </c>
      <c r="K558" t="inlineStr">
        <is>
          <t>2026-09-16</t>
        </is>
      </c>
      <c r="L558" s="2" t="inlineStr"/>
    </row>
    <row r="559">
      <c r="A559" t="inlineStr">
        <is>
          <t>E2</t>
        </is>
      </c>
      <c r="B559" t="inlineStr">
        <is>
          <t>Multicloud</t>
        </is>
      </c>
      <c r="C559" t="inlineStr">
        <is>
          <t>CloudHealth</t>
        </is>
      </c>
      <c r="D559" t="inlineStr">
        <is>
          <t>Dependencia</t>
        </is>
      </c>
      <c r="E559" t="inlineStr">
        <is>
          <t>D2</t>
        </is>
      </c>
      <c r="F559" s="2" t="inlineStr">
        <is>
          <t>¿Documenta dependencias propietarias y un camino de salida/configuración reversible?</t>
        </is>
      </c>
      <c r="G559" t="inlineStr">
        <is>
          <t>NE</t>
        </is>
      </c>
      <c r="H559" t="inlineStr">
        <is>
          <t>Pendiente</t>
        </is>
      </c>
      <c r="I559" s="2" t="inlineStr">
        <is>
          <t>No se encontró documentación sobre un camino de salida o reversibilidad de la configuración.</t>
        </is>
      </c>
      <c r="K559" t="inlineStr">
        <is>
          <t>2026-09-16</t>
        </is>
      </c>
      <c r="L559" s="2" t="inlineStr"/>
    </row>
    <row r="560">
      <c r="A560" t="inlineStr">
        <is>
          <t>E5</t>
        </is>
      </c>
      <c r="B560" t="inlineStr">
        <is>
          <t>Multicloud</t>
        </is>
      </c>
      <c r="C560" t="inlineStr">
        <is>
          <t>CloudHealth</t>
        </is>
      </c>
      <c r="D560" t="inlineStr">
        <is>
          <t>Visibilidad</t>
        </is>
      </c>
      <c r="E560" t="inlineStr">
        <is>
          <t>V1</t>
        </is>
      </c>
      <c r="F560" s="2" t="inlineStr">
        <is>
          <t>¿Desagrega costo y uso por cuenta/proyecto, servicio y período?</t>
        </is>
      </c>
      <c r="G560" t="inlineStr">
        <is>
          <t>NE</t>
        </is>
      </c>
      <c r="H560" t="inlineStr">
        <is>
          <t>Pendiente</t>
        </is>
      </c>
      <c r="I560" s="2" t="inlineStr">
        <is>
          <t>"Perspectives" son "lentes" para categorizar todos los activos de la infraestructura por Producto, Equipo, Owner, Ambiente, Unidad de negocio, Función o Centro de costo, con soporte de tagging en AWS, Azure, Google Cloud y Oracle Cloud.</t>
        </is>
      </c>
      <c r="J560" t="inlineStr">
        <is>
          <t>https://docs.vmware.com/en/VMware-Tanzu-CloudHealth/SaaS/using-and-managing-vmware-tanzu-cloudhealth/GUID-introduction-to-perspectives.html</t>
        </is>
      </c>
      <c r="K560" t="inlineStr">
        <is>
          <t>2026-09-16</t>
        </is>
      </c>
      <c r="L560" s="2" t="inlineStr">
        <is>
          <t>Celda heredada FP-180 (2026-09-16): el valor 2 proviene de la investigacion del escenario E2 y no cuenta con evidencia propia de E5. Segun FP-177 el indicador V1 depende del escenario, por lo que pasa a NE (no evidenciado, reduce cobertura) hasta investigarlo. La evidencia y la fuente originales se conservan como referencia del escenario de origen.</t>
        </is>
      </c>
    </row>
    <row r="561">
      <c r="A561" t="inlineStr">
        <is>
          <t>E5</t>
        </is>
      </c>
      <c r="B561" t="inlineStr">
        <is>
          <t>Multicloud</t>
        </is>
      </c>
      <c r="C561" t="inlineStr">
        <is>
          <t>CloudHealth</t>
        </is>
      </c>
      <c r="D561" t="inlineStr">
        <is>
          <t>Visibilidad</t>
        </is>
      </c>
      <c r="E561" t="inlineStr">
        <is>
          <t>V2</t>
        </is>
      </c>
      <c r="F561" s="2" t="inlineStr">
        <is>
          <t>¿Permite rastrear un total hasta registros o fuente de facturación?</t>
        </is>
      </c>
      <c r="G561" t="n">
        <v>1</v>
      </c>
      <c r="H561" t="inlineStr">
        <is>
          <t>Oficial</t>
        </is>
      </c>
      <c r="I561" s="2" t="inlineStr">
        <is>
          <t>Cost Reports permite "drilling down" desde el valor de costo hasta el detalle del recurso, y exportar como CSV los reportes Invoice/Detailed Billing/Summarized Billing (AWS); no se encontró una función explícita de reconciliación con la factura equivalente a la de AWS/Azure/GCP.</t>
        </is>
      </c>
      <c r="J561" t="inlineStr">
        <is>
          <t>https://docs.vmware.com/en/VMware-Tanzu-CloudHealth/SaaS/working-with-reports-recommendations-vmware-tanzu-cloudhealth/GUID-cost-reports.html</t>
        </is>
      </c>
      <c r="K561" t="inlineStr">
        <is>
          <t>2026-09-16</t>
        </is>
      </c>
      <c r="L561" s="2" t="inlineStr"/>
    </row>
    <row r="562">
      <c r="A562" t="inlineStr">
        <is>
          <t>E5</t>
        </is>
      </c>
      <c r="B562" t="inlineStr">
        <is>
          <t>Multicloud</t>
        </is>
      </c>
      <c r="C562" t="inlineStr">
        <is>
          <t>CloudHealth</t>
        </is>
      </c>
      <c r="D562" t="inlineStr">
        <is>
          <t>Asignacion</t>
        </is>
      </c>
      <c r="E562" t="inlineStr">
        <is>
          <t>A1</t>
        </is>
      </c>
      <c r="F562" s="2" t="inlineStr">
        <is>
          <t>¿Calcula gasto asignado/no asignado por responsable, centro o entidad?</t>
        </is>
      </c>
      <c r="G562" t="inlineStr">
        <is>
          <t>NE</t>
        </is>
      </c>
      <c r="H562" t="inlineStr">
        <is>
          <t>Pendiente</t>
        </is>
      </c>
      <c r="I562" s="2" t="inlineStr">
        <is>
          <t>Al crear un Perspective, el 100% de los activos parte "unallocated"; la interfaz expone explícitamente porcentaje y cantidad de activos asignados/no asignados en la sección "Assets Not Allocated".</t>
        </is>
      </c>
      <c r="J562" t="inlineStr">
        <is>
          <t>https://docs.vmware.com/en/VMware-Tanzu-CloudHealth/SaaS/using-and-managing-vmware-tanzu-cloudhealth/GUID-introduction-to-perspectives.html</t>
        </is>
      </c>
      <c r="K562" t="inlineStr">
        <is>
          <t>2026-09-16</t>
        </is>
      </c>
      <c r="L562" s="2" t="inlineStr">
        <is>
          <t>Celda heredada FP-180 (2026-09-16): el valor 2 proviene de la investigacion del escenario E2 y no cuenta con evidencia propia de E5. Segun FP-177 el indicador A1 depende del escenario, por lo que pasa a NE (no evidenciado, reduce cobertura) hasta investigarlo. La evidencia y la fuente originales se conservan como referencia del escenario de origen.</t>
        </is>
      </c>
    </row>
    <row r="563">
      <c r="A563" t="inlineStr">
        <is>
          <t>E5</t>
        </is>
      </c>
      <c r="B563" t="inlineStr">
        <is>
          <t>Multicloud</t>
        </is>
      </c>
      <c r="C563" t="inlineStr">
        <is>
          <t>CloudHealth</t>
        </is>
      </c>
      <c r="D563" t="inlineStr">
        <is>
          <t>Asignacion</t>
        </is>
      </c>
      <c r="E563" t="inlineStr">
        <is>
          <t>A2</t>
        </is>
      </c>
      <c r="F563" s="2" t="inlineStr">
        <is>
          <t>¿Explicita y aplica reglas para costo compartido/multi-tenant?</t>
        </is>
      </c>
      <c r="G563" t="inlineStr">
        <is>
          <t>NE</t>
        </is>
      </c>
      <c r="H563" t="inlineStr">
        <is>
          <t>Pendiente</t>
        </is>
      </c>
      <c r="I563" s="2" t="inlineStr">
        <is>
          <t>Los Perspectives agrupan activos mediante reglas de categorización versionadas y reproducibles (grupos dentro de cada lente, p. ej. Environment: dev/staging/test/prod).</t>
        </is>
      </c>
      <c r="J563" t="inlineStr">
        <is>
          <t>https://docs.vmware.com/en/VMware-Tanzu-CloudHealth/SaaS/using-and-managing-vmware-tanzu-cloudhealth/GUID-introduction-to-perspectives.html</t>
        </is>
      </c>
      <c r="K563" t="inlineStr">
        <is>
          <t>2026-09-16</t>
        </is>
      </c>
      <c r="L563" s="2" t="inlineStr">
        <is>
          <t>Celda heredada FP-180 (2026-09-16): el valor 2 proviene de la investigacion del escenario E2 y no cuenta con evidencia propia de E5. Segun FP-177 el indicador A2 depende del escenario, por lo que pasa a NE (no evidenciado, reduce cobertura) hasta investigarlo. La evidencia y la fuente originales se conservan como referencia del escenario de origen.</t>
        </is>
      </c>
    </row>
    <row r="564">
      <c r="A564" t="inlineStr">
        <is>
          <t>E5</t>
        </is>
      </c>
      <c r="B564" t="inlineStr">
        <is>
          <t>Multicloud</t>
        </is>
      </c>
      <c r="C564" t="inlineStr">
        <is>
          <t>CloudHealth</t>
        </is>
      </c>
      <c r="D564" t="inlineStr">
        <is>
          <t>Optimizacion</t>
        </is>
      </c>
      <c r="E564" t="inlineStr">
        <is>
          <t>O1</t>
        </is>
      </c>
      <c r="F564" s="2" t="inlineStr">
        <is>
          <t>¿Detecta desperdicio, rightsizing o compromiso relevante al escenario?</t>
        </is>
      </c>
      <c r="G564" t="inlineStr">
        <is>
          <t>NE</t>
        </is>
      </c>
      <c r="H564" t="inlineStr">
        <is>
          <t>Pendiente</t>
        </is>
      </c>
      <c r="I564" s="2" t="inlineStr">
        <is>
          <t>Existen páginas de Rightsizing dedicadas para AWS, Azure y GCP: para AWS, el motor analiza CPU/memoria/IOPS y sugiere un "Best Fit" más dos alternativas (p. ej. de m4.xlarge a c4.large), ordenadas por costo.</t>
        </is>
      </c>
      <c r="J564" t="inlineStr">
        <is>
          <t>https://docs.vmware.com/en/VMware-Tanzu-CloudHealth/SaaS/working-with-reports-recommendations-vmware-tanzu-cloudhealth/GUID-aws-rightsizing-new.html</t>
        </is>
      </c>
      <c r="K564" t="inlineStr">
        <is>
          <t>2026-09-16</t>
        </is>
      </c>
      <c r="L564" s="2" t="inlineStr">
        <is>
          <t>Celda heredada FP-180 (2026-09-16): el valor 2 proviene de la investigacion del escenario E2 y no cuenta con evidencia propia de E5. Segun FP-177 el indicador O1 depende del escenario, por lo que pasa a NE (no evidenciado, reduce cobertura) hasta investigarlo. La evidencia y la fuente originales se conservan como referencia del escenario de origen.</t>
        </is>
      </c>
    </row>
    <row r="565">
      <c r="A565" t="inlineStr">
        <is>
          <t>E5</t>
        </is>
      </c>
      <c r="B565" t="inlineStr">
        <is>
          <t>Multicloud</t>
        </is>
      </c>
      <c r="C565" t="inlineStr">
        <is>
          <t>CloudHealth</t>
        </is>
      </c>
      <c r="D565" t="inlineStr">
        <is>
          <t>Optimizacion</t>
        </is>
      </c>
      <c r="E565" t="inlineStr">
        <is>
          <t>O2</t>
        </is>
      </c>
      <c r="F565" s="2" t="inlineStr">
        <is>
          <t>¿Explica supuesto/impacto y permite seguir una recomendación?</t>
        </is>
      </c>
      <c r="G565" t="n">
        <v>1</v>
      </c>
      <c r="H565" t="inlineStr">
        <is>
          <t>Oficial</t>
        </is>
      </c>
      <c r="I565" s="2" t="inlineStr">
        <is>
          <t>Cada recomendación muestra costo mensual actual, proyectado y el ahorro proyectado; la documentación revisada no describe seguimiento del estado de una recomendación ya aplicada a lo largo del tiempo.</t>
        </is>
      </c>
      <c r="J565" t="inlineStr">
        <is>
          <t>https://docs.vmware.com/en/VMware-Tanzu-CloudHealth/SaaS/working-with-reports-recommendations-vmware-tanzu-cloudhealth/GUID-aws-rightsizing-new.html</t>
        </is>
      </c>
      <c r="K565" t="inlineStr">
        <is>
          <t>2026-09-16</t>
        </is>
      </c>
      <c r="L565" s="2" t="inlineStr"/>
    </row>
    <row r="566">
      <c r="A566" t="inlineStr">
        <is>
          <t>E5</t>
        </is>
      </c>
      <c r="B566" t="inlineStr">
        <is>
          <t>Multicloud</t>
        </is>
      </c>
      <c r="C566" t="inlineStr">
        <is>
          <t>CloudHealth</t>
        </is>
      </c>
      <c r="D566" t="inlineStr">
        <is>
          <t>Automatizacion</t>
        </is>
      </c>
      <c r="E566" t="inlineStr">
        <is>
          <t>AU1</t>
        </is>
      </c>
      <c r="F566" s="2" t="inlineStr">
        <is>
          <t>¿Ejecuta o bloquea acciones/políticas de costo con control verificable?</t>
        </is>
      </c>
      <c r="G566" t="inlineStr">
        <is>
          <t>NE</t>
        </is>
      </c>
      <c r="H566" t="inlineStr">
        <is>
          <t>Pendiente</t>
        </is>
      </c>
      <c r="I566" s="2" t="inlineStr">
        <is>
          <t>Las "Policies" ejecutan acciones programadas (iniciar/detener instancias, acciones remediales) y "pueden tomar estas acciones por sí sola o después de que un aprobador dé su visto bueno".</t>
        </is>
      </c>
      <c r="J566" t="inlineStr">
        <is>
          <t>https://docs.vmware.com/en/VMware-Tanzu-CloudHealth/SaaS/getting-started-with-vmware-tanzu-cloudhealth/GUID-getting-started-with-policies.html</t>
        </is>
      </c>
      <c r="K566" t="inlineStr">
        <is>
          <t>2026-09-16</t>
        </is>
      </c>
      <c r="L566" s="2" t="inlineStr">
        <is>
          <t>Celda heredada FP-180 (2026-09-16): el valor 2 proviene de la investigacion del escenario E2 y no cuenta con evidencia propia de E5. Segun FP-177 el indicador AU1 depende del escenario, por lo que pasa a NE (no evidenciado, reduce cobertura) hasta investigarlo. La evidencia y la fuente originales se conservan como referencia del escenario de origen.</t>
        </is>
      </c>
    </row>
    <row r="567">
      <c r="A567" t="inlineStr">
        <is>
          <t>E5</t>
        </is>
      </c>
      <c r="B567" t="inlineStr">
        <is>
          <t>Multicloud</t>
        </is>
      </c>
      <c r="C567" t="inlineStr">
        <is>
          <t>CloudHealth</t>
        </is>
      </c>
      <c r="D567" t="inlineStr">
        <is>
          <t>Automatizacion</t>
        </is>
      </c>
      <c r="E567" t="inlineStr">
        <is>
          <t>AU2</t>
        </is>
      </c>
      <c r="F567" s="2" t="inlineStr">
        <is>
          <t>¿Ofrece aprobación, reversión, registro o límites antes de actuar?</t>
        </is>
      </c>
      <c r="G567" t="n">
        <v>2</v>
      </c>
      <c r="H567" t="inlineStr">
        <is>
          <t>Oficial</t>
        </is>
      </c>
      <c r="I567" s="2" t="inlineStr">
        <is>
          <t>La aprobación previa a la ejecución es configurable, y el estado de cada acción (Pending/Succeeded/Failed) se puede verificar en Dashboard &gt; Notification &gt; Actions, con notificación por correo de los recursos afectados; no se documentó un mecanismo de reversión.</t>
        </is>
      </c>
      <c r="J567" t="inlineStr">
        <is>
          <t>https://docs.vmware.com/en/VMware-Tanzu-CloudHealth/SaaS/getting-started-with-vmware-tanzu-cloudhealth/GUID-getting-started-with-policies.html</t>
        </is>
      </c>
      <c r="K567" t="inlineStr">
        <is>
          <t>2026-09-16</t>
        </is>
      </c>
      <c r="L567" s="2" t="inlineStr"/>
    </row>
    <row r="568">
      <c r="A568" t="inlineStr">
        <is>
          <t>E5</t>
        </is>
      </c>
      <c r="B568" t="inlineStr">
        <is>
          <t>Multicloud</t>
        </is>
      </c>
      <c r="C568" t="inlineStr">
        <is>
          <t>CloudHealth</t>
        </is>
      </c>
      <c r="D568" t="inlineStr">
        <is>
          <t>Multicloud</t>
        </is>
      </c>
      <c r="E568" t="inlineStr">
        <is>
          <t>M1</t>
        </is>
      </c>
      <c r="F568" s="2" t="inlineStr">
        <is>
          <t>¿Consolida al menos dos proveedores bajo el mismo esquema declarado?</t>
        </is>
      </c>
      <c r="G568" t="n">
        <v>2</v>
      </c>
      <c r="H568" t="inlineStr">
        <is>
          <t>Oficial</t>
        </is>
      </c>
      <c r="I568" s="2" t="inlineStr">
        <is>
          <t>Los Perspectives normalizan explícitamente activos etiquetables de AWS, Azure, Google Cloud y Oracle Cloud bajo el mismo esquema de clasificación ("AWS Taggable Assets", "Azure Taggable Asset", "GCP Taggable Asset").</t>
        </is>
      </c>
      <c r="J568" t="inlineStr">
        <is>
          <t>https://docs.vmware.com/en/VMware-Tanzu-CloudHealth/SaaS/using-and-managing-vmware-tanzu-cloudhealth/GUID-introduction-to-perspectives.html</t>
        </is>
      </c>
      <c r="K568" t="inlineStr">
        <is>
          <t>2026-09-16</t>
        </is>
      </c>
      <c r="L568" s="2" t="inlineStr"/>
    </row>
    <row r="569">
      <c r="A569" t="inlineStr">
        <is>
          <t>E5</t>
        </is>
      </c>
      <c r="B569" t="inlineStr">
        <is>
          <t>Multicloud</t>
        </is>
      </c>
      <c r="C569" t="inlineStr">
        <is>
          <t>CloudHealth</t>
        </is>
      </c>
      <c r="D569" t="inlineStr">
        <is>
          <t>Multicloud</t>
        </is>
      </c>
      <c r="E569" t="inlineStr">
        <is>
          <t>M2</t>
        </is>
      </c>
      <c r="F569" s="2" t="inlineStr">
        <is>
          <t>¿Hace visibles proveedor, cobertura y diferencias semánticas?</t>
        </is>
      </c>
      <c r="G569" t="n">
        <v>1</v>
      </c>
      <c r="H569" t="inlineStr">
        <is>
          <t>Oficial</t>
        </is>
      </c>
      <c r="I569" s="2" t="inlineStr">
        <is>
          <t>La documentación diferencia tipos de activos por proveedor dentro del mismo esquema, pero no se encontró un diccionario/mapeo explícito de diferencias semánticas entre nubes.</t>
        </is>
      </c>
      <c r="J569" t="inlineStr">
        <is>
          <t>https://docs.vmware.com/en/VMware-Tanzu-CloudHealth/SaaS/using-and-managing-vmware-tanzu-cloudhealth/GUID-introduction-to-perspectives.html</t>
        </is>
      </c>
      <c r="K569" t="inlineStr">
        <is>
          <t>2026-09-16</t>
        </is>
      </c>
      <c r="L569" s="2" t="inlineStr"/>
    </row>
    <row r="570">
      <c r="A570" t="inlineStr">
        <is>
          <t>E5</t>
        </is>
      </c>
      <c r="B570" t="inlineStr">
        <is>
          <t>Multicloud</t>
        </is>
      </c>
      <c r="C570" t="inlineStr">
        <is>
          <t>CloudHealth</t>
        </is>
      </c>
      <c r="D570" t="inlineStr">
        <is>
          <t>Integracion</t>
        </is>
      </c>
      <c r="E570" t="inlineStr">
        <is>
          <t>I1</t>
        </is>
      </c>
      <c r="F570" s="2" t="inlineStr">
        <is>
          <t>¿Integra datos requeridos (facturación, uso, clúster o IaC) del escenario?</t>
        </is>
      </c>
      <c r="G570" t="inlineStr">
        <is>
          <t>NE</t>
        </is>
      </c>
      <c r="H570" t="inlineStr">
        <is>
          <t>Pendiente</t>
        </is>
      </c>
      <c r="I570" s="2" t="inlineStr">
        <is>
          <t>Existen guías oficiales dedicadas para conectar cuentas de AWS y de Azure a la plataforma (conector/API definido y reproducible).</t>
        </is>
      </c>
      <c r="J570" t="inlineStr">
        <is>
          <t>https://docs.vmware.com/en/VMware-Tanzu-CloudHealth/SaaS/getting-started-with-vmware-tanzu-cloudhealth/GUID-azure-quick-start.html</t>
        </is>
      </c>
      <c r="K570" t="inlineStr">
        <is>
          <t>2026-09-16</t>
        </is>
      </c>
      <c r="L570" s="2" t="inlineStr">
        <is>
          <t>Celda heredada FP-180 (2026-09-16): el valor 2 proviene de la investigacion del escenario E2 y no cuenta con evidencia propia de E5. Segun FP-177 el indicador I1 depende del escenario, por lo que pasa a NE (no evidenciado, reduce cobertura) hasta investigarlo. La evidencia y la fuente originales se conservan como referencia del escenario de origen.</t>
        </is>
      </c>
    </row>
    <row r="571">
      <c r="A571" t="inlineStr">
        <is>
          <t>E5</t>
        </is>
      </c>
      <c r="B571" t="inlineStr">
        <is>
          <t>Multicloud</t>
        </is>
      </c>
      <c r="C571" t="inlineStr">
        <is>
          <t>CloudHealth</t>
        </is>
      </c>
      <c r="D571" t="inlineStr">
        <is>
          <t>Integracion</t>
        </is>
      </c>
      <c r="E571" t="inlineStr">
        <is>
          <t>I2</t>
        </is>
      </c>
      <c r="F571" s="2" t="inlineStr">
        <is>
          <t>¿Se integra con el flujo de trabajo relevante (alerta, ticket, CI/CD o reporte)?</t>
        </is>
      </c>
      <c r="G571" t="inlineStr">
        <is>
          <t>NE</t>
        </is>
      </c>
      <c r="H571" t="inlineStr">
        <is>
          <t>Pendiente</t>
        </is>
      </c>
      <c r="I571" s="2" t="inlineStr">
        <is>
          <t>Las Policies notifican por correo los IDs de recursos afectados; no se encontró documentación de integración directa con ticketing/CI-CD.</t>
        </is>
      </c>
      <c r="J571" t="inlineStr">
        <is>
          <t>https://docs.vmware.com/en/VMware-Tanzu-CloudHealth/SaaS/getting-started-with-vmware-tanzu-cloudhealth/GUID-getting-started-with-policies.html</t>
        </is>
      </c>
      <c r="K571" t="inlineStr">
        <is>
          <t>2026-09-16</t>
        </is>
      </c>
      <c r="L571" s="2" t="inlineStr">
        <is>
          <t>Celda heredada FP-180 (2026-09-16): el valor 1 proviene de la investigacion del escenario E2 y no cuenta con evidencia propia de E5. Segun FP-177 el indicador I2 depende del escenario, por lo que pasa a NE (no evidenciado, reduce cobertura) hasta investigarlo. La evidencia y la fuente originales se conservan como referencia del escenario de origen.</t>
        </is>
      </c>
    </row>
    <row r="572">
      <c r="A572" t="inlineStr">
        <is>
          <t>E5</t>
        </is>
      </c>
      <c r="B572" t="inlineStr">
        <is>
          <t>Multicloud</t>
        </is>
      </c>
      <c r="C572" t="inlineStr">
        <is>
          <t>CloudHealth</t>
        </is>
      </c>
      <c r="D572" t="inlineStr">
        <is>
          <t>Adopcion</t>
        </is>
      </c>
      <c r="E572" t="inlineStr">
        <is>
          <t>AD1</t>
        </is>
      </c>
      <c r="F572" s="2" t="inlineStr">
        <is>
          <t>¿Soporta acceso/entrega para los roles del escenario?</t>
        </is>
      </c>
      <c r="G572" t="inlineStr">
        <is>
          <t>NE</t>
        </is>
      </c>
      <c r="H572" t="inlineStr">
        <is>
          <t>Pendiente</t>
        </is>
      </c>
      <c r="I572" s="2" t="inlineStr">
        <is>
          <t>No se encontró, entre las páginas accesibles, documentación específica de roles/permisos para el producto Tanzu CloudHealth (solo se ubicó documentación de roles para "CloudHealth Secure State", un producto distinto de seguridad).</t>
        </is>
      </c>
      <c r="K572" t="inlineStr">
        <is>
          <t>2026-09-16</t>
        </is>
      </c>
      <c r="L572" s="2" t="inlineStr"/>
    </row>
    <row r="573">
      <c r="A573" t="inlineStr">
        <is>
          <t>E5</t>
        </is>
      </c>
      <c r="B573" t="inlineStr">
        <is>
          <t>Multicloud</t>
        </is>
      </c>
      <c r="C573" t="inlineStr">
        <is>
          <t>CloudHealth</t>
        </is>
      </c>
      <c r="D573" t="inlineStr">
        <is>
          <t>Adopcion</t>
        </is>
      </c>
      <c r="E573" t="inlineStr">
        <is>
          <t>AD2</t>
        </is>
      </c>
      <c r="F573" s="2" t="inlineStr">
        <is>
          <t>¿Ofrece guías, ownership o mecanismos de seguimiento para uso sostenido?</t>
        </is>
      </c>
      <c r="G573" t="n">
        <v>1</v>
      </c>
      <c r="H573" t="inlineStr">
        <is>
          <t>Oficial</t>
        </is>
      </c>
      <c r="I573" s="2" t="inlineStr">
        <is>
          <t>Existe documentación oficial extensa (guías, whitepapers de gestión financiera de la nube) en el portal de VMware/Broadcom, pero no se verificó una guía de adopción/gobernanza dedicada más allá de la documentación general del producto.</t>
        </is>
      </c>
      <c r="J573" t="inlineStr">
        <is>
          <t>https://docs.vmware.com/en/VMware-Tanzu-CloudHealth/index.html</t>
        </is>
      </c>
      <c r="K573" t="inlineStr">
        <is>
          <t>2026-09-16</t>
        </is>
      </c>
      <c r="L573" s="2" t="inlineStr"/>
    </row>
    <row r="574">
      <c r="A574" t="inlineStr">
        <is>
          <t>E5</t>
        </is>
      </c>
      <c r="B574" t="inlineStr">
        <is>
          <t>Multicloud</t>
        </is>
      </c>
      <c r="C574" t="inlineStr">
        <is>
          <t>CloudHealth</t>
        </is>
      </c>
      <c r="D574" t="inlineStr">
        <is>
          <t>Precio</t>
        </is>
      </c>
      <c r="E574" t="inlineStr">
        <is>
          <t>P1</t>
        </is>
      </c>
      <c r="F574" s="2" t="inlineStr">
        <is>
          <t>¿Expone precio, moneda, región, unidad, período y supuestos relevantes?</t>
        </is>
      </c>
      <c r="G574" t="inlineStr">
        <is>
          <t>NE</t>
        </is>
      </c>
      <c r="H574" t="inlineStr">
        <is>
          <t>Pendiente</t>
        </is>
      </c>
      <c r="I574" s="2" t="inlineStr">
        <is>
          <t>No se encontró evidencia específica de transparencia de supuestos de precio (moneda/región/período) en las páginas revisadas.</t>
        </is>
      </c>
      <c r="K574" t="inlineStr">
        <is>
          <t>2026-09-16</t>
        </is>
      </c>
      <c r="L574" s="2" t="inlineStr"/>
    </row>
    <row r="575">
      <c r="A575" t="inlineStr">
        <is>
          <t>E5</t>
        </is>
      </c>
      <c r="B575" t="inlineStr">
        <is>
          <t>Multicloud</t>
        </is>
      </c>
      <c r="C575" t="inlineStr">
        <is>
          <t>CloudHealth</t>
        </is>
      </c>
      <c r="D575" t="inlineStr">
        <is>
          <t>Precio</t>
        </is>
      </c>
      <c r="E575" t="inlineStr">
        <is>
          <t>P2</t>
        </is>
      </c>
      <c r="F575" s="2" t="inlineStr">
        <is>
          <t>¿Permite estimar o comparar componentes sin ocultar límites de equivalencia?</t>
        </is>
      </c>
      <c r="G575" t="inlineStr">
        <is>
          <t>NE</t>
        </is>
      </c>
      <c r="H575" t="inlineStr">
        <is>
          <t>Pendiente</t>
        </is>
      </c>
      <c r="I575" s="2" t="inlineStr">
        <is>
          <t>No se encontró evidencia de una función de comparación/estimación de precio contextual en las páginas revisadas.</t>
        </is>
      </c>
      <c r="K575" t="inlineStr">
        <is>
          <t>2026-09-16</t>
        </is>
      </c>
      <c r="L575" s="2" t="inlineStr"/>
    </row>
    <row r="576">
      <c r="A576" t="inlineStr">
        <is>
          <t>E5</t>
        </is>
      </c>
      <c r="B576" t="inlineStr">
        <is>
          <t>Multicloud</t>
        </is>
      </c>
      <c r="C576" t="inlineStr">
        <is>
          <t>CloudHealth</t>
        </is>
      </c>
      <c r="D576" t="inlineStr">
        <is>
          <t>Dependencia</t>
        </is>
      </c>
      <c r="E576" t="inlineStr">
        <is>
          <t>D1</t>
        </is>
      </c>
      <c r="F576" s="2" t="inlineStr">
        <is>
          <t>¿Exporta datos/resultados en formato utilizable y documentado?</t>
        </is>
      </c>
      <c r="G576" t="n">
        <v>2</v>
      </c>
      <c r="H576" t="inlineStr">
        <is>
          <t>Oficial</t>
        </is>
      </c>
      <c r="I576" s="2" t="inlineStr">
        <is>
          <t>Cost Reports permite descargar como CSV los reportes Invoice, Detailed Billing Report y Summarized Billing Report (documentado para AWS).</t>
        </is>
      </c>
      <c r="J576" t="inlineStr">
        <is>
          <t>https://docs.vmware.com/en/VMware-Tanzu-CloudHealth/SaaS/working-with-reports-recommendations-vmware-tanzu-cloudhealth/GUID-cost-reports.html</t>
        </is>
      </c>
      <c r="K576" t="inlineStr">
        <is>
          <t>2026-09-16</t>
        </is>
      </c>
      <c r="L576" s="2" t="inlineStr"/>
    </row>
    <row r="577">
      <c r="A577" t="inlineStr">
        <is>
          <t>E5</t>
        </is>
      </c>
      <c r="B577" t="inlineStr">
        <is>
          <t>Multicloud</t>
        </is>
      </c>
      <c r="C577" t="inlineStr">
        <is>
          <t>CloudHealth</t>
        </is>
      </c>
      <c r="D577" t="inlineStr">
        <is>
          <t>Dependencia</t>
        </is>
      </c>
      <c r="E577" t="inlineStr">
        <is>
          <t>D2</t>
        </is>
      </c>
      <c r="F577" s="2" t="inlineStr">
        <is>
          <t>¿Documenta dependencias propietarias y un camino de salida/configuración reversible?</t>
        </is>
      </c>
      <c r="G577" t="inlineStr">
        <is>
          <t>NE</t>
        </is>
      </c>
      <c r="H577" t="inlineStr">
        <is>
          <t>Pendiente</t>
        </is>
      </c>
      <c r="I577" s="2" t="inlineStr">
        <is>
          <t>No se encontró documentación sobre un camino de salida o reversibilidad de la configuración.</t>
        </is>
      </c>
      <c r="K577" t="inlineStr">
        <is>
          <t>2026-09-16</t>
        </is>
      </c>
      <c r="L577" s="2" t="inlineStr"/>
    </row>
    <row r="578">
      <c r="A578" t="inlineStr">
        <is>
          <t>E6</t>
        </is>
      </c>
      <c r="B578" t="inlineStr">
        <is>
          <t>Multicloud</t>
        </is>
      </c>
      <c r="C578" t="inlineStr">
        <is>
          <t>CloudHealth</t>
        </is>
      </c>
      <c r="D578" t="inlineStr">
        <is>
          <t>Visibilidad</t>
        </is>
      </c>
      <c r="E578" t="inlineStr">
        <is>
          <t>V1</t>
        </is>
      </c>
      <c r="F578" s="2" t="inlineStr">
        <is>
          <t>¿Desagrega costo y uso por cuenta/proyecto, servicio y período?</t>
        </is>
      </c>
      <c r="G578" t="inlineStr">
        <is>
          <t>NE</t>
        </is>
      </c>
      <c r="H578" t="inlineStr">
        <is>
          <t>Pendiente</t>
        </is>
      </c>
      <c r="I578" s="2" t="inlineStr">
        <is>
          <t>"Perspectives" son "lentes" para categorizar todos los activos de la infraestructura por Producto, Equipo, Owner, Ambiente, Unidad de negocio, Función o Centro de costo, con soporte de tagging en AWS, Azure, Google Cloud y Oracle Cloud.</t>
        </is>
      </c>
      <c r="J578" t="inlineStr">
        <is>
          <t>https://docs.vmware.com/en/VMware-Tanzu-CloudHealth/SaaS/using-and-managing-vmware-tanzu-cloudhealth/GUID-introduction-to-perspectives.html</t>
        </is>
      </c>
      <c r="K578" t="inlineStr">
        <is>
          <t>2026-09-16</t>
        </is>
      </c>
      <c r="L578" s="2" t="inlineStr">
        <is>
          <t>Celda heredada FP-180 (2026-09-16): el valor 2 proviene de la investigacion del escenario E2 y no cuenta con evidencia propia de E6. Segun FP-177 el indicador V1 depende del escenario, por lo que pasa a NE (no evidenciado, reduce cobertura) hasta investigarlo. La evidencia y la fuente originales se conservan como referencia del escenario de origen.</t>
        </is>
      </c>
    </row>
    <row r="579">
      <c r="A579" t="inlineStr">
        <is>
          <t>E6</t>
        </is>
      </c>
      <c r="B579" t="inlineStr">
        <is>
          <t>Multicloud</t>
        </is>
      </c>
      <c r="C579" t="inlineStr">
        <is>
          <t>CloudHealth</t>
        </is>
      </c>
      <c r="D579" t="inlineStr">
        <is>
          <t>Visibilidad</t>
        </is>
      </c>
      <c r="E579" t="inlineStr">
        <is>
          <t>V2</t>
        </is>
      </c>
      <c r="F579" s="2" t="inlineStr">
        <is>
          <t>¿Permite rastrear un total hasta registros o fuente de facturación?</t>
        </is>
      </c>
      <c r="G579" t="n">
        <v>1</v>
      </c>
      <c r="H579" t="inlineStr">
        <is>
          <t>Oficial</t>
        </is>
      </c>
      <c r="I579" s="2" t="inlineStr">
        <is>
          <t>Cost Reports permite "drilling down" desde el valor de costo hasta el detalle del recurso, y exportar como CSV los reportes Invoice/Detailed Billing/Summarized Billing (AWS); no se encontró una función explícita de reconciliación con la factura equivalente a la de AWS/Azure/GCP.</t>
        </is>
      </c>
      <c r="J579" t="inlineStr">
        <is>
          <t>https://docs.vmware.com/en/VMware-Tanzu-CloudHealth/SaaS/working-with-reports-recommendations-vmware-tanzu-cloudhealth/GUID-cost-reports.html</t>
        </is>
      </c>
      <c r="K579" t="inlineStr">
        <is>
          <t>2026-09-16</t>
        </is>
      </c>
      <c r="L579" s="2" t="inlineStr"/>
    </row>
    <row r="580">
      <c r="A580" t="inlineStr">
        <is>
          <t>E6</t>
        </is>
      </c>
      <c r="B580" t="inlineStr">
        <is>
          <t>Multicloud</t>
        </is>
      </c>
      <c r="C580" t="inlineStr">
        <is>
          <t>CloudHealth</t>
        </is>
      </c>
      <c r="D580" t="inlineStr">
        <is>
          <t>Asignacion</t>
        </is>
      </c>
      <c r="E580" t="inlineStr">
        <is>
          <t>A1</t>
        </is>
      </c>
      <c r="F580" s="2" t="inlineStr">
        <is>
          <t>¿Calcula gasto asignado/no asignado por responsable, centro o entidad?</t>
        </is>
      </c>
      <c r="G580" t="inlineStr">
        <is>
          <t>NE</t>
        </is>
      </c>
      <c r="H580" t="inlineStr">
        <is>
          <t>Pendiente</t>
        </is>
      </c>
      <c r="I580" s="2" t="inlineStr">
        <is>
          <t>Al crear un Perspective, el 100% de los activos parte "unallocated"; la interfaz expone explícitamente porcentaje y cantidad de activos asignados/no asignados en la sección "Assets Not Allocated".</t>
        </is>
      </c>
      <c r="J580" t="inlineStr">
        <is>
          <t>https://docs.vmware.com/en/VMware-Tanzu-CloudHealth/SaaS/using-and-managing-vmware-tanzu-cloudhealth/GUID-introduction-to-perspectives.html</t>
        </is>
      </c>
      <c r="K580" t="inlineStr">
        <is>
          <t>2026-09-16</t>
        </is>
      </c>
      <c r="L580" s="2" t="inlineStr">
        <is>
          <t>Celda heredada FP-180 (2026-09-16): el valor 2 proviene de la investigacion del escenario E2 y no cuenta con evidencia propia de E6. Segun FP-177 el indicador A1 depende del escenario, por lo que pasa a NE (no evidenciado, reduce cobertura) hasta investigarlo. La evidencia y la fuente originales se conservan como referencia del escenario de origen.</t>
        </is>
      </c>
    </row>
    <row r="581">
      <c r="A581" t="inlineStr">
        <is>
          <t>E6</t>
        </is>
      </c>
      <c r="B581" t="inlineStr">
        <is>
          <t>Multicloud</t>
        </is>
      </c>
      <c r="C581" t="inlineStr">
        <is>
          <t>CloudHealth</t>
        </is>
      </c>
      <c r="D581" t="inlineStr">
        <is>
          <t>Asignacion</t>
        </is>
      </c>
      <c r="E581" t="inlineStr">
        <is>
          <t>A2</t>
        </is>
      </c>
      <c r="F581" s="2" t="inlineStr">
        <is>
          <t>¿Explicita y aplica reglas para costo compartido/multi-tenant?</t>
        </is>
      </c>
      <c r="G581" t="inlineStr">
        <is>
          <t>NE</t>
        </is>
      </c>
      <c r="H581" t="inlineStr">
        <is>
          <t>Pendiente</t>
        </is>
      </c>
      <c r="I581" s="2" t="inlineStr">
        <is>
          <t>Los Perspectives agrupan activos mediante reglas de categorización versionadas y reproducibles (grupos dentro de cada lente, p. ej. Environment: dev/staging/test/prod).</t>
        </is>
      </c>
      <c r="J581" t="inlineStr">
        <is>
          <t>https://docs.vmware.com/en/VMware-Tanzu-CloudHealth/SaaS/using-and-managing-vmware-tanzu-cloudhealth/GUID-introduction-to-perspectives.html</t>
        </is>
      </c>
      <c r="K581" t="inlineStr">
        <is>
          <t>2026-09-16</t>
        </is>
      </c>
      <c r="L581" s="2" t="inlineStr">
        <is>
          <t>Celda heredada FP-180 (2026-09-16): el valor 2 proviene de la investigacion del escenario E2 y no cuenta con evidencia propia de E6. Segun FP-177 el indicador A2 depende del escenario, por lo que pasa a NE (no evidenciado, reduce cobertura) hasta investigarlo. La evidencia y la fuente originales se conservan como referencia del escenario de origen.</t>
        </is>
      </c>
    </row>
    <row r="582">
      <c r="A582" t="inlineStr">
        <is>
          <t>E6</t>
        </is>
      </c>
      <c r="B582" t="inlineStr">
        <is>
          <t>Multicloud</t>
        </is>
      </c>
      <c r="C582" t="inlineStr">
        <is>
          <t>CloudHealth</t>
        </is>
      </c>
      <c r="D582" t="inlineStr">
        <is>
          <t>Optimizacion</t>
        </is>
      </c>
      <c r="E582" t="inlineStr">
        <is>
          <t>O1</t>
        </is>
      </c>
      <c r="F582" s="2" t="inlineStr">
        <is>
          <t>¿Detecta desperdicio, rightsizing o compromiso relevante al escenario?</t>
        </is>
      </c>
      <c r="G582" t="inlineStr">
        <is>
          <t>NE</t>
        </is>
      </c>
      <c r="H582" t="inlineStr">
        <is>
          <t>Pendiente</t>
        </is>
      </c>
      <c r="I582" s="2" t="inlineStr">
        <is>
          <t>Existen páginas de Rightsizing dedicadas para AWS, Azure y GCP: para AWS, el motor analiza CPU/memoria/IOPS y sugiere un "Best Fit" más dos alternativas (p. ej. de m4.xlarge a c4.large), ordenadas por costo.</t>
        </is>
      </c>
      <c r="J582" t="inlineStr">
        <is>
          <t>https://docs.vmware.com/en/VMware-Tanzu-CloudHealth/SaaS/working-with-reports-recommendations-vmware-tanzu-cloudhealth/GUID-aws-rightsizing-new.html</t>
        </is>
      </c>
      <c r="K582" t="inlineStr">
        <is>
          <t>2026-09-16</t>
        </is>
      </c>
      <c r="L582" s="2" t="inlineStr">
        <is>
          <t>Celda heredada FP-180 (2026-09-16): el valor 2 proviene de la investigacion del escenario E2 y no cuenta con evidencia propia de E6. Segun FP-177 el indicador O1 depende del escenario, por lo que pasa a NE (no evidenciado, reduce cobertura) hasta investigarlo. La evidencia y la fuente originales se conservan como referencia del escenario de origen.</t>
        </is>
      </c>
    </row>
    <row r="583">
      <c r="A583" t="inlineStr">
        <is>
          <t>E6</t>
        </is>
      </c>
      <c r="B583" t="inlineStr">
        <is>
          <t>Multicloud</t>
        </is>
      </c>
      <c r="C583" t="inlineStr">
        <is>
          <t>CloudHealth</t>
        </is>
      </c>
      <c r="D583" t="inlineStr">
        <is>
          <t>Optimizacion</t>
        </is>
      </c>
      <c r="E583" t="inlineStr">
        <is>
          <t>O2</t>
        </is>
      </c>
      <c r="F583" s="2" t="inlineStr">
        <is>
          <t>¿Explica supuesto/impacto y permite seguir una recomendación?</t>
        </is>
      </c>
      <c r="G583" t="n">
        <v>1</v>
      </c>
      <c r="H583" t="inlineStr">
        <is>
          <t>Oficial</t>
        </is>
      </c>
      <c r="I583" s="2" t="inlineStr">
        <is>
          <t>Cada recomendación muestra costo mensual actual, proyectado y el ahorro proyectado; la documentación revisada no describe seguimiento del estado de una recomendación ya aplicada a lo largo del tiempo.</t>
        </is>
      </c>
      <c r="J583" t="inlineStr">
        <is>
          <t>https://docs.vmware.com/en/VMware-Tanzu-CloudHealth/SaaS/working-with-reports-recommendations-vmware-tanzu-cloudhealth/GUID-aws-rightsizing-new.html</t>
        </is>
      </c>
      <c r="K583" t="inlineStr">
        <is>
          <t>2026-09-16</t>
        </is>
      </c>
      <c r="L583" s="2" t="inlineStr"/>
    </row>
    <row r="584">
      <c r="A584" t="inlineStr">
        <is>
          <t>E6</t>
        </is>
      </c>
      <c r="B584" t="inlineStr">
        <is>
          <t>Multicloud</t>
        </is>
      </c>
      <c r="C584" t="inlineStr">
        <is>
          <t>CloudHealth</t>
        </is>
      </c>
      <c r="D584" t="inlineStr">
        <is>
          <t>Automatizacion</t>
        </is>
      </c>
      <c r="E584" t="inlineStr">
        <is>
          <t>AU1</t>
        </is>
      </c>
      <c r="F584" s="2" t="inlineStr">
        <is>
          <t>¿Ejecuta o bloquea acciones/políticas de costo con control verificable?</t>
        </is>
      </c>
      <c r="G584" t="inlineStr">
        <is>
          <t>NE</t>
        </is>
      </c>
      <c r="H584" t="inlineStr">
        <is>
          <t>Pendiente</t>
        </is>
      </c>
      <c r="I584" s="2" t="inlineStr">
        <is>
          <t>Las "Policies" ejecutan acciones programadas (iniciar/detener instancias, acciones remediales) y "pueden tomar estas acciones por sí sola o después de que un aprobador dé su visto bueno".</t>
        </is>
      </c>
      <c r="J584" t="inlineStr">
        <is>
          <t>https://docs.vmware.com/en/VMware-Tanzu-CloudHealth/SaaS/getting-started-with-vmware-tanzu-cloudhealth/GUID-getting-started-with-policies.html</t>
        </is>
      </c>
      <c r="K584" t="inlineStr">
        <is>
          <t>2026-09-16</t>
        </is>
      </c>
      <c r="L584" s="2" t="inlineStr">
        <is>
          <t>Celda heredada FP-180 (2026-09-16): el valor 2 proviene de la investigacion del escenario E2 y no cuenta con evidencia propia de E6. Segun FP-177 el indicador AU1 depende del escenario, por lo que pasa a NE (no evidenciado, reduce cobertura) hasta investigarlo. La evidencia y la fuente originales se conservan como referencia del escenario de origen.</t>
        </is>
      </c>
    </row>
    <row r="585">
      <c r="A585" t="inlineStr">
        <is>
          <t>E6</t>
        </is>
      </c>
      <c r="B585" t="inlineStr">
        <is>
          <t>Multicloud</t>
        </is>
      </c>
      <c r="C585" t="inlineStr">
        <is>
          <t>CloudHealth</t>
        </is>
      </c>
      <c r="D585" t="inlineStr">
        <is>
          <t>Automatizacion</t>
        </is>
      </c>
      <c r="E585" t="inlineStr">
        <is>
          <t>AU2</t>
        </is>
      </c>
      <c r="F585" s="2" t="inlineStr">
        <is>
          <t>¿Ofrece aprobación, reversión, registro o límites antes de actuar?</t>
        </is>
      </c>
      <c r="G585" t="n">
        <v>2</v>
      </c>
      <c r="H585" t="inlineStr">
        <is>
          <t>Oficial</t>
        </is>
      </c>
      <c r="I585" s="2" t="inlineStr">
        <is>
          <t>La aprobación previa a la ejecución es configurable, y el estado de cada acción (Pending/Succeeded/Failed) se puede verificar en Dashboard &gt; Notification &gt; Actions, con notificación por correo de los recursos afectados; no se documentó un mecanismo de reversión.</t>
        </is>
      </c>
      <c r="J585" t="inlineStr">
        <is>
          <t>https://docs.vmware.com/en/VMware-Tanzu-CloudHealth/SaaS/getting-started-with-vmware-tanzu-cloudhealth/GUID-getting-started-with-policies.html</t>
        </is>
      </c>
      <c r="K585" t="inlineStr">
        <is>
          <t>2026-09-16</t>
        </is>
      </c>
      <c r="L585" s="2" t="inlineStr"/>
    </row>
    <row r="586">
      <c r="A586" t="inlineStr">
        <is>
          <t>E6</t>
        </is>
      </c>
      <c r="B586" t="inlineStr">
        <is>
          <t>Multicloud</t>
        </is>
      </c>
      <c r="C586" t="inlineStr">
        <is>
          <t>CloudHealth</t>
        </is>
      </c>
      <c r="D586" t="inlineStr">
        <is>
          <t>Multicloud</t>
        </is>
      </c>
      <c r="E586" t="inlineStr">
        <is>
          <t>M1</t>
        </is>
      </c>
      <c r="F586" s="2" t="inlineStr">
        <is>
          <t>¿Consolida al menos dos proveedores bajo el mismo esquema declarado?</t>
        </is>
      </c>
      <c r="G586" t="n">
        <v>2</v>
      </c>
      <c r="H586" t="inlineStr">
        <is>
          <t>Oficial</t>
        </is>
      </c>
      <c r="I586" s="2" t="inlineStr">
        <is>
          <t>Los Perspectives normalizan explícitamente activos etiquetables de AWS, Azure, Google Cloud y Oracle Cloud bajo el mismo esquema de clasificación ("AWS Taggable Assets", "Azure Taggable Asset", "GCP Taggable Asset").</t>
        </is>
      </c>
      <c r="J586" t="inlineStr">
        <is>
          <t>https://docs.vmware.com/en/VMware-Tanzu-CloudHealth/SaaS/using-and-managing-vmware-tanzu-cloudhealth/GUID-introduction-to-perspectives.html</t>
        </is>
      </c>
      <c r="K586" t="inlineStr">
        <is>
          <t>2026-09-16</t>
        </is>
      </c>
      <c r="L586" s="2" t="inlineStr"/>
    </row>
    <row r="587">
      <c r="A587" t="inlineStr">
        <is>
          <t>E6</t>
        </is>
      </c>
      <c r="B587" t="inlineStr">
        <is>
          <t>Multicloud</t>
        </is>
      </c>
      <c r="C587" t="inlineStr">
        <is>
          <t>CloudHealth</t>
        </is>
      </c>
      <c r="D587" t="inlineStr">
        <is>
          <t>Multicloud</t>
        </is>
      </c>
      <c r="E587" t="inlineStr">
        <is>
          <t>M2</t>
        </is>
      </c>
      <c r="F587" s="2" t="inlineStr">
        <is>
          <t>¿Hace visibles proveedor, cobertura y diferencias semánticas?</t>
        </is>
      </c>
      <c r="G587" t="n">
        <v>1</v>
      </c>
      <c r="H587" t="inlineStr">
        <is>
          <t>Oficial</t>
        </is>
      </c>
      <c r="I587" s="2" t="inlineStr">
        <is>
          <t>La documentación diferencia tipos de activos por proveedor dentro del mismo esquema, pero no se encontró un diccionario/mapeo explícito de diferencias semánticas entre nubes.</t>
        </is>
      </c>
      <c r="J587" t="inlineStr">
        <is>
          <t>https://docs.vmware.com/en/VMware-Tanzu-CloudHealth/SaaS/using-and-managing-vmware-tanzu-cloudhealth/GUID-introduction-to-perspectives.html</t>
        </is>
      </c>
      <c r="K587" t="inlineStr">
        <is>
          <t>2026-09-16</t>
        </is>
      </c>
      <c r="L587" s="2" t="inlineStr"/>
    </row>
    <row r="588">
      <c r="A588" t="inlineStr">
        <is>
          <t>E6</t>
        </is>
      </c>
      <c r="B588" t="inlineStr">
        <is>
          <t>Multicloud</t>
        </is>
      </c>
      <c r="C588" t="inlineStr">
        <is>
          <t>CloudHealth</t>
        </is>
      </c>
      <c r="D588" t="inlineStr">
        <is>
          <t>Integracion</t>
        </is>
      </c>
      <c r="E588" t="inlineStr">
        <is>
          <t>I1</t>
        </is>
      </c>
      <c r="F588" s="2" t="inlineStr">
        <is>
          <t>¿Integra datos requeridos (facturación, uso, clúster o IaC) del escenario?</t>
        </is>
      </c>
      <c r="G588" t="inlineStr">
        <is>
          <t>NE</t>
        </is>
      </c>
      <c r="H588" t="inlineStr">
        <is>
          <t>Pendiente</t>
        </is>
      </c>
      <c r="I588" s="2" t="inlineStr">
        <is>
          <t>Existen guías oficiales dedicadas para conectar cuentas de AWS y de Azure a la plataforma (conector/API definido y reproducible).</t>
        </is>
      </c>
      <c r="J588" t="inlineStr">
        <is>
          <t>https://docs.vmware.com/en/VMware-Tanzu-CloudHealth/SaaS/getting-started-with-vmware-tanzu-cloudhealth/GUID-azure-quick-start.html</t>
        </is>
      </c>
      <c r="K588" t="inlineStr">
        <is>
          <t>2026-09-16</t>
        </is>
      </c>
      <c r="L588" s="2" t="inlineStr">
        <is>
          <t>Celda heredada FP-180 (2026-09-16): el valor 2 proviene de la investigacion del escenario E2 y no cuenta con evidencia propia de E6. Segun FP-177 el indicador I1 depende del escenario, por lo que pasa a NE (no evidenciado, reduce cobertura) hasta investigarlo. La evidencia y la fuente originales se conservan como referencia del escenario de origen.</t>
        </is>
      </c>
    </row>
    <row r="589">
      <c r="A589" t="inlineStr">
        <is>
          <t>E6</t>
        </is>
      </c>
      <c r="B589" t="inlineStr">
        <is>
          <t>Multicloud</t>
        </is>
      </c>
      <c r="C589" t="inlineStr">
        <is>
          <t>CloudHealth</t>
        </is>
      </c>
      <c r="D589" t="inlineStr">
        <is>
          <t>Integracion</t>
        </is>
      </c>
      <c r="E589" t="inlineStr">
        <is>
          <t>I2</t>
        </is>
      </c>
      <c r="F589" s="2" t="inlineStr">
        <is>
          <t>¿Se integra con el flujo de trabajo relevante (alerta, ticket, CI/CD o reporte)?</t>
        </is>
      </c>
      <c r="G589" t="inlineStr">
        <is>
          <t>NE</t>
        </is>
      </c>
      <c r="H589" t="inlineStr">
        <is>
          <t>Pendiente</t>
        </is>
      </c>
      <c r="I589" s="2" t="inlineStr">
        <is>
          <t>Las Policies notifican por correo los IDs de recursos afectados; no se encontró documentación de integración directa con ticketing/CI-CD.</t>
        </is>
      </c>
      <c r="J589" t="inlineStr">
        <is>
          <t>https://docs.vmware.com/en/VMware-Tanzu-CloudHealth/SaaS/getting-started-with-vmware-tanzu-cloudhealth/GUID-getting-started-with-policies.html</t>
        </is>
      </c>
      <c r="K589" t="inlineStr">
        <is>
          <t>2026-09-16</t>
        </is>
      </c>
      <c r="L589" s="2" t="inlineStr">
        <is>
          <t>Celda heredada FP-180 (2026-09-16): el valor 1 proviene de la investigacion del escenario E2 y no cuenta con evidencia propia de E6. Segun FP-177 el indicador I2 depende del escenario, por lo que pasa a NE (no evidenciado, reduce cobertura) hasta investigarlo. La evidencia y la fuente originales se conservan como referencia del escenario de origen.</t>
        </is>
      </c>
    </row>
    <row r="590">
      <c r="A590" t="inlineStr">
        <is>
          <t>E6</t>
        </is>
      </c>
      <c r="B590" t="inlineStr">
        <is>
          <t>Multicloud</t>
        </is>
      </c>
      <c r="C590" t="inlineStr">
        <is>
          <t>CloudHealth</t>
        </is>
      </c>
      <c r="D590" t="inlineStr">
        <is>
          <t>Adopcion</t>
        </is>
      </c>
      <c r="E590" t="inlineStr">
        <is>
          <t>AD1</t>
        </is>
      </c>
      <c r="F590" s="2" t="inlineStr">
        <is>
          <t>¿Soporta acceso/entrega para los roles del escenario?</t>
        </is>
      </c>
      <c r="G590" t="inlineStr">
        <is>
          <t>NE</t>
        </is>
      </c>
      <c r="H590" t="inlineStr">
        <is>
          <t>Pendiente</t>
        </is>
      </c>
      <c r="I590" s="2" t="inlineStr">
        <is>
          <t>No se encontró, entre las páginas accesibles, documentación específica de roles/permisos para el producto Tanzu CloudHealth (solo se ubicó documentación de roles para "CloudHealth Secure State", un producto distinto de seguridad).</t>
        </is>
      </c>
      <c r="K590" t="inlineStr">
        <is>
          <t>2026-09-16</t>
        </is>
      </c>
      <c r="L590" s="2" t="inlineStr"/>
    </row>
    <row r="591">
      <c r="A591" t="inlineStr">
        <is>
          <t>E6</t>
        </is>
      </c>
      <c r="B591" t="inlineStr">
        <is>
          <t>Multicloud</t>
        </is>
      </c>
      <c r="C591" t="inlineStr">
        <is>
          <t>CloudHealth</t>
        </is>
      </c>
      <c r="D591" t="inlineStr">
        <is>
          <t>Adopcion</t>
        </is>
      </c>
      <c r="E591" t="inlineStr">
        <is>
          <t>AD2</t>
        </is>
      </c>
      <c r="F591" s="2" t="inlineStr">
        <is>
          <t>¿Ofrece guías, ownership o mecanismos de seguimiento para uso sostenido?</t>
        </is>
      </c>
      <c r="G591" t="n">
        <v>1</v>
      </c>
      <c r="H591" t="inlineStr">
        <is>
          <t>Oficial</t>
        </is>
      </c>
      <c r="I591" s="2" t="inlineStr">
        <is>
          <t>Existe documentación oficial extensa (guías, whitepapers de gestión financiera de la nube) en el portal de VMware/Broadcom, pero no se verificó una guía de adopción/gobernanza dedicada más allá de la documentación general del producto.</t>
        </is>
      </c>
      <c r="J591" t="inlineStr">
        <is>
          <t>https://docs.vmware.com/en/VMware-Tanzu-CloudHealth/index.html</t>
        </is>
      </c>
      <c r="K591" t="inlineStr">
        <is>
          <t>2026-09-16</t>
        </is>
      </c>
      <c r="L591" s="2" t="inlineStr"/>
    </row>
    <row r="592">
      <c r="A592" t="inlineStr">
        <is>
          <t>E6</t>
        </is>
      </c>
      <c r="B592" t="inlineStr">
        <is>
          <t>Multicloud</t>
        </is>
      </c>
      <c r="C592" t="inlineStr">
        <is>
          <t>CloudHealth</t>
        </is>
      </c>
      <c r="D592" t="inlineStr">
        <is>
          <t>Precio</t>
        </is>
      </c>
      <c r="E592" t="inlineStr">
        <is>
          <t>P1</t>
        </is>
      </c>
      <c r="F592" s="2" t="inlineStr">
        <is>
          <t>¿Expone precio, moneda, región, unidad, período y supuestos relevantes?</t>
        </is>
      </c>
      <c r="G592" t="inlineStr">
        <is>
          <t>NE</t>
        </is>
      </c>
      <c r="H592" t="inlineStr">
        <is>
          <t>Pendiente</t>
        </is>
      </c>
      <c r="I592" s="2" t="inlineStr">
        <is>
          <t>No se encontró evidencia específica de transparencia de supuestos de precio (moneda/región/período) en las páginas revisadas.</t>
        </is>
      </c>
      <c r="K592" t="inlineStr">
        <is>
          <t>2026-09-16</t>
        </is>
      </c>
      <c r="L592" s="2" t="inlineStr"/>
    </row>
    <row r="593">
      <c r="A593" t="inlineStr">
        <is>
          <t>E6</t>
        </is>
      </c>
      <c r="B593" t="inlineStr">
        <is>
          <t>Multicloud</t>
        </is>
      </c>
      <c r="C593" t="inlineStr">
        <is>
          <t>CloudHealth</t>
        </is>
      </c>
      <c r="D593" t="inlineStr">
        <is>
          <t>Precio</t>
        </is>
      </c>
      <c r="E593" t="inlineStr">
        <is>
          <t>P2</t>
        </is>
      </c>
      <c r="F593" s="2" t="inlineStr">
        <is>
          <t>¿Permite estimar o comparar componentes sin ocultar límites de equivalencia?</t>
        </is>
      </c>
      <c r="G593" t="inlineStr">
        <is>
          <t>NE</t>
        </is>
      </c>
      <c r="H593" t="inlineStr">
        <is>
          <t>Pendiente</t>
        </is>
      </c>
      <c r="I593" s="2" t="inlineStr">
        <is>
          <t>No se encontró evidencia de una función de comparación/estimación de precio contextual en las páginas revisadas.</t>
        </is>
      </c>
      <c r="K593" t="inlineStr">
        <is>
          <t>2026-09-16</t>
        </is>
      </c>
      <c r="L593" s="2" t="inlineStr"/>
    </row>
    <row r="594">
      <c r="A594" t="inlineStr">
        <is>
          <t>E6</t>
        </is>
      </c>
      <c r="B594" t="inlineStr">
        <is>
          <t>Multicloud</t>
        </is>
      </c>
      <c r="C594" t="inlineStr">
        <is>
          <t>CloudHealth</t>
        </is>
      </c>
      <c r="D594" t="inlineStr">
        <is>
          <t>Dependencia</t>
        </is>
      </c>
      <c r="E594" t="inlineStr">
        <is>
          <t>D1</t>
        </is>
      </c>
      <c r="F594" s="2" t="inlineStr">
        <is>
          <t>¿Exporta datos/resultados en formato utilizable y documentado?</t>
        </is>
      </c>
      <c r="G594" t="n">
        <v>2</v>
      </c>
      <c r="H594" t="inlineStr">
        <is>
          <t>Oficial</t>
        </is>
      </c>
      <c r="I594" s="2" t="inlineStr">
        <is>
          <t>Cost Reports permite descargar como CSV los reportes Invoice, Detailed Billing Report y Summarized Billing Report (documentado para AWS).</t>
        </is>
      </c>
      <c r="J594" t="inlineStr">
        <is>
          <t>https://docs.vmware.com/en/VMware-Tanzu-CloudHealth/SaaS/working-with-reports-recommendations-vmware-tanzu-cloudhealth/GUID-cost-reports.html</t>
        </is>
      </c>
      <c r="K594" t="inlineStr">
        <is>
          <t>2026-09-16</t>
        </is>
      </c>
      <c r="L594" s="2" t="inlineStr"/>
    </row>
    <row r="595">
      <c r="A595" t="inlineStr">
        <is>
          <t>E6</t>
        </is>
      </c>
      <c r="B595" t="inlineStr">
        <is>
          <t>Multicloud</t>
        </is>
      </c>
      <c r="C595" t="inlineStr">
        <is>
          <t>CloudHealth</t>
        </is>
      </c>
      <c r="D595" t="inlineStr">
        <is>
          <t>Dependencia</t>
        </is>
      </c>
      <c r="E595" t="inlineStr">
        <is>
          <t>D2</t>
        </is>
      </c>
      <c r="F595" s="2" t="inlineStr">
        <is>
          <t>¿Documenta dependencias propietarias y un camino de salida/configuración reversible?</t>
        </is>
      </c>
      <c r="G595" t="inlineStr">
        <is>
          <t>NE</t>
        </is>
      </c>
      <c r="H595" t="inlineStr">
        <is>
          <t>Pendiente</t>
        </is>
      </c>
      <c r="I595" s="2" t="inlineStr">
        <is>
          <t>No se encontró documentación sobre un camino de salida o reversibilidad de la configuración.</t>
        </is>
      </c>
      <c r="K595" t="inlineStr">
        <is>
          <t>2026-09-16</t>
        </is>
      </c>
      <c r="L595" s="2" t="inlineStr"/>
    </row>
    <row r="596">
      <c r="A596" t="inlineStr">
        <is>
          <t>E1</t>
        </is>
      </c>
      <c r="B596" t="inlineStr">
        <is>
          <t>Multicloud</t>
        </is>
      </c>
      <c r="C596" t="inlineStr">
        <is>
          <t>CloudZero</t>
        </is>
      </c>
      <c r="D596" t="inlineStr">
        <is>
          <t>Visibilidad</t>
        </is>
      </c>
      <c r="E596" t="inlineStr">
        <is>
          <t>V1</t>
        </is>
      </c>
      <c r="F596" s="2" t="inlineStr">
        <is>
          <t>¿Desagrega costo y uso por cuenta/proyecto, servicio y período?</t>
        </is>
      </c>
      <c r="G596" t="inlineStr">
        <is>
          <t>NE</t>
        </is>
      </c>
      <c r="H596" t="inlineStr">
        <is>
          <t>Pendiente</t>
        </is>
      </c>
      <c r="I596" s="2" t="inlineStr">
        <is>
          <t>"Dimensions" son categorías personalizables (equipo, producto, feature, ambiente, cliente, proveedor cloud) que ofrecen una "vista unificada de todo el gasto cloud", filtrable y estandarizada entre proveedores.</t>
        </is>
      </c>
      <c r="J596" t="inlineStr">
        <is>
          <t>https://docs.cloudzero.com/docs/cloud-providers</t>
        </is>
      </c>
      <c r="K596" t="inlineStr">
        <is>
          <t>2026-09-16</t>
        </is>
      </c>
      <c r="L596" s="2" t="inlineStr">
        <is>
          <t>Celda heredada FP-180 (2026-09-16): el valor 2 proviene de la investigacion del escenario E2 y no cuenta con evidencia propia de E1. Segun FP-177 el indicador V1 depende del escenario, por lo que pasa a NE (no evidenciado, reduce cobertura) hasta investigarlo. La evidencia y la fuente originales se conservan como referencia del escenario de origen.</t>
        </is>
      </c>
    </row>
    <row r="597">
      <c r="A597" t="inlineStr">
        <is>
          <t>E1</t>
        </is>
      </c>
      <c r="B597" t="inlineStr">
        <is>
          <t>Multicloud</t>
        </is>
      </c>
      <c r="C597" t="inlineStr">
        <is>
          <t>CloudZero</t>
        </is>
      </c>
      <c r="D597" t="inlineStr">
        <is>
          <t>Visibilidad</t>
        </is>
      </c>
      <c r="E597" t="inlineStr">
        <is>
          <t>V2</t>
        </is>
      </c>
      <c r="F597" s="2" t="inlineStr">
        <is>
          <t>¿Permite rastrear un total hasta registros o fuente de facturación?</t>
        </is>
      </c>
      <c r="G597" t="n">
        <v>2</v>
      </c>
      <c r="H597" t="inlineStr">
        <is>
          <t>Oficial</t>
        </is>
      </c>
      <c r="I597" s="2" t="inlineStr">
        <is>
          <t>La asignación reconcilia contra la factura: «The remaining spend goes to a default element so the total always reconciles with the actual bill». Para multinube, AnyCost y el Common Bill Format ingieren datos de cualquier proveedor, y el tipo de costo facturado permite la conciliación: «Billed Cost reflects the exact prices you will be invoiced for, and you can use it when you are reconciling against your actual invoice». Existen conexiones nativas a Azure (MCA, EA, CSP) y GCP (export de BigQuery), de modo que el total es rastreable hasta la fuente de facturación de cada proveedor.</t>
        </is>
      </c>
      <c r="J597" t="inlineStr">
        <is>
          <t>https://docs.cloudzero.com/docs/costformation-allocating-shared-costs ; https://docs.cloudzero.com/docs/anycost-common-bill-format-cbf ; https://docs.cloudzero.com/docs/cost-types</t>
        </is>
      </c>
      <c r="K597" t="inlineStr">
        <is>
          <t>2026-09-16</t>
        </is>
      </c>
      <c r="L597" s="2" t="inlineStr">
        <is>
          <t>Investigación E2 FP-180 (2026-09-16): celda completada con evidencia propia del escenario, verificada contra documentación oficial.</t>
        </is>
      </c>
    </row>
    <row r="598">
      <c r="A598" t="inlineStr">
        <is>
          <t>E1</t>
        </is>
      </c>
      <c r="B598" t="inlineStr">
        <is>
          <t>Multicloud</t>
        </is>
      </c>
      <c r="C598" t="inlineStr">
        <is>
          <t>CloudZero</t>
        </is>
      </c>
      <c r="D598" t="inlineStr">
        <is>
          <t>Asignacion</t>
        </is>
      </c>
      <c r="E598" t="inlineStr">
        <is>
          <t>A1</t>
        </is>
      </c>
      <c r="F598" s="2" t="inlineStr">
        <is>
          <t>¿Calcula gasto asignado/no asignado por responsable, centro o entidad?</t>
        </is>
      </c>
      <c r="G598" t="inlineStr">
        <is>
          <t>NE</t>
        </is>
      </c>
      <c r="H598" t="inlineStr">
        <is>
          <t>Pendiente</t>
        </is>
      </c>
      <c r="I598" s="2" t="inlineStr">
        <is>
          <t>CostFormation expone explícitamente el gasto no asignado bajo el bucket "Not In Dimension", con la opción de repartirlo proporcionalmente entre los equipos con gasto.</t>
        </is>
      </c>
      <c r="J598" t="inlineStr">
        <is>
          <t>https://docs.cloudzero.com/docs/costformation-allocating-shared-costs</t>
        </is>
      </c>
      <c r="K598" t="inlineStr">
        <is>
          <t>2026-09-16</t>
        </is>
      </c>
      <c r="L598" s="2" t="inlineStr">
        <is>
          <t>Celda heredada FP-180 (2026-09-16): el valor 2 proviene de la investigacion del escenario E2 y no cuenta con evidencia propia de E1. Segun FP-177 el indicador A1 depende del escenario, por lo que pasa a NE (no evidenciado, reduce cobertura) hasta investigarlo. La evidencia y la fuente originales se conservan como referencia del escenario de origen.</t>
        </is>
      </c>
    </row>
    <row r="599">
      <c r="A599" t="inlineStr">
        <is>
          <t>E1</t>
        </is>
      </c>
      <c r="B599" t="inlineStr">
        <is>
          <t>Multicloud</t>
        </is>
      </c>
      <c r="C599" t="inlineStr">
        <is>
          <t>CloudZero</t>
        </is>
      </c>
      <c r="D599" t="inlineStr">
        <is>
          <t>Asignacion</t>
        </is>
      </c>
      <c r="E599" t="inlineStr">
        <is>
          <t>A2</t>
        </is>
      </c>
      <c r="F599" s="2" t="inlineStr">
        <is>
          <t>¿Explicita y aplica reglas para costo compartido/multi-tenant?</t>
        </is>
      </c>
      <c r="G599" t="inlineStr">
        <is>
          <t>NE</t>
        </is>
      </c>
      <c r="H599" t="inlineStr">
        <is>
          <t>Pendiente</t>
        </is>
      </c>
      <c r="I599" s="2" t="inlineStr">
        <is>
          <t>CostFormation ofrece "Allocate By Rules" (reparto uniforme o proporcional basado en gasto existente) y reparto basado en streams de telemetría de uso; las reglas se definen en el lenguaje CostFormation Definition Language (CFDL), versionable en YAML.</t>
        </is>
      </c>
      <c r="J599" t="inlineStr">
        <is>
          <t>https://docs.cloudzero.com/docs/costformation-allocating-shared-costs</t>
        </is>
      </c>
      <c r="K599" t="inlineStr">
        <is>
          <t>2026-09-16</t>
        </is>
      </c>
      <c r="L599" s="2" t="inlineStr">
        <is>
          <t>Celda heredada FP-180 (2026-09-16): el valor 2 proviene de la investigacion del escenario E2 y no cuenta con evidencia propia de E1. Segun FP-177 el indicador A2 depende del escenario, por lo que pasa a NE (no evidenciado, reduce cobertura) hasta investigarlo. La evidencia y la fuente originales se conservan como referencia del escenario de origen.</t>
        </is>
      </c>
    </row>
    <row r="600">
      <c r="A600" t="inlineStr">
        <is>
          <t>E1</t>
        </is>
      </c>
      <c r="B600" t="inlineStr">
        <is>
          <t>Multicloud</t>
        </is>
      </c>
      <c r="C600" t="inlineStr">
        <is>
          <t>CloudZero</t>
        </is>
      </c>
      <c r="D600" t="inlineStr">
        <is>
          <t>Optimizacion</t>
        </is>
      </c>
      <c r="E600" t="inlineStr">
        <is>
          <t>O1</t>
        </is>
      </c>
      <c r="F600" s="2" t="inlineStr">
        <is>
          <t>¿Detecta desperdicio, rightsizing o compromiso relevante al escenario?</t>
        </is>
      </c>
      <c r="G600" t="inlineStr">
        <is>
          <t>NE</t>
        </is>
      </c>
      <c r="H600" t="inlineStr">
        <is>
          <t>Pendiente</t>
        </is>
      </c>
      <c r="I600" s="2" t="inlineStr">
        <is>
          <t>"Optimize" genera recomendaciones (rightsizing, cobertura de reservas, recursos inactivos) para AWS, Azure, GCP y Kubernetes, revisando el catálogo de tipos de recomendación una vez al día.</t>
        </is>
      </c>
      <c r="J600" t="inlineStr">
        <is>
          <t>https://docs.cloudzero.com/docs/optimize</t>
        </is>
      </c>
      <c r="K600" t="inlineStr">
        <is>
          <t>2026-09-16</t>
        </is>
      </c>
      <c r="L600" s="2" t="inlineStr">
        <is>
          <t>Celda heredada FP-180 (2026-09-16): el valor 2 proviene de la investigacion del escenario E2 y no cuenta con evidencia propia de E1. Segun FP-177 el indicador O1 depende del escenario, por lo que pasa a NE (no evidenciado, reduce cobertura) hasta investigarlo. La evidencia y la fuente originales se conservan como referencia del escenario de origen.</t>
        </is>
      </c>
    </row>
    <row r="601">
      <c r="A601" t="inlineStr">
        <is>
          <t>E1</t>
        </is>
      </c>
      <c r="B601" t="inlineStr">
        <is>
          <t>Multicloud</t>
        </is>
      </c>
      <c r="C601" t="inlineStr">
        <is>
          <t>CloudZero</t>
        </is>
      </c>
      <c r="D601" t="inlineStr">
        <is>
          <t>Optimizacion</t>
        </is>
      </c>
      <c r="E601" t="inlineStr">
        <is>
          <t>O2</t>
        </is>
      </c>
      <c r="F601" s="2" t="inlineStr">
        <is>
          <t>¿Explica supuesto/impacto y permite seguir una recomendación?</t>
        </is>
      </c>
      <c r="G601" t="n">
        <v>2</v>
      </c>
      <c r="H601" t="inlineStr">
        <is>
          <t>Oficial</t>
        </is>
      </c>
      <c r="I601" s="2" t="inlineStr">
        <is>
          <t>Optimize muestra ahorro potencial y "total spend, potential savings, and open recommendations", y hace seguimiento del ahorro realizado según si la recomendación fue efectivamente implementada.</t>
        </is>
      </c>
      <c r="J601" t="inlineStr">
        <is>
          <t>https://docs.cloudzero.com/docs/optimize</t>
        </is>
      </c>
      <c r="K601" t="inlineStr">
        <is>
          <t>2026-09-16</t>
        </is>
      </c>
      <c r="L601" s="2" t="inlineStr"/>
    </row>
    <row r="602">
      <c r="A602" t="inlineStr">
        <is>
          <t>E1</t>
        </is>
      </c>
      <c r="B602" t="inlineStr">
        <is>
          <t>Multicloud</t>
        </is>
      </c>
      <c r="C602" t="inlineStr">
        <is>
          <t>CloudZero</t>
        </is>
      </c>
      <c r="D602" t="inlineStr">
        <is>
          <t>Automatizacion</t>
        </is>
      </c>
      <c r="E602" t="inlineStr">
        <is>
          <t>AU1</t>
        </is>
      </c>
      <c r="F602" s="2" t="inlineStr">
        <is>
          <t>¿Ejecuta o bloquea acciones/políticas de costo con control verificable?</t>
        </is>
      </c>
      <c r="G602" t="inlineStr">
        <is>
          <t>NE</t>
        </is>
      </c>
      <c r="H602" t="inlineStr">
        <is>
          <t>Pendiente</t>
        </is>
      </c>
      <c r="I602" s="2" t="inlineStr">
        <is>
          <t>Optimize es "un sistema solo de recomendaciones": identifica oportunidades y su estado de implementación, pero no ejecuta cambios de forma automática; el usuario decide manualmente aplicar o descartar cada recomendación.</t>
        </is>
      </c>
      <c r="J602" t="inlineStr">
        <is>
          <t>https://docs.cloudzero.com/docs/optimize</t>
        </is>
      </c>
      <c r="K602" t="inlineStr">
        <is>
          <t>2026-09-16</t>
        </is>
      </c>
      <c r="L602" s="2" t="inlineStr">
        <is>
          <t>Celda heredada FP-180 (2026-09-16): el valor 0 proviene de la investigacion del escenario E2 y no cuenta con evidencia propia de E1. Segun FP-177 el indicador AU1 depende del escenario, por lo que pasa a NE (no evidenciado, reduce cobertura) hasta investigarlo. La evidencia y la fuente originales se conservan como referencia del escenario de origen.</t>
        </is>
      </c>
    </row>
    <row r="603">
      <c r="A603" t="inlineStr">
        <is>
          <t>E1</t>
        </is>
      </c>
      <c r="B603" t="inlineStr">
        <is>
          <t>Multicloud</t>
        </is>
      </c>
      <c r="C603" t="inlineStr">
        <is>
          <t>CloudZero</t>
        </is>
      </c>
      <c r="D603" t="inlineStr">
        <is>
          <t>Automatizacion</t>
        </is>
      </c>
      <c r="E603" t="inlineStr">
        <is>
          <t>AU2</t>
        </is>
      </c>
      <c r="F603" s="2" t="inlineStr">
        <is>
          <t>¿Ofrece aprobación, reversión, registro o límites antes de actuar?</t>
        </is>
      </c>
      <c r="G603" t="inlineStr">
        <is>
          <t>NA</t>
        </is>
      </c>
      <c r="H603" t="inlineStr">
        <is>
          <t>Justificación de alcance</t>
        </is>
      </c>
      <c r="I603" s="2" t="inlineStr">
        <is>
          <t>Al no ejecutar acciones (ver AU1), no aplica evaluar salvaguardas de una ejecución automatizada.</t>
        </is>
      </c>
      <c r="J603" t="inlineStr">
        <is>
          <t>https://docs.cloudzero.com/docs/optimize</t>
        </is>
      </c>
      <c r="K603" t="inlineStr">
        <is>
          <t>2026-09-16</t>
        </is>
      </c>
      <c r="L603" s="2" t="inlineStr"/>
    </row>
    <row r="604">
      <c r="A604" t="inlineStr">
        <is>
          <t>E1</t>
        </is>
      </c>
      <c r="B604" t="inlineStr">
        <is>
          <t>Multicloud</t>
        </is>
      </c>
      <c r="C604" t="inlineStr">
        <is>
          <t>CloudZero</t>
        </is>
      </c>
      <c r="D604" t="inlineStr">
        <is>
          <t>Multicloud</t>
        </is>
      </c>
      <c r="E604" t="inlineStr">
        <is>
          <t>M1</t>
        </is>
      </c>
      <c r="F604" s="2" t="inlineStr">
        <is>
          <t>¿Consolida al menos dos proveedores bajo el mismo esquema declarado?</t>
        </is>
      </c>
      <c r="G604" t="n">
        <v>2</v>
      </c>
      <c r="H604" t="inlineStr">
        <is>
          <t>Oficial</t>
        </is>
      </c>
      <c r="I604" s="2" t="inlineStr">
        <is>
          <t>Soporte nativo de AWS, Azure (MCA/EA/CSP), GCP (vía export a BigQuery) y Oracle Cloud, consolidados en "una vista unificada de todo el gasto cloud" mediante Dimensions; además "AnyCost" (Common Bill Format) permite incorporar cualquier otra fuente de costo.</t>
        </is>
      </c>
      <c r="J604" t="inlineStr">
        <is>
          <t>https://docs.cloudzero.com/docs/cloud-providers</t>
        </is>
      </c>
      <c r="K604" t="inlineStr">
        <is>
          <t>2026-09-16</t>
        </is>
      </c>
      <c r="L604" s="2" t="inlineStr"/>
    </row>
    <row r="605">
      <c r="A605" t="inlineStr">
        <is>
          <t>E1</t>
        </is>
      </c>
      <c r="B605" t="inlineStr">
        <is>
          <t>Multicloud</t>
        </is>
      </c>
      <c r="C605" t="inlineStr">
        <is>
          <t>CloudZero</t>
        </is>
      </c>
      <c r="D605" t="inlineStr">
        <is>
          <t>Multicloud</t>
        </is>
      </c>
      <c r="E605" t="inlineStr">
        <is>
          <t>M2</t>
        </is>
      </c>
      <c r="F605" s="2" t="inlineStr">
        <is>
          <t>¿Hace visibles proveedor, cobertura y diferencias semánticas?</t>
        </is>
      </c>
      <c r="G605" t="n">
        <v>2</v>
      </c>
      <c r="H605" t="inlineStr">
        <is>
          <t>Oficial</t>
        </is>
      </c>
      <c r="I605" s="2" t="inlineStr">
        <is>
          <t>"AnyCost"/"Common Bill Format (CBF)" es un formato estándar declarado para traducir datos de costo de cualquier proveedor/fuente a un esquema común, mediante un Adaptor entregado por API REST o bucket S3.</t>
        </is>
      </c>
      <c r="J605" t="inlineStr">
        <is>
          <t>https://docs.cloudzero.com/docs/anycost</t>
        </is>
      </c>
      <c r="K605" t="inlineStr">
        <is>
          <t>2026-09-16</t>
        </is>
      </c>
      <c r="L605" s="2" t="inlineStr"/>
    </row>
    <row r="606">
      <c r="A606" t="inlineStr">
        <is>
          <t>E1</t>
        </is>
      </c>
      <c r="B606" t="inlineStr">
        <is>
          <t>Multicloud</t>
        </is>
      </c>
      <c r="C606" t="inlineStr">
        <is>
          <t>CloudZero</t>
        </is>
      </c>
      <c r="D606" t="inlineStr">
        <is>
          <t>Integracion</t>
        </is>
      </c>
      <c r="E606" t="inlineStr">
        <is>
          <t>I1</t>
        </is>
      </c>
      <c r="F606" s="2" t="inlineStr">
        <is>
          <t>¿Integra datos requeridos (facturación, uso, clúster o IaC) del escenario?</t>
        </is>
      </c>
      <c r="G606" t="inlineStr">
        <is>
          <t>NE</t>
        </is>
      </c>
      <c r="H606" t="inlineStr">
        <is>
          <t>Pendiente</t>
        </is>
      </c>
      <c r="I606" s="2" t="inlineStr">
        <is>
          <t>Conectores nativos definidos y documentados para AWS (cuentas de management/member), Azure (MCA/EA/CSP) y GCP (export a BigQuery), además del agente de Kubernetes para EKS/AKS/GKE/OKE/clústeres autogestionados.</t>
        </is>
      </c>
      <c r="J606" t="inlineStr">
        <is>
          <t>https://docs.cloudzero.com/docs/cloud-providers</t>
        </is>
      </c>
      <c r="K606" t="inlineStr">
        <is>
          <t>2026-09-16</t>
        </is>
      </c>
      <c r="L606" s="2" t="inlineStr">
        <is>
          <t>Celda heredada FP-180 (2026-09-16): el valor 2 proviene de la investigacion del escenario E2 y no cuenta con evidencia propia de E1. Segun FP-177 el indicador I1 depende del escenario, por lo que pasa a NE (no evidenciado, reduce cobertura) hasta investigarlo. La evidencia y la fuente originales se conservan como referencia del escenario de origen.</t>
        </is>
      </c>
    </row>
    <row r="607">
      <c r="A607" t="inlineStr">
        <is>
          <t>E1</t>
        </is>
      </c>
      <c r="B607" t="inlineStr">
        <is>
          <t>Multicloud</t>
        </is>
      </c>
      <c r="C607" t="inlineStr">
        <is>
          <t>CloudZero</t>
        </is>
      </c>
      <c r="D607" t="inlineStr">
        <is>
          <t>Integracion</t>
        </is>
      </c>
      <c r="E607" t="inlineStr">
        <is>
          <t>I2</t>
        </is>
      </c>
      <c r="F607" s="2" t="inlineStr">
        <is>
          <t>¿Se integra con el flujo de trabajo relevante (alerta, ticket, CI/CD o reporte)?</t>
        </is>
      </c>
      <c r="G607" t="inlineStr">
        <is>
          <t>NE</t>
        </is>
      </c>
      <c r="H607" t="inlineStr">
        <is>
          <t>Pendiente</t>
        </is>
      </c>
      <c r="I607" s="2" t="inlineStr">
        <is>
          <t>No se encontró, en las páginas revisadas, documentación de integración directa con herramientas de ticketing/CI/CD o de alertas hacia canales externos (Slack, etc.).</t>
        </is>
      </c>
      <c r="K607" t="inlineStr">
        <is>
          <t>2026-09-16</t>
        </is>
      </c>
      <c r="L607" s="2" t="inlineStr"/>
    </row>
    <row r="608">
      <c r="A608" t="inlineStr">
        <is>
          <t>E1</t>
        </is>
      </c>
      <c r="B608" t="inlineStr">
        <is>
          <t>Multicloud</t>
        </is>
      </c>
      <c r="C608" t="inlineStr">
        <is>
          <t>CloudZero</t>
        </is>
      </c>
      <c r="D608" t="inlineStr">
        <is>
          <t>Adopcion</t>
        </is>
      </c>
      <c r="E608" t="inlineStr">
        <is>
          <t>AD1</t>
        </is>
      </c>
      <c r="F608" s="2" t="inlineStr">
        <is>
          <t>¿Soporta acceso/entrega para los roles del escenario?</t>
        </is>
      </c>
      <c r="G608" t="inlineStr">
        <is>
          <t>NE</t>
        </is>
      </c>
      <c r="H608" t="inlineStr">
        <is>
          <t>Pendiente</t>
        </is>
      </c>
      <c r="I608" s="2" t="inlineStr">
        <is>
          <t>Existen tres tipos de rol (Full Access, No Access, Limited Access) con filtrado granular por Dimensión y tipo de costo, incluyendo atributos de SSO para filtrado dinámico por usuario.</t>
        </is>
      </c>
      <c r="J608" t="inlineStr">
        <is>
          <t>https://docs.cloudzero.com/docs/view-and-manage-roles</t>
        </is>
      </c>
      <c r="K608" t="inlineStr">
        <is>
          <t>2026-09-16</t>
        </is>
      </c>
      <c r="L608" s="2" t="inlineStr">
        <is>
          <t>Celda heredada FP-180 (2026-09-16): el valor 2 proviene de la investigacion del escenario E2 y no cuenta con evidencia propia de E1. Segun FP-177 el indicador AD1 depende del escenario, por lo que pasa a NE (no evidenciado, reduce cobertura) hasta investigarlo. La evidencia y la fuente originales se conservan como referencia del escenario de origen.</t>
        </is>
      </c>
    </row>
    <row r="609">
      <c r="A609" t="inlineStr">
        <is>
          <t>E1</t>
        </is>
      </c>
      <c r="B609" t="inlineStr">
        <is>
          <t>Multicloud</t>
        </is>
      </c>
      <c r="C609" t="inlineStr">
        <is>
          <t>CloudZero</t>
        </is>
      </c>
      <c r="D609" t="inlineStr">
        <is>
          <t>Adopcion</t>
        </is>
      </c>
      <c r="E609" t="inlineStr">
        <is>
          <t>AD2</t>
        </is>
      </c>
      <c r="F609" s="2" t="inlineStr">
        <is>
          <t>¿Ofrece guías, ownership o mecanismos de seguimiento para uso sostenido?</t>
        </is>
      </c>
      <c r="G609" t="n">
        <v>2</v>
      </c>
      <c r="H609" t="inlineStr">
        <is>
          <t>Oficial</t>
        </is>
      </c>
      <c r="I609" s="2" t="inlineStr">
        <is>
          <t>Mecanismo de ownership documentado: «Views combine a grouping, filters, and notification channels into a single preset, giving each team ownership of the costs they are responsible for», y cada View «monitors its scope for cost changes and sends updates and anomaly alerts to the configured Slack channel or email». La habilitación cuenta con material oficial de onboarding en CloudZero Academy. Proceso y guía definidos; no se asigna 3 porque no hay evidencia de adopción medida.</t>
        </is>
      </c>
      <c r="J609" t="inlineStr">
        <is>
          <t>https://docs.cloudzero.com/docs/cloudzero ; https://academy.cloudzero.com/docs/onboarding-1</t>
        </is>
      </c>
      <c r="K609" t="inlineStr">
        <is>
          <t>2026-09-16</t>
        </is>
      </c>
      <c r="L609" s="2" t="inlineStr">
        <is>
          <t>Investigación E2 FP-180 (2026-09-16): celda completada con evidencia propia del escenario, verificada contra documentación oficial.</t>
        </is>
      </c>
    </row>
    <row r="610">
      <c r="A610" t="inlineStr">
        <is>
          <t>E1</t>
        </is>
      </c>
      <c r="B610" t="inlineStr">
        <is>
          <t>Multicloud</t>
        </is>
      </c>
      <c r="C610" t="inlineStr">
        <is>
          <t>CloudZero</t>
        </is>
      </c>
      <c r="D610" t="inlineStr">
        <is>
          <t>Precio</t>
        </is>
      </c>
      <c r="E610" t="inlineStr">
        <is>
          <t>P1</t>
        </is>
      </c>
      <c r="F610" s="2" t="inlineStr">
        <is>
          <t>¿Expone precio, moneda, región, unidad, período y supuestos relevantes?</t>
        </is>
      </c>
      <c r="G610" t="inlineStr">
        <is>
          <t>NE</t>
        </is>
      </c>
      <c r="H610" t="inlineStr">
        <is>
          <t>Pendiente</t>
        </is>
      </c>
      <c r="I610" s="2" t="inlineStr">
        <is>
          <t>No se encontró evidencia específica de transparencia de supuestos de precio (moneda/región/período) en las páginas revisadas.</t>
        </is>
      </c>
      <c r="K610" t="inlineStr">
        <is>
          <t>2026-09-16</t>
        </is>
      </c>
      <c r="L610" s="2" t="inlineStr"/>
    </row>
    <row r="611">
      <c r="A611" t="inlineStr">
        <is>
          <t>E1</t>
        </is>
      </c>
      <c r="B611" t="inlineStr">
        <is>
          <t>Multicloud</t>
        </is>
      </c>
      <c r="C611" t="inlineStr">
        <is>
          <t>CloudZero</t>
        </is>
      </c>
      <c r="D611" t="inlineStr">
        <is>
          <t>Precio</t>
        </is>
      </c>
      <c r="E611" t="inlineStr">
        <is>
          <t>P2</t>
        </is>
      </c>
      <c r="F611" s="2" t="inlineStr">
        <is>
          <t>¿Permite estimar o comparar componentes sin ocultar límites de equivalencia?</t>
        </is>
      </c>
      <c r="G611" t="inlineStr">
        <is>
          <t>NE</t>
        </is>
      </c>
      <c r="H611" t="inlineStr">
        <is>
          <t>Pendiente</t>
        </is>
      </c>
      <c r="I611" s="2" t="inlineStr">
        <is>
          <t>No se encontró evidencia de una función de comparación/estimación de precio contextual en las páginas revisadas.</t>
        </is>
      </c>
      <c r="K611" t="inlineStr">
        <is>
          <t>2026-09-16</t>
        </is>
      </c>
      <c r="L611" s="2" t="inlineStr"/>
    </row>
    <row r="612">
      <c r="A612" t="inlineStr">
        <is>
          <t>E1</t>
        </is>
      </c>
      <c r="B612" t="inlineStr">
        <is>
          <t>Multicloud</t>
        </is>
      </c>
      <c r="C612" t="inlineStr">
        <is>
          <t>CloudZero</t>
        </is>
      </c>
      <c r="D612" t="inlineStr">
        <is>
          <t>Dependencia</t>
        </is>
      </c>
      <c r="E612" t="inlineStr">
        <is>
          <t>D1</t>
        </is>
      </c>
      <c r="F612" s="2" t="inlineStr">
        <is>
          <t>¿Exporta datos/resultados en formato utilizable y documentado?</t>
        </is>
      </c>
      <c r="G612" t="n">
        <v>1</v>
      </c>
      <c r="H612" t="inlineStr">
        <is>
          <t>Oficial</t>
        </is>
      </c>
      <c r="I612" s="2" t="inlineStr">
        <is>
          <t>El glosario documenta acceso programático mediante streams de telemetría (entrada) y un "MCP Server" que conecta herramientas de IA a los datos de costo; no se confirmó una función de exportación masiva de datos de salida en formato estándar.</t>
        </is>
      </c>
      <c r="J612" t="inlineStr">
        <is>
          <t>https://docs.cloudzero.com/docs/cloudzero-glossary</t>
        </is>
      </c>
      <c r="K612" t="inlineStr">
        <is>
          <t>2026-09-16</t>
        </is>
      </c>
      <c r="L612" s="2" t="inlineStr"/>
    </row>
    <row r="613">
      <c r="A613" t="inlineStr">
        <is>
          <t>E1</t>
        </is>
      </c>
      <c r="B613" t="inlineStr">
        <is>
          <t>Multicloud</t>
        </is>
      </c>
      <c r="C613" t="inlineStr">
        <is>
          <t>CloudZero</t>
        </is>
      </c>
      <c r="D613" t="inlineStr">
        <is>
          <t>Dependencia</t>
        </is>
      </c>
      <c r="E613" t="inlineStr">
        <is>
          <t>D2</t>
        </is>
      </c>
      <c r="F613" s="2" t="inlineStr">
        <is>
          <t>¿Documenta dependencias propietarias y un camino de salida/configuración reversible?</t>
        </is>
      </c>
      <c r="G613" t="inlineStr">
        <is>
          <t>NE</t>
        </is>
      </c>
      <c r="H613" t="inlineStr">
        <is>
          <t>Pendiente</t>
        </is>
      </c>
      <c r="I613" s="2" t="inlineStr">
        <is>
          <t>No se encontró documentación sobre un camino de salida o reversibilidad de la configuración.</t>
        </is>
      </c>
      <c r="K613" t="inlineStr">
        <is>
          <t>2026-09-16</t>
        </is>
      </c>
      <c r="L613" s="2" t="inlineStr"/>
    </row>
    <row r="614">
      <c r="A614" t="inlineStr">
        <is>
          <t>E2</t>
        </is>
      </c>
      <c r="B614" t="inlineStr">
        <is>
          <t>Multicloud</t>
        </is>
      </c>
      <c r="C614" t="inlineStr">
        <is>
          <t>CloudZero</t>
        </is>
      </c>
      <c r="D614" t="inlineStr">
        <is>
          <t>Visibilidad</t>
        </is>
      </c>
      <c r="E614" t="inlineStr">
        <is>
          <t>V1</t>
        </is>
      </c>
      <c r="F614" s="2" t="inlineStr">
        <is>
          <t>¿Desagrega costo y uso por cuenta/proyecto, servicio y período?</t>
        </is>
      </c>
      <c r="G614" t="n">
        <v>2</v>
      </c>
      <c r="H614" t="inlineStr">
        <is>
          <t>Oficial</t>
        </is>
      </c>
      <c r="I614" s="2" t="inlineStr">
        <is>
          <t>"Dimensions" son categorías personalizables (equipo, producto, feature, ambiente, cliente, proveedor cloud) que ofrecen una "vista unificada de todo el gasto cloud", filtrable y estandarizada entre proveedores.</t>
        </is>
      </c>
      <c r="J614" t="inlineStr">
        <is>
          <t>https://docs.cloudzero.com/docs/cloud-providers</t>
        </is>
      </c>
      <c r="K614" t="inlineStr">
        <is>
          <t>2026-09-16</t>
        </is>
      </c>
      <c r="L614" s="2" t="inlineStr"/>
    </row>
    <row r="615">
      <c r="A615" t="inlineStr">
        <is>
          <t>E2</t>
        </is>
      </c>
      <c r="B615" t="inlineStr">
        <is>
          <t>Multicloud</t>
        </is>
      </c>
      <c r="C615" t="inlineStr">
        <is>
          <t>CloudZero</t>
        </is>
      </c>
      <c r="D615" t="inlineStr">
        <is>
          <t>Visibilidad</t>
        </is>
      </c>
      <c r="E615" t="inlineStr">
        <is>
          <t>V2</t>
        </is>
      </c>
      <c r="F615" s="2" t="inlineStr">
        <is>
          <t>¿Permite rastrear un total hasta registros o fuente de facturación?</t>
        </is>
      </c>
      <c r="G615" t="n">
        <v>2</v>
      </c>
      <c r="H615" t="inlineStr">
        <is>
          <t>Oficial</t>
        </is>
      </c>
      <c r="I615" s="2" t="inlineStr">
        <is>
          <t>La asignación reconcilia contra la factura: «The remaining spend goes to a default element so the total always reconciles with the actual bill». Para multinube, AnyCost y el Common Bill Format ingieren datos de cualquier proveedor, y el tipo de costo facturado permite la conciliación: «Billed Cost reflects the exact prices you will be invoiced for, and you can use it when you are reconciling against your actual invoice». Existen conexiones nativas a Azure (MCA, EA, CSP) y GCP (export de BigQuery), de modo que el total es rastreable hasta la fuente de facturación de cada proveedor.</t>
        </is>
      </c>
      <c r="J615" t="inlineStr">
        <is>
          <t>https://docs.cloudzero.com/docs/costformation-allocating-shared-costs ; https://docs.cloudzero.com/docs/anycost-common-bill-format-cbf ; https://docs.cloudzero.com/docs/cost-types</t>
        </is>
      </c>
      <c r="K615" t="inlineStr">
        <is>
          <t>2026-09-16</t>
        </is>
      </c>
      <c r="L615" s="2" t="inlineStr">
        <is>
          <t>Investigación E2 FP-180 (2026-09-16): celda completada con evidencia propia del escenario, verificada contra documentación oficial.</t>
        </is>
      </c>
    </row>
    <row r="616">
      <c r="A616" t="inlineStr">
        <is>
          <t>E2</t>
        </is>
      </c>
      <c r="B616" t="inlineStr">
        <is>
          <t>Multicloud</t>
        </is>
      </c>
      <c r="C616" t="inlineStr">
        <is>
          <t>CloudZero</t>
        </is>
      </c>
      <c r="D616" t="inlineStr">
        <is>
          <t>Asignacion</t>
        </is>
      </c>
      <c r="E616" t="inlineStr">
        <is>
          <t>A1</t>
        </is>
      </c>
      <c r="F616" s="2" t="inlineStr">
        <is>
          <t>¿Calcula gasto asignado/no asignado por responsable, centro o entidad?</t>
        </is>
      </c>
      <c r="G616" t="n">
        <v>2</v>
      </c>
      <c r="H616" t="inlineStr">
        <is>
          <t>Oficial</t>
        </is>
      </c>
      <c r="I616" s="2" t="inlineStr">
        <is>
          <t>CostFormation expone explícitamente el gasto no asignado bajo el bucket "Not In Dimension", con la opción de repartirlo proporcionalmente entre los equipos con gasto.</t>
        </is>
      </c>
      <c r="J616" t="inlineStr">
        <is>
          <t>https://docs.cloudzero.com/docs/costformation-allocating-shared-costs</t>
        </is>
      </c>
      <c r="K616" t="inlineStr">
        <is>
          <t>2026-09-16</t>
        </is>
      </c>
      <c r="L616" s="2" t="inlineStr"/>
    </row>
    <row r="617">
      <c r="A617" t="inlineStr">
        <is>
          <t>E2</t>
        </is>
      </c>
      <c r="B617" t="inlineStr">
        <is>
          <t>Multicloud</t>
        </is>
      </c>
      <c r="C617" t="inlineStr">
        <is>
          <t>CloudZero</t>
        </is>
      </c>
      <c r="D617" t="inlineStr">
        <is>
          <t>Asignacion</t>
        </is>
      </c>
      <c r="E617" t="inlineStr">
        <is>
          <t>A2</t>
        </is>
      </c>
      <c r="F617" s="2" t="inlineStr">
        <is>
          <t>¿Explicita y aplica reglas para costo compartido/multi-tenant?</t>
        </is>
      </c>
      <c r="G617" t="n">
        <v>2</v>
      </c>
      <c r="H617" t="inlineStr">
        <is>
          <t>Oficial</t>
        </is>
      </c>
      <c r="I617" s="2" t="inlineStr">
        <is>
          <t>CostFormation ofrece "Allocate By Rules" (reparto uniforme o proporcional basado en gasto existente) y reparto basado en streams de telemetría de uso; las reglas se definen en el lenguaje CostFormation Definition Language (CFDL), versionable en YAML.</t>
        </is>
      </c>
      <c r="J617" t="inlineStr">
        <is>
          <t>https://docs.cloudzero.com/docs/costformation-allocating-shared-costs</t>
        </is>
      </c>
      <c r="K617" t="inlineStr">
        <is>
          <t>2026-09-16</t>
        </is>
      </c>
      <c r="L617" s="2" t="inlineStr"/>
    </row>
    <row r="618">
      <c r="A618" t="inlineStr">
        <is>
          <t>E2</t>
        </is>
      </c>
      <c r="B618" t="inlineStr">
        <is>
          <t>Multicloud</t>
        </is>
      </c>
      <c r="C618" t="inlineStr">
        <is>
          <t>CloudZero</t>
        </is>
      </c>
      <c r="D618" t="inlineStr">
        <is>
          <t>Optimizacion</t>
        </is>
      </c>
      <c r="E618" t="inlineStr">
        <is>
          <t>O1</t>
        </is>
      </c>
      <c r="F618" s="2" t="inlineStr">
        <is>
          <t>¿Detecta desperdicio, rightsizing o compromiso relevante al escenario?</t>
        </is>
      </c>
      <c r="G618" t="n">
        <v>2</v>
      </c>
      <c r="H618" t="inlineStr">
        <is>
          <t>Oficial</t>
        </is>
      </c>
      <c r="I618" s="2" t="inlineStr">
        <is>
          <t>"Optimize" genera recomendaciones (rightsizing, cobertura de reservas, recursos inactivos) para AWS, Azure, GCP y Kubernetes, revisando el catálogo de tipos de recomendación una vez al día.</t>
        </is>
      </c>
      <c r="J618" t="inlineStr">
        <is>
          <t>https://docs.cloudzero.com/docs/optimize</t>
        </is>
      </c>
      <c r="K618" t="inlineStr">
        <is>
          <t>2026-09-16</t>
        </is>
      </c>
      <c r="L618" s="2" t="inlineStr"/>
    </row>
    <row r="619">
      <c r="A619" t="inlineStr">
        <is>
          <t>E2</t>
        </is>
      </c>
      <c r="B619" t="inlineStr">
        <is>
          <t>Multicloud</t>
        </is>
      </c>
      <c r="C619" t="inlineStr">
        <is>
          <t>CloudZero</t>
        </is>
      </c>
      <c r="D619" t="inlineStr">
        <is>
          <t>Optimizacion</t>
        </is>
      </c>
      <c r="E619" t="inlineStr">
        <is>
          <t>O2</t>
        </is>
      </c>
      <c r="F619" s="2" t="inlineStr">
        <is>
          <t>¿Explica supuesto/impacto y permite seguir una recomendación?</t>
        </is>
      </c>
      <c r="G619" t="n">
        <v>2</v>
      </c>
      <c r="H619" t="inlineStr">
        <is>
          <t>Oficial</t>
        </is>
      </c>
      <c r="I619" s="2" t="inlineStr">
        <is>
          <t>Optimize muestra ahorro potencial y "total spend, potential savings, and open recommendations", y hace seguimiento del ahorro realizado según si la recomendación fue efectivamente implementada.</t>
        </is>
      </c>
      <c r="J619" t="inlineStr">
        <is>
          <t>https://docs.cloudzero.com/docs/optimize</t>
        </is>
      </c>
      <c r="K619" t="inlineStr">
        <is>
          <t>2026-09-16</t>
        </is>
      </c>
      <c r="L619" s="2" t="inlineStr"/>
    </row>
    <row r="620">
      <c r="A620" t="inlineStr">
        <is>
          <t>E2</t>
        </is>
      </c>
      <c r="B620" t="inlineStr">
        <is>
          <t>Multicloud</t>
        </is>
      </c>
      <c r="C620" t="inlineStr">
        <is>
          <t>CloudZero</t>
        </is>
      </c>
      <c r="D620" t="inlineStr">
        <is>
          <t>Automatizacion</t>
        </is>
      </c>
      <c r="E620" t="inlineStr">
        <is>
          <t>AU1</t>
        </is>
      </c>
      <c r="F620" s="2" t="inlineStr">
        <is>
          <t>¿Ejecuta o bloquea acciones/políticas de costo con control verificable?</t>
        </is>
      </c>
      <c r="G620" t="n">
        <v>0</v>
      </c>
      <c r="H620" t="inlineStr">
        <is>
          <t>Oficial</t>
        </is>
      </c>
      <c r="I620" s="2" t="inlineStr">
        <is>
          <t>Optimize es "un sistema solo de recomendaciones": identifica oportunidades y su estado de implementación, pero no ejecuta cambios de forma automática; el usuario decide manualmente aplicar o descartar cada recomendación.</t>
        </is>
      </c>
      <c r="J620" t="inlineStr">
        <is>
          <t>https://docs.cloudzero.com/docs/optimize</t>
        </is>
      </c>
      <c r="K620" t="inlineStr">
        <is>
          <t>2026-09-16</t>
        </is>
      </c>
      <c r="L620" s="2" t="inlineStr"/>
    </row>
    <row r="621">
      <c r="A621" t="inlineStr">
        <is>
          <t>E2</t>
        </is>
      </c>
      <c r="B621" t="inlineStr">
        <is>
          <t>Multicloud</t>
        </is>
      </c>
      <c r="C621" t="inlineStr">
        <is>
          <t>CloudZero</t>
        </is>
      </c>
      <c r="D621" t="inlineStr">
        <is>
          <t>Automatizacion</t>
        </is>
      </c>
      <c r="E621" t="inlineStr">
        <is>
          <t>AU2</t>
        </is>
      </c>
      <c r="F621" s="2" t="inlineStr">
        <is>
          <t>¿Ofrece aprobación, reversión, registro o límites antes de actuar?</t>
        </is>
      </c>
      <c r="G621" t="inlineStr">
        <is>
          <t>NA</t>
        </is>
      </c>
      <c r="H621" t="inlineStr">
        <is>
          <t>Justificación de alcance</t>
        </is>
      </c>
      <c r="I621" s="2" t="inlineStr">
        <is>
          <t>Al no ejecutar acciones (ver AU1), no aplica evaluar salvaguardas de una ejecución automatizada.</t>
        </is>
      </c>
      <c r="J621" t="inlineStr">
        <is>
          <t>https://docs.cloudzero.com/docs/optimize</t>
        </is>
      </c>
      <c r="K621" t="inlineStr">
        <is>
          <t>2026-09-16</t>
        </is>
      </c>
      <c r="L621" s="2" t="inlineStr"/>
    </row>
    <row r="622">
      <c r="A622" t="inlineStr">
        <is>
          <t>E2</t>
        </is>
      </c>
      <c r="B622" t="inlineStr">
        <is>
          <t>Multicloud</t>
        </is>
      </c>
      <c r="C622" t="inlineStr">
        <is>
          <t>CloudZero</t>
        </is>
      </c>
      <c r="D622" t="inlineStr">
        <is>
          <t>Multicloud</t>
        </is>
      </c>
      <c r="E622" t="inlineStr">
        <is>
          <t>M1</t>
        </is>
      </c>
      <c r="F622" s="2" t="inlineStr">
        <is>
          <t>¿Consolida al menos dos proveedores bajo el mismo esquema declarado?</t>
        </is>
      </c>
      <c r="G622" t="n">
        <v>2</v>
      </c>
      <c r="H622" t="inlineStr">
        <is>
          <t>Oficial</t>
        </is>
      </c>
      <c r="I622" s="2" t="inlineStr">
        <is>
          <t>Soporte nativo de AWS, Azure (MCA/EA/CSP), GCP (vía export a BigQuery) y Oracle Cloud, consolidados en "una vista unificada de todo el gasto cloud" mediante Dimensions; además "AnyCost" (Common Bill Format) permite incorporar cualquier otra fuente de costo.</t>
        </is>
      </c>
      <c r="J622" t="inlineStr">
        <is>
          <t>https://docs.cloudzero.com/docs/cloud-providers</t>
        </is>
      </c>
      <c r="K622" t="inlineStr">
        <is>
          <t>2026-09-16</t>
        </is>
      </c>
      <c r="L622" s="2" t="inlineStr"/>
    </row>
    <row r="623">
      <c r="A623" t="inlineStr">
        <is>
          <t>E2</t>
        </is>
      </c>
      <c r="B623" t="inlineStr">
        <is>
          <t>Multicloud</t>
        </is>
      </c>
      <c r="C623" t="inlineStr">
        <is>
          <t>CloudZero</t>
        </is>
      </c>
      <c r="D623" t="inlineStr">
        <is>
          <t>Multicloud</t>
        </is>
      </c>
      <c r="E623" t="inlineStr">
        <is>
          <t>M2</t>
        </is>
      </c>
      <c r="F623" s="2" t="inlineStr">
        <is>
          <t>¿Hace visibles proveedor, cobertura y diferencias semánticas?</t>
        </is>
      </c>
      <c r="G623" t="n">
        <v>2</v>
      </c>
      <c r="H623" t="inlineStr">
        <is>
          <t>Oficial</t>
        </is>
      </c>
      <c r="I623" s="2" t="inlineStr">
        <is>
          <t>"AnyCost"/"Common Bill Format (CBF)" es un formato estándar declarado para traducir datos de costo de cualquier proveedor/fuente a un esquema común, mediante un Adaptor entregado por API REST o bucket S3.</t>
        </is>
      </c>
      <c r="J623" t="inlineStr">
        <is>
          <t>https://docs.cloudzero.com/docs/anycost</t>
        </is>
      </c>
      <c r="K623" t="inlineStr">
        <is>
          <t>2026-09-16</t>
        </is>
      </c>
      <c r="L623" s="2" t="inlineStr"/>
    </row>
    <row r="624">
      <c r="A624" t="inlineStr">
        <is>
          <t>E2</t>
        </is>
      </c>
      <c r="B624" t="inlineStr">
        <is>
          <t>Multicloud</t>
        </is>
      </c>
      <c r="C624" t="inlineStr">
        <is>
          <t>CloudZero</t>
        </is>
      </c>
      <c r="D624" t="inlineStr">
        <is>
          <t>Integracion</t>
        </is>
      </c>
      <c r="E624" t="inlineStr">
        <is>
          <t>I1</t>
        </is>
      </c>
      <c r="F624" s="2" t="inlineStr">
        <is>
          <t>¿Integra datos requeridos (facturación, uso, clúster o IaC) del escenario?</t>
        </is>
      </c>
      <c r="G624" t="n">
        <v>2</v>
      </c>
      <c r="H624" t="inlineStr">
        <is>
          <t>Oficial</t>
        </is>
      </c>
      <c r="I624" s="2" t="inlineStr">
        <is>
          <t>Conectores nativos definidos y documentados para AWS (cuentas de management/member), Azure (MCA/EA/CSP) y GCP (export a BigQuery), además del agente de Kubernetes para EKS/AKS/GKE/OKE/clústeres autogestionados.</t>
        </is>
      </c>
      <c r="J624" t="inlineStr">
        <is>
          <t>https://docs.cloudzero.com/docs/cloud-providers</t>
        </is>
      </c>
      <c r="K624" t="inlineStr">
        <is>
          <t>2026-09-16</t>
        </is>
      </c>
      <c r="L624" s="2" t="inlineStr"/>
    </row>
    <row r="625">
      <c r="A625" t="inlineStr">
        <is>
          <t>E2</t>
        </is>
      </c>
      <c r="B625" t="inlineStr">
        <is>
          <t>Multicloud</t>
        </is>
      </c>
      <c r="C625" t="inlineStr">
        <is>
          <t>CloudZero</t>
        </is>
      </c>
      <c r="D625" t="inlineStr">
        <is>
          <t>Integracion</t>
        </is>
      </c>
      <c r="E625" t="inlineStr">
        <is>
          <t>I2</t>
        </is>
      </c>
      <c r="F625" s="2" t="inlineStr">
        <is>
          <t>¿Se integra con el flujo de trabajo relevante (alerta, ticket, CI/CD o reporte)?</t>
        </is>
      </c>
      <c r="G625" t="n">
        <v>2</v>
      </c>
      <c r="H625" t="inlineStr">
        <is>
          <t>Oficial</t>
        </is>
      </c>
      <c r="I625" s="2" t="inlineStr">
        <is>
          <t>Integración documentada con el flujo operativo del escenario: Jira — «Create Work Items from Optimize Recommendations and Anomalies, then track their Jira status in CloudZero»; Slack — «Receive cost notifications directly in Slack channels, routed by View»; Google Chat; y Snowflake — «Share CloudZero cost data to your Snowflake account for SQL-based analysis», que sostiene el reporte consolidado que E2 espera. Es integración definida y reproducible, no una exportación manual.</t>
        </is>
      </c>
      <c r="J625" t="inlineStr">
        <is>
          <t>https://docs.cloudzero.com/docs/integrations ; https://docs.cloudzero.com/docs/notifications</t>
        </is>
      </c>
      <c r="K625" t="inlineStr">
        <is>
          <t>2026-09-16</t>
        </is>
      </c>
      <c r="L625" s="2" t="inlineStr">
        <is>
          <t>Investigación E2 FP-180 (2026-09-16): celda completada con evidencia propia del escenario, verificada contra documentación oficial.</t>
        </is>
      </c>
    </row>
    <row r="626">
      <c r="A626" t="inlineStr">
        <is>
          <t>E2</t>
        </is>
      </c>
      <c r="B626" t="inlineStr">
        <is>
          <t>Multicloud</t>
        </is>
      </c>
      <c r="C626" t="inlineStr">
        <is>
          <t>CloudZero</t>
        </is>
      </c>
      <c r="D626" t="inlineStr">
        <is>
          <t>Adopcion</t>
        </is>
      </c>
      <c r="E626" t="inlineStr">
        <is>
          <t>AD1</t>
        </is>
      </c>
      <c r="F626" s="2" t="inlineStr">
        <is>
          <t>¿Soporta acceso/entrega para los roles del escenario?</t>
        </is>
      </c>
      <c r="G626" t="n">
        <v>2</v>
      </c>
      <c r="H626" t="inlineStr">
        <is>
          <t>Oficial</t>
        </is>
      </c>
      <c r="I626" s="2" t="inlineStr">
        <is>
          <t>Existen tres tipos de rol (Full Access, No Access, Limited Access) con filtrado granular por Dimensión y tipo de costo, incluyendo atributos de SSO para filtrado dinámico por usuario.</t>
        </is>
      </c>
      <c r="J626" t="inlineStr">
        <is>
          <t>https://docs.cloudzero.com/docs/view-and-manage-roles</t>
        </is>
      </c>
      <c r="K626" t="inlineStr">
        <is>
          <t>2026-09-16</t>
        </is>
      </c>
      <c r="L626" s="2" t="inlineStr"/>
    </row>
    <row r="627">
      <c r="A627" t="inlineStr">
        <is>
          <t>E2</t>
        </is>
      </c>
      <c r="B627" t="inlineStr">
        <is>
          <t>Multicloud</t>
        </is>
      </c>
      <c r="C627" t="inlineStr">
        <is>
          <t>CloudZero</t>
        </is>
      </c>
      <c r="D627" t="inlineStr">
        <is>
          <t>Adopcion</t>
        </is>
      </c>
      <c r="E627" t="inlineStr">
        <is>
          <t>AD2</t>
        </is>
      </c>
      <c r="F627" s="2" t="inlineStr">
        <is>
          <t>¿Ofrece guías, ownership o mecanismos de seguimiento para uso sostenido?</t>
        </is>
      </c>
      <c r="G627" t="n">
        <v>2</v>
      </c>
      <c r="H627" t="inlineStr">
        <is>
          <t>Oficial</t>
        </is>
      </c>
      <c r="I627" s="2" t="inlineStr">
        <is>
          <t>Mecanismo de ownership documentado: «Views combine a grouping, filters, and notification channels into a single preset, giving each team ownership of the costs they are responsible for», y cada View «monitors its scope for cost changes and sends updates and anomaly alerts to the configured Slack channel or email». La habilitación cuenta con material oficial de onboarding en CloudZero Academy. Proceso y guía definidos; no se asigna 3 porque no hay evidencia de adopción medida.</t>
        </is>
      </c>
      <c r="J627" t="inlineStr">
        <is>
          <t>https://docs.cloudzero.com/docs/cloudzero ; https://academy.cloudzero.com/docs/onboarding-1</t>
        </is>
      </c>
      <c r="K627" t="inlineStr">
        <is>
          <t>2026-09-16</t>
        </is>
      </c>
      <c r="L627" s="2" t="inlineStr">
        <is>
          <t>Investigación E2 FP-180 (2026-09-16): celda completada con evidencia propia del escenario, verificada contra documentación oficial.</t>
        </is>
      </c>
    </row>
    <row r="628">
      <c r="A628" t="inlineStr">
        <is>
          <t>E2</t>
        </is>
      </c>
      <c r="B628" t="inlineStr">
        <is>
          <t>Multicloud</t>
        </is>
      </c>
      <c r="C628" t="inlineStr">
        <is>
          <t>CloudZero</t>
        </is>
      </c>
      <c r="D628" t="inlineStr">
        <is>
          <t>Precio</t>
        </is>
      </c>
      <c r="E628" t="inlineStr">
        <is>
          <t>P1</t>
        </is>
      </c>
      <c r="F628" s="2" t="inlineStr">
        <is>
          <t>¿Expone precio, moneda, región, unidad, período y supuestos relevantes?</t>
        </is>
      </c>
      <c r="G628" t="inlineStr">
        <is>
          <t>NE</t>
        </is>
      </c>
      <c r="H628" t="inlineStr">
        <is>
          <t>Pendiente</t>
        </is>
      </c>
      <c r="I628" s="2" t="inlineStr">
        <is>
          <t>No se encontró evidencia específica de transparencia de supuestos de precio (moneda/región/período) en las páginas revisadas.</t>
        </is>
      </c>
      <c r="K628" t="inlineStr">
        <is>
          <t>2026-09-16</t>
        </is>
      </c>
      <c r="L628" s="2" t="inlineStr"/>
    </row>
    <row r="629">
      <c r="A629" t="inlineStr">
        <is>
          <t>E2</t>
        </is>
      </c>
      <c r="B629" t="inlineStr">
        <is>
          <t>Multicloud</t>
        </is>
      </c>
      <c r="C629" t="inlineStr">
        <is>
          <t>CloudZero</t>
        </is>
      </c>
      <c r="D629" t="inlineStr">
        <is>
          <t>Precio</t>
        </is>
      </c>
      <c r="E629" t="inlineStr">
        <is>
          <t>P2</t>
        </is>
      </c>
      <c r="F629" s="2" t="inlineStr">
        <is>
          <t>¿Permite estimar o comparar componentes sin ocultar límites de equivalencia?</t>
        </is>
      </c>
      <c r="G629" t="inlineStr">
        <is>
          <t>NE</t>
        </is>
      </c>
      <c r="H629" t="inlineStr">
        <is>
          <t>Pendiente</t>
        </is>
      </c>
      <c r="I629" s="2" t="inlineStr">
        <is>
          <t>No se encontró evidencia de una función de comparación/estimación de precio contextual en las páginas revisadas.</t>
        </is>
      </c>
      <c r="K629" t="inlineStr">
        <is>
          <t>2026-09-16</t>
        </is>
      </c>
      <c r="L629" s="2" t="inlineStr"/>
    </row>
    <row r="630">
      <c r="A630" t="inlineStr">
        <is>
          <t>E2</t>
        </is>
      </c>
      <c r="B630" t="inlineStr">
        <is>
          <t>Multicloud</t>
        </is>
      </c>
      <c r="C630" t="inlineStr">
        <is>
          <t>CloudZero</t>
        </is>
      </c>
      <c r="D630" t="inlineStr">
        <is>
          <t>Dependencia</t>
        </is>
      </c>
      <c r="E630" t="inlineStr">
        <is>
          <t>D1</t>
        </is>
      </c>
      <c r="F630" s="2" t="inlineStr">
        <is>
          <t>¿Exporta datos/resultados en formato utilizable y documentado?</t>
        </is>
      </c>
      <c r="G630" t="n">
        <v>1</v>
      </c>
      <c r="H630" t="inlineStr">
        <is>
          <t>Oficial</t>
        </is>
      </c>
      <c r="I630" s="2" t="inlineStr">
        <is>
          <t>El glosario documenta acceso programático mediante streams de telemetría (entrada) y un "MCP Server" que conecta herramientas de IA a los datos de costo; no se confirmó una función de exportación masiva de datos de salida en formato estándar.</t>
        </is>
      </c>
      <c r="J630" t="inlineStr">
        <is>
          <t>https://docs.cloudzero.com/docs/cloudzero-glossary</t>
        </is>
      </c>
      <c r="K630" t="inlineStr">
        <is>
          <t>2026-09-16</t>
        </is>
      </c>
      <c r="L630" s="2" t="inlineStr"/>
    </row>
    <row r="631">
      <c r="A631" t="inlineStr">
        <is>
          <t>E2</t>
        </is>
      </c>
      <c r="B631" t="inlineStr">
        <is>
          <t>Multicloud</t>
        </is>
      </c>
      <c r="C631" t="inlineStr">
        <is>
          <t>CloudZero</t>
        </is>
      </c>
      <c r="D631" t="inlineStr">
        <is>
          <t>Dependencia</t>
        </is>
      </c>
      <c r="E631" t="inlineStr">
        <is>
          <t>D2</t>
        </is>
      </c>
      <c r="F631" s="2" t="inlineStr">
        <is>
          <t>¿Documenta dependencias propietarias y un camino de salida/configuración reversible?</t>
        </is>
      </c>
      <c r="G631" t="inlineStr">
        <is>
          <t>NE</t>
        </is>
      </c>
      <c r="H631" t="inlineStr">
        <is>
          <t>Pendiente</t>
        </is>
      </c>
      <c r="I631" s="2" t="inlineStr">
        <is>
          <t>No se encontró documentación sobre un camino de salida o reversibilidad de la configuración.</t>
        </is>
      </c>
      <c r="K631" t="inlineStr">
        <is>
          <t>2026-09-16</t>
        </is>
      </c>
      <c r="L631" s="2" t="inlineStr"/>
    </row>
    <row r="632">
      <c r="A632" t="inlineStr">
        <is>
          <t>E3</t>
        </is>
      </c>
      <c r="B632" t="inlineStr">
        <is>
          <t>Multicloud</t>
        </is>
      </c>
      <c r="C632" t="inlineStr">
        <is>
          <t>CloudZero</t>
        </is>
      </c>
      <c r="D632" t="inlineStr">
        <is>
          <t>Visibilidad</t>
        </is>
      </c>
      <c r="E632" t="inlineStr">
        <is>
          <t>V1</t>
        </is>
      </c>
      <c r="F632" s="2" t="inlineStr">
        <is>
          <t>¿Desagrega costo y uso por cuenta/proyecto, servicio y período?</t>
        </is>
      </c>
      <c r="G632" t="inlineStr">
        <is>
          <t>NE</t>
        </is>
      </c>
      <c r="H632" t="inlineStr">
        <is>
          <t>Pendiente</t>
        </is>
      </c>
      <c r="I632" s="2" t="inlineStr">
        <is>
          <t>"Dimensions" son categorías personalizables (equipo, producto, feature, ambiente, cliente, proveedor cloud) que ofrecen una "vista unificada de todo el gasto cloud", filtrable y estandarizada entre proveedores.</t>
        </is>
      </c>
      <c r="J632" t="inlineStr">
        <is>
          <t>https://docs.cloudzero.com/docs/cloud-providers</t>
        </is>
      </c>
      <c r="K632" t="inlineStr">
        <is>
          <t>2026-09-16</t>
        </is>
      </c>
      <c r="L632" s="2" t="inlineStr">
        <is>
          <t>Celda heredada FP-180 (2026-09-16): el valor 2 proviene de la investigacion del escenario E2 y no cuenta con evidencia propia de E3. Segun FP-177 el indicador V1 depende del escenario, por lo que pasa a NE (no evidenciado, reduce cobertura) hasta investigarlo. La evidencia y la fuente originales se conservan como referencia del escenario de origen.</t>
        </is>
      </c>
    </row>
    <row r="633">
      <c r="A633" t="inlineStr">
        <is>
          <t>E3</t>
        </is>
      </c>
      <c r="B633" t="inlineStr">
        <is>
          <t>Multicloud</t>
        </is>
      </c>
      <c r="C633" t="inlineStr">
        <is>
          <t>CloudZero</t>
        </is>
      </c>
      <c r="D633" t="inlineStr">
        <is>
          <t>Visibilidad</t>
        </is>
      </c>
      <c r="E633" t="inlineStr">
        <is>
          <t>V2</t>
        </is>
      </c>
      <c r="F633" s="2" t="inlineStr">
        <is>
          <t>¿Permite rastrear un total hasta registros o fuente de facturación?</t>
        </is>
      </c>
      <c r="G633" t="n">
        <v>2</v>
      </c>
      <c r="H633" t="inlineStr">
        <is>
          <t>Oficial</t>
        </is>
      </c>
      <c r="I633" s="2" t="inlineStr">
        <is>
          <t>La asignación reconcilia contra la factura: «The remaining spend goes to a default element so the total always reconciles with the actual bill». Para multinube, AnyCost y el Common Bill Format ingieren datos de cualquier proveedor, y el tipo de costo facturado permite la conciliación: «Billed Cost reflects the exact prices you will be invoiced for, and you can use it when you are reconciling against your actual invoice». Existen conexiones nativas a Azure (MCA, EA, CSP) y GCP (export de BigQuery), de modo que el total es rastreable hasta la fuente de facturación de cada proveedor.</t>
        </is>
      </c>
      <c r="J633" t="inlineStr">
        <is>
          <t>https://docs.cloudzero.com/docs/costformation-allocating-shared-costs ; https://docs.cloudzero.com/docs/anycost-common-bill-format-cbf ; https://docs.cloudzero.com/docs/cost-types</t>
        </is>
      </c>
      <c r="K633" t="inlineStr">
        <is>
          <t>2026-09-16</t>
        </is>
      </c>
      <c r="L633" s="2" t="inlineStr">
        <is>
          <t>Investigación E2 FP-180 (2026-09-16): celda completada con evidencia propia del escenario, verificada contra documentación oficial.</t>
        </is>
      </c>
    </row>
    <row r="634">
      <c r="A634" t="inlineStr">
        <is>
          <t>E3</t>
        </is>
      </c>
      <c r="B634" t="inlineStr">
        <is>
          <t>Multicloud</t>
        </is>
      </c>
      <c r="C634" t="inlineStr">
        <is>
          <t>CloudZero</t>
        </is>
      </c>
      <c r="D634" t="inlineStr">
        <is>
          <t>Asignacion</t>
        </is>
      </c>
      <c r="E634" t="inlineStr">
        <is>
          <t>A1</t>
        </is>
      </c>
      <c r="F634" s="2" t="inlineStr">
        <is>
          <t>¿Calcula gasto asignado/no asignado por responsable, centro o entidad?</t>
        </is>
      </c>
      <c r="G634" t="inlineStr">
        <is>
          <t>NE</t>
        </is>
      </c>
      <c r="H634" t="inlineStr">
        <is>
          <t>Pendiente</t>
        </is>
      </c>
      <c r="I634" s="2" t="inlineStr">
        <is>
          <t>CostFormation expone explícitamente el gasto no asignado bajo el bucket "Not In Dimension", con la opción de repartirlo proporcionalmente entre los equipos con gasto.</t>
        </is>
      </c>
      <c r="J634" t="inlineStr">
        <is>
          <t>https://docs.cloudzero.com/docs/costformation-allocating-shared-costs</t>
        </is>
      </c>
      <c r="K634" t="inlineStr">
        <is>
          <t>2026-09-16</t>
        </is>
      </c>
      <c r="L634" s="2" t="inlineStr">
        <is>
          <t>Celda heredada FP-180 (2026-09-16): el valor 2 proviene de la investigacion del escenario E2 y no cuenta con evidencia propia de E3. Segun FP-177 el indicador A1 depende del escenario, por lo que pasa a NE (no evidenciado, reduce cobertura) hasta investigarlo. La evidencia y la fuente originales se conservan como referencia del escenario de origen.</t>
        </is>
      </c>
    </row>
    <row r="635">
      <c r="A635" t="inlineStr">
        <is>
          <t>E3</t>
        </is>
      </c>
      <c r="B635" t="inlineStr">
        <is>
          <t>Multicloud</t>
        </is>
      </c>
      <c r="C635" t="inlineStr">
        <is>
          <t>CloudZero</t>
        </is>
      </c>
      <c r="D635" t="inlineStr">
        <is>
          <t>Asignacion</t>
        </is>
      </c>
      <c r="E635" t="inlineStr">
        <is>
          <t>A2</t>
        </is>
      </c>
      <c r="F635" s="2" t="inlineStr">
        <is>
          <t>¿Explicita y aplica reglas para costo compartido/multi-tenant?</t>
        </is>
      </c>
      <c r="G635" t="inlineStr">
        <is>
          <t>NE</t>
        </is>
      </c>
      <c r="H635" t="inlineStr">
        <is>
          <t>Pendiente</t>
        </is>
      </c>
      <c r="I635" s="2" t="inlineStr">
        <is>
          <t>CostFormation ofrece "Allocate By Rules" (reparto uniforme o proporcional basado en gasto existente) y reparto basado en streams de telemetría de uso; las reglas se definen en el lenguaje CostFormation Definition Language (CFDL), versionable en YAML.</t>
        </is>
      </c>
      <c r="J635" t="inlineStr">
        <is>
          <t>https://docs.cloudzero.com/docs/costformation-allocating-shared-costs</t>
        </is>
      </c>
      <c r="K635" t="inlineStr">
        <is>
          <t>2026-09-16</t>
        </is>
      </c>
      <c r="L635" s="2" t="inlineStr">
        <is>
          <t>Celda heredada FP-180 (2026-09-16): el valor 2 proviene de la investigacion del escenario E2 y no cuenta con evidencia propia de E3. Segun FP-177 el indicador A2 depende del escenario, por lo que pasa a NE (no evidenciado, reduce cobertura) hasta investigarlo. La evidencia y la fuente originales se conservan como referencia del escenario de origen.</t>
        </is>
      </c>
    </row>
    <row r="636">
      <c r="A636" t="inlineStr">
        <is>
          <t>E3</t>
        </is>
      </c>
      <c r="B636" t="inlineStr">
        <is>
          <t>Multicloud</t>
        </is>
      </c>
      <c r="C636" t="inlineStr">
        <is>
          <t>CloudZero</t>
        </is>
      </c>
      <c r="D636" t="inlineStr">
        <is>
          <t>Optimizacion</t>
        </is>
      </c>
      <c r="E636" t="inlineStr">
        <is>
          <t>O1</t>
        </is>
      </c>
      <c r="F636" s="2" t="inlineStr">
        <is>
          <t>¿Detecta desperdicio, rightsizing o compromiso relevante al escenario?</t>
        </is>
      </c>
      <c r="G636" t="inlineStr">
        <is>
          <t>NE</t>
        </is>
      </c>
      <c r="H636" t="inlineStr">
        <is>
          <t>Pendiente</t>
        </is>
      </c>
      <c r="I636" s="2" t="inlineStr">
        <is>
          <t>"Optimize" genera recomendaciones (rightsizing, cobertura de reservas, recursos inactivos) para AWS, Azure, GCP y Kubernetes, revisando el catálogo de tipos de recomendación una vez al día.</t>
        </is>
      </c>
      <c r="J636" t="inlineStr">
        <is>
          <t>https://docs.cloudzero.com/docs/optimize</t>
        </is>
      </c>
      <c r="K636" t="inlineStr">
        <is>
          <t>2026-09-16</t>
        </is>
      </c>
      <c r="L636" s="2" t="inlineStr">
        <is>
          <t>Celda heredada FP-180 (2026-09-16): el valor 2 proviene de la investigacion del escenario E2 y no cuenta con evidencia propia de E3. Segun FP-177 el indicador O1 depende del escenario, por lo que pasa a NE (no evidenciado, reduce cobertura) hasta investigarlo. La evidencia y la fuente originales se conservan como referencia del escenario de origen.</t>
        </is>
      </c>
    </row>
    <row r="637">
      <c r="A637" t="inlineStr">
        <is>
          <t>E3</t>
        </is>
      </c>
      <c r="B637" t="inlineStr">
        <is>
          <t>Multicloud</t>
        </is>
      </c>
      <c r="C637" t="inlineStr">
        <is>
          <t>CloudZero</t>
        </is>
      </c>
      <c r="D637" t="inlineStr">
        <is>
          <t>Optimizacion</t>
        </is>
      </c>
      <c r="E637" t="inlineStr">
        <is>
          <t>O2</t>
        </is>
      </c>
      <c r="F637" s="2" t="inlineStr">
        <is>
          <t>¿Explica supuesto/impacto y permite seguir una recomendación?</t>
        </is>
      </c>
      <c r="G637" t="n">
        <v>2</v>
      </c>
      <c r="H637" t="inlineStr">
        <is>
          <t>Oficial</t>
        </is>
      </c>
      <c r="I637" s="2" t="inlineStr">
        <is>
          <t>Optimize muestra ahorro potencial y "total spend, potential savings, and open recommendations", y hace seguimiento del ahorro realizado según si la recomendación fue efectivamente implementada.</t>
        </is>
      </c>
      <c r="J637" t="inlineStr">
        <is>
          <t>https://docs.cloudzero.com/docs/optimize</t>
        </is>
      </c>
      <c r="K637" t="inlineStr">
        <is>
          <t>2026-09-16</t>
        </is>
      </c>
      <c r="L637" s="2" t="inlineStr"/>
    </row>
    <row r="638">
      <c r="A638" t="inlineStr">
        <is>
          <t>E3</t>
        </is>
      </c>
      <c r="B638" t="inlineStr">
        <is>
          <t>Multicloud</t>
        </is>
      </c>
      <c r="C638" t="inlineStr">
        <is>
          <t>CloudZero</t>
        </is>
      </c>
      <c r="D638" t="inlineStr">
        <is>
          <t>Automatizacion</t>
        </is>
      </c>
      <c r="E638" t="inlineStr">
        <is>
          <t>AU1</t>
        </is>
      </c>
      <c r="F638" s="2" t="inlineStr">
        <is>
          <t>¿Ejecuta o bloquea acciones/políticas de costo con control verificable?</t>
        </is>
      </c>
      <c r="G638" t="inlineStr">
        <is>
          <t>NE</t>
        </is>
      </c>
      <c r="H638" t="inlineStr">
        <is>
          <t>Pendiente</t>
        </is>
      </c>
      <c r="I638" s="2" t="inlineStr">
        <is>
          <t>Optimize es "un sistema solo de recomendaciones": identifica oportunidades y su estado de implementación, pero no ejecuta cambios de forma automática; el usuario decide manualmente aplicar o descartar cada recomendación.</t>
        </is>
      </c>
      <c r="J638" t="inlineStr">
        <is>
          <t>https://docs.cloudzero.com/docs/optimize</t>
        </is>
      </c>
      <c r="K638" t="inlineStr">
        <is>
          <t>2026-09-16</t>
        </is>
      </c>
      <c r="L638" s="2" t="inlineStr">
        <is>
          <t>Celda heredada FP-180 (2026-09-16): el valor 0 proviene de la investigacion del escenario E2 y no cuenta con evidencia propia de E3. Segun FP-177 el indicador AU1 depende del escenario, por lo que pasa a NE (no evidenciado, reduce cobertura) hasta investigarlo. La evidencia y la fuente originales se conservan como referencia del escenario de origen.</t>
        </is>
      </c>
    </row>
    <row r="639">
      <c r="A639" t="inlineStr">
        <is>
          <t>E3</t>
        </is>
      </c>
      <c r="B639" t="inlineStr">
        <is>
          <t>Multicloud</t>
        </is>
      </c>
      <c r="C639" t="inlineStr">
        <is>
          <t>CloudZero</t>
        </is>
      </c>
      <c r="D639" t="inlineStr">
        <is>
          <t>Automatizacion</t>
        </is>
      </c>
      <c r="E639" t="inlineStr">
        <is>
          <t>AU2</t>
        </is>
      </c>
      <c r="F639" s="2" t="inlineStr">
        <is>
          <t>¿Ofrece aprobación, reversión, registro o límites antes de actuar?</t>
        </is>
      </c>
      <c r="G639" t="inlineStr">
        <is>
          <t>NA</t>
        </is>
      </c>
      <c r="H639" t="inlineStr">
        <is>
          <t>Justificación de alcance</t>
        </is>
      </c>
      <c r="I639" s="2" t="inlineStr">
        <is>
          <t>Al no ejecutar acciones (ver AU1), no aplica evaluar salvaguardas de una ejecución automatizada.</t>
        </is>
      </c>
      <c r="J639" t="inlineStr">
        <is>
          <t>https://docs.cloudzero.com/docs/optimize</t>
        </is>
      </c>
      <c r="K639" t="inlineStr">
        <is>
          <t>2026-09-16</t>
        </is>
      </c>
      <c r="L639" s="2" t="inlineStr"/>
    </row>
    <row r="640">
      <c r="A640" t="inlineStr">
        <is>
          <t>E3</t>
        </is>
      </c>
      <c r="B640" t="inlineStr">
        <is>
          <t>Multicloud</t>
        </is>
      </c>
      <c r="C640" t="inlineStr">
        <is>
          <t>CloudZero</t>
        </is>
      </c>
      <c r="D640" t="inlineStr">
        <is>
          <t>Multicloud</t>
        </is>
      </c>
      <c r="E640" t="inlineStr">
        <is>
          <t>M1</t>
        </is>
      </c>
      <c r="F640" s="2" t="inlineStr">
        <is>
          <t>¿Consolida al menos dos proveedores bajo el mismo esquema declarado?</t>
        </is>
      </c>
      <c r="G640" t="n">
        <v>2</v>
      </c>
      <c r="H640" t="inlineStr">
        <is>
          <t>Oficial</t>
        </is>
      </c>
      <c r="I640" s="2" t="inlineStr">
        <is>
          <t>Soporte nativo de AWS, Azure (MCA/EA/CSP), GCP (vía export a BigQuery) y Oracle Cloud, consolidados en "una vista unificada de todo el gasto cloud" mediante Dimensions; además "AnyCost" (Common Bill Format) permite incorporar cualquier otra fuente de costo.</t>
        </is>
      </c>
      <c r="J640" t="inlineStr">
        <is>
          <t>https://docs.cloudzero.com/docs/cloud-providers</t>
        </is>
      </c>
      <c r="K640" t="inlineStr">
        <is>
          <t>2026-09-16</t>
        </is>
      </c>
      <c r="L640" s="2" t="inlineStr"/>
    </row>
    <row r="641">
      <c r="A641" t="inlineStr">
        <is>
          <t>E3</t>
        </is>
      </c>
      <c r="B641" t="inlineStr">
        <is>
          <t>Multicloud</t>
        </is>
      </c>
      <c r="C641" t="inlineStr">
        <is>
          <t>CloudZero</t>
        </is>
      </c>
      <c r="D641" t="inlineStr">
        <is>
          <t>Multicloud</t>
        </is>
      </c>
      <c r="E641" t="inlineStr">
        <is>
          <t>M2</t>
        </is>
      </c>
      <c r="F641" s="2" t="inlineStr">
        <is>
          <t>¿Hace visibles proveedor, cobertura y diferencias semánticas?</t>
        </is>
      </c>
      <c r="G641" t="n">
        <v>2</v>
      </c>
      <c r="H641" t="inlineStr">
        <is>
          <t>Oficial</t>
        </is>
      </c>
      <c r="I641" s="2" t="inlineStr">
        <is>
          <t>"AnyCost"/"Common Bill Format (CBF)" es un formato estándar declarado para traducir datos de costo de cualquier proveedor/fuente a un esquema común, mediante un Adaptor entregado por API REST o bucket S3.</t>
        </is>
      </c>
      <c r="J641" t="inlineStr">
        <is>
          <t>https://docs.cloudzero.com/docs/anycost</t>
        </is>
      </c>
      <c r="K641" t="inlineStr">
        <is>
          <t>2026-09-16</t>
        </is>
      </c>
      <c r="L641" s="2" t="inlineStr"/>
    </row>
    <row r="642">
      <c r="A642" t="inlineStr">
        <is>
          <t>E3</t>
        </is>
      </c>
      <c r="B642" t="inlineStr">
        <is>
          <t>Multicloud</t>
        </is>
      </c>
      <c r="C642" t="inlineStr">
        <is>
          <t>CloudZero</t>
        </is>
      </c>
      <c r="D642" t="inlineStr">
        <is>
          <t>Integracion</t>
        </is>
      </c>
      <c r="E642" t="inlineStr">
        <is>
          <t>I1</t>
        </is>
      </c>
      <c r="F642" s="2" t="inlineStr">
        <is>
          <t>¿Integra datos requeridos (facturación, uso, clúster o IaC) del escenario?</t>
        </is>
      </c>
      <c r="G642" t="inlineStr">
        <is>
          <t>NE</t>
        </is>
      </c>
      <c r="H642" t="inlineStr">
        <is>
          <t>Pendiente</t>
        </is>
      </c>
      <c r="I642" s="2" t="inlineStr">
        <is>
          <t>Conectores nativos definidos y documentados para AWS (cuentas de management/member), Azure (MCA/EA/CSP) y GCP (export a BigQuery), además del agente de Kubernetes para EKS/AKS/GKE/OKE/clústeres autogestionados.</t>
        </is>
      </c>
      <c r="J642" t="inlineStr">
        <is>
          <t>https://docs.cloudzero.com/docs/cloud-providers</t>
        </is>
      </c>
      <c r="K642" t="inlineStr">
        <is>
          <t>2026-09-16</t>
        </is>
      </c>
      <c r="L642" s="2" t="inlineStr">
        <is>
          <t>Celda heredada FP-180 (2026-09-16): el valor 2 proviene de la investigacion del escenario E2 y no cuenta con evidencia propia de E3. Segun FP-177 el indicador I1 depende del escenario, por lo que pasa a NE (no evidenciado, reduce cobertura) hasta investigarlo. La evidencia y la fuente originales se conservan como referencia del escenario de origen.</t>
        </is>
      </c>
    </row>
    <row r="643">
      <c r="A643" t="inlineStr">
        <is>
          <t>E3</t>
        </is>
      </c>
      <c r="B643" t="inlineStr">
        <is>
          <t>Multicloud</t>
        </is>
      </c>
      <c r="C643" t="inlineStr">
        <is>
          <t>CloudZero</t>
        </is>
      </c>
      <c r="D643" t="inlineStr">
        <is>
          <t>Integracion</t>
        </is>
      </c>
      <c r="E643" t="inlineStr">
        <is>
          <t>I2</t>
        </is>
      </c>
      <c r="F643" s="2" t="inlineStr">
        <is>
          <t>¿Se integra con el flujo de trabajo relevante (alerta, ticket, CI/CD o reporte)?</t>
        </is>
      </c>
      <c r="G643" t="inlineStr">
        <is>
          <t>NE</t>
        </is>
      </c>
      <c r="H643" t="inlineStr">
        <is>
          <t>Pendiente</t>
        </is>
      </c>
      <c r="I643" s="2" t="inlineStr">
        <is>
          <t>No se encontró, en las páginas revisadas, documentación de integración directa con herramientas de ticketing/CI/CD o de alertas hacia canales externos (Slack, etc.).</t>
        </is>
      </c>
      <c r="K643" t="inlineStr">
        <is>
          <t>2026-09-16</t>
        </is>
      </c>
      <c r="L643" s="2" t="inlineStr"/>
    </row>
    <row r="644">
      <c r="A644" t="inlineStr">
        <is>
          <t>E3</t>
        </is>
      </c>
      <c r="B644" t="inlineStr">
        <is>
          <t>Multicloud</t>
        </is>
      </c>
      <c r="C644" t="inlineStr">
        <is>
          <t>CloudZero</t>
        </is>
      </c>
      <c r="D644" t="inlineStr">
        <is>
          <t>Adopcion</t>
        </is>
      </c>
      <c r="E644" t="inlineStr">
        <is>
          <t>AD1</t>
        </is>
      </c>
      <c r="F644" s="2" t="inlineStr">
        <is>
          <t>¿Soporta acceso/entrega para los roles del escenario?</t>
        </is>
      </c>
      <c r="G644" t="inlineStr">
        <is>
          <t>NE</t>
        </is>
      </c>
      <c r="H644" t="inlineStr">
        <is>
          <t>Pendiente</t>
        </is>
      </c>
      <c r="I644" s="2" t="inlineStr">
        <is>
          <t>Existen tres tipos de rol (Full Access, No Access, Limited Access) con filtrado granular por Dimensión y tipo de costo, incluyendo atributos de SSO para filtrado dinámico por usuario.</t>
        </is>
      </c>
      <c r="J644" t="inlineStr">
        <is>
          <t>https://docs.cloudzero.com/docs/view-and-manage-roles</t>
        </is>
      </c>
      <c r="K644" t="inlineStr">
        <is>
          <t>2026-09-16</t>
        </is>
      </c>
      <c r="L644" s="2" t="inlineStr">
        <is>
          <t>Celda heredada FP-180 (2026-09-16): el valor 2 proviene de la investigacion del escenario E2 y no cuenta con evidencia propia de E3. Segun FP-177 el indicador AD1 depende del escenario, por lo que pasa a NE (no evidenciado, reduce cobertura) hasta investigarlo. La evidencia y la fuente originales se conservan como referencia del escenario de origen.</t>
        </is>
      </c>
    </row>
    <row r="645">
      <c r="A645" t="inlineStr">
        <is>
          <t>E3</t>
        </is>
      </c>
      <c r="B645" t="inlineStr">
        <is>
          <t>Multicloud</t>
        </is>
      </c>
      <c r="C645" t="inlineStr">
        <is>
          <t>CloudZero</t>
        </is>
      </c>
      <c r="D645" t="inlineStr">
        <is>
          <t>Adopcion</t>
        </is>
      </c>
      <c r="E645" t="inlineStr">
        <is>
          <t>AD2</t>
        </is>
      </c>
      <c r="F645" s="2" t="inlineStr">
        <is>
          <t>¿Ofrece guías, ownership o mecanismos de seguimiento para uso sostenido?</t>
        </is>
      </c>
      <c r="G645" t="n">
        <v>2</v>
      </c>
      <c r="H645" t="inlineStr">
        <is>
          <t>Oficial</t>
        </is>
      </c>
      <c r="I645" s="2" t="inlineStr">
        <is>
          <t>Mecanismo de ownership documentado: «Views combine a grouping, filters, and notification channels into a single preset, giving each team ownership of the costs they are responsible for», y cada View «monitors its scope for cost changes and sends updates and anomaly alerts to the configured Slack channel or email». La habilitación cuenta con material oficial de onboarding en CloudZero Academy. Proceso y guía definidos; no se asigna 3 porque no hay evidencia de adopción medida.</t>
        </is>
      </c>
      <c r="J645" t="inlineStr">
        <is>
          <t>https://docs.cloudzero.com/docs/cloudzero ; https://academy.cloudzero.com/docs/onboarding-1</t>
        </is>
      </c>
      <c r="K645" t="inlineStr">
        <is>
          <t>2026-09-16</t>
        </is>
      </c>
      <c r="L645" s="2" t="inlineStr">
        <is>
          <t>Investigación E2 FP-180 (2026-09-16): celda completada con evidencia propia del escenario, verificada contra documentación oficial.</t>
        </is>
      </c>
    </row>
    <row r="646">
      <c r="A646" t="inlineStr">
        <is>
          <t>E3</t>
        </is>
      </c>
      <c r="B646" t="inlineStr">
        <is>
          <t>Multicloud</t>
        </is>
      </c>
      <c r="C646" t="inlineStr">
        <is>
          <t>CloudZero</t>
        </is>
      </c>
      <c r="D646" t="inlineStr">
        <is>
          <t>Precio</t>
        </is>
      </c>
      <c r="E646" t="inlineStr">
        <is>
          <t>P1</t>
        </is>
      </c>
      <c r="F646" s="2" t="inlineStr">
        <is>
          <t>¿Expone precio, moneda, región, unidad, período y supuestos relevantes?</t>
        </is>
      </c>
      <c r="G646" t="inlineStr">
        <is>
          <t>NE</t>
        </is>
      </c>
      <c r="H646" t="inlineStr">
        <is>
          <t>Pendiente</t>
        </is>
      </c>
      <c r="I646" s="2" t="inlineStr">
        <is>
          <t>No se encontró evidencia específica de transparencia de supuestos de precio (moneda/región/período) en las páginas revisadas.</t>
        </is>
      </c>
      <c r="K646" t="inlineStr">
        <is>
          <t>2026-09-16</t>
        </is>
      </c>
      <c r="L646" s="2" t="inlineStr"/>
    </row>
    <row r="647">
      <c r="A647" t="inlineStr">
        <is>
          <t>E3</t>
        </is>
      </c>
      <c r="B647" t="inlineStr">
        <is>
          <t>Multicloud</t>
        </is>
      </c>
      <c r="C647" t="inlineStr">
        <is>
          <t>CloudZero</t>
        </is>
      </c>
      <c r="D647" t="inlineStr">
        <is>
          <t>Precio</t>
        </is>
      </c>
      <c r="E647" t="inlineStr">
        <is>
          <t>P2</t>
        </is>
      </c>
      <c r="F647" s="2" t="inlineStr">
        <is>
          <t>¿Permite estimar o comparar componentes sin ocultar límites de equivalencia?</t>
        </is>
      </c>
      <c r="G647" t="inlineStr">
        <is>
          <t>NE</t>
        </is>
      </c>
      <c r="H647" t="inlineStr">
        <is>
          <t>Pendiente</t>
        </is>
      </c>
      <c r="I647" s="2" t="inlineStr">
        <is>
          <t>No se encontró evidencia de una función de comparación/estimación de precio contextual en las páginas revisadas.</t>
        </is>
      </c>
      <c r="K647" t="inlineStr">
        <is>
          <t>2026-09-16</t>
        </is>
      </c>
      <c r="L647" s="2" t="inlineStr"/>
    </row>
    <row r="648">
      <c r="A648" t="inlineStr">
        <is>
          <t>E3</t>
        </is>
      </c>
      <c r="B648" t="inlineStr">
        <is>
          <t>Multicloud</t>
        </is>
      </c>
      <c r="C648" t="inlineStr">
        <is>
          <t>CloudZero</t>
        </is>
      </c>
      <c r="D648" t="inlineStr">
        <is>
          <t>Dependencia</t>
        </is>
      </c>
      <c r="E648" t="inlineStr">
        <is>
          <t>D1</t>
        </is>
      </c>
      <c r="F648" s="2" t="inlineStr">
        <is>
          <t>¿Exporta datos/resultados en formato utilizable y documentado?</t>
        </is>
      </c>
      <c r="G648" t="n">
        <v>1</v>
      </c>
      <c r="H648" t="inlineStr">
        <is>
          <t>Oficial</t>
        </is>
      </c>
      <c r="I648" s="2" t="inlineStr">
        <is>
          <t>El glosario documenta acceso programático mediante streams de telemetría (entrada) y un "MCP Server" que conecta herramientas de IA a los datos de costo; no se confirmó una función de exportación masiva de datos de salida en formato estándar.</t>
        </is>
      </c>
      <c r="J648" t="inlineStr">
        <is>
          <t>https://docs.cloudzero.com/docs/cloudzero-glossary</t>
        </is>
      </c>
      <c r="K648" t="inlineStr">
        <is>
          <t>2026-09-16</t>
        </is>
      </c>
      <c r="L648" s="2" t="inlineStr"/>
    </row>
    <row r="649">
      <c r="A649" t="inlineStr">
        <is>
          <t>E3</t>
        </is>
      </c>
      <c r="B649" t="inlineStr">
        <is>
          <t>Multicloud</t>
        </is>
      </c>
      <c r="C649" t="inlineStr">
        <is>
          <t>CloudZero</t>
        </is>
      </c>
      <c r="D649" t="inlineStr">
        <is>
          <t>Dependencia</t>
        </is>
      </c>
      <c r="E649" t="inlineStr">
        <is>
          <t>D2</t>
        </is>
      </c>
      <c r="F649" s="2" t="inlineStr">
        <is>
          <t>¿Documenta dependencias propietarias y un camino de salida/configuración reversible?</t>
        </is>
      </c>
      <c r="G649" t="inlineStr">
        <is>
          <t>NE</t>
        </is>
      </c>
      <c r="H649" t="inlineStr">
        <is>
          <t>Pendiente</t>
        </is>
      </c>
      <c r="I649" s="2" t="inlineStr">
        <is>
          <t>No se encontró documentación sobre un camino de salida o reversibilidad de la configuración.</t>
        </is>
      </c>
      <c r="K649" t="inlineStr">
        <is>
          <t>2026-09-16</t>
        </is>
      </c>
      <c r="L649" s="2" t="inlineStr"/>
    </row>
    <row r="650">
      <c r="A650" t="inlineStr">
        <is>
          <t>E5</t>
        </is>
      </c>
      <c r="B650" t="inlineStr">
        <is>
          <t>Multicloud</t>
        </is>
      </c>
      <c r="C650" t="inlineStr">
        <is>
          <t>CloudZero</t>
        </is>
      </c>
      <c r="D650" t="inlineStr">
        <is>
          <t>Visibilidad</t>
        </is>
      </c>
      <c r="E650" t="inlineStr">
        <is>
          <t>V1</t>
        </is>
      </c>
      <c r="F650" s="2" t="inlineStr">
        <is>
          <t>¿Desagrega costo y uso por cuenta/proyecto, servicio y período?</t>
        </is>
      </c>
      <c r="G650" t="inlineStr">
        <is>
          <t>NE</t>
        </is>
      </c>
      <c r="H650" t="inlineStr">
        <is>
          <t>Pendiente</t>
        </is>
      </c>
      <c r="I650" s="2" t="inlineStr">
        <is>
          <t>"Dimensions" son categorías personalizables (equipo, producto, feature, ambiente, cliente, proveedor cloud) que ofrecen una "vista unificada de todo el gasto cloud", filtrable y estandarizada entre proveedores.</t>
        </is>
      </c>
      <c r="J650" t="inlineStr">
        <is>
          <t>https://docs.cloudzero.com/docs/cloud-providers</t>
        </is>
      </c>
      <c r="K650" t="inlineStr">
        <is>
          <t>2026-09-16</t>
        </is>
      </c>
      <c r="L650" s="2" t="inlineStr">
        <is>
          <t>Celda heredada FP-180 (2026-09-16): el valor 2 proviene de la investigacion del escenario E2 y no cuenta con evidencia propia de E5. Segun FP-177 el indicador V1 depende del escenario, por lo que pasa a NE (no evidenciado, reduce cobertura) hasta investigarlo. La evidencia y la fuente originales se conservan como referencia del escenario de origen.</t>
        </is>
      </c>
    </row>
    <row r="651">
      <c r="A651" t="inlineStr">
        <is>
          <t>E5</t>
        </is>
      </c>
      <c r="B651" t="inlineStr">
        <is>
          <t>Multicloud</t>
        </is>
      </c>
      <c r="C651" t="inlineStr">
        <is>
          <t>CloudZero</t>
        </is>
      </c>
      <c r="D651" t="inlineStr">
        <is>
          <t>Visibilidad</t>
        </is>
      </c>
      <c r="E651" t="inlineStr">
        <is>
          <t>V2</t>
        </is>
      </c>
      <c r="F651" s="2" t="inlineStr">
        <is>
          <t>¿Permite rastrear un total hasta registros o fuente de facturación?</t>
        </is>
      </c>
      <c r="G651" t="n">
        <v>2</v>
      </c>
      <c r="H651" t="inlineStr">
        <is>
          <t>Oficial</t>
        </is>
      </c>
      <c r="I651" s="2" t="inlineStr">
        <is>
          <t>La asignación reconcilia contra la factura: «The remaining spend goes to a default element so the total always reconciles with the actual bill». Para multinube, AnyCost y el Common Bill Format ingieren datos de cualquier proveedor, y el tipo de costo facturado permite la conciliación: «Billed Cost reflects the exact prices you will be invoiced for, and you can use it when you are reconciling against your actual invoice». Existen conexiones nativas a Azure (MCA, EA, CSP) y GCP (export de BigQuery), de modo que el total es rastreable hasta la fuente de facturación de cada proveedor.</t>
        </is>
      </c>
      <c r="J651" t="inlineStr">
        <is>
          <t>https://docs.cloudzero.com/docs/costformation-allocating-shared-costs ; https://docs.cloudzero.com/docs/anycost-common-bill-format-cbf ; https://docs.cloudzero.com/docs/cost-types</t>
        </is>
      </c>
      <c r="K651" t="inlineStr">
        <is>
          <t>2026-09-16</t>
        </is>
      </c>
      <c r="L651" s="2" t="inlineStr">
        <is>
          <t>Investigación E2 FP-180 (2026-09-16): celda completada con evidencia propia del escenario, verificada contra documentación oficial.</t>
        </is>
      </c>
    </row>
    <row r="652">
      <c r="A652" t="inlineStr">
        <is>
          <t>E5</t>
        </is>
      </c>
      <c r="B652" t="inlineStr">
        <is>
          <t>Multicloud</t>
        </is>
      </c>
      <c r="C652" t="inlineStr">
        <is>
          <t>CloudZero</t>
        </is>
      </c>
      <c r="D652" t="inlineStr">
        <is>
          <t>Asignacion</t>
        </is>
      </c>
      <c r="E652" t="inlineStr">
        <is>
          <t>A1</t>
        </is>
      </c>
      <c r="F652" s="2" t="inlineStr">
        <is>
          <t>¿Calcula gasto asignado/no asignado por responsable, centro o entidad?</t>
        </is>
      </c>
      <c r="G652" t="inlineStr">
        <is>
          <t>NE</t>
        </is>
      </c>
      <c r="H652" t="inlineStr">
        <is>
          <t>Pendiente</t>
        </is>
      </c>
      <c r="I652" s="2" t="inlineStr">
        <is>
          <t>CostFormation expone explícitamente el gasto no asignado bajo el bucket "Not In Dimension", con la opción de repartirlo proporcionalmente entre los equipos con gasto.</t>
        </is>
      </c>
      <c r="J652" t="inlineStr">
        <is>
          <t>https://docs.cloudzero.com/docs/costformation-allocating-shared-costs</t>
        </is>
      </c>
      <c r="K652" t="inlineStr">
        <is>
          <t>2026-09-16</t>
        </is>
      </c>
      <c r="L652" s="2" t="inlineStr">
        <is>
          <t>Celda heredada FP-180 (2026-09-16): el valor 2 proviene de la investigacion del escenario E2 y no cuenta con evidencia propia de E5. Segun FP-177 el indicador A1 depende del escenario, por lo que pasa a NE (no evidenciado, reduce cobertura) hasta investigarlo. La evidencia y la fuente originales se conservan como referencia del escenario de origen.</t>
        </is>
      </c>
    </row>
    <row r="653">
      <c r="A653" t="inlineStr">
        <is>
          <t>E5</t>
        </is>
      </c>
      <c r="B653" t="inlineStr">
        <is>
          <t>Multicloud</t>
        </is>
      </c>
      <c r="C653" t="inlineStr">
        <is>
          <t>CloudZero</t>
        </is>
      </c>
      <c r="D653" t="inlineStr">
        <is>
          <t>Asignacion</t>
        </is>
      </c>
      <c r="E653" t="inlineStr">
        <is>
          <t>A2</t>
        </is>
      </c>
      <c r="F653" s="2" t="inlineStr">
        <is>
          <t>¿Explicita y aplica reglas para costo compartido/multi-tenant?</t>
        </is>
      </c>
      <c r="G653" t="inlineStr">
        <is>
          <t>NE</t>
        </is>
      </c>
      <c r="H653" t="inlineStr">
        <is>
          <t>Pendiente</t>
        </is>
      </c>
      <c r="I653" s="2" t="inlineStr">
        <is>
          <t>CostFormation ofrece "Allocate By Rules" (reparto uniforme o proporcional basado en gasto existente) y reparto basado en streams de telemetría de uso; las reglas se definen en el lenguaje CostFormation Definition Language (CFDL), versionable en YAML.</t>
        </is>
      </c>
      <c r="J653" t="inlineStr">
        <is>
          <t>https://docs.cloudzero.com/docs/costformation-allocating-shared-costs</t>
        </is>
      </c>
      <c r="K653" t="inlineStr">
        <is>
          <t>2026-09-16</t>
        </is>
      </c>
      <c r="L653" s="2" t="inlineStr">
        <is>
          <t>Celda heredada FP-180 (2026-09-16): el valor 2 proviene de la investigacion del escenario E2 y no cuenta con evidencia propia de E5. Segun FP-177 el indicador A2 depende del escenario, por lo que pasa a NE (no evidenciado, reduce cobertura) hasta investigarlo. La evidencia y la fuente originales se conservan como referencia del escenario de origen.</t>
        </is>
      </c>
    </row>
    <row r="654">
      <c r="A654" t="inlineStr">
        <is>
          <t>E5</t>
        </is>
      </c>
      <c r="B654" t="inlineStr">
        <is>
          <t>Multicloud</t>
        </is>
      </c>
      <c r="C654" t="inlineStr">
        <is>
          <t>CloudZero</t>
        </is>
      </c>
      <c r="D654" t="inlineStr">
        <is>
          <t>Optimizacion</t>
        </is>
      </c>
      <c r="E654" t="inlineStr">
        <is>
          <t>O1</t>
        </is>
      </c>
      <c r="F654" s="2" t="inlineStr">
        <is>
          <t>¿Detecta desperdicio, rightsizing o compromiso relevante al escenario?</t>
        </is>
      </c>
      <c r="G654" t="inlineStr">
        <is>
          <t>NE</t>
        </is>
      </c>
      <c r="H654" t="inlineStr">
        <is>
          <t>Pendiente</t>
        </is>
      </c>
      <c r="I654" s="2" t="inlineStr">
        <is>
          <t>"Optimize" genera recomendaciones (rightsizing, cobertura de reservas, recursos inactivos) para AWS, Azure, GCP y Kubernetes, revisando el catálogo de tipos de recomendación una vez al día.</t>
        </is>
      </c>
      <c r="J654" t="inlineStr">
        <is>
          <t>https://docs.cloudzero.com/docs/optimize</t>
        </is>
      </c>
      <c r="K654" t="inlineStr">
        <is>
          <t>2026-09-16</t>
        </is>
      </c>
      <c r="L654" s="2" t="inlineStr">
        <is>
          <t>Celda heredada FP-180 (2026-09-16): el valor 2 proviene de la investigacion del escenario E2 y no cuenta con evidencia propia de E5. Segun FP-177 el indicador O1 depende del escenario, por lo que pasa a NE (no evidenciado, reduce cobertura) hasta investigarlo. La evidencia y la fuente originales se conservan como referencia del escenario de origen.</t>
        </is>
      </c>
    </row>
    <row r="655">
      <c r="A655" t="inlineStr">
        <is>
          <t>E5</t>
        </is>
      </c>
      <c r="B655" t="inlineStr">
        <is>
          <t>Multicloud</t>
        </is>
      </c>
      <c r="C655" t="inlineStr">
        <is>
          <t>CloudZero</t>
        </is>
      </c>
      <c r="D655" t="inlineStr">
        <is>
          <t>Optimizacion</t>
        </is>
      </c>
      <c r="E655" t="inlineStr">
        <is>
          <t>O2</t>
        </is>
      </c>
      <c r="F655" s="2" t="inlineStr">
        <is>
          <t>¿Explica supuesto/impacto y permite seguir una recomendación?</t>
        </is>
      </c>
      <c r="G655" t="n">
        <v>2</v>
      </c>
      <c r="H655" t="inlineStr">
        <is>
          <t>Oficial</t>
        </is>
      </c>
      <c r="I655" s="2" t="inlineStr">
        <is>
          <t>Optimize muestra ahorro potencial y "total spend, potential savings, and open recommendations", y hace seguimiento del ahorro realizado según si la recomendación fue efectivamente implementada.</t>
        </is>
      </c>
      <c r="J655" t="inlineStr">
        <is>
          <t>https://docs.cloudzero.com/docs/optimize</t>
        </is>
      </c>
      <c r="K655" t="inlineStr">
        <is>
          <t>2026-09-16</t>
        </is>
      </c>
      <c r="L655" s="2" t="inlineStr"/>
    </row>
    <row r="656">
      <c r="A656" t="inlineStr">
        <is>
          <t>E5</t>
        </is>
      </c>
      <c r="B656" t="inlineStr">
        <is>
          <t>Multicloud</t>
        </is>
      </c>
      <c r="C656" t="inlineStr">
        <is>
          <t>CloudZero</t>
        </is>
      </c>
      <c r="D656" t="inlineStr">
        <is>
          <t>Automatizacion</t>
        </is>
      </c>
      <c r="E656" t="inlineStr">
        <is>
          <t>AU1</t>
        </is>
      </c>
      <c r="F656" s="2" t="inlineStr">
        <is>
          <t>¿Ejecuta o bloquea acciones/políticas de costo con control verificable?</t>
        </is>
      </c>
      <c r="G656" t="inlineStr">
        <is>
          <t>NE</t>
        </is>
      </c>
      <c r="H656" t="inlineStr">
        <is>
          <t>Pendiente</t>
        </is>
      </c>
      <c r="I656" s="2" t="inlineStr">
        <is>
          <t>Optimize es "un sistema solo de recomendaciones": identifica oportunidades y su estado de implementación, pero no ejecuta cambios de forma automática; el usuario decide manualmente aplicar o descartar cada recomendación.</t>
        </is>
      </c>
      <c r="J656" t="inlineStr">
        <is>
          <t>https://docs.cloudzero.com/docs/optimize</t>
        </is>
      </c>
      <c r="K656" t="inlineStr">
        <is>
          <t>2026-09-16</t>
        </is>
      </c>
      <c r="L656" s="2" t="inlineStr">
        <is>
          <t>Celda heredada FP-180 (2026-09-16): el valor 0 proviene de la investigacion del escenario E2 y no cuenta con evidencia propia de E5. Segun FP-177 el indicador AU1 depende del escenario, por lo que pasa a NE (no evidenciado, reduce cobertura) hasta investigarlo. La evidencia y la fuente originales se conservan como referencia del escenario de origen.</t>
        </is>
      </c>
    </row>
    <row r="657">
      <c r="A657" t="inlineStr">
        <is>
          <t>E5</t>
        </is>
      </c>
      <c r="B657" t="inlineStr">
        <is>
          <t>Multicloud</t>
        </is>
      </c>
      <c r="C657" t="inlineStr">
        <is>
          <t>CloudZero</t>
        </is>
      </c>
      <c r="D657" t="inlineStr">
        <is>
          <t>Automatizacion</t>
        </is>
      </c>
      <c r="E657" t="inlineStr">
        <is>
          <t>AU2</t>
        </is>
      </c>
      <c r="F657" s="2" t="inlineStr">
        <is>
          <t>¿Ofrece aprobación, reversión, registro o límites antes de actuar?</t>
        </is>
      </c>
      <c r="G657" t="inlineStr">
        <is>
          <t>NA</t>
        </is>
      </c>
      <c r="H657" t="inlineStr">
        <is>
          <t>Justificación de alcance</t>
        </is>
      </c>
      <c r="I657" s="2" t="inlineStr">
        <is>
          <t>Al no ejecutar acciones (ver AU1), no aplica evaluar salvaguardas de una ejecución automatizada.</t>
        </is>
      </c>
      <c r="J657" t="inlineStr">
        <is>
          <t>https://docs.cloudzero.com/docs/optimize</t>
        </is>
      </c>
      <c r="K657" t="inlineStr">
        <is>
          <t>2026-09-16</t>
        </is>
      </c>
      <c r="L657" s="2" t="inlineStr"/>
    </row>
    <row r="658">
      <c r="A658" t="inlineStr">
        <is>
          <t>E5</t>
        </is>
      </c>
      <c r="B658" t="inlineStr">
        <is>
          <t>Multicloud</t>
        </is>
      </c>
      <c r="C658" t="inlineStr">
        <is>
          <t>CloudZero</t>
        </is>
      </c>
      <c r="D658" t="inlineStr">
        <is>
          <t>Multicloud</t>
        </is>
      </c>
      <c r="E658" t="inlineStr">
        <is>
          <t>M1</t>
        </is>
      </c>
      <c r="F658" s="2" t="inlineStr">
        <is>
          <t>¿Consolida al menos dos proveedores bajo el mismo esquema declarado?</t>
        </is>
      </c>
      <c r="G658" t="n">
        <v>2</v>
      </c>
      <c r="H658" t="inlineStr">
        <is>
          <t>Oficial</t>
        </is>
      </c>
      <c r="I658" s="2" t="inlineStr">
        <is>
          <t>Soporte nativo de AWS, Azure (MCA/EA/CSP), GCP (vía export a BigQuery) y Oracle Cloud, consolidados en "una vista unificada de todo el gasto cloud" mediante Dimensions; además "AnyCost" (Common Bill Format) permite incorporar cualquier otra fuente de costo.</t>
        </is>
      </c>
      <c r="J658" t="inlineStr">
        <is>
          <t>https://docs.cloudzero.com/docs/cloud-providers</t>
        </is>
      </c>
      <c r="K658" t="inlineStr">
        <is>
          <t>2026-09-16</t>
        </is>
      </c>
      <c r="L658" s="2" t="inlineStr"/>
    </row>
    <row r="659">
      <c r="A659" t="inlineStr">
        <is>
          <t>E5</t>
        </is>
      </c>
      <c r="B659" t="inlineStr">
        <is>
          <t>Multicloud</t>
        </is>
      </c>
      <c r="C659" t="inlineStr">
        <is>
          <t>CloudZero</t>
        </is>
      </c>
      <c r="D659" t="inlineStr">
        <is>
          <t>Multicloud</t>
        </is>
      </c>
      <c r="E659" t="inlineStr">
        <is>
          <t>M2</t>
        </is>
      </c>
      <c r="F659" s="2" t="inlineStr">
        <is>
          <t>¿Hace visibles proveedor, cobertura y diferencias semánticas?</t>
        </is>
      </c>
      <c r="G659" t="n">
        <v>2</v>
      </c>
      <c r="H659" t="inlineStr">
        <is>
          <t>Oficial</t>
        </is>
      </c>
      <c r="I659" s="2" t="inlineStr">
        <is>
          <t>"AnyCost"/"Common Bill Format (CBF)" es un formato estándar declarado para traducir datos de costo de cualquier proveedor/fuente a un esquema común, mediante un Adaptor entregado por API REST o bucket S3.</t>
        </is>
      </c>
      <c r="J659" t="inlineStr">
        <is>
          <t>https://docs.cloudzero.com/docs/anycost</t>
        </is>
      </c>
      <c r="K659" t="inlineStr">
        <is>
          <t>2026-09-16</t>
        </is>
      </c>
      <c r="L659" s="2" t="inlineStr"/>
    </row>
    <row r="660">
      <c r="A660" t="inlineStr">
        <is>
          <t>E5</t>
        </is>
      </c>
      <c r="B660" t="inlineStr">
        <is>
          <t>Multicloud</t>
        </is>
      </c>
      <c r="C660" t="inlineStr">
        <is>
          <t>CloudZero</t>
        </is>
      </c>
      <c r="D660" t="inlineStr">
        <is>
          <t>Integracion</t>
        </is>
      </c>
      <c r="E660" t="inlineStr">
        <is>
          <t>I1</t>
        </is>
      </c>
      <c r="F660" s="2" t="inlineStr">
        <is>
          <t>¿Integra datos requeridos (facturación, uso, clúster o IaC) del escenario?</t>
        </is>
      </c>
      <c r="G660" t="inlineStr">
        <is>
          <t>NE</t>
        </is>
      </c>
      <c r="H660" t="inlineStr">
        <is>
          <t>Pendiente</t>
        </is>
      </c>
      <c r="I660" s="2" t="inlineStr">
        <is>
          <t>Conectores nativos definidos y documentados para AWS (cuentas de management/member), Azure (MCA/EA/CSP) y GCP (export a BigQuery), además del agente de Kubernetes para EKS/AKS/GKE/OKE/clústeres autogestionados.</t>
        </is>
      </c>
      <c r="J660" t="inlineStr">
        <is>
          <t>https://docs.cloudzero.com/docs/cloud-providers</t>
        </is>
      </c>
      <c r="K660" t="inlineStr">
        <is>
          <t>2026-09-16</t>
        </is>
      </c>
      <c r="L660" s="2" t="inlineStr">
        <is>
          <t>Celda heredada FP-180 (2026-09-16): el valor 2 proviene de la investigacion del escenario E2 y no cuenta con evidencia propia de E5. Segun FP-177 el indicador I1 depende del escenario, por lo que pasa a NE (no evidenciado, reduce cobertura) hasta investigarlo. La evidencia y la fuente originales se conservan como referencia del escenario de origen.</t>
        </is>
      </c>
    </row>
    <row r="661">
      <c r="A661" t="inlineStr">
        <is>
          <t>E5</t>
        </is>
      </c>
      <c r="B661" t="inlineStr">
        <is>
          <t>Multicloud</t>
        </is>
      </c>
      <c r="C661" t="inlineStr">
        <is>
          <t>CloudZero</t>
        </is>
      </c>
      <c r="D661" t="inlineStr">
        <is>
          <t>Integracion</t>
        </is>
      </c>
      <c r="E661" t="inlineStr">
        <is>
          <t>I2</t>
        </is>
      </c>
      <c r="F661" s="2" t="inlineStr">
        <is>
          <t>¿Se integra con el flujo de trabajo relevante (alerta, ticket, CI/CD o reporte)?</t>
        </is>
      </c>
      <c r="G661" t="inlineStr">
        <is>
          <t>NE</t>
        </is>
      </c>
      <c r="H661" t="inlineStr">
        <is>
          <t>Pendiente</t>
        </is>
      </c>
      <c r="I661" s="2" t="inlineStr">
        <is>
          <t>No se encontró, en las páginas revisadas, documentación de integración directa con herramientas de ticketing/CI/CD o de alertas hacia canales externos (Slack, etc.).</t>
        </is>
      </c>
      <c r="K661" t="inlineStr">
        <is>
          <t>2026-09-16</t>
        </is>
      </c>
      <c r="L661" s="2" t="inlineStr"/>
    </row>
    <row r="662">
      <c r="A662" t="inlineStr">
        <is>
          <t>E5</t>
        </is>
      </c>
      <c r="B662" t="inlineStr">
        <is>
          <t>Multicloud</t>
        </is>
      </c>
      <c r="C662" t="inlineStr">
        <is>
          <t>CloudZero</t>
        </is>
      </c>
      <c r="D662" t="inlineStr">
        <is>
          <t>Adopcion</t>
        </is>
      </c>
      <c r="E662" t="inlineStr">
        <is>
          <t>AD1</t>
        </is>
      </c>
      <c r="F662" s="2" t="inlineStr">
        <is>
          <t>¿Soporta acceso/entrega para los roles del escenario?</t>
        </is>
      </c>
      <c r="G662" t="inlineStr">
        <is>
          <t>NE</t>
        </is>
      </c>
      <c r="H662" t="inlineStr">
        <is>
          <t>Pendiente</t>
        </is>
      </c>
      <c r="I662" s="2" t="inlineStr">
        <is>
          <t>Existen tres tipos de rol (Full Access, No Access, Limited Access) con filtrado granular por Dimensión y tipo de costo, incluyendo atributos de SSO para filtrado dinámico por usuario.</t>
        </is>
      </c>
      <c r="J662" t="inlineStr">
        <is>
          <t>https://docs.cloudzero.com/docs/view-and-manage-roles</t>
        </is>
      </c>
      <c r="K662" t="inlineStr">
        <is>
          <t>2026-09-16</t>
        </is>
      </c>
      <c r="L662" s="2" t="inlineStr">
        <is>
          <t>Celda heredada FP-180 (2026-09-16): el valor 2 proviene de la investigacion del escenario E2 y no cuenta con evidencia propia de E5. Segun FP-177 el indicador AD1 depende del escenario, por lo que pasa a NE (no evidenciado, reduce cobertura) hasta investigarlo. La evidencia y la fuente originales se conservan como referencia del escenario de origen.</t>
        </is>
      </c>
    </row>
    <row r="663">
      <c r="A663" t="inlineStr">
        <is>
          <t>E5</t>
        </is>
      </c>
      <c r="B663" t="inlineStr">
        <is>
          <t>Multicloud</t>
        </is>
      </c>
      <c r="C663" t="inlineStr">
        <is>
          <t>CloudZero</t>
        </is>
      </c>
      <c r="D663" t="inlineStr">
        <is>
          <t>Adopcion</t>
        </is>
      </c>
      <c r="E663" t="inlineStr">
        <is>
          <t>AD2</t>
        </is>
      </c>
      <c r="F663" s="2" t="inlineStr">
        <is>
          <t>¿Ofrece guías, ownership o mecanismos de seguimiento para uso sostenido?</t>
        </is>
      </c>
      <c r="G663" t="n">
        <v>2</v>
      </c>
      <c r="H663" t="inlineStr">
        <is>
          <t>Oficial</t>
        </is>
      </c>
      <c r="I663" s="2" t="inlineStr">
        <is>
          <t>Mecanismo de ownership documentado: «Views combine a grouping, filters, and notification channels into a single preset, giving each team ownership of the costs they are responsible for», y cada View «monitors its scope for cost changes and sends updates and anomaly alerts to the configured Slack channel or email». La habilitación cuenta con material oficial de onboarding en CloudZero Academy. Proceso y guía definidos; no se asigna 3 porque no hay evidencia de adopción medida.</t>
        </is>
      </c>
      <c r="J663" t="inlineStr">
        <is>
          <t>https://docs.cloudzero.com/docs/cloudzero ; https://academy.cloudzero.com/docs/onboarding-1</t>
        </is>
      </c>
      <c r="K663" t="inlineStr">
        <is>
          <t>2026-09-16</t>
        </is>
      </c>
      <c r="L663" s="2" t="inlineStr">
        <is>
          <t>Investigación E2 FP-180 (2026-09-16): celda completada con evidencia propia del escenario, verificada contra documentación oficial.</t>
        </is>
      </c>
    </row>
    <row r="664">
      <c r="A664" t="inlineStr">
        <is>
          <t>E5</t>
        </is>
      </c>
      <c r="B664" t="inlineStr">
        <is>
          <t>Multicloud</t>
        </is>
      </c>
      <c r="C664" t="inlineStr">
        <is>
          <t>CloudZero</t>
        </is>
      </c>
      <c r="D664" t="inlineStr">
        <is>
          <t>Precio</t>
        </is>
      </c>
      <c r="E664" t="inlineStr">
        <is>
          <t>P1</t>
        </is>
      </c>
      <c r="F664" s="2" t="inlineStr">
        <is>
          <t>¿Expone precio, moneda, región, unidad, período y supuestos relevantes?</t>
        </is>
      </c>
      <c r="G664" t="inlineStr">
        <is>
          <t>NE</t>
        </is>
      </c>
      <c r="H664" t="inlineStr">
        <is>
          <t>Pendiente</t>
        </is>
      </c>
      <c r="I664" s="2" t="inlineStr">
        <is>
          <t>No se encontró evidencia específica de transparencia de supuestos de precio (moneda/región/período) en las páginas revisadas.</t>
        </is>
      </c>
      <c r="K664" t="inlineStr">
        <is>
          <t>2026-09-16</t>
        </is>
      </c>
      <c r="L664" s="2" t="inlineStr"/>
    </row>
    <row r="665">
      <c r="A665" t="inlineStr">
        <is>
          <t>E5</t>
        </is>
      </c>
      <c r="B665" t="inlineStr">
        <is>
          <t>Multicloud</t>
        </is>
      </c>
      <c r="C665" t="inlineStr">
        <is>
          <t>CloudZero</t>
        </is>
      </c>
      <c r="D665" t="inlineStr">
        <is>
          <t>Precio</t>
        </is>
      </c>
      <c r="E665" t="inlineStr">
        <is>
          <t>P2</t>
        </is>
      </c>
      <c r="F665" s="2" t="inlineStr">
        <is>
          <t>¿Permite estimar o comparar componentes sin ocultar límites de equivalencia?</t>
        </is>
      </c>
      <c r="G665" t="inlineStr">
        <is>
          <t>NE</t>
        </is>
      </c>
      <c r="H665" t="inlineStr">
        <is>
          <t>Pendiente</t>
        </is>
      </c>
      <c r="I665" s="2" t="inlineStr">
        <is>
          <t>No se encontró evidencia de una función de comparación/estimación de precio contextual en las páginas revisadas.</t>
        </is>
      </c>
      <c r="K665" t="inlineStr">
        <is>
          <t>2026-09-16</t>
        </is>
      </c>
      <c r="L665" s="2" t="inlineStr"/>
    </row>
    <row r="666">
      <c r="A666" t="inlineStr">
        <is>
          <t>E5</t>
        </is>
      </c>
      <c r="B666" t="inlineStr">
        <is>
          <t>Multicloud</t>
        </is>
      </c>
      <c r="C666" t="inlineStr">
        <is>
          <t>CloudZero</t>
        </is>
      </c>
      <c r="D666" t="inlineStr">
        <is>
          <t>Dependencia</t>
        </is>
      </c>
      <c r="E666" t="inlineStr">
        <is>
          <t>D1</t>
        </is>
      </c>
      <c r="F666" s="2" t="inlineStr">
        <is>
          <t>¿Exporta datos/resultados en formato utilizable y documentado?</t>
        </is>
      </c>
      <c r="G666" t="n">
        <v>1</v>
      </c>
      <c r="H666" t="inlineStr">
        <is>
          <t>Oficial</t>
        </is>
      </c>
      <c r="I666" s="2" t="inlineStr">
        <is>
          <t>El glosario documenta acceso programático mediante streams de telemetría (entrada) y un "MCP Server" que conecta herramientas de IA a los datos de costo; no se confirmó una función de exportación masiva de datos de salida en formato estándar.</t>
        </is>
      </c>
      <c r="J666" t="inlineStr">
        <is>
          <t>https://docs.cloudzero.com/docs/cloudzero-glossary</t>
        </is>
      </c>
      <c r="K666" t="inlineStr">
        <is>
          <t>2026-09-16</t>
        </is>
      </c>
      <c r="L666" s="2" t="inlineStr"/>
    </row>
    <row r="667">
      <c r="A667" t="inlineStr">
        <is>
          <t>E5</t>
        </is>
      </c>
      <c r="B667" t="inlineStr">
        <is>
          <t>Multicloud</t>
        </is>
      </c>
      <c r="C667" t="inlineStr">
        <is>
          <t>CloudZero</t>
        </is>
      </c>
      <c r="D667" t="inlineStr">
        <is>
          <t>Dependencia</t>
        </is>
      </c>
      <c r="E667" t="inlineStr">
        <is>
          <t>D2</t>
        </is>
      </c>
      <c r="F667" s="2" t="inlineStr">
        <is>
          <t>¿Documenta dependencias propietarias y un camino de salida/configuración reversible?</t>
        </is>
      </c>
      <c r="G667" t="inlineStr">
        <is>
          <t>NE</t>
        </is>
      </c>
      <c r="H667" t="inlineStr">
        <is>
          <t>Pendiente</t>
        </is>
      </c>
      <c r="I667" s="2" t="inlineStr">
        <is>
          <t>No se encontró documentación sobre un camino de salida o reversibilidad de la configuración.</t>
        </is>
      </c>
      <c r="K667" t="inlineStr">
        <is>
          <t>2026-09-16</t>
        </is>
      </c>
      <c r="L667" s="2" t="inlineStr"/>
    </row>
    <row r="668">
      <c r="A668" t="inlineStr">
        <is>
          <t>E6</t>
        </is>
      </c>
      <c r="B668" t="inlineStr">
        <is>
          <t>Multicloud</t>
        </is>
      </c>
      <c r="C668" t="inlineStr">
        <is>
          <t>CloudZero</t>
        </is>
      </c>
      <c r="D668" t="inlineStr">
        <is>
          <t>Visibilidad</t>
        </is>
      </c>
      <c r="E668" t="inlineStr">
        <is>
          <t>V1</t>
        </is>
      </c>
      <c r="F668" s="2" t="inlineStr">
        <is>
          <t>¿Desagrega costo y uso por cuenta/proyecto, servicio y período?</t>
        </is>
      </c>
      <c r="G668" t="inlineStr">
        <is>
          <t>NE</t>
        </is>
      </c>
      <c r="H668" t="inlineStr">
        <is>
          <t>Pendiente</t>
        </is>
      </c>
      <c r="I668" s="2" t="inlineStr">
        <is>
          <t>"Dimensions" son categorías personalizables (equipo, producto, feature, ambiente, cliente, proveedor cloud) que ofrecen una "vista unificada de todo el gasto cloud", filtrable y estandarizada entre proveedores.</t>
        </is>
      </c>
      <c r="J668" t="inlineStr">
        <is>
          <t>https://docs.cloudzero.com/docs/cloud-providers</t>
        </is>
      </c>
      <c r="K668" t="inlineStr">
        <is>
          <t>2026-09-16</t>
        </is>
      </c>
      <c r="L668" s="2" t="inlineStr">
        <is>
          <t>Celda heredada FP-180 (2026-09-16): el valor 2 proviene de la investigacion del escenario E2 y no cuenta con evidencia propia de E6. Segun FP-177 el indicador V1 depende del escenario, por lo que pasa a NE (no evidenciado, reduce cobertura) hasta investigarlo. La evidencia y la fuente originales se conservan como referencia del escenario de origen.</t>
        </is>
      </c>
    </row>
    <row r="669">
      <c r="A669" t="inlineStr">
        <is>
          <t>E6</t>
        </is>
      </c>
      <c r="B669" t="inlineStr">
        <is>
          <t>Multicloud</t>
        </is>
      </c>
      <c r="C669" t="inlineStr">
        <is>
          <t>CloudZero</t>
        </is>
      </c>
      <c r="D669" t="inlineStr">
        <is>
          <t>Visibilidad</t>
        </is>
      </c>
      <c r="E669" t="inlineStr">
        <is>
          <t>V2</t>
        </is>
      </c>
      <c r="F669" s="2" t="inlineStr">
        <is>
          <t>¿Permite rastrear un total hasta registros o fuente de facturación?</t>
        </is>
      </c>
      <c r="G669" t="n">
        <v>2</v>
      </c>
      <c r="H669" t="inlineStr">
        <is>
          <t>Oficial</t>
        </is>
      </c>
      <c r="I669" s="2" t="inlineStr">
        <is>
          <t>La asignación reconcilia contra la factura: «The remaining spend goes to a default element so the total always reconciles with the actual bill». Para multinube, AnyCost y el Common Bill Format ingieren datos de cualquier proveedor, y el tipo de costo facturado permite la conciliación: «Billed Cost reflects the exact prices you will be invoiced for, and you can use it when you are reconciling against your actual invoice». Existen conexiones nativas a Azure (MCA, EA, CSP) y GCP (export de BigQuery), de modo que el total es rastreable hasta la fuente de facturación de cada proveedor.</t>
        </is>
      </c>
      <c r="J669" t="inlineStr">
        <is>
          <t>https://docs.cloudzero.com/docs/costformation-allocating-shared-costs ; https://docs.cloudzero.com/docs/anycost-common-bill-format-cbf ; https://docs.cloudzero.com/docs/cost-types</t>
        </is>
      </c>
      <c r="K669" t="inlineStr">
        <is>
          <t>2026-09-16</t>
        </is>
      </c>
      <c r="L669" s="2" t="inlineStr">
        <is>
          <t>Investigación E2 FP-180 (2026-09-16): celda completada con evidencia propia del escenario, verificada contra documentación oficial.</t>
        </is>
      </c>
    </row>
    <row r="670">
      <c r="A670" t="inlineStr">
        <is>
          <t>E6</t>
        </is>
      </c>
      <c r="B670" t="inlineStr">
        <is>
          <t>Multicloud</t>
        </is>
      </c>
      <c r="C670" t="inlineStr">
        <is>
          <t>CloudZero</t>
        </is>
      </c>
      <c r="D670" t="inlineStr">
        <is>
          <t>Asignacion</t>
        </is>
      </c>
      <c r="E670" t="inlineStr">
        <is>
          <t>A1</t>
        </is>
      </c>
      <c r="F670" s="2" t="inlineStr">
        <is>
          <t>¿Calcula gasto asignado/no asignado por responsable, centro o entidad?</t>
        </is>
      </c>
      <c r="G670" t="inlineStr">
        <is>
          <t>NE</t>
        </is>
      </c>
      <c r="H670" t="inlineStr">
        <is>
          <t>Pendiente</t>
        </is>
      </c>
      <c r="I670" s="2" t="inlineStr">
        <is>
          <t>CostFormation expone explícitamente el gasto no asignado bajo el bucket "Not In Dimension", con la opción de repartirlo proporcionalmente entre los equipos con gasto.</t>
        </is>
      </c>
      <c r="J670" t="inlineStr">
        <is>
          <t>https://docs.cloudzero.com/docs/costformation-allocating-shared-costs</t>
        </is>
      </c>
      <c r="K670" t="inlineStr">
        <is>
          <t>2026-09-16</t>
        </is>
      </c>
      <c r="L670" s="2" t="inlineStr">
        <is>
          <t>Celda heredada FP-180 (2026-09-16): el valor 2 proviene de la investigacion del escenario E2 y no cuenta con evidencia propia de E6. Segun FP-177 el indicador A1 depende del escenario, por lo que pasa a NE (no evidenciado, reduce cobertura) hasta investigarlo. La evidencia y la fuente originales se conservan como referencia del escenario de origen.</t>
        </is>
      </c>
    </row>
    <row r="671">
      <c r="A671" t="inlineStr">
        <is>
          <t>E6</t>
        </is>
      </c>
      <c r="B671" t="inlineStr">
        <is>
          <t>Multicloud</t>
        </is>
      </c>
      <c r="C671" t="inlineStr">
        <is>
          <t>CloudZero</t>
        </is>
      </c>
      <c r="D671" t="inlineStr">
        <is>
          <t>Asignacion</t>
        </is>
      </c>
      <c r="E671" t="inlineStr">
        <is>
          <t>A2</t>
        </is>
      </c>
      <c r="F671" s="2" t="inlineStr">
        <is>
          <t>¿Explicita y aplica reglas para costo compartido/multi-tenant?</t>
        </is>
      </c>
      <c r="G671" t="inlineStr">
        <is>
          <t>NE</t>
        </is>
      </c>
      <c r="H671" t="inlineStr">
        <is>
          <t>Pendiente</t>
        </is>
      </c>
      <c r="I671" s="2" t="inlineStr">
        <is>
          <t>CostFormation ofrece "Allocate By Rules" (reparto uniforme o proporcional basado en gasto existente) y reparto basado en streams de telemetría de uso; las reglas se definen en el lenguaje CostFormation Definition Language (CFDL), versionable en YAML.</t>
        </is>
      </c>
      <c r="J671" t="inlineStr">
        <is>
          <t>https://docs.cloudzero.com/docs/costformation-allocating-shared-costs</t>
        </is>
      </c>
      <c r="K671" t="inlineStr">
        <is>
          <t>2026-09-16</t>
        </is>
      </c>
      <c r="L671" s="2" t="inlineStr">
        <is>
          <t>Celda heredada FP-180 (2026-09-16): el valor 2 proviene de la investigacion del escenario E2 y no cuenta con evidencia propia de E6. Segun FP-177 el indicador A2 depende del escenario, por lo que pasa a NE (no evidenciado, reduce cobertura) hasta investigarlo. La evidencia y la fuente originales se conservan como referencia del escenario de origen.</t>
        </is>
      </c>
    </row>
    <row r="672">
      <c r="A672" t="inlineStr">
        <is>
          <t>E6</t>
        </is>
      </c>
      <c r="B672" t="inlineStr">
        <is>
          <t>Multicloud</t>
        </is>
      </c>
      <c r="C672" t="inlineStr">
        <is>
          <t>CloudZero</t>
        </is>
      </c>
      <c r="D672" t="inlineStr">
        <is>
          <t>Optimizacion</t>
        </is>
      </c>
      <c r="E672" t="inlineStr">
        <is>
          <t>O1</t>
        </is>
      </c>
      <c r="F672" s="2" t="inlineStr">
        <is>
          <t>¿Detecta desperdicio, rightsizing o compromiso relevante al escenario?</t>
        </is>
      </c>
      <c r="G672" t="inlineStr">
        <is>
          <t>NE</t>
        </is>
      </c>
      <c r="H672" t="inlineStr">
        <is>
          <t>Pendiente</t>
        </is>
      </c>
      <c r="I672" s="2" t="inlineStr">
        <is>
          <t>"Optimize" genera recomendaciones (rightsizing, cobertura de reservas, recursos inactivos) para AWS, Azure, GCP y Kubernetes, revisando el catálogo de tipos de recomendación una vez al día.</t>
        </is>
      </c>
      <c r="J672" t="inlineStr">
        <is>
          <t>https://docs.cloudzero.com/docs/optimize</t>
        </is>
      </c>
      <c r="K672" t="inlineStr">
        <is>
          <t>2026-09-16</t>
        </is>
      </c>
      <c r="L672" s="2" t="inlineStr">
        <is>
          <t>Celda heredada FP-180 (2026-09-16): el valor 2 proviene de la investigacion del escenario E2 y no cuenta con evidencia propia de E6. Segun FP-177 el indicador O1 depende del escenario, por lo que pasa a NE (no evidenciado, reduce cobertura) hasta investigarlo. La evidencia y la fuente originales se conservan como referencia del escenario de origen.</t>
        </is>
      </c>
    </row>
    <row r="673">
      <c r="A673" t="inlineStr">
        <is>
          <t>E6</t>
        </is>
      </c>
      <c r="B673" t="inlineStr">
        <is>
          <t>Multicloud</t>
        </is>
      </c>
      <c r="C673" t="inlineStr">
        <is>
          <t>CloudZero</t>
        </is>
      </c>
      <c r="D673" t="inlineStr">
        <is>
          <t>Optimizacion</t>
        </is>
      </c>
      <c r="E673" t="inlineStr">
        <is>
          <t>O2</t>
        </is>
      </c>
      <c r="F673" s="2" t="inlineStr">
        <is>
          <t>¿Explica supuesto/impacto y permite seguir una recomendación?</t>
        </is>
      </c>
      <c r="G673" t="n">
        <v>2</v>
      </c>
      <c r="H673" t="inlineStr">
        <is>
          <t>Oficial</t>
        </is>
      </c>
      <c r="I673" s="2" t="inlineStr">
        <is>
          <t>Optimize muestra ahorro potencial y "total spend, potential savings, and open recommendations", y hace seguimiento del ahorro realizado según si la recomendación fue efectivamente implementada.</t>
        </is>
      </c>
      <c r="J673" t="inlineStr">
        <is>
          <t>https://docs.cloudzero.com/docs/optimize</t>
        </is>
      </c>
      <c r="K673" t="inlineStr">
        <is>
          <t>2026-09-16</t>
        </is>
      </c>
      <c r="L673" s="2" t="inlineStr"/>
    </row>
    <row r="674">
      <c r="A674" t="inlineStr">
        <is>
          <t>E6</t>
        </is>
      </c>
      <c r="B674" t="inlineStr">
        <is>
          <t>Multicloud</t>
        </is>
      </c>
      <c r="C674" t="inlineStr">
        <is>
          <t>CloudZero</t>
        </is>
      </c>
      <c r="D674" t="inlineStr">
        <is>
          <t>Automatizacion</t>
        </is>
      </c>
      <c r="E674" t="inlineStr">
        <is>
          <t>AU1</t>
        </is>
      </c>
      <c r="F674" s="2" t="inlineStr">
        <is>
          <t>¿Ejecuta o bloquea acciones/políticas de costo con control verificable?</t>
        </is>
      </c>
      <c r="G674" t="inlineStr">
        <is>
          <t>NE</t>
        </is>
      </c>
      <c r="H674" t="inlineStr">
        <is>
          <t>Pendiente</t>
        </is>
      </c>
      <c r="I674" s="2" t="inlineStr">
        <is>
          <t>Optimize es "un sistema solo de recomendaciones": identifica oportunidades y su estado de implementación, pero no ejecuta cambios de forma automática; el usuario decide manualmente aplicar o descartar cada recomendación.</t>
        </is>
      </c>
      <c r="J674" t="inlineStr">
        <is>
          <t>https://docs.cloudzero.com/docs/optimize</t>
        </is>
      </c>
      <c r="K674" t="inlineStr">
        <is>
          <t>2026-09-16</t>
        </is>
      </c>
      <c r="L674" s="2" t="inlineStr">
        <is>
          <t>Celda heredada FP-180 (2026-09-16): el valor 0 proviene de la investigacion del escenario E2 y no cuenta con evidencia propia de E6. Segun FP-177 el indicador AU1 depende del escenario, por lo que pasa a NE (no evidenciado, reduce cobertura) hasta investigarlo. La evidencia y la fuente originales se conservan como referencia del escenario de origen.</t>
        </is>
      </c>
    </row>
    <row r="675">
      <c r="A675" t="inlineStr">
        <is>
          <t>E6</t>
        </is>
      </c>
      <c r="B675" t="inlineStr">
        <is>
          <t>Multicloud</t>
        </is>
      </c>
      <c r="C675" t="inlineStr">
        <is>
          <t>CloudZero</t>
        </is>
      </c>
      <c r="D675" t="inlineStr">
        <is>
          <t>Automatizacion</t>
        </is>
      </c>
      <c r="E675" t="inlineStr">
        <is>
          <t>AU2</t>
        </is>
      </c>
      <c r="F675" s="2" t="inlineStr">
        <is>
          <t>¿Ofrece aprobación, reversión, registro o límites antes de actuar?</t>
        </is>
      </c>
      <c r="G675" t="inlineStr">
        <is>
          <t>NA</t>
        </is>
      </c>
      <c r="H675" t="inlineStr">
        <is>
          <t>Justificación de alcance</t>
        </is>
      </c>
      <c r="I675" s="2" t="inlineStr">
        <is>
          <t>Al no ejecutar acciones (ver AU1), no aplica evaluar salvaguardas de una ejecución automatizada.</t>
        </is>
      </c>
      <c r="J675" t="inlineStr">
        <is>
          <t>https://docs.cloudzero.com/docs/optimize</t>
        </is>
      </c>
      <c r="K675" t="inlineStr">
        <is>
          <t>2026-09-16</t>
        </is>
      </c>
      <c r="L675" s="2" t="inlineStr"/>
    </row>
    <row r="676">
      <c r="A676" t="inlineStr">
        <is>
          <t>E6</t>
        </is>
      </c>
      <c r="B676" t="inlineStr">
        <is>
          <t>Multicloud</t>
        </is>
      </c>
      <c r="C676" t="inlineStr">
        <is>
          <t>CloudZero</t>
        </is>
      </c>
      <c r="D676" t="inlineStr">
        <is>
          <t>Multicloud</t>
        </is>
      </c>
      <c r="E676" t="inlineStr">
        <is>
          <t>M1</t>
        </is>
      </c>
      <c r="F676" s="2" t="inlineStr">
        <is>
          <t>¿Consolida al menos dos proveedores bajo el mismo esquema declarado?</t>
        </is>
      </c>
      <c r="G676" t="n">
        <v>2</v>
      </c>
      <c r="H676" t="inlineStr">
        <is>
          <t>Oficial</t>
        </is>
      </c>
      <c r="I676" s="2" t="inlineStr">
        <is>
          <t>Soporte nativo de AWS, Azure (MCA/EA/CSP), GCP (vía export a BigQuery) y Oracle Cloud, consolidados en "una vista unificada de todo el gasto cloud" mediante Dimensions; además "AnyCost" (Common Bill Format) permite incorporar cualquier otra fuente de costo.</t>
        </is>
      </c>
      <c r="J676" t="inlineStr">
        <is>
          <t>https://docs.cloudzero.com/docs/cloud-providers</t>
        </is>
      </c>
      <c r="K676" t="inlineStr">
        <is>
          <t>2026-09-16</t>
        </is>
      </c>
      <c r="L676" s="2" t="inlineStr"/>
    </row>
    <row r="677">
      <c r="A677" t="inlineStr">
        <is>
          <t>E6</t>
        </is>
      </c>
      <c r="B677" t="inlineStr">
        <is>
          <t>Multicloud</t>
        </is>
      </c>
      <c r="C677" t="inlineStr">
        <is>
          <t>CloudZero</t>
        </is>
      </c>
      <c r="D677" t="inlineStr">
        <is>
          <t>Multicloud</t>
        </is>
      </c>
      <c r="E677" t="inlineStr">
        <is>
          <t>M2</t>
        </is>
      </c>
      <c r="F677" s="2" t="inlineStr">
        <is>
          <t>¿Hace visibles proveedor, cobertura y diferencias semánticas?</t>
        </is>
      </c>
      <c r="G677" t="n">
        <v>2</v>
      </c>
      <c r="H677" t="inlineStr">
        <is>
          <t>Oficial</t>
        </is>
      </c>
      <c r="I677" s="2" t="inlineStr">
        <is>
          <t>"AnyCost"/"Common Bill Format (CBF)" es un formato estándar declarado para traducir datos de costo de cualquier proveedor/fuente a un esquema común, mediante un Adaptor entregado por API REST o bucket S3.</t>
        </is>
      </c>
      <c r="J677" t="inlineStr">
        <is>
          <t>https://docs.cloudzero.com/docs/anycost</t>
        </is>
      </c>
      <c r="K677" t="inlineStr">
        <is>
          <t>2026-09-16</t>
        </is>
      </c>
      <c r="L677" s="2" t="inlineStr"/>
    </row>
    <row r="678">
      <c r="A678" t="inlineStr">
        <is>
          <t>E6</t>
        </is>
      </c>
      <c r="B678" t="inlineStr">
        <is>
          <t>Multicloud</t>
        </is>
      </c>
      <c r="C678" t="inlineStr">
        <is>
          <t>CloudZero</t>
        </is>
      </c>
      <c r="D678" t="inlineStr">
        <is>
          <t>Integracion</t>
        </is>
      </c>
      <c r="E678" t="inlineStr">
        <is>
          <t>I1</t>
        </is>
      </c>
      <c r="F678" s="2" t="inlineStr">
        <is>
          <t>¿Integra datos requeridos (facturación, uso, clúster o IaC) del escenario?</t>
        </is>
      </c>
      <c r="G678" t="inlineStr">
        <is>
          <t>NE</t>
        </is>
      </c>
      <c r="H678" t="inlineStr">
        <is>
          <t>Pendiente</t>
        </is>
      </c>
      <c r="I678" s="2" t="inlineStr">
        <is>
          <t>Conectores nativos definidos y documentados para AWS (cuentas de management/member), Azure (MCA/EA/CSP) y GCP (export a BigQuery), además del agente de Kubernetes para EKS/AKS/GKE/OKE/clústeres autogestionados.</t>
        </is>
      </c>
      <c r="J678" t="inlineStr">
        <is>
          <t>https://docs.cloudzero.com/docs/cloud-providers</t>
        </is>
      </c>
      <c r="K678" t="inlineStr">
        <is>
          <t>2026-09-16</t>
        </is>
      </c>
      <c r="L678" s="2" t="inlineStr">
        <is>
          <t>Celda heredada FP-180 (2026-09-16): el valor 2 proviene de la investigacion del escenario E2 y no cuenta con evidencia propia de E6. Segun FP-177 el indicador I1 depende del escenario, por lo que pasa a NE (no evidenciado, reduce cobertura) hasta investigarlo. La evidencia y la fuente originales se conservan como referencia del escenario de origen.</t>
        </is>
      </c>
    </row>
    <row r="679">
      <c r="A679" t="inlineStr">
        <is>
          <t>E6</t>
        </is>
      </c>
      <c r="B679" t="inlineStr">
        <is>
          <t>Multicloud</t>
        </is>
      </c>
      <c r="C679" t="inlineStr">
        <is>
          <t>CloudZero</t>
        </is>
      </c>
      <c r="D679" t="inlineStr">
        <is>
          <t>Integracion</t>
        </is>
      </c>
      <c r="E679" t="inlineStr">
        <is>
          <t>I2</t>
        </is>
      </c>
      <c r="F679" s="2" t="inlineStr">
        <is>
          <t>¿Se integra con el flujo de trabajo relevante (alerta, ticket, CI/CD o reporte)?</t>
        </is>
      </c>
      <c r="G679" t="inlineStr">
        <is>
          <t>NE</t>
        </is>
      </c>
      <c r="H679" t="inlineStr">
        <is>
          <t>Pendiente</t>
        </is>
      </c>
      <c r="I679" s="2" t="inlineStr">
        <is>
          <t>No se encontró, en las páginas revisadas, documentación de integración directa con herramientas de ticketing/CI/CD o de alertas hacia canales externos (Slack, etc.).</t>
        </is>
      </c>
      <c r="K679" t="inlineStr">
        <is>
          <t>2026-09-16</t>
        </is>
      </c>
      <c r="L679" s="2" t="inlineStr"/>
    </row>
    <row r="680">
      <c r="A680" t="inlineStr">
        <is>
          <t>E6</t>
        </is>
      </c>
      <c r="B680" t="inlineStr">
        <is>
          <t>Multicloud</t>
        </is>
      </c>
      <c r="C680" t="inlineStr">
        <is>
          <t>CloudZero</t>
        </is>
      </c>
      <c r="D680" t="inlineStr">
        <is>
          <t>Adopcion</t>
        </is>
      </c>
      <c r="E680" t="inlineStr">
        <is>
          <t>AD1</t>
        </is>
      </c>
      <c r="F680" s="2" t="inlineStr">
        <is>
          <t>¿Soporta acceso/entrega para los roles del escenario?</t>
        </is>
      </c>
      <c r="G680" t="inlineStr">
        <is>
          <t>NE</t>
        </is>
      </c>
      <c r="H680" t="inlineStr">
        <is>
          <t>Pendiente</t>
        </is>
      </c>
      <c r="I680" s="2" t="inlineStr">
        <is>
          <t>Existen tres tipos de rol (Full Access, No Access, Limited Access) con filtrado granular por Dimensión y tipo de costo, incluyendo atributos de SSO para filtrado dinámico por usuario.</t>
        </is>
      </c>
      <c r="J680" t="inlineStr">
        <is>
          <t>https://docs.cloudzero.com/docs/view-and-manage-roles</t>
        </is>
      </c>
      <c r="K680" t="inlineStr">
        <is>
          <t>2026-09-16</t>
        </is>
      </c>
      <c r="L680" s="2" t="inlineStr">
        <is>
          <t>Celda heredada FP-180 (2026-09-16): el valor 2 proviene de la investigacion del escenario E2 y no cuenta con evidencia propia de E6. Segun FP-177 el indicador AD1 depende del escenario, por lo que pasa a NE (no evidenciado, reduce cobertura) hasta investigarlo. La evidencia y la fuente originales se conservan como referencia del escenario de origen.</t>
        </is>
      </c>
    </row>
    <row r="681">
      <c r="A681" t="inlineStr">
        <is>
          <t>E6</t>
        </is>
      </c>
      <c r="B681" t="inlineStr">
        <is>
          <t>Multicloud</t>
        </is>
      </c>
      <c r="C681" t="inlineStr">
        <is>
          <t>CloudZero</t>
        </is>
      </c>
      <c r="D681" t="inlineStr">
        <is>
          <t>Adopcion</t>
        </is>
      </c>
      <c r="E681" t="inlineStr">
        <is>
          <t>AD2</t>
        </is>
      </c>
      <c r="F681" s="2" t="inlineStr">
        <is>
          <t>¿Ofrece guías, ownership o mecanismos de seguimiento para uso sostenido?</t>
        </is>
      </c>
      <c r="G681" t="n">
        <v>2</v>
      </c>
      <c r="H681" t="inlineStr">
        <is>
          <t>Oficial</t>
        </is>
      </c>
      <c r="I681" s="2" t="inlineStr">
        <is>
          <t>Mecanismo de ownership documentado: «Views combine a grouping, filters, and notification channels into a single preset, giving each team ownership of the costs they are responsible for», y cada View «monitors its scope for cost changes and sends updates and anomaly alerts to the configured Slack channel or email». La habilitación cuenta con material oficial de onboarding en CloudZero Academy. Proceso y guía definidos; no se asigna 3 porque no hay evidencia de adopción medida.</t>
        </is>
      </c>
      <c r="J681" t="inlineStr">
        <is>
          <t>https://docs.cloudzero.com/docs/cloudzero ; https://academy.cloudzero.com/docs/onboarding-1</t>
        </is>
      </c>
      <c r="K681" t="inlineStr">
        <is>
          <t>2026-09-16</t>
        </is>
      </c>
      <c r="L681" s="2" t="inlineStr">
        <is>
          <t>Investigación E2 FP-180 (2026-09-16): celda completada con evidencia propia del escenario, verificada contra documentación oficial.</t>
        </is>
      </c>
    </row>
    <row r="682">
      <c r="A682" t="inlineStr">
        <is>
          <t>E6</t>
        </is>
      </c>
      <c r="B682" t="inlineStr">
        <is>
          <t>Multicloud</t>
        </is>
      </c>
      <c r="C682" t="inlineStr">
        <is>
          <t>CloudZero</t>
        </is>
      </c>
      <c r="D682" t="inlineStr">
        <is>
          <t>Precio</t>
        </is>
      </c>
      <c r="E682" t="inlineStr">
        <is>
          <t>P1</t>
        </is>
      </c>
      <c r="F682" s="2" t="inlineStr">
        <is>
          <t>¿Expone precio, moneda, región, unidad, período y supuestos relevantes?</t>
        </is>
      </c>
      <c r="G682" t="inlineStr">
        <is>
          <t>NE</t>
        </is>
      </c>
      <c r="H682" t="inlineStr">
        <is>
          <t>Pendiente</t>
        </is>
      </c>
      <c r="I682" s="2" t="inlineStr">
        <is>
          <t>No se encontró evidencia específica de transparencia de supuestos de precio (moneda/región/período) en las páginas revisadas.</t>
        </is>
      </c>
      <c r="K682" t="inlineStr">
        <is>
          <t>2026-09-16</t>
        </is>
      </c>
      <c r="L682" s="2" t="inlineStr"/>
    </row>
    <row r="683">
      <c r="A683" t="inlineStr">
        <is>
          <t>E6</t>
        </is>
      </c>
      <c r="B683" t="inlineStr">
        <is>
          <t>Multicloud</t>
        </is>
      </c>
      <c r="C683" t="inlineStr">
        <is>
          <t>CloudZero</t>
        </is>
      </c>
      <c r="D683" t="inlineStr">
        <is>
          <t>Precio</t>
        </is>
      </c>
      <c r="E683" t="inlineStr">
        <is>
          <t>P2</t>
        </is>
      </c>
      <c r="F683" s="2" t="inlineStr">
        <is>
          <t>¿Permite estimar o comparar componentes sin ocultar límites de equivalencia?</t>
        </is>
      </c>
      <c r="G683" t="inlineStr">
        <is>
          <t>NE</t>
        </is>
      </c>
      <c r="H683" t="inlineStr">
        <is>
          <t>Pendiente</t>
        </is>
      </c>
      <c r="I683" s="2" t="inlineStr">
        <is>
          <t>No se encontró evidencia de una función de comparación/estimación de precio contextual en las páginas revisadas.</t>
        </is>
      </c>
      <c r="K683" t="inlineStr">
        <is>
          <t>2026-09-16</t>
        </is>
      </c>
      <c r="L683" s="2" t="inlineStr"/>
    </row>
    <row r="684">
      <c r="A684" t="inlineStr">
        <is>
          <t>E6</t>
        </is>
      </c>
      <c r="B684" t="inlineStr">
        <is>
          <t>Multicloud</t>
        </is>
      </c>
      <c r="C684" t="inlineStr">
        <is>
          <t>CloudZero</t>
        </is>
      </c>
      <c r="D684" t="inlineStr">
        <is>
          <t>Dependencia</t>
        </is>
      </c>
      <c r="E684" t="inlineStr">
        <is>
          <t>D1</t>
        </is>
      </c>
      <c r="F684" s="2" t="inlineStr">
        <is>
          <t>¿Exporta datos/resultados en formato utilizable y documentado?</t>
        </is>
      </c>
      <c r="G684" t="n">
        <v>1</v>
      </c>
      <c r="H684" t="inlineStr">
        <is>
          <t>Oficial</t>
        </is>
      </c>
      <c r="I684" s="2" t="inlineStr">
        <is>
          <t>El glosario documenta acceso programático mediante streams de telemetría (entrada) y un "MCP Server" que conecta herramientas de IA a los datos de costo; no se confirmó una función de exportación masiva de datos de salida en formato estándar.</t>
        </is>
      </c>
      <c r="J684" t="inlineStr">
        <is>
          <t>https://docs.cloudzero.com/docs/cloudzero-glossary</t>
        </is>
      </c>
      <c r="K684" t="inlineStr">
        <is>
          <t>2026-09-16</t>
        </is>
      </c>
      <c r="L684" s="2" t="inlineStr"/>
    </row>
    <row r="685">
      <c r="A685" t="inlineStr">
        <is>
          <t>E6</t>
        </is>
      </c>
      <c r="B685" t="inlineStr">
        <is>
          <t>Multicloud</t>
        </is>
      </c>
      <c r="C685" t="inlineStr">
        <is>
          <t>CloudZero</t>
        </is>
      </c>
      <c r="D685" t="inlineStr">
        <is>
          <t>Dependencia</t>
        </is>
      </c>
      <c r="E685" t="inlineStr">
        <is>
          <t>D2</t>
        </is>
      </c>
      <c r="F685" s="2" t="inlineStr">
        <is>
          <t>¿Documenta dependencias propietarias y un camino de salida/configuración reversible?</t>
        </is>
      </c>
      <c r="G685" t="inlineStr">
        <is>
          <t>NE</t>
        </is>
      </c>
      <c r="H685" t="inlineStr">
        <is>
          <t>Pendiente</t>
        </is>
      </c>
      <c r="I685" s="2" t="inlineStr">
        <is>
          <t>No se encontró documentación sobre un camino de salida o reversibilidad de la configuración.</t>
        </is>
      </c>
      <c r="K685" t="inlineStr">
        <is>
          <t>2026-09-16</t>
        </is>
      </c>
      <c r="L685" s="2" t="inlineStr"/>
    </row>
    <row r="686">
      <c r="A686" t="inlineStr">
        <is>
          <t>E1</t>
        </is>
      </c>
      <c r="B686" t="inlineStr">
        <is>
          <t>Multicloud</t>
        </is>
      </c>
      <c r="C686" t="inlineStr">
        <is>
          <t>Vantage</t>
        </is>
      </c>
      <c r="D686" t="inlineStr">
        <is>
          <t>Visibilidad</t>
        </is>
      </c>
      <c r="E686" t="inlineStr">
        <is>
          <t>V1</t>
        </is>
      </c>
      <c r="F686" s="2" t="inlineStr">
        <is>
          <t>¿Desagrega costo y uso por cuenta/proyecto, servicio y período?</t>
        </is>
      </c>
      <c r="G686" t="inlineStr">
        <is>
          <t>NE</t>
        </is>
      </c>
      <c r="H686" t="inlineStr">
        <is>
          <t>Pendiente</t>
        </is>
      </c>
      <c r="I686" s="2" t="inlineStr">
        <is>
          <t>"Cost Reports" permite crear reportes con filtros y rangos de fecha personalizables; el "Overview" ofrece un resumen ejecutivo de las métricas de costo principales.</t>
        </is>
      </c>
      <c r="J686" t="inlineStr">
        <is>
          <t>https://docs.vantage.sh/getting_started/</t>
        </is>
      </c>
      <c r="K686" t="inlineStr">
        <is>
          <t>2026-09-16</t>
        </is>
      </c>
      <c r="L686" s="2" t="inlineStr">
        <is>
          <t>Celda heredada FP-180 (2026-09-16): el valor 2 proviene de la investigacion del escenario E2 y no cuenta con evidencia propia de E1. Segun FP-177 el indicador V1 depende del escenario, por lo que pasa a NE (no evidenciado, reduce cobertura) hasta investigarlo. La evidencia y la fuente originales se conservan como referencia del escenario de origen.</t>
        </is>
      </c>
    </row>
    <row r="687">
      <c r="A687" t="inlineStr">
        <is>
          <t>E1</t>
        </is>
      </c>
      <c r="B687" t="inlineStr">
        <is>
          <t>Multicloud</t>
        </is>
      </c>
      <c r="C687" t="inlineStr">
        <is>
          <t>Vantage</t>
        </is>
      </c>
      <c r="D687" t="inlineStr">
        <is>
          <t>Visibilidad</t>
        </is>
      </c>
      <c r="E687" t="inlineStr">
        <is>
          <t>V2</t>
        </is>
      </c>
      <c r="F687" s="2" t="inlineStr">
        <is>
          <t>¿Permite rastrear un total hasta registros o fuente de facturación?</t>
        </is>
      </c>
      <c r="G687" t="n">
        <v>2</v>
      </c>
      <c r="H687" t="inlineStr">
        <is>
          <t>Oficial</t>
        </is>
      </c>
      <c r="I687" s="2" t="inlineStr">
        <is>
          <t>El informe de costos permite descender del total al detalle: «Within the table below the graph, you can drill down into your report to create precise filtering and grouping views». El Data Dictionary documenta los campos del dato de costo y VQL (Vantage Query Language) permite consultas reproducibles sobre ellos. La procedencia queda marcada en el propio registro: para proveedores soportados «Vantage tags every row with an [...] billing_source value [...] so you can filter, group, and allocate costs by data source».</t>
        </is>
      </c>
      <c r="J687" t="inlineStr">
        <is>
          <t>https://docs.vantage.sh/cost_reports ; https://docs.vantage.sh/data_dictionary ; https://docs.vantage.sh/vql</t>
        </is>
      </c>
      <c r="K687" t="inlineStr">
        <is>
          <t>2026-09-16</t>
        </is>
      </c>
      <c r="L687" s="2" t="inlineStr">
        <is>
          <t>Investigación E2 FP-180 (2026-09-16): celda completada con evidencia propia del escenario, verificada contra documentación oficial.</t>
        </is>
      </c>
    </row>
    <row r="688">
      <c r="A688" t="inlineStr">
        <is>
          <t>E1</t>
        </is>
      </c>
      <c r="B688" t="inlineStr">
        <is>
          <t>Multicloud</t>
        </is>
      </c>
      <c r="C688" t="inlineStr">
        <is>
          <t>Vantage</t>
        </is>
      </c>
      <c r="D688" t="inlineStr">
        <is>
          <t>Asignacion</t>
        </is>
      </c>
      <c r="E688" t="inlineStr">
        <is>
          <t>A1</t>
        </is>
      </c>
      <c r="F688" s="2" t="inlineStr">
        <is>
          <t>¿Calcula gasto asignado/no asignado por responsable, centro o entidad?</t>
        </is>
      </c>
      <c r="G688" t="inlineStr">
        <is>
          <t>NE</t>
        </is>
      </c>
      <c r="H688" t="inlineStr">
        <is>
          <t>Pendiente</t>
        </is>
      </c>
      <c r="I688" s="2" t="inlineStr">
        <is>
          <t>"Cost Allocation Segments" crea estructuras jerárquicas que mapean el costo a unidades de negocio/equipos/servicios y "identifican costos no asignados", garantizando que cada costo se asigne una sola vez (evita duplicación en showback/chargeback).</t>
        </is>
      </c>
      <c r="J688" t="inlineStr">
        <is>
          <t>https://docs.vantage.sh/vantage_university_cost_allocation</t>
        </is>
      </c>
      <c r="K688" t="inlineStr">
        <is>
          <t>2026-09-16</t>
        </is>
      </c>
      <c r="L688" s="2" t="inlineStr">
        <is>
          <t>Celda heredada FP-180 (2026-09-16): el valor 2 proviene de la investigacion del escenario E2 y no cuenta con evidencia propia de E1. Segun FP-177 el indicador A1 depende del escenario, por lo que pasa a NE (no evidenciado, reduce cobertura) hasta investigarlo. La evidencia y la fuente originales se conservan como referencia del escenario de origen.</t>
        </is>
      </c>
    </row>
    <row r="689">
      <c r="A689" t="inlineStr">
        <is>
          <t>E1</t>
        </is>
      </c>
      <c r="B689" t="inlineStr">
        <is>
          <t>Multicloud</t>
        </is>
      </c>
      <c r="C689" t="inlineStr">
        <is>
          <t>Vantage</t>
        </is>
      </c>
      <c r="D689" t="inlineStr">
        <is>
          <t>Asignacion</t>
        </is>
      </c>
      <c r="E689" t="inlineStr">
        <is>
          <t>A2</t>
        </is>
      </c>
      <c r="F689" s="2" t="inlineStr">
        <is>
          <t>¿Explicita y aplica reglas para costo compartido/multi-tenant?</t>
        </is>
      </c>
      <c r="G689" t="inlineStr">
        <is>
          <t>NE</t>
        </is>
      </c>
      <c r="H689" t="inlineStr">
        <is>
          <t>Pendiente</t>
        </is>
      </c>
      <c r="I689" s="2" t="inlineStr">
        <is>
          <t>La documentación confirma que existen Segments para costo compartido, pero no detalla el mecanismo específico de reparto (porcentual, proporcional u otro) con el nivel de detalle que exige este indicador.</t>
        </is>
      </c>
      <c r="K689" t="inlineStr">
        <is>
          <t>2026-09-16</t>
        </is>
      </c>
      <c r="L689" s="2" t="inlineStr"/>
    </row>
    <row r="690">
      <c r="A690" t="inlineStr">
        <is>
          <t>E1</t>
        </is>
      </c>
      <c r="B690" t="inlineStr">
        <is>
          <t>Multicloud</t>
        </is>
      </c>
      <c r="C690" t="inlineStr">
        <is>
          <t>Vantage</t>
        </is>
      </c>
      <c r="D690" t="inlineStr">
        <is>
          <t>Optimizacion</t>
        </is>
      </c>
      <c r="E690" t="inlineStr">
        <is>
          <t>O1</t>
        </is>
      </c>
      <c r="F690" s="2" t="inlineStr">
        <is>
          <t>¿Detecta desperdicio, rightsizing o compromiso relevante al escenario?</t>
        </is>
      </c>
      <c r="G690" t="inlineStr">
        <is>
          <t>NE</t>
        </is>
      </c>
      <c r="H690" t="inlineStr">
        <is>
          <t>Pendiente</t>
        </is>
      </c>
      <c r="I690" s="2" t="inlineStr">
        <is>
          <t>"Cost Recommendations" cubre rightsizing, recursos inactivos y compromisos financieros (RI/Savings Plans/CUD) para AWS, Azure, GCP, Datadog, Cloudflare y Kubernetes.</t>
        </is>
      </c>
      <c r="J690" t="inlineStr">
        <is>
          <t>https://docs.vantage.sh/cost_recommendations</t>
        </is>
      </c>
      <c r="K690" t="inlineStr">
        <is>
          <t>2026-09-16</t>
        </is>
      </c>
      <c r="L690" s="2" t="inlineStr">
        <is>
          <t>Celda heredada FP-180 (2026-09-16): el valor 2 proviene de la investigacion del escenario E2 y no cuenta con evidencia propia de E1. Segun FP-177 el indicador O1 depende del escenario, por lo que pasa a NE (no evidenciado, reduce cobertura) hasta investigarlo. La evidencia y la fuente originales se conservan como referencia del escenario de origen.</t>
        </is>
      </c>
    </row>
    <row r="691">
      <c r="A691" t="inlineStr">
        <is>
          <t>E1</t>
        </is>
      </c>
      <c r="B691" t="inlineStr">
        <is>
          <t>Multicloud</t>
        </is>
      </c>
      <c r="C691" t="inlineStr">
        <is>
          <t>Vantage</t>
        </is>
      </c>
      <c r="D691" t="inlineStr">
        <is>
          <t>Optimizacion</t>
        </is>
      </c>
      <c r="E691" t="inlineStr">
        <is>
          <t>O2</t>
        </is>
      </c>
      <c r="F691" s="2" t="inlineStr">
        <is>
          <t>¿Explica supuesto/impacto y permite seguir una recomendación?</t>
        </is>
      </c>
      <c r="G691" t="n">
        <v>2</v>
      </c>
      <c r="H691" t="inlineStr">
        <is>
          <t>Oficial</t>
        </is>
      </c>
      <c r="I691" s="2" t="inlineStr">
        <is>
          <t>Un widget de "Potential Savings" y "Savings Rate" cuantifica el ahorro, y las recomendaciones se siguen a través de estados (Ready for Review, In Progress, Completed, Archived).</t>
        </is>
      </c>
      <c r="J691" t="inlineStr">
        <is>
          <t>https://docs.vantage.sh/cost_recommendations</t>
        </is>
      </c>
      <c r="K691" t="inlineStr">
        <is>
          <t>2026-09-16</t>
        </is>
      </c>
      <c r="L691" s="2" t="inlineStr"/>
    </row>
    <row r="692">
      <c r="A692" t="inlineStr">
        <is>
          <t>E1</t>
        </is>
      </c>
      <c r="B692" t="inlineStr">
        <is>
          <t>Multicloud</t>
        </is>
      </c>
      <c r="C692" t="inlineStr">
        <is>
          <t>Vantage</t>
        </is>
      </c>
      <c r="D692" t="inlineStr">
        <is>
          <t>Automatizacion</t>
        </is>
      </c>
      <c r="E692" t="inlineStr">
        <is>
          <t>AU1</t>
        </is>
      </c>
      <c r="F692" s="2" t="inlineStr">
        <is>
          <t>¿Ejecuta o bloquea acciones/políticas de costo con control verificable?</t>
        </is>
      </c>
      <c r="G692" t="inlineStr">
        <is>
          <t>NE</t>
        </is>
      </c>
      <c r="H692" t="inlineStr">
        <is>
          <t>Pendiente</t>
        </is>
      </c>
      <c r="I692" s="2" t="inlineStr">
        <is>
          <t>"Autopilot" habilita compra automatizada (opcional, desactivada por defecto) de Savings Plans de EC2/Fargate/Lambda; para RDS/ElastiCache/Redshift/OpenSearch/Aurora/DynamoDB/etc. solo genera recomendaciones.</t>
        </is>
      </c>
      <c r="J692" t="inlineStr">
        <is>
          <t>https://docs.vantage.sh/autopilot</t>
        </is>
      </c>
      <c r="K692" t="inlineStr">
        <is>
          <t>2026-09-16</t>
        </is>
      </c>
      <c r="L692" s="2" t="inlineStr">
        <is>
          <t>Celda heredada FP-180 (2026-09-16): el valor 2 proviene de la investigacion del escenario E2 y no cuenta con evidencia propia de E1. Segun FP-177 el indicador AU1 depende del escenario, por lo que pasa a NE (no evidenciado, reduce cobertura) hasta investigarlo. La evidencia y la fuente originales se conservan como referencia del escenario de origen.</t>
        </is>
      </c>
    </row>
    <row r="693">
      <c r="A693" t="inlineStr">
        <is>
          <t>E1</t>
        </is>
      </c>
      <c r="B693" t="inlineStr">
        <is>
          <t>Multicloud</t>
        </is>
      </c>
      <c r="C693" t="inlineStr">
        <is>
          <t>Vantage</t>
        </is>
      </c>
      <c r="D693" t="inlineStr">
        <is>
          <t>Automatizacion</t>
        </is>
      </c>
      <c r="E693" t="inlineStr">
        <is>
          <t>AU2</t>
        </is>
      </c>
      <c r="F693" s="2" t="inlineStr">
        <is>
          <t>¿Ofrece aprobación, reversión, registro o límites antes de actuar?</t>
        </is>
      </c>
      <c r="G693" t="n">
        <v>2</v>
      </c>
      <c r="H693" t="inlineStr">
        <is>
          <t>Oficial</t>
        </is>
      </c>
      <c r="I693" s="2" t="inlineStr">
        <is>
          <t>Autopilot exige aprobación manual cuando la compra automática está desactivada ("Approve Purchase"), inicia la compra 24 h después de aprobada (ventana de cancelación), notifica a los account owners por correo y declara explícitamente que "nunca cambiará tu infraestructura subyacente"; se alinea a la política de devolución de 7 días de AWS.</t>
        </is>
      </c>
      <c r="J693" t="inlineStr">
        <is>
          <t>https://docs.vantage.sh/autopilot</t>
        </is>
      </c>
      <c r="K693" t="inlineStr">
        <is>
          <t>2026-09-16</t>
        </is>
      </c>
      <c r="L693" s="2" t="inlineStr"/>
    </row>
    <row r="694">
      <c r="A694" t="inlineStr">
        <is>
          <t>E1</t>
        </is>
      </c>
      <c r="B694" t="inlineStr">
        <is>
          <t>Multicloud</t>
        </is>
      </c>
      <c r="C694" t="inlineStr">
        <is>
          <t>Vantage</t>
        </is>
      </c>
      <c r="D694" t="inlineStr">
        <is>
          <t>Multicloud</t>
        </is>
      </c>
      <c r="E694" t="inlineStr">
        <is>
          <t>M1</t>
        </is>
      </c>
      <c r="F694" s="2" t="inlineStr">
        <is>
          <t>¿Consolida al menos dos proveedores bajo el mismo esquema declarado?</t>
        </is>
      </c>
      <c r="G694" t="n">
        <v>2</v>
      </c>
      <c r="H694" t="inlineStr">
        <is>
          <t>Oficial</t>
        </is>
      </c>
      <c r="I694" s="2" t="inlineStr">
        <is>
          <t>La plataforma integra de forma nativa AWS (rol IAM de solo lectura), Azure (pay-as-you-go/MCA/EA/CSP), GCP y Kubernetes dentro de los mismos Cost Reports.</t>
        </is>
      </c>
      <c r="J694" t="inlineStr">
        <is>
          <t>https://docs.vantage.sh/getting_started/</t>
        </is>
      </c>
      <c r="K694" t="inlineStr">
        <is>
          <t>2026-09-16</t>
        </is>
      </c>
      <c r="L694" s="2" t="inlineStr"/>
    </row>
    <row r="695">
      <c r="A695" t="inlineStr">
        <is>
          <t>E1</t>
        </is>
      </c>
      <c r="B695" t="inlineStr">
        <is>
          <t>Multicloud</t>
        </is>
      </c>
      <c r="C695" t="inlineStr">
        <is>
          <t>Vantage</t>
        </is>
      </c>
      <c r="D695" t="inlineStr">
        <is>
          <t>Multicloud</t>
        </is>
      </c>
      <c r="E695" t="inlineStr">
        <is>
          <t>M2</t>
        </is>
      </c>
      <c r="F695" s="2" t="inlineStr">
        <is>
          <t>¿Hace visibles proveedor, cobertura y diferencias semánticas?</t>
        </is>
      </c>
      <c r="G695" t="n">
        <v>2</v>
      </c>
      <c r="H695" t="inlineStr">
        <is>
          <t>Oficial</t>
        </is>
      </c>
      <c r="I695" s="2" t="inlineStr">
        <is>
          <t>Las diferencias semánticas entre proveedores se hacen explícitas y se normalizan: «Vantage normalizes Usage Unit labels in the console for consistent spelling and capitalization. For example, Vantage standardized Hours, hrs, Hrs, and hours to Hours», y se aplica un esquema de etiquetas normalizado por proveedor para costos de IA. La cobertura se declara de forma explícita —la lista de proveedores soportados para reporte por uso está enumerada en la documentación— y los no soportados se canalizan por Custom Providers: «you can upload costs from providers that don't expose billing APIs, aren't yet supported by Vantage, or originate from custom systems». El límite de cobertura queda visible, que es lo que mide M2.</t>
        </is>
      </c>
      <c r="J695" t="inlineStr">
        <is>
          <t>https://docs.vantage.sh/usage_based_reporting ; https://docs.vantage.sh/connecting_custom_providers ; https://docs.vantage.sh/data_dictionary</t>
        </is>
      </c>
      <c r="K695" t="inlineStr">
        <is>
          <t>2026-09-16</t>
        </is>
      </c>
      <c r="L695" s="2" t="inlineStr">
        <is>
          <t>Investigación E2 FP-180 (2026-09-16): celda completada con evidencia propia del escenario, verificada contra documentación oficial.</t>
        </is>
      </c>
    </row>
    <row r="696">
      <c r="A696" t="inlineStr">
        <is>
          <t>E1</t>
        </is>
      </c>
      <c r="B696" t="inlineStr">
        <is>
          <t>Multicloud</t>
        </is>
      </c>
      <c r="C696" t="inlineStr">
        <is>
          <t>Vantage</t>
        </is>
      </c>
      <c r="D696" t="inlineStr">
        <is>
          <t>Integracion</t>
        </is>
      </c>
      <c r="E696" t="inlineStr">
        <is>
          <t>I1</t>
        </is>
      </c>
      <c r="F696" s="2" t="inlineStr">
        <is>
          <t>¿Integra datos requeridos (facturación, uso, clúster o IaC) del escenario?</t>
        </is>
      </c>
      <c r="G696" t="inlineStr">
        <is>
          <t>NE</t>
        </is>
      </c>
      <c r="H696" t="inlineStr">
        <is>
          <t>Pendiente</t>
        </is>
      </c>
      <c r="I696" s="2" t="inlineStr">
        <is>
          <t>Conectores definidos y documentados: rol IAM de solo lectura entre cuentas para AWS, soporte de los modelos de facturación de Azure, integración con GCP vía BigQuery export y un agente de Kubernetes.</t>
        </is>
      </c>
      <c r="J696" t="inlineStr">
        <is>
          <t>https://docs.vantage.sh/getting_started/</t>
        </is>
      </c>
      <c r="K696" t="inlineStr">
        <is>
          <t>2026-09-16</t>
        </is>
      </c>
      <c r="L696" s="2" t="inlineStr">
        <is>
          <t>Celda heredada FP-180 (2026-09-16): el valor 2 proviene de la investigacion del escenario E2 y no cuenta con evidencia propia de E1. Segun FP-177 el indicador I1 depende del escenario, por lo que pasa a NE (no evidenciado, reduce cobertura) hasta investigarlo. La evidencia y la fuente originales se conservan como referencia del escenario de origen.</t>
        </is>
      </c>
    </row>
    <row r="697">
      <c r="A697" t="inlineStr">
        <is>
          <t>E1</t>
        </is>
      </c>
      <c r="B697" t="inlineStr">
        <is>
          <t>Multicloud</t>
        </is>
      </c>
      <c r="C697" t="inlineStr">
        <is>
          <t>Vantage</t>
        </is>
      </c>
      <c r="D697" t="inlineStr">
        <is>
          <t>Integracion</t>
        </is>
      </c>
      <c r="E697" t="inlineStr">
        <is>
          <t>I2</t>
        </is>
      </c>
      <c r="F697" s="2" t="inlineStr">
        <is>
          <t>¿Se integra con el flujo de trabajo relevante (alerta, ticket, CI/CD o reporte)?</t>
        </is>
      </c>
      <c r="G697" t="inlineStr">
        <is>
          <t>NE</t>
        </is>
      </c>
      <c r="H697" t="inlineStr">
        <is>
          <t>Pendiente</t>
        </is>
      </c>
      <c r="I697" s="2" t="inlineStr">
        <is>
          <t>La integración con Jira crea automáticamente tickets a partir de Cost Anomalies, Budget Alerts, Cost Alerts y Resource Reports, y sincroniza el estado (To Do/In Progress/Done) diariamente dentro de Vantage.</t>
        </is>
      </c>
      <c r="J697" t="inlineStr">
        <is>
          <t>https://docs.vantage.sh/jira</t>
        </is>
      </c>
      <c r="K697" t="inlineStr">
        <is>
          <t>2026-09-16</t>
        </is>
      </c>
      <c r="L697" s="2" t="inlineStr">
        <is>
          <t>Celda heredada FP-180 (2026-09-16): el valor 2 proviene de la investigacion del escenario E2 y no cuenta con evidencia propia de E1. Segun FP-177 el indicador I2 depende del escenario, por lo que pasa a NE (no evidenciado, reduce cobertura) hasta investigarlo. La evidencia y la fuente originales se conservan como referencia del escenario de origen.</t>
        </is>
      </c>
    </row>
    <row r="698">
      <c r="A698" t="inlineStr">
        <is>
          <t>E1</t>
        </is>
      </c>
      <c r="B698" t="inlineStr">
        <is>
          <t>Multicloud</t>
        </is>
      </c>
      <c r="C698" t="inlineStr">
        <is>
          <t>Vantage</t>
        </is>
      </c>
      <c r="D698" t="inlineStr">
        <is>
          <t>Adopcion</t>
        </is>
      </c>
      <c r="E698" t="inlineStr">
        <is>
          <t>AD1</t>
        </is>
      </c>
      <c r="F698" s="2" t="inlineStr">
        <is>
          <t>¿Soporta acceso/entrega para los roles del escenario?</t>
        </is>
      </c>
      <c r="G698" t="inlineStr">
        <is>
          <t>NE</t>
        </is>
      </c>
      <c r="H698" t="inlineStr">
        <is>
          <t>Pendiente</t>
        </is>
      </c>
      <c r="I698" s="2" t="inlineStr">
        <is>
          <t>Existen roles definidos (Organization Owner, Integration Owner, entre otros) con control de acceso basado en roles (RBAC) documentado.</t>
        </is>
      </c>
      <c r="J698" t="inlineStr">
        <is>
          <t>https://docs.vantage.sh/permissions_gcp</t>
        </is>
      </c>
      <c r="K698" t="inlineStr">
        <is>
          <t>2026-09-16</t>
        </is>
      </c>
      <c r="L698" s="2" t="inlineStr">
        <is>
          <t>Celda heredada FP-180 (2026-09-16): el valor 2 proviene de la investigacion del escenario E2 y no cuenta con evidencia propia de E1. Segun FP-177 el indicador AD1 depende del escenario, por lo que pasa a NE (no evidenciado, reduce cobertura) hasta investigarlo. La evidencia y la fuente originales se conservan como referencia del escenario de origen.</t>
        </is>
      </c>
    </row>
    <row r="699">
      <c r="A699" t="inlineStr">
        <is>
          <t>E1</t>
        </is>
      </c>
      <c r="B699" t="inlineStr">
        <is>
          <t>Multicloud</t>
        </is>
      </c>
      <c r="C699" t="inlineStr">
        <is>
          <t>Vantage</t>
        </is>
      </c>
      <c r="D699" t="inlineStr">
        <is>
          <t>Adopcion</t>
        </is>
      </c>
      <c r="E699" t="inlineStr">
        <is>
          <t>AD2</t>
        </is>
      </c>
      <c r="F699" s="2" t="inlineStr">
        <is>
          <t>¿Ofrece guías, ownership o mecanismos de seguimiento para uso sostenido?</t>
        </is>
      </c>
      <c r="G699" t="n">
        <v>2</v>
      </c>
      <c r="H699" t="inlineStr">
        <is>
          <t>Oficial</t>
        </is>
      </c>
      <c r="I699" s="2" t="inlineStr">
        <is>
          <t>Habilitación documentada por rol en Vantage University, con rutas para FinOps Analyst, Developers y Finance Managers, y una ruta específica de asignación de costos. El ownership se sostiene en segmentos jerárquicos: los segmentos de asignación «let you create hierarchical structures for your costs, mapping them to various organizational entities, such as business units, teams, or services», con jerarquías anidadas por equipo y subequipo. Proceso y guía definidos; sin evidencia de adopción medida para 3.</t>
        </is>
      </c>
      <c r="J699" t="inlineStr">
        <is>
          <t>https://docs.vantage.sh/vantage_university ; https://docs.vantage.sh/vantage_university_cost_allocation ; https://docs.vantage.sh/segments</t>
        </is>
      </c>
      <c r="K699" t="inlineStr">
        <is>
          <t>2026-09-16</t>
        </is>
      </c>
      <c r="L699" s="2" t="inlineStr">
        <is>
          <t>Investigación E2 FP-180 (2026-09-16): celda completada con evidencia propia del escenario, verificada contra documentación oficial.</t>
        </is>
      </c>
    </row>
    <row r="700">
      <c r="A700" t="inlineStr">
        <is>
          <t>E1</t>
        </is>
      </c>
      <c r="B700" t="inlineStr">
        <is>
          <t>Multicloud</t>
        </is>
      </c>
      <c r="C700" t="inlineStr">
        <is>
          <t>Vantage</t>
        </is>
      </c>
      <c r="D700" t="inlineStr">
        <is>
          <t>Precio</t>
        </is>
      </c>
      <c r="E700" t="inlineStr">
        <is>
          <t>P1</t>
        </is>
      </c>
      <c r="F700" s="2" t="inlineStr">
        <is>
          <t>¿Expone precio, moneda, región, unidad, período y supuestos relevantes?</t>
        </is>
      </c>
      <c r="G700" t="inlineStr">
        <is>
          <t>NE</t>
        </is>
      </c>
      <c r="H700" t="inlineStr">
        <is>
          <t>Pendiente</t>
        </is>
      </c>
      <c r="I700" s="2" t="inlineStr">
        <is>
          <t>No se encontró evidencia específica de transparencia de supuestos de precio (moneda/región/período) en las páginas revisadas.</t>
        </is>
      </c>
      <c r="K700" t="inlineStr">
        <is>
          <t>2026-09-16</t>
        </is>
      </c>
      <c r="L700" s="2" t="inlineStr"/>
    </row>
    <row r="701">
      <c r="A701" t="inlineStr">
        <is>
          <t>E1</t>
        </is>
      </c>
      <c r="B701" t="inlineStr">
        <is>
          <t>Multicloud</t>
        </is>
      </c>
      <c r="C701" t="inlineStr">
        <is>
          <t>Vantage</t>
        </is>
      </c>
      <c r="D701" t="inlineStr">
        <is>
          <t>Precio</t>
        </is>
      </c>
      <c r="E701" t="inlineStr">
        <is>
          <t>P2</t>
        </is>
      </c>
      <c r="F701" s="2" t="inlineStr">
        <is>
          <t>¿Permite estimar o comparar componentes sin ocultar límites de equivalencia?</t>
        </is>
      </c>
      <c r="G701" t="inlineStr">
        <is>
          <t>NE</t>
        </is>
      </c>
      <c r="H701" t="inlineStr">
        <is>
          <t>Pendiente</t>
        </is>
      </c>
      <c r="I701" s="2" t="inlineStr">
        <is>
          <t>No se encontró evidencia de una función de comparación/estimación de precio contextual en las páginas revisadas.</t>
        </is>
      </c>
      <c r="K701" t="inlineStr">
        <is>
          <t>2026-09-16</t>
        </is>
      </c>
      <c r="L701" s="2" t="inlineStr"/>
    </row>
    <row r="702">
      <c r="A702" t="inlineStr">
        <is>
          <t>E1</t>
        </is>
      </c>
      <c r="B702" t="inlineStr">
        <is>
          <t>Multicloud</t>
        </is>
      </c>
      <c r="C702" t="inlineStr">
        <is>
          <t>Vantage</t>
        </is>
      </c>
      <c r="D702" t="inlineStr">
        <is>
          <t>Dependencia</t>
        </is>
      </c>
      <c r="E702" t="inlineStr">
        <is>
          <t>D1</t>
        </is>
      </c>
      <c r="F702" s="2" t="inlineStr">
        <is>
          <t>¿Exporta datos/resultados en formato utilizable y documentado?</t>
        </is>
      </c>
      <c r="G702" t="inlineStr">
        <is>
          <t>NE</t>
        </is>
      </c>
      <c r="H702" t="inlineStr">
        <is>
          <t>Pendiente</t>
        </is>
      </c>
      <c r="I702" s="2" t="inlineStr">
        <is>
          <t>Se identificó el anuncio de un "Recommendations API Endpoint", pero no se verificó contra documentación técnica una función general de exportación de datos de costo (evidencia insuficiente para puntuar).</t>
        </is>
      </c>
      <c r="K702" t="inlineStr">
        <is>
          <t>2026-09-16</t>
        </is>
      </c>
      <c r="L702" s="2" t="inlineStr"/>
    </row>
    <row r="703">
      <c r="A703" t="inlineStr">
        <is>
          <t>E1</t>
        </is>
      </c>
      <c r="B703" t="inlineStr">
        <is>
          <t>Multicloud</t>
        </is>
      </c>
      <c r="C703" t="inlineStr">
        <is>
          <t>Vantage</t>
        </is>
      </c>
      <c r="D703" t="inlineStr">
        <is>
          <t>Dependencia</t>
        </is>
      </c>
      <c r="E703" t="inlineStr">
        <is>
          <t>D2</t>
        </is>
      </c>
      <c r="F703" s="2" t="inlineStr">
        <is>
          <t>¿Documenta dependencias propietarias y un camino de salida/configuración reversible?</t>
        </is>
      </c>
      <c r="G703" t="inlineStr">
        <is>
          <t>NE</t>
        </is>
      </c>
      <c r="H703" t="inlineStr">
        <is>
          <t>Pendiente</t>
        </is>
      </c>
      <c r="I703" s="2" t="inlineStr">
        <is>
          <t>No se encontró documentación sobre un camino de salida o reversibilidad de la configuración.</t>
        </is>
      </c>
      <c r="K703" t="inlineStr">
        <is>
          <t>2026-09-16</t>
        </is>
      </c>
      <c r="L703" s="2" t="inlineStr"/>
    </row>
    <row r="704">
      <c r="A704" t="inlineStr">
        <is>
          <t>E2</t>
        </is>
      </c>
      <c r="B704" t="inlineStr">
        <is>
          <t>Multicloud</t>
        </is>
      </c>
      <c r="C704" t="inlineStr">
        <is>
          <t>Vantage</t>
        </is>
      </c>
      <c r="D704" t="inlineStr">
        <is>
          <t>Visibilidad</t>
        </is>
      </c>
      <c r="E704" t="inlineStr">
        <is>
          <t>V1</t>
        </is>
      </c>
      <c r="F704" s="2" t="inlineStr">
        <is>
          <t>¿Desagrega costo y uso por cuenta/proyecto, servicio y período?</t>
        </is>
      </c>
      <c r="G704" t="n">
        <v>2</v>
      </c>
      <c r="H704" t="inlineStr">
        <is>
          <t>Oficial</t>
        </is>
      </c>
      <c r="I704" s="2" t="inlineStr">
        <is>
          <t>"Cost Reports" permite crear reportes con filtros y rangos de fecha personalizables; el "Overview" ofrece un resumen ejecutivo de las métricas de costo principales.</t>
        </is>
      </c>
      <c r="J704" t="inlineStr">
        <is>
          <t>https://docs.vantage.sh/getting_started/</t>
        </is>
      </c>
      <c r="K704" t="inlineStr">
        <is>
          <t>2026-09-16</t>
        </is>
      </c>
      <c r="L704" s="2" t="inlineStr"/>
    </row>
    <row r="705">
      <c r="A705" t="inlineStr">
        <is>
          <t>E2</t>
        </is>
      </c>
      <c r="B705" t="inlineStr">
        <is>
          <t>Multicloud</t>
        </is>
      </c>
      <c r="C705" t="inlineStr">
        <is>
          <t>Vantage</t>
        </is>
      </c>
      <c r="D705" t="inlineStr">
        <is>
          <t>Visibilidad</t>
        </is>
      </c>
      <c r="E705" t="inlineStr">
        <is>
          <t>V2</t>
        </is>
      </c>
      <c r="F705" s="2" t="inlineStr">
        <is>
          <t>¿Permite rastrear un total hasta registros o fuente de facturación?</t>
        </is>
      </c>
      <c r="G705" t="n">
        <v>2</v>
      </c>
      <c r="H705" t="inlineStr">
        <is>
          <t>Oficial</t>
        </is>
      </c>
      <c r="I705" s="2" t="inlineStr">
        <is>
          <t>El informe de costos permite descender del total al detalle: «Within the table below the graph, you can drill down into your report to create precise filtering and grouping views». El Data Dictionary documenta los campos del dato de costo y VQL (Vantage Query Language) permite consultas reproducibles sobre ellos. La procedencia queda marcada en el propio registro: para proveedores soportados «Vantage tags every row with an [...] billing_source value [...] so you can filter, group, and allocate costs by data source».</t>
        </is>
      </c>
      <c r="J705" t="inlineStr">
        <is>
          <t>https://docs.vantage.sh/cost_reports ; https://docs.vantage.sh/data_dictionary ; https://docs.vantage.sh/vql</t>
        </is>
      </c>
      <c r="K705" t="inlineStr">
        <is>
          <t>2026-09-16</t>
        </is>
      </c>
      <c r="L705" s="2" t="inlineStr">
        <is>
          <t>Investigación E2 FP-180 (2026-09-16): celda completada con evidencia propia del escenario, verificada contra documentación oficial.</t>
        </is>
      </c>
    </row>
    <row r="706">
      <c r="A706" t="inlineStr">
        <is>
          <t>E2</t>
        </is>
      </c>
      <c r="B706" t="inlineStr">
        <is>
          <t>Multicloud</t>
        </is>
      </c>
      <c r="C706" t="inlineStr">
        <is>
          <t>Vantage</t>
        </is>
      </c>
      <c r="D706" t="inlineStr">
        <is>
          <t>Asignacion</t>
        </is>
      </c>
      <c r="E706" t="inlineStr">
        <is>
          <t>A1</t>
        </is>
      </c>
      <c r="F706" s="2" t="inlineStr">
        <is>
          <t>¿Calcula gasto asignado/no asignado por responsable, centro o entidad?</t>
        </is>
      </c>
      <c r="G706" t="n">
        <v>2</v>
      </c>
      <c r="H706" t="inlineStr">
        <is>
          <t>Oficial</t>
        </is>
      </c>
      <c r="I706" s="2" t="inlineStr">
        <is>
          <t>"Cost Allocation Segments" crea estructuras jerárquicas que mapean el costo a unidades de negocio/equipos/servicios y "identifican costos no asignados", garantizando que cada costo se asigne una sola vez (evita duplicación en showback/chargeback).</t>
        </is>
      </c>
      <c r="J706" t="inlineStr">
        <is>
          <t>https://docs.vantage.sh/vantage_university_cost_allocation</t>
        </is>
      </c>
      <c r="K706" t="inlineStr">
        <is>
          <t>2026-09-16</t>
        </is>
      </c>
      <c r="L706" s="2" t="inlineStr"/>
    </row>
    <row r="707">
      <c r="A707" t="inlineStr">
        <is>
          <t>E2</t>
        </is>
      </c>
      <c r="B707" t="inlineStr">
        <is>
          <t>Multicloud</t>
        </is>
      </c>
      <c r="C707" t="inlineStr">
        <is>
          <t>Vantage</t>
        </is>
      </c>
      <c r="D707" t="inlineStr">
        <is>
          <t>Asignacion</t>
        </is>
      </c>
      <c r="E707" t="inlineStr">
        <is>
          <t>A2</t>
        </is>
      </c>
      <c r="F707" s="2" t="inlineStr">
        <is>
          <t>¿Explicita y aplica reglas para costo compartido/multi-tenant?</t>
        </is>
      </c>
      <c r="G707" t="n">
        <v>2</v>
      </c>
      <c r="H707" t="inlineStr">
        <is>
          <t>Oficial</t>
        </is>
      </c>
      <c r="I707" s="2" t="inlineStr">
        <is>
          <t>Regla de reparto de costo compartido documentada y configurable: «With percent-based cost allocation, you can filter Cost Reports to show back shared resources, like support costs or multi-tenant databases, to the team or department that uses them». Las asignaciones encadenadas están documentadas: una Virtual Tag basada en costo «can now aggregate by the key of another allocated Virtual Tag in the same provider allocation chain», lo que permite repartos de varios pasos reproducibles.</t>
        </is>
      </c>
      <c r="J707" t="inlineStr">
        <is>
          <t>https://docs.vantage.sh/vantage_university_cost_allocation ; https://docs.vantage.sh/virtual_tagging/</t>
        </is>
      </c>
      <c r="K707" t="inlineStr">
        <is>
          <t>2026-09-16</t>
        </is>
      </c>
      <c r="L707" s="2" t="inlineStr">
        <is>
          <t>Investigación E2 FP-180 (2026-09-16): celda completada con evidencia propia del escenario, verificada contra documentación oficial.</t>
        </is>
      </c>
    </row>
    <row r="708">
      <c r="A708" t="inlineStr">
        <is>
          <t>E2</t>
        </is>
      </c>
      <c r="B708" t="inlineStr">
        <is>
          <t>Multicloud</t>
        </is>
      </c>
      <c r="C708" t="inlineStr">
        <is>
          <t>Vantage</t>
        </is>
      </c>
      <c r="D708" t="inlineStr">
        <is>
          <t>Optimizacion</t>
        </is>
      </c>
      <c r="E708" t="inlineStr">
        <is>
          <t>O1</t>
        </is>
      </c>
      <c r="F708" s="2" t="inlineStr">
        <is>
          <t>¿Detecta desperdicio, rightsizing o compromiso relevante al escenario?</t>
        </is>
      </c>
      <c r="G708" t="n">
        <v>2</v>
      </c>
      <c r="H708" t="inlineStr">
        <is>
          <t>Oficial</t>
        </is>
      </c>
      <c r="I708" s="2" t="inlineStr">
        <is>
          <t>"Cost Recommendations" cubre rightsizing, recursos inactivos y compromisos financieros (RI/Savings Plans/CUD) para AWS, Azure, GCP, Datadog, Cloudflare y Kubernetes.</t>
        </is>
      </c>
      <c r="J708" t="inlineStr">
        <is>
          <t>https://docs.vantage.sh/cost_recommendations</t>
        </is>
      </c>
      <c r="K708" t="inlineStr">
        <is>
          <t>2026-09-16</t>
        </is>
      </c>
      <c r="L708" s="2" t="inlineStr"/>
    </row>
    <row r="709">
      <c r="A709" t="inlineStr">
        <is>
          <t>E2</t>
        </is>
      </c>
      <c r="B709" t="inlineStr">
        <is>
          <t>Multicloud</t>
        </is>
      </c>
      <c r="C709" t="inlineStr">
        <is>
          <t>Vantage</t>
        </is>
      </c>
      <c r="D709" t="inlineStr">
        <is>
          <t>Optimizacion</t>
        </is>
      </c>
      <c r="E709" t="inlineStr">
        <is>
          <t>O2</t>
        </is>
      </c>
      <c r="F709" s="2" t="inlineStr">
        <is>
          <t>¿Explica supuesto/impacto y permite seguir una recomendación?</t>
        </is>
      </c>
      <c r="G709" t="n">
        <v>2</v>
      </c>
      <c r="H709" t="inlineStr">
        <is>
          <t>Oficial</t>
        </is>
      </c>
      <c r="I709" s="2" t="inlineStr">
        <is>
          <t>Un widget de "Potential Savings" y "Savings Rate" cuantifica el ahorro, y las recomendaciones se siguen a través de estados (Ready for Review, In Progress, Completed, Archived).</t>
        </is>
      </c>
      <c r="J709" t="inlineStr">
        <is>
          <t>https://docs.vantage.sh/cost_recommendations</t>
        </is>
      </c>
      <c r="K709" t="inlineStr">
        <is>
          <t>2026-09-16</t>
        </is>
      </c>
      <c r="L709" s="2" t="inlineStr"/>
    </row>
    <row r="710">
      <c r="A710" t="inlineStr">
        <is>
          <t>E2</t>
        </is>
      </c>
      <c r="B710" t="inlineStr">
        <is>
          <t>Multicloud</t>
        </is>
      </c>
      <c r="C710" t="inlineStr">
        <is>
          <t>Vantage</t>
        </is>
      </c>
      <c r="D710" t="inlineStr">
        <is>
          <t>Automatizacion</t>
        </is>
      </c>
      <c r="E710" t="inlineStr">
        <is>
          <t>AU1</t>
        </is>
      </c>
      <c r="F710" s="2" t="inlineStr">
        <is>
          <t>¿Ejecuta o bloquea acciones/políticas de costo con control verificable?</t>
        </is>
      </c>
      <c r="G710" t="n">
        <v>2</v>
      </c>
      <c r="H710" t="inlineStr">
        <is>
          <t>Oficial</t>
        </is>
      </c>
      <c r="I710" s="2" t="inlineStr">
        <is>
          <t>"Autopilot" habilita compra automatizada (opcional, desactivada por defecto) de Savings Plans de EC2/Fargate/Lambda; para RDS/ElastiCache/Redshift/OpenSearch/Aurora/DynamoDB/etc. solo genera recomendaciones.</t>
        </is>
      </c>
      <c r="J710" t="inlineStr">
        <is>
          <t>https://docs.vantage.sh/autopilot</t>
        </is>
      </c>
      <c r="K710" t="inlineStr">
        <is>
          <t>2026-09-16</t>
        </is>
      </c>
      <c r="L710" s="2" t="inlineStr"/>
    </row>
    <row r="711">
      <c r="A711" t="inlineStr">
        <is>
          <t>E2</t>
        </is>
      </c>
      <c r="B711" t="inlineStr">
        <is>
          <t>Multicloud</t>
        </is>
      </c>
      <c r="C711" t="inlineStr">
        <is>
          <t>Vantage</t>
        </is>
      </c>
      <c r="D711" t="inlineStr">
        <is>
          <t>Automatizacion</t>
        </is>
      </c>
      <c r="E711" t="inlineStr">
        <is>
          <t>AU2</t>
        </is>
      </c>
      <c r="F711" s="2" t="inlineStr">
        <is>
          <t>¿Ofrece aprobación, reversión, registro o límites antes de actuar?</t>
        </is>
      </c>
      <c r="G711" t="n">
        <v>2</v>
      </c>
      <c r="H711" t="inlineStr">
        <is>
          <t>Oficial</t>
        </is>
      </c>
      <c r="I711" s="2" t="inlineStr">
        <is>
          <t>Autopilot exige aprobación manual cuando la compra automática está desactivada ("Approve Purchase"), inicia la compra 24 h después de aprobada (ventana de cancelación), notifica a los account owners por correo y declara explícitamente que "nunca cambiará tu infraestructura subyacente"; se alinea a la política de devolución de 7 días de AWS.</t>
        </is>
      </c>
      <c r="J711" t="inlineStr">
        <is>
          <t>https://docs.vantage.sh/autopilot</t>
        </is>
      </c>
      <c r="K711" t="inlineStr">
        <is>
          <t>2026-09-16</t>
        </is>
      </c>
      <c r="L711" s="2" t="inlineStr"/>
    </row>
    <row r="712">
      <c r="A712" t="inlineStr">
        <is>
          <t>E2</t>
        </is>
      </c>
      <c r="B712" t="inlineStr">
        <is>
          <t>Multicloud</t>
        </is>
      </c>
      <c r="C712" t="inlineStr">
        <is>
          <t>Vantage</t>
        </is>
      </c>
      <c r="D712" t="inlineStr">
        <is>
          <t>Multicloud</t>
        </is>
      </c>
      <c r="E712" t="inlineStr">
        <is>
          <t>M1</t>
        </is>
      </c>
      <c r="F712" s="2" t="inlineStr">
        <is>
          <t>¿Consolida al menos dos proveedores bajo el mismo esquema declarado?</t>
        </is>
      </c>
      <c r="G712" t="n">
        <v>2</v>
      </c>
      <c r="H712" t="inlineStr">
        <is>
          <t>Oficial</t>
        </is>
      </c>
      <c r="I712" s="2" t="inlineStr">
        <is>
          <t>La plataforma integra de forma nativa AWS (rol IAM de solo lectura), Azure (pay-as-you-go/MCA/EA/CSP), GCP y Kubernetes dentro de los mismos Cost Reports.</t>
        </is>
      </c>
      <c r="J712" t="inlineStr">
        <is>
          <t>https://docs.vantage.sh/getting_started/</t>
        </is>
      </c>
      <c r="K712" t="inlineStr">
        <is>
          <t>2026-09-16</t>
        </is>
      </c>
      <c r="L712" s="2" t="inlineStr"/>
    </row>
    <row r="713">
      <c r="A713" t="inlineStr">
        <is>
          <t>E2</t>
        </is>
      </c>
      <c r="B713" t="inlineStr">
        <is>
          <t>Multicloud</t>
        </is>
      </c>
      <c r="C713" t="inlineStr">
        <is>
          <t>Vantage</t>
        </is>
      </c>
      <c r="D713" t="inlineStr">
        <is>
          <t>Multicloud</t>
        </is>
      </c>
      <c r="E713" t="inlineStr">
        <is>
          <t>M2</t>
        </is>
      </c>
      <c r="F713" s="2" t="inlineStr">
        <is>
          <t>¿Hace visibles proveedor, cobertura y diferencias semánticas?</t>
        </is>
      </c>
      <c r="G713" t="n">
        <v>2</v>
      </c>
      <c r="H713" t="inlineStr">
        <is>
          <t>Oficial</t>
        </is>
      </c>
      <c r="I713" s="2" t="inlineStr">
        <is>
          <t>Las diferencias semánticas entre proveedores se hacen explícitas y se normalizan: «Vantage normalizes Usage Unit labels in the console for consistent spelling and capitalization. For example, Vantage standardized Hours, hrs, Hrs, and hours to Hours», y se aplica un esquema de etiquetas normalizado por proveedor para costos de IA. La cobertura se declara de forma explícita —la lista de proveedores soportados para reporte por uso está enumerada en la documentación— y los no soportados se canalizan por Custom Providers: «you can upload costs from providers that don't expose billing APIs, aren't yet supported by Vantage, or originate from custom systems». El límite de cobertura queda visible, que es lo que mide M2.</t>
        </is>
      </c>
      <c r="J713" t="inlineStr">
        <is>
          <t>https://docs.vantage.sh/usage_based_reporting ; https://docs.vantage.sh/connecting_custom_providers ; https://docs.vantage.sh/data_dictionary</t>
        </is>
      </c>
      <c r="K713" t="inlineStr">
        <is>
          <t>2026-09-16</t>
        </is>
      </c>
      <c r="L713" s="2" t="inlineStr">
        <is>
          <t>Investigación E2 FP-180 (2026-09-16): celda completada con evidencia propia del escenario, verificada contra documentación oficial.</t>
        </is>
      </c>
    </row>
    <row r="714">
      <c r="A714" t="inlineStr">
        <is>
          <t>E2</t>
        </is>
      </c>
      <c r="B714" t="inlineStr">
        <is>
          <t>Multicloud</t>
        </is>
      </c>
      <c r="C714" t="inlineStr">
        <is>
          <t>Vantage</t>
        </is>
      </c>
      <c r="D714" t="inlineStr">
        <is>
          <t>Integracion</t>
        </is>
      </c>
      <c r="E714" t="inlineStr">
        <is>
          <t>I1</t>
        </is>
      </c>
      <c r="F714" s="2" t="inlineStr">
        <is>
          <t>¿Integra datos requeridos (facturación, uso, clúster o IaC) del escenario?</t>
        </is>
      </c>
      <c r="G714" t="n">
        <v>2</v>
      </c>
      <c r="H714" t="inlineStr">
        <is>
          <t>Oficial</t>
        </is>
      </c>
      <c r="I714" s="2" t="inlineStr">
        <is>
          <t>Conectores definidos y documentados: rol IAM de solo lectura entre cuentas para AWS, soporte de los modelos de facturación de Azure, integración con GCP vía BigQuery export y un agente de Kubernetes.</t>
        </is>
      </c>
      <c r="J714" t="inlineStr">
        <is>
          <t>https://docs.vantage.sh/getting_started/</t>
        </is>
      </c>
      <c r="K714" t="inlineStr">
        <is>
          <t>2026-09-16</t>
        </is>
      </c>
      <c r="L714" s="2" t="inlineStr"/>
    </row>
    <row r="715">
      <c r="A715" t="inlineStr">
        <is>
          <t>E2</t>
        </is>
      </c>
      <c r="B715" t="inlineStr">
        <is>
          <t>Multicloud</t>
        </is>
      </c>
      <c r="C715" t="inlineStr">
        <is>
          <t>Vantage</t>
        </is>
      </c>
      <c r="D715" t="inlineStr">
        <is>
          <t>Integracion</t>
        </is>
      </c>
      <c r="E715" t="inlineStr">
        <is>
          <t>I2</t>
        </is>
      </c>
      <c r="F715" s="2" t="inlineStr">
        <is>
          <t>¿Se integra con el flujo de trabajo relevante (alerta, ticket, CI/CD o reporte)?</t>
        </is>
      </c>
      <c r="G715" t="n">
        <v>2</v>
      </c>
      <c r="H715" t="inlineStr">
        <is>
          <t>Oficial</t>
        </is>
      </c>
      <c r="I715" s="2" t="inlineStr">
        <is>
          <t>La integración con Jira crea automáticamente tickets a partir de Cost Anomalies, Budget Alerts, Cost Alerts y Resource Reports, y sincroniza el estado (To Do/In Progress/Done) diariamente dentro de Vantage.</t>
        </is>
      </c>
      <c r="J715" t="inlineStr">
        <is>
          <t>https://docs.vantage.sh/jira</t>
        </is>
      </c>
      <c r="K715" t="inlineStr">
        <is>
          <t>2026-09-16</t>
        </is>
      </c>
      <c r="L715" s="2" t="inlineStr"/>
    </row>
    <row r="716">
      <c r="A716" t="inlineStr">
        <is>
          <t>E2</t>
        </is>
      </c>
      <c r="B716" t="inlineStr">
        <is>
          <t>Multicloud</t>
        </is>
      </c>
      <c r="C716" t="inlineStr">
        <is>
          <t>Vantage</t>
        </is>
      </c>
      <c r="D716" t="inlineStr">
        <is>
          <t>Adopcion</t>
        </is>
      </c>
      <c r="E716" t="inlineStr">
        <is>
          <t>AD1</t>
        </is>
      </c>
      <c r="F716" s="2" t="inlineStr">
        <is>
          <t>¿Soporta acceso/entrega para los roles del escenario?</t>
        </is>
      </c>
      <c r="G716" t="n">
        <v>2</v>
      </c>
      <c r="H716" t="inlineStr">
        <is>
          <t>Oficial</t>
        </is>
      </c>
      <c r="I716" s="2" t="inlineStr">
        <is>
          <t>Existen roles definidos (Organization Owner, Integration Owner, entre otros) con control de acceso basado en roles (RBAC) documentado.</t>
        </is>
      </c>
      <c r="J716" t="inlineStr">
        <is>
          <t>https://docs.vantage.sh/permissions_gcp</t>
        </is>
      </c>
      <c r="K716" t="inlineStr">
        <is>
          <t>2026-09-16</t>
        </is>
      </c>
      <c r="L716" s="2" t="inlineStr"/>
    </row>
    <row r="717">
      <c r="A717" t="inlineStr">
        <is>
          <t>E2</t>
        </is>
      </c>
      <c r="B717" t="inlineStr">
        <is>
          <t>Multicloud</t>
        </is>
      </c>
      <c r="C717" t="inlineStr">
        <is>
          <t>Vantage</t>
        </is>
      </c>
      <c r="D717" t="inlineStr">
        <is>
          <t>Adopcion</t>
        </is>
      </c>
      <c r="E717" t="inlineStr">
        <is>
          <t>AD2</t>
        </is>
      </c>
      <c r="F717" s="2" t="inlineStr">
        <is>
          <t>¿Ofrece guías, ownership o mecanismos de seguimiento para uso sostenido?</t>
        </is>
      </c>
      <c r="G717" t="n">
        <v>2</v>
      </c>
      <c r="H717" t="inlineStr">
        <is>
          <t>Oficial</t>
        </is>
      </c>
      <c r="I717" s="2" t="inlineStr">
        <is>
          <t>Habilitación documentada por rol en Vantage University, con rutas para FinOps Analyst, Developers y Finance Managers, y una ruta específica de asignación de costos. El ownership se sostiene en segmentos jerárquicos: los segmentos de asignación «let you create hierarchical structures for your costs, mapping them to various organizational entities, such as business units, teams, or services», con jerarquías anidadas por equipo y subequipo. Proceso y guía definidos; sin evidencia de adopción medida para 3.</t>
        </is>
      </c>
      <c r="J717" t="inlineStr">
        <is>
          <t>https://docs.vantage.sh/vantage_university ; https://docs.vantage.sh/vantage_university_cost_allocation ; https://docs.vantage.sh/segments</t>
        </is>
      </c>
      <c r="K717" t="inlineStr">
        <is>
          <t>2026-09-16</t>
        </is>
      </c>
      <c r="L717" s="2" t="inlineStr">
        <is>
          <t>Investigación E2 FP-180 (2026-09-16): celda completada con evidencia propia del escenario, verificada contra documentación oficial.</t>
        </is>
      </c>
    </row>
    <row r="718">
      <c r="A718" t="inlineStr">
        <is>
          <t>E2</t>
        </is>
      </c>
      <c r="B718" t="inlineStr">
        <is>
          <t>Multicloud</t>
        </is>
      </c>
      <c r="C718" t="inlineStr">
        <is>
          <t>Vantage</t>
        </is>
      </c>
      <c r="D718" t="inlineStr">
        <is>
          <t>Precio</t>
        </is>
      </c>
      <c r="E718" t="inlineStr">
        <is>
          <t>P1</t>
        </is>
      </c>
      <c r="F718" s="2" t="inlineStr">
        <is>
          <t>¿Expone precio, moneda, región, unidad, período y supuestos relevantes?</t>
        </is>
      </c>
      <c r="G718" t="inlineStr">
        <is>
          <t>NE</t>
        </is>
      </c>
      <c r="H718" t="inlineStr">
        <is>
          <t>Pendiente</t>
        </is>
      </c>
      <c r="I718" s="2" t="inlineStr">
        <is>
          <t>No se encontró evidencia específica de transparencia de supuestos de precio (moneda/región/período) en las páginas revisadas.</t>
        </is>
      </c>
      <c r="K718" t="inlineStr">
        <is>
          <t>2026-09-16</t>
        </is>
      </c>
      <c r="L718" s="2" t="inlineStr"/>
    </row>
    <row r="719">
      <c r="A719" t="inlineStr">
        <is>
          <t>E2</t>
        </is>
      </c>
      <c r="B719" t="inlineStr">
        <is>
          <t>Multicloud</t>
        </is>
      </c>
      <c r="C719" t="inlineStr">
        <is>
          <t>Vantage</t>
        </is>
      </c>
      <c r="D719" t="inlineStr">
        <is>
          <t>Precio</t>
        </is>
      </c>
      <c r="E719" t="inlineStr">
        <is>
          <t>P2</t>
        </is>
      </c>
      <c r="F719" s="2" t="inlineStr">
        <is>
          <t>¿Permite estimar o comparar componentes sin ocultar límites de equivalencia?</t>
        </is>
      </c>
      <c r="G719" t="inlineStr">
        <is>
          <t>NE</t>
        </is>
      </c>
      <c r="H719" t="inlineStr">
        <is>
          <t>Pendiente</t>
        </is>
      </c>
      <c r="I719" s="2" t="inlineStr">
        <is>
          <t>No se encontró evidencia de una función de comparación/estimación de precio contextual en las páginas revisadas.</t>
        </is>
      </c>
      <c r="K719" t="inlineStr">
        <is>
          <t>2026-09-16</t>
        </is>
      </c>
      <c r="L719" s="2" t="inlineStr"/>
    </row>
    <row r="720">
      <c r="A720" t="inlineStr">
        <is>
          <t>E2</t>
        </is>
      </c>
      <c r="B720" t="inlineStr">
        <is>
          <t>Multicloud</t>
        </is>
      </c>
      <c r="C720" t="inlineStr">
        <is>
          <t>Vantage</t>
        </is>
      </c>
      <c r="D720" t="inlineStr">
        <is>
          <t>Dependencia</t>
        </is>
      </c>
      <c r="E720" t="inlineStr">
        <is>
          <t>D1</t>
        </is>
      </c>
      <c r="F720" s="2" t="inlineStr">
        <is>
          <t>¿Exporta datos/resultados en formato utilizable y documentado?</t>
        </is>
      </c>
      <c r="G720" t="inlineStr">
        <is>
          <t>NE</t>
        </is>
      </c>
      <c r="H720" t="inlineStr">
        <is>
          <t>Pendiente</t>
        </is>
      </c>
      <c r="I720" s="2" t="inlineStr">
        <is>
          <t>Se identificó el anuncio de un "Recommendations API Endpoint", pero no se verificó contra documentación técnica una función general de exportación de datos de costo (evidencia insuficiente para puntuar).</t>
        </is>
      </c>
      <c r="K720" t="inlineStr">
        <is>
          <t>2026-09-16</t>
        </is>
      </c>
      <c r="L720" s="2" t="inlineStr"/>
    </row>
    <row r="721">
      <c r="A721" t="inlineStr">
        <is>
          <t>E2</t>
        </is>
      </c>
      <c r="B721" t="inlineStr">
        <is>
          <t>Multicloud</t>
        </is>
      </c>
      <c r="C721" t="inlineStr">
        <is>
          <t>Vantage</t>
        </is>
      </c>
      <c r="D721" t="inlineStr">
        <is>
          <t>Dependencia</t>
        </is>
      </c>
      <c r="E721" t="inlineStr">
        <is>
          <t>D2</t>
        </is>
      </c>
      <c r="F721" s="2" t="inlineStr">
        <is>
          <t>¿Documenta dependencias propietarias y un camino de salida/configuración reversible?</t>
        </is>
      </c>
      <c r="G721" t="inlineStr">
        <is>
          <t>NE</t>
        </is>
      </c>
      <c r="H721" t="inlineStr">
        <is>
          <t>Pendiente</t>
        </is>
      </c>
      <c r="I721" s="2" t="inlineStr">
        <is>
          <t>No se encontró documentación sobre un camino de salida o reversibilidad de la configuración.</t>
        </is>
      </c>
      <c r="K721" t="inlineStr">
        <is>
          <t>2026-09-16</t>
        </is>
      </c>
      <c r="L721" s="2" t="inlineStr"/>
    </row>
    <row r="722">
      <c r="A722" t="inlineStr">
        <is>
          <t>E5</t>
        </is>
      </c>
      <c r="B722" t="inlineStr">
        <is>
          <t>Multicloud</t>
        </is>
      </c>
      <c r="C722" t="inlineStr">
        <is>
          <t>Vantage</t>
        </is>
      </c>
      <c r="D722" t="inlineStr">
        <is>
          <t>Visibilidad</t>
        </is>
      </c>
      <c r="E722" t="inlineStr">
        <is>
          <t>V1</t>
        </is>
      </c>
      <c r="F722" s="2" t="inlineStr">
        <is>
          <t>¿Desagrega costo y uso por cuenta/proyecto, servicio y período?</t>
        </is>
      </c>
      <c r="G722" t="inlineStr">
        <is>
          <t>NE</t>
        </is>
      </c>
      <c r="H722" t="inlineStr">
        <is>
          <t>Pendiente</t>
        </is>
      </c>
      <c r="I722" s="2" t="inlineStr">
        <is>
          <t>"Cost Reports" permite crear reportes con filtros y rangos de fecha personalizables; el "Overview" ofrece un resumen ejecutivo de las métricas de costo principales.</t>
        </is>
      </c>
      <c r="J722" t="inlineStr">
        <is>
          <t>https://docs.vantage.sh/getting_started/</t>
        </is>
      </c>
      <c r="K722" t="inlineStr">
        <is>
          <t>2026-09-16</t>
        </is>
      </c>
      <c r="L722" s="2" t="inlineStr">
        <is>
          <t>Celda heredada FP-180 (2026-09-16): el valor 2 proviene de la investigacion del escenario E2 y no cuenta con evidencia propia de E5. Segun FP-177 el indicador V1 depende del escenario, por lo que pasa a NE (no evidenciado, reduce cobertura) hasta investigarlo. La evidencia y la fuente originales se conservan como referencia del escenario de origen.</t>
        </is>
      </c>
    </row>
    <row r="723">
      <c r="A723" t="inlineStr">
        <is>
          <t>E5</t>
        </is>
      </c>
      <c r="B723" t="inlineStr">
        <is>
          <t>Multicloud</t>
        </is>
      </c>
      <c r="C723" t="inlineStr">
        <is>
          <t>Vantage</t>
        </is>
      </c>
      <c r="D723" t="inlineStr">
        <is>
          <t>Visibilidad</t>
        </is>
      </c>
      <c r="E723" t="inlineStr">
        <is>
          <t>V2</t>
        </is>
      </c>
      <c r="F723" s="2" t="inlineStr">
        <is>
          <t>¿Permite rastrear un total hasta registros o fuente de facturación?</t>
        </is>
      </c>
      <c r="G723" t="n">
        <v>2</v>
      </c>
      <c r="H723" t="inlineStr">
        <is>
          <t>Oficial</t>
        </is>
      </c>
      <c r="I723" s="2" t="inlineStr">
        <is>
          <t>El informe de costos permite descender del total al detalle: «Within the table below the graph, you can drill down into your report to create precise filtering and grouping views». El Data Dictionary documenta los campos del dato de costo y VQL (Vantage Query Language) permite consultas reproducibles sobre ellos. La procedencia queda marcada en el propio registro: para proveedores soportados «Vantage tags every row with an [...] billing_source value [...] so you can filter, group, and allocate costs by data source».</t>
        </is>
      </c>
      <c r="J723" t="inlineStr">
        <is>
          <t>https://docs.vantage.sh/cost_reports ; https://docs.vantage.sh/data_dictionary ; https://docs.vantage.sh/vql</t>
        </is>
      </c>
      <c r="K723" t="inlineStr">
        <is>
          <t>2026-09-16</t>
        </is>
      </c>
      <c r="L723" s="2" t="inlineStr">
        <is>
          <t>Investigación E2 FP-180 (2026-09-16): celda completada con evidencia propia del escenario, verificada contra documentación oficial.</t>
        </is>
      </c>
    </row>
    <row r="724">
      <c r="A724" t="inlineStr">
        <is>
          <t>E5</t>
        </is>
      </c>
      <c r="B724" t="inlineStr">
        <is>
          <t>Multicloud</t>
        </is>
      </c>
      <c r="C724" t="inlineStr">
        <is>
          <t>Vantage</t>
        </is>
      </c>
      <c r="D724" t="inlineStr">
        <is>
          <t>Asignacion</t>
        </is>
      </c>
      <c r="E724" t="inlineStr">
        <is>
          <t>A1</t>
        </is>
      </c>
      <c r="F724" s="2" t="inlineStr">
        <is>
          <t>¿Calcula gasto asignado/no asignado por responsable, centro o entidad?</t>
        </is>
      </c>
      <c r="G724" t="inlineStr">
        <is>
          <t>NE</t>
        </is>
      </c>
      <c r="H724" t="inlineStr">
        <is>
          <t>Pendiente</t>
        </is>
      </c>
      <c r="I724" s="2" t="inlineStr">
        <is>
          <t>"Cost Allocation Segments" crea estructuras jerárquicas que mapean el costo a unidades de negocio/equipos/servicios y "identifican costos no asignados", garantizando que cada costo se asigne una sola vez (evita duplicación en showback/chargeback).</t>
        </is>
      </c>
      <c r="J724" t="inlineStr">
        <is>
          <t>https://docs.vantage.sh/vantage_university_cost_allocation</t>
        </is>
      </c>
      <c r="K724" t="inlineStr">
        <is>
          <t>2026-09-16</t>
        </is>
      </c>
      <c r="L724" s="2" t="inlineStr">
        <is>
          <t>Celda heredada FP-180 (2026-09-16): el valor 2 proviene de la investigacion del escenario E2 y no cuenta con evidencia propia de E5. Segun FP-177 el indicador A1 depende del escenario, por lo que pasa a NE (no evidenciado, reduce cobertura) hasta investigarlo. La evidencia y la fuente originales se conservan como referencia del escenario de origen.</t>
        </is>
      </c>
    </row>
    <row r="725">
      <c r="A725" t="inlineStr">
        <is>
          <t>E5</t>
        </is>
      </c>
      <c r="B725" t="inlineStr">
        <is>
          <t>Multicloud</t>
        </is>
      </c>
      <c r="C725" t="inlineStr">
        <is>
          <t>Vantage</t>
        </is>
      </c>
      <c r="D725" t="inlineStr">
        <is>
          <t>Asignacion</t>
        </is>
      </c>
      <c r="E725" t="inlineStr">
        <is>
          <t>A2</t>
        </is>
      </c>
      <c r="F725" s="2" t="inlineStr">
        <is>
          <t>¿Explicita y aplica reglas para costo compartido/multi-tenant?</t>
        </is>
      </c>
      <c r="G725" t="inlineStr">
        <is>
          <t>NE</t>
        </is>
      </c>
      <c r="H725" t="inlineStr">
        <is>
          <t>Pendiente</t>
        </is>
      </c>
      <c r="I725" s="2" t="inlineStr">
        <is>
          <t>La documentación confirma que existen Segments para costo compartido, pero no detalla el mecanismo específico de reparto (porcentual, proporcional u otro) con el nivel de detalle que exige este indicador.</t>
        </is>
      </c>
      <c r="K725" t="inlineStr">
        <is>
          <t>2026-09-16</t>
        </is>
      </c>
      <c r="L725" s="2" t="inlineStr"/>
    </row>
    <row r="726">
      <c r="A726" t="inlineStr">
        <is>
          <t>E5</t>
        </is>
      </c>
      <c r="B726" t="inlineStr">
        <is>
          <t>Multicloud</t>
        </is>
      </c>
      <c r="C726" t="inlineStr">
        <is>
          <t>Vantage</t>
        </is>
      </c>
      <c r="D726" t="inlineStr">
        <is>
          <t>Optimizacion</t>
        </is>
      </c>
      <c r="E726" t="inlineStr">
        <is>
          <t>O1</t>
        </is>
      </c>
      <c r="F726" s="2" t="inlineStr">
        <is>
          <t>¿Detecta desperdicio, rightsizing o compromiso relevante al escenario?</t>
        </is>
      </c>
      <c r="G726" t="inlineStr">
        <is>
          <t>NE</t>
        </is>
      </c>
      <c r="H726" t="inlineStr">
        <is>
          <t>Pendiente</t>
        </is>
      </c>
      <c r="I726" s="2" t="inlineStr">
        <is>
          <t>"Cost Recommendations" cubre rightsizing, recursos inactivos y compromisos financieros (RI/Savings Plans/CUD) para AWS, Azure, GCP, Datadog, Cloudflare y Kubernetes.</t>
        </is>
      </c>
      <c r="J726" t="inlineStr">
        <is>
          <t>https://docs.vantage.sh/cost_recommendations</t>
        </is>
      </c>
      <c r="K726" t="inlineStr">
        <is>
          <t>2026-09-16</t>
        </is>
      </c>
      <c r="L726" s="2" t="inlineStr">
        <is>
          <t>Celda heredada FP-180 (2026-09-16): el valor 2 proviene de la investigacion del escenario E2 y no cuenta con evidencia propia de E5. Segun FP-177 el indicador O1 depende del escenario, por lo que pasa a NE (no evidenciado, reduce cobertura) hasta investigarlo. La evidencia y la fuente originales se conservan como referencia del escenario de origen.</t>
        </is>
      </c>
    </row>
    <row r="727">
      <c r="A727" t="inlineStr">
        <is>
          <t>E5</t>
        </is>
      </c>
      <c r="B727" t="inlineStr">
        <is>
          <t>Multicloud</t>
        </is>
      </c>
      <c r="C727" t="inlineStr">
        <is>
          <t>Vantage</t>
        </is>
      </c>
      <c r="D727" t="inlineStr">
        <is>
          <t>Optimizacion</t>
        </is>
      </c>
      <c r="E727" t="inlineStr">
        <is>
          <t>O2</t>
        </is>
      </c>
      <c r="F727" s="2" t="inlineStr">
        <is>
          <t>¿Explica supuesto/impacto y permite seguir una recomendación?</t>
        </is>
      </c>
      <c r="G727" t="n">
        <v>2</v>
      </c>
      <c r="H727" t="inlineStr">
        <is>
          <t>Oficial</t>
        </is>
      </c>
      <c r="I727" s="2" t="inlineStr">
        <is>
          <t>Un widget de "Potential Savings" y "Savings Rate" cuantifica el ahorro, y las recomendaciones se siguen a través de estados (Ready for Review, In Progress, Completed, Archived).</t>
        </is>
      </c>
      <c r="J727" t="inlineStr">
        <is>
          <t>https://docs.vantage.sh/cost_recommendations</t>
        </is>
      </c>
      <c r="K727" t="inlineStr">
        <is>
          <t>2026-09-16</t>
        </is>
      </c>
      <c r="L727" s="2" t="inlineStr"/>
    </row>
    <row r="728">
      <c r="A728" t="inlineStr">
        <is>
          <t>E5</t>
        </is>
      </c>
      <c r="B728" t="inlineStr">
        <is>
          <t>Multicloud</t>
        </is>
      </c>
      <c r="C728" t="inlineStr">
        <is>
          <t>Vantage</t>
        </is>
      </c>
      <c r="D728" t="inlineStr">
        <is>
          <t>Automatizacion</t>
        </is>
      </c>
      <c r="E728" t="inlineStr">
        <is>
          <t>AU1</t>
        </is>
      </c>
      <c r="F728" s="2" t="inlineStr">
        <is>
          <t>¿Ejecuta o bloquea acciones/políticas de costo con control verificable?</t>
        </is>
      </c>
      <c r="G728" t="inlineStr">
        <is>
          <t>NE</t>
        </is>
      </c>
      <c r="H728" t="inlineStr">
        <is>
          <t>Pendiente</t>
        </is>
      </c>
      <c r="I728" s="2" t="inlineStr">
        <is>
          <t>"Autopilot" habilita compra automatizada (opcional, desactivada por defecto) de Savings Plans de EC2/Fargate/Lambda; para RDS/ElastiCache/Redshift/OpenSearch/Aurora/DynamoDB/etc. solo genera recomendaciones.</t>
        </is>
      </c>
      <c r="J728" t="inlineStr">
        <is>
          <t>https://docs.vantage.sh/autopilot</t>
        </is>
      </c>
      <c r="K728" t="inlineStr">
        <is>
          <t>2026-09-16</t>
        </is>
      </c>
      <c r="L728" s="2" t="inlineStr">
        <is>
          <t>Celda heredada FP-180 (2026-09-16): el valor 2 proviene de la investigacion del escenario E2 y no cuenta con evidencia propia de E5. Segun FP-177 el indicador AU1 depende del escenario, por lo que pasa a NE (no evidenciado, reduce cobertura) hasta investigarlo. La evidencia y la fuente originales se conservan como referencia del escenario de origen.</t>
        </is>
      </c>
    </row>
    <row r="729">
      <c r="A729" t="inlineStr">
        <is>
          <t>E5</t>
        </is>
      </c>
      <c r="B729" t="inlineStr">
        <is>
          <t>Multicloud</t>
        </is>
      </c>
      <c r="C729" t="inlineStr">
        <is>
          <t>Vantage</t>
        </is>
      </c>
      <c r="D729" t="inlineStr">
        <is>
          <t>Automatizacion</t>
        </is>
      </c>
      <c r="E729" t="inlineStr">
        <is>
          <t>AU2</t>
        </is>
      </c>
      <c r="F729" s="2" t="inlineStr">
        <is>
          <t>¿Ofrece aprobación, reversión, registro o límites antes de actuar?</t>
        </is>
      </c>
      <c r="G729" t="n">
        <v>2</v>
      </c>
      <c r="H729" t="inlineStr">
        <is>
          <t>Oficial</t>
        </is>
      </c>
      <c r="I729" s="2" t="inlineStr">
        <is>
          <t>Autopilot exige aprobación manual cuando la compra automática está desactivada ("Approve Purchase"), inicia la compra 24 h después de aprobada (ventana de cancelación), notifica a los account owners por correo y declara explícitamente que "nunca cambiará tu infraestructura subyacente"; se alinea a la política de devolución de 7 días de AWS.</t>
        </is>
      </c>
      <c r="J729" t="inlineStr">
        <is>
          <t>https://docs.vantage.sh/autopilot</t>
        </is>
      </c>
      <c r="K729" t="inlineStr">
        <is>
          <t>2026-09-16</t>
        </is>
      </c>
      <c r="L729" s="2" t="inlineStr"/>
    </row>
    <row r="730">
      <c r="A730" t="inlineStr">
        <is>
          <t>E5</t>
        </is>
      </c>
      <c r="B730" t="inlineStr">
        <is>
          <t>Multicloud</t>
        </is>
      </c>
      <c r="C730" t="inlineStr">
        <is>
          <t>Vantage</t>
        </is>
      </c>
      <c r="D730" t="inlineStr">
        <is>
          <t>Multicloud</t>
        </is>
      </c>
      <c r="E730" t="inlineStr">
        <is>
          <t>M1</t>
        </is>
      </c>
      <c r="F730" s="2" t="inlineStr">
        <is>
          <t>¿Consolida al menos dos proveedores bajo el mismo esquema declarado?</t>
        </is>
      </c>
      <c r="G730" t="n">
        <v>2</v>
      </c>
      <c r="H730" t="inlineStr">
        <is>
          <t>Oficial</t>
        </is>
      </c>
      <c r="I730" s="2" t="inlineStr">
        <is>
          <t>La plataforma integra de forma nativa AWS (rol IAM de solo lectura), Azure (pay-as-you-go/MCA/EA/CSP), GCP y Kubernetes dentro de los mismos Cost Reports.</t>
        </is>
      </c>
      <c r="J730" t="inlineStr">
        <is>
          <t>https://docs.vantage.sh/getting_started/</t>
        </is>
      </c>
      <c r="K730" t="inlineStr">
        <is>
          <t>2026-09-16</t>
        </is>
      </c>
      <c r="L730" s="2" t="inlineStr"/>
    </row>
    <row r="731">
      <c r="A731" t="inlineStr">
        <is>
          <t>E5</t>
        </is>
      </c>
      <c r="B731" t="inlineStr">
        <is>
          <t>Multicloud</t>
        </is>
      </c>
      <c r="C731" t="inlineStr">
        <is>
          <t>Vantage</t>
        </is>
      </c>
      <c r="D731" t="inlineStr">
        <is>
          <t>Multicloud</t>
        </is>
      </c>
      <c r="E731" t="inlineStr">
        <is>
          <t>M2</t>
        </is>
      </c>
      <c r="F731" s="2" t="inlineStr">
        <is>
          <t>¿Hace visibles proveedor, cobertura y diferencias semánticas?</t>
        </is>
      </c>
      <c r="G731" t="n">
        <v>2</v>
      </c>
      <c r="H731" t="inlineStr">
        <is>
          <t>Oficial</t>
        </is>
      </c>
      <c r="I731" s="2" t="inlineStr">
        <is>
          <t>Las diferencias semánticas entre proveedores se hacen explícitas y se normalizan: «Vantage normalizes Usage Unit labels in the console for consistent spelling and capitalization. For example, Vantage standardized Hours, hrs, Hrs, and hours to Hours», y se aplica un esquema de etiquetas normalizado por proveedor para costos de IA. La cobertura se declara de forma explícita —la lista de proveedores soportados para reporte por uso está enumerada en la documentación— y los no soportados se canalizan por Custom Providers: «you can upload costs from providers that don't expose billing APIs, aren't yet supported by Vantage, or originate from custom systems». El límite de cobertura queda visible, que es lo que mide M2.</t>
        </is>
      </c>
      <c r="J731" t="inlineStr">
        <is>
          <t>https://docs.vantage.sh/usage_based_reporting ; https://docs.vantage.sh/connecting_custom_providers ; https://docs.vantage.sh/data_dictionary</t>
        </is>
      </c>
      <c r="K731" t="inlineStr">
        <is>
          <t>2026-09-16</t>
        </is>
      </c>
      <c r="L731" s="2" t="inlineStr">
        <is>
          <t>Investigación E2 FP-180 (2026-09-16): celda completada con evidencia propia del escenario, verificada contra documentación oficial.</t>
        </is>
      </c>
    </row>
    <row r="732">
      <c r="A732" t="inlineStr">
        <is>
          <t>E5</t>
        </is>
      </c>
      <c r="B732" t="inlineStr">
        <is>
          <t>Multicloud</t>
        </is>
      </c>
      <c r="C732" t="inlineStr">
        <is>
          <t>Vantage</t>
        </is>
      </c>
      <c r="D732" t="inlineStr">
        <is>
          <t>Integracion</t>
        </is>
      </c>
      <c r="E732" t="inlineStr">
        <is>
          <t>I1</t>
        </is>
      </c>
      <c r="F732" s="2" t="inlineStr">
        <is>
          <t>¿Integra datos requeridos (facturación, uso, clúster o IaC) del escenario?</t>
        </is>
      </c>
      <c r="G732" t="inlineStr">
        <is>
          <t>NE</t>
        </is>
      </c>
      <c r="H732" t="inlineStr">
        <is>
          <t>Pendiente</t>
        </is>
      </c>
      <c r="I732" s="2" t="inlineStr">
        <is>
          <t>Conectores definidos y documentados: rol IAM de solo lectura entre cuentas para AWS, soporte de los modelos de facturación de Azure, integración con GCP vía BigQuery export y un agente de Kubernetes.</t>
        </is>
      </c>
      <c r="J732" t="inlineStr">
        <is>
          <t>https://docs.vantage.sh/getting_started/</t>
        </is>
      </c>
      <c r="K732" t="inlineStr">
        <is>
          <t>2026-09-16</t>
        </is>
      </c>
      <c r="L732" s="2" t="inlineStr">
        <is>
          <t>Celda heredada FP-180 (2026-09-16): el valor 2 proviene de la investigacion del escenario E2 y no cuenta con evidencia propia de E5. Segun FP-177 el indicador I1 depende del escenario, por lo que pasa a NE (no evidenciado, reduce cobertura) hasta investigarlo. La evidencia y la fuente originales se conservan como referencia del escenario de origen.</t>
        </is>
      </c>
    </row>
    <row r="733">
      <c r="A733" t="inlineStr">
        <is>
          <t>E5</t>
        </is>
      </c>
      <c r="B733" t="inlineStr">
        <is>
          <t>Multicloud</t>
        </is>
      </c>
      <c r="C733" t="inlineStr">
        <is>
          <t>Vantage</t>
        </is>
      </c>
      <c r="D733" t="inlineStr">
        <is>
          <t>Integracion</t>
        </is>
      </c>
      <c r="E733" t="inlineStr">
        <is>
          <t>I2</t>
        </is>
      </c>
      <c r="F733" s="2" t="inlineStr">
        <is>
          <t>¿Se integra con el flujo de trabajo relevante (alerta, ticket, CI/CD o reporte)?</t>
        </is>
      </c>
      <c r="G733" t="inlineStr">
        <is>
          <t>NE</t>
        </is>
      </c>
      <c r="H733" t="inlineStr">
        <is>
          <t>Pendiente</t>
        </is>
      </c>
      <c r="I733" s="2" t="inlineStr">
        <is>
          <t>La integración con Jira crea automáticamente tickets a partir de Cost Anomalies, Budget Alerts, Cost Alerts y Resource Reports, y sincroniza el estado (To Do/In Progress/Done) diariamente dentro de Vantage.</t>
        </is>
      </c>
      <c r="J733" t="inlineStr">
        <is>
          <t>https://docs.vantage.sh/jira</t>
        </is>
      </c>
      <c r="K733" t="inlineStr">
        <is>
          <t>2026-09-16</t>
        </is>
      </c>
      <c r="L733" s="2" t="inlineStr">
        <is>
          <t>Celda heredada FP-180 (2026-09-16): el valor 2 proviene de la investigacion del escenario E2 y no cuenta con evidencia propia de E5. Segun FP-177 el indicador I2 depende del escenario, por lo que pasa a NE (no evidenciado, reduce cobertura) hasta investigarlo. La evidencia y la fuente originales se conservan como referencia del escenario de origen.</t>
        </is>
      </c>
    </row>
    <row r="734">
      <c r="A734" t="inlineStr">
        <is>
          <t>E5</t>
        </is>
      </c>
      <c r="B734" t="inlineStr">
        <is>
          <t>Multicloud</t>
        </is>
      </c>
      <c r="C734" t="inlineStr">
        <is>
          <t>Vantage</t>
        </is>
      </c>
      <c r="D734" t="inlineStr">
        <is>
          <t>Adopcion</t>
        </is>
      </c>
      <c r="E734" t="inlineStr">
        <is>
          <t>AD1</t>
        </is>
      </c>
      <c r="F734" s="2" t="inlineStr">
        <is>
          <t>¿Soporta acceso/entrega para los roles del escenario?</t>
        </is>
      </c>
      <c r="G734" t="inlineStr">
        <is>
          <t>NE</t>
        </is>
      </c>
      <c r="H734" t="inlineStr">
        <is>
          <t>Pendiente</t>
        </is>
      </c>
      <c r="I734" s="2" t="inlineStr">
        <is>
          <t>Existen roles definidos (Organization Owner, Integration Owner, entre otros) con control de acceso basado en roles (RBAC) documentado.</t>
        </is>
      </c>
      <c r="J734" t="inlineStr">
        <is>
          <t>https://docs.vantage.sh/permissions_gcp</t>
        </is>
      </c>
      <c r="K734" t="inlineStr">
        <is>
          <t>2026-09-16</t>
        </is>
      </c>
      <c r="L734" s="2" t="inlineStr">
        <is>
          <t>Celda heredada FP-180 (2026-09-16): el valor 2 proviene de la investigacion del escenario E2 y no cuenta con evidencia propia de E5. Segun FP-177 el indicador AD1 depende del escenario, por lo que pasa a NE (no evidenciado, reduce cobertura) hasta investigarlo. La evidencia y la fuente originales se conservan como referencia del escenario de origen.</t>
        </is>
      </c>
    </row>
    <row r="735">
      <c r="A735" t="inlineStr">
        <is>
          <t>E5</t>
        </is>
      </c>
      <c r="B735" t="inlineStr">
        <is>
          <t>Multicloud</t>
        </is>
      </c>
      <c r="C735" t="inlineStr">
        <is>
          <t>Vantage</t>
        </is>
      </c>
      <c r="D735" t="inlineStr">
        <is>
          <t>Adopcion</t>
        </is>
      </c>
      <c r="E735" t="inlineStr">
        <is>
          <t>AD2</t>
        </is>
      </c>
      <c r="F735" s="2" t="inlineStr">
        <is>
          <t>¿Ofrece guías, ownership o mecanismos de seguimiento para uso sostenido?</t>
        </is>
      </c>
      <c r="G735" t="n">
        <v>2</v>
      </c>
      <c r="H735" t="inlineStr">
        <is>
          <t>Oficial</t>
        </is>
      </c>
      <c r="I735" s="2" t="inlineStr">
        <is>
          <t>Habilitación documentada por rol en Vantage University, con rutas para FinOps Analyst, Developers y Finance Managers, y una ruta específica de asignación de costos. El ownership se sostiene en segmentos jerárquicos: los segmentos de asignación «let you create hierarchical structures for your costs, mapping them to various organizational entities, such as business units, teams, or services», con jerarquías anidadas por equipo y subequipo. Proceso y guía definidos; sin evidencia de adopción medida para 3.</t>
        </is>
      </c>
      <c r="J735" t="inlineStr">
        <is>
          <t>https://docs.vantage.sh/vantage_university ; https://docs.vantage.sh/vantage_university_cost_allocation ; https://docs.vantage.sh/segments</t>
        </is>
      </c>
      <c r="K735" t="inlineStr">
        <is>
          <t>2026-09-16</t>
        </is>
      </c>
      <c r="L735" s="2" t="inlineStr">
        <is>
          <t>Investigación E2 FP-180 (2026-09-16): celda completada con evidencia propia del escenario, verificada contra documentación oficial.</t>
        </is>
      </c>
    </row>
    <row r="736">
      <c r="A736" t="inlineStr">
        <is>
          <t>E5</t>
        </is>
      </c>
      <c r="B736" t="inlineStr">
        <is>
          <t>Multicloud</t>
        </is>
      </c>
      <c r="C736" t="inlineStr">
        <is>
          <t>Vantage</t>
        </is>
      </c>
      <c r="D736" t="inlineStr">
        <is>
          <t>Precio</t>
        </is>
      </c>
      <c r="E736" t="inlineStr">
        <is>
          <t>P1</t>
        </is>
      </c>
      <c r="F736" s="2" t="inlineStr">
        <is>
          <t>¿Expone precio, moneda, región, unidad, período y supuestos relevantes?</t>
        </is>
      </c>
      <c r="G736" t="inlineStr">
        <is>
          <t>NE</t>
        </is>
      </c>
      <c r="H736" t="inlineStr">
        <is>
          <t>Pendiente</t>
        </is>
      </c>
      <c r="I736" s="2" t="inlineStr">
        <is>
          <t>No se encontró evidencia específica de transparencia de supuestos de precio (moneda/región/período) en las páginas revisadas.</t>
        </is>
      </c>
      <c r="K736" t="inlineStr">
        <is>
          <t>2026-09-16</t>
        </is>
      </c>
      <c r="L736" s="2" t="inlineStr"/>
    </row>
    <row r="737">
      <c r="A737" t="inlineStr">
        <is>
          <t>E5</t>
        </is>
      </c>
      <c r="B737" t="inlineStr">
        <is>
          <t>Multicloud</t>
        </is>
      </c>
      <c r="C737" t="inlineStr">
        <is>
          <t>Vantage</t>
        </is>
      </c>
      <c r="D737" t="inlineStr">
        <is>
          <t>Precio</t>
        </is>
      </c>
      <c r="E737" t="inlineStr">
        <is>
          <t>P2</t>
        </is>
      </c>
      <c r="F737" s="2" t="inlineStr">
        <is>
          <t>¿Permite estimar o comparar componentes sin ocultar límites de equivalencia?</t>
        </is>
      </c>
      <c r="G737" t="inlineStr">
        <is>
          <t>NE</t>
        </is>
      </c>
      <c r="H737" t="inlineStr">
        <is>
          <t>Pendiente</t>
        </is>
      </c>
      <c r="I737" s="2" t="inlineStr">
        <is>
          <t>No se encontró evidencia de una función de comparación/estimación de precio contextual en las páginas revisadas.</t>
        </is>
      </c>
      <c r="K737" t="inlineStr">
        <is>
          <t>2026-09-16</t>
        </is>
      </c>
      <c r="L737" s="2" t="inlineStr"/>
    </row>
    <row r="738">
      <c r="A738" t="inlineStr">
        <is>
          <t>E5</t>
        </is>
      </c>
      <c r="B738" t="inlineStr">
        <is>
          <t>Multicloud</t>
        </is>
      </c>
      <c r="C738" t="inlineStr">
        <is>
          <t>Vantage</t>
        </is>
      </c>
      <c r="D738" t="inlineStr">
        <is>
          <t>Dependencia</t>
        </is>
      </c>
      <c r="E738" t="inlineStr">
        <is>
          <t>D1</t>
        </is>
      </c>
      <c r="F738" s="2" t="inlineStr">
        <is>
          <t>¿Exporta datos/resultados en formato utilizable y documentado?</t>
        </is>
      </c>
      <c r="G738" t="inlineStr">
        <is>
          <t>NE</t>
        </is>
      </c>
      <c r="H738" t="inlineStr">
        <is>
          <t>Pendiente</t>
        </is>
      </c>
      <c r="I738" s="2" t="inlineStr">
        <is>
          <t>Se identificó el anuncio de un "Recommendations API Endpoint", pero no se verificó contra documentación técnica una función general de exportación de datos de costo (evidencia insuficiente para puntuar).</t>
        </is>
      </c>
      <c r="K738" t="inlineStr">
        <is>
          <t>2026-09-16</t>
        </is>
      </c>
      <c r="L738" s="2" t="inlineStr"/>
    </row>
    <row r="739">
      <c r="A739" t="inlineStr">
        <is>
          <t>E5</t>
        </is>
      </c>
      <c r="B739" t="inlineStr">
        <is>
          <t>Multicloud</t>
        </is>
      </c>
      <c r="C739" t="inlineStr">
        <is>
          <t>Vantage</t>
        </is>
      </c>
      <c r="D739" t="inlineStr">
        <is>
          <t>Dependencia</t>
        </is>
      </c>
      <c r="E739" t="inlineStr">
        <is>
          <t>D2</t>
        </is>
      </c>
      <c r="F739" s="2" t="inlineStr">
        <is>
          <t>¿Documenta dependencias propietarias y un camino de salida/configuración reversible?</t>
        </is>
      </c>
      <c r="G739" t="inlineStr">
        <is>
          <t>NE</t>
        </is>
      </c>
      <c r="H739" t="inlineStr">
        <is>
          <t>Pendiente</t>
        </is>
      </c>
      <c r="I739" s="2" t="inlineStr">
        <is>
          <t>No se encontró documentación sobre un camino de salida o reversibilidad de la configuración.</t>
        </is>
      </c>
      <c r="K739" t="inlineStr">
        <is>
          <t>2026-09-16</t>
        </is>
      </c>
      <c r="L739" s="2" t="inlineStr"/>
    </row>
    <row r="740">
      <c r="A740" t="inlineStr">
        <is>
          <t>E6</t>
        </is>
      </c>
      <c r="B740" t="inlineStr">
        <is>
          <t>Multicloud</t>
        </is>
      </c>
      <c r="C740" t="inlineStr">
        <is>
          <t>Vantage</t>
        </is>
      </c>
      <c r="D740" t="inlineStr">
        <is>
          <t>Visibilidad</t>
        </is>
      </c>
      <c r="E740" t="inlineStr">
        <is>
          <t>V1</t>
        </is>
      </c>
      <c r="F740" s="2" t="inlineStr">
        <is>
          <t>¿Desagrega costo y uso por cuenta/proyecto, servicio y período?</t>
        </is>
      </c>
      <c r="G740" t="inlineStr">
        <is>
          <t>NE</t>
        </is>
      </c>
      <c r="H740" t="inlineStr">
        <is>
          <t>Pendiente</t>
        </is>
      </c>
      <c r="I740" s="2" t="inlineStr">
        <is>
          <t>"Cost Reports" permite crear reportes con filtros y rangos de fecha personalizables; el "Overview" ofrece un resumen ejecutivo de las métricas de costo principales.</t>
        </is>
      </c>
      <c r="J740" t="inlineStr">
        <is>
          <t>https://docs.vantage.sh/getting_started/</t>
        </is>
      </c>
      <c r="K740" t="inlineStr">
        <is>
          <t>2026-09-16</t>
        </is>
      </c>
      <c r="L740" s="2" t="inlineStr">
        <is>
          <t>Celda heredada FP-180 (2026-09-16): el valor 2 proviene de la investigacion del escenario E2 y no cuenta con evidencia propia de E6. Segun FP-177 el indicador V1 depende del escenario, por lo que pasa a NE (no evidenciado, reduce cobertura) hasta investigarlo. La evidencia y la fuente originales se conservan como referencia del escenario de origen.</t>
        </is>
      </c>
    </row>
    <row r="741">
      <c r="A741" t="inlineStr">
        <is>
          <t>E6</t>
        </is>
      </c>
      <c r="B741" t="inlineStr">
        <is>
          <t>Multicloud</t>
        </is>
      </c>
      <c r="C741" t="inlineStr">
        <is>
          <t>Vantage</t>
        </is>
      </c>
      <c r="D741" t="inlineStr">
        <is>
          <t>Visibilidad</t>
        </is>
      </c>
      <c r="E741" t="inlineStr">
        <is>
          <t>V2</t>
        </is>
      </c>
      <c r="F741" s="2" t="inlineStr">
        <is>
          <t>¿Permite rastrear un total hasta registros o fuente de facturación?</t>
        </is>
      </c>
      <c r="G741" t="n">
        <v>2</v>
      </c>
      <c r="H741" t="inlineStr">
        <is>
          <t>Oficial</t>
        </is>
      </c>
      <c r="I741" s="2" t="inlineStr">
        <is>
          <t>El informe de costos permite descender del total al detalle: «Within the table below the graph, you can drill down into your report to create precise filtering and grouping views». El Data Dictionary documenta los campos del dato de costo y VQL (Vantage Query Language) permite consultas reproducibles sobre ellos. La procedencia queda marcada en el propio registro: para proveedores soportados «Vantage tags every row with an [...] billing_source value [...] so you can filter, group, and allocate costs by data source».</t>
        </is>
      </c>
      <c r="J741" t="inlineStr">
        <is>
          <t>https://docs.vantage.sh/cost_reports ; https://docs.vantage.sh/data_dictionary ; https://docs.vantage.sh/vql</t>
        </is>
      </c>
      <c r="K741" t="inlineStr">
        <is>
          <t>2026-09-16</t>
        </is>
      </c>
      <c r="L741" s="2" t="inlineStr">
        <is>
          <t>Investigación E2 FP-180 (2026-09-16): celda completada con evidencia propia del escenario, verificada contra documentación oficial.</t>
        </is>
      </c>
    </row>
    <row r="742">
      <c r="A742" t="inlineStr">
        <is>
          <t>E6</t>
        </is>
      </c>
      <c r="B742" t="inlineStr">
        <is>
          <t>Multicloud</t>
        </is>
      </c>
      <c r="C742" t="inlineStr">
        <is>
          <t>Vantage</t>
        </is>
      </c>
      <c r="D742" t="inlineStr">
        <is>
          <t>Asignacion</t>
        </is>
      </c>
      <c r="E742" t="inlineStr">
        <is>
          <t>A1</t>
        </is>
      </c>
      <c r="F742" s="2" t="inlineStr">
        <is>
          <t>¿Calcula gasto asignado/no asignado por responsable, centro o entidad?</t>
        </is>
      </c>
      <c r="G742" t="inlineStr">
        <is>
          <t>NE</t>
        </is>
      </c>
      <c r="H742" t="inlineStr">
        <is>
          <t>Pendiente</t>
        </is>
      </c>
      <c r="I742" s="2" t="inlineStr">
        <is>
          <t>"Cost Allocation Segments" crea estructuras jerárquicas que mapean el costo a unidades de negocio/equipos/servicios y "identifican costos no asignados", garantizando que cada costo se asigne una sola vez (evita duplicación en showback/chargeback).</t>
        </is>
      </c>
      <c r="J742" t="inlineStr">
        <is>
          <t>https://docs.vantage.sh/vantage_university_cost_allocation</t>
        </is>
      </c>
      <c r="K742" t="inlineStr">
        <is>
          <t>2026-09-16</t>
        </is>
      </c>
      <c r="L742" s="2" t="inlineStr">
        <is>
          <t>Celda heredada FP-180 (2026-09-16): el valor 2 proviene de la investigacion del escenario E2 y no cuenta con evidencia propia de E6. Segun FP-177 el indicador A1 depende del escenario, por lo que pasa a NE (no evidenciado, reduce cobertura) hasta investigarlo. La evidencia y la fuente originales se conservan como referencia del escenario de origen.</t>
        </is>
      </c>
    </row>
    <row r="743">
      <c r="A743" t="inlineStr">
        <is>
          <t>E6</t>
        </is>
      </c>
      <c r="B743" t="inlineStr">
        <is>
          <t>Multicloud</t>
        </is>
      </c>
      <c r="C743" t="inlineStr">
        <is>
          <t>Vantage</t>
        </is>
      </c>
      <c r="D743" t="inlineStr">
        <is>
          <t>Asignacion</t>
        </is>
      </c>
      <c r="E743" t="inlineStr">
        <is>
          <t>A2</t>
        </is>
      </c>
      <c r="F743" s="2" t="inlineStr">
        <is>
          <t>¿Explicita y aplica reglas para costo compartido/multi-tenant?</t>
        </is>
      </c>
      <c r="G743" t="inlineStr">
        <is>
          <t>NE</t>
        </is>
      </c>
      <c r="H743" t="inlineStr">
        <is>
          <t>Pendiente</t>
        </is>
      </c>
      <c r="I743" s="2" t="inlineStr">
        <is>
          <t>La documentación confirma que existen Segments para costo compartido, pero no detalla el mecanismo específico de reparto (porcentual, proporcional u otro) con el nivel de detalle que exige este indicador.</t>
        </is>
      </c>
      <c r="K743" t="inlineStr">
        <is>
          <t>2026-09-16</t>
        </is>
      </c>
      <c r="L743" s="2" t="inlineStr"/>
    </row>
    <row r="744">
      <c r="A744" t="inlineStr">
        <is>
          <t>E6</t>
        </is>
      </c>
      <c r="B744" t="inlineStr">
        <is>
          <t>Multicloud</t>
        </is>
      </c>
      <c r="C744" t="inlineStr">
        <is>
          <t>Vantage</t>
        </is>
      </c>
      <c r="D744" t="inlineStr">
        <is>
          <t>Optimizacion</t>
        </is>
      </c>
      <c r="E744" t="inlineStr">
        <is>
          <t>O1</t>
        </is>
      </c>
      <c r="F744" s="2" t="inlineStr">
        <is>
          <t>¿Detecta desperdicio, rightsizing o compromiso relevante al escenario?</t>
        </is>
      </c>
      <c r="G744" t="inlineStr">
        <is>
          <t>NE</t>
        </is>
      </c>
      <c r="H744" t="inlineStr">
        <is>
          <t>Pendiente</t>
        </is>
      </c>
      <c r="I744" s="2" t="inlineStr">
        <is>
          <t>"Cost Recommendations" cubre rightsizing, recursos inactivos y compromisos financieros (RI/Savings Plans/CUD) para AWS, Azure, GCP, Datadog, Cloudflare y Kubernetes.</t>
        </is>
      </c>
      <c r="J744" t="inlineStr">
        <is>
          <t>https://docs.vantage.sh/cost_recommendations</t>
        </is>
      </c>
      <c r="K744" t="inlineStr">
        <is>
          <t>2026-09-16</t>
        </is>
      </c>
      <c r="L744" s="2" t="inlineStr">
        <is>
          <t>Celda heredada FP-180 (2026-09-16): el valor 2 proviene de la investigacion del escenario E2 y no cuenta con evidencia propia de E6. Segun FP-177 el indicador O1 depende del escenario, por lo que pasa a NE (no evidenciado, reduce cobertura) hasta investigarlo. La evidencia y la fuente originales se conservan como referencia del escenario de origen.</t>
        </is>
      </c>
    </row>
    <row r="745">
      <c r="A745" t="inlineStr">
        <is>
          <t>E6</t>
        </is>
      </c>
      <c r="B745" t="inlineStr">
        <is>
          <t>Multicloud</t>
        </is>
      </c>
      <c r="C745" t="inlineStr">
        <is>
          <t>Vantage</t>
        </is>
      </c>
      <c r="D745" t="inlineStr">
        <is>
          <t>Optimizacion</t>
        </is>
      </c>
      <c r="E745" t="inlineStr">
        <is>
          <t>O2</t>
        </is>
      </c>
      <c r="F745" s="2" t="inlineStr">
        <is>
          <t>¿Explica supuesto/impacto y permite seguir una recomendación?</t>
        </is>
      </c>
      <c r="G745" t="n">
        <v>2</v>
      </c>
      <c r="H745" t="inlineStr">
        <is>
          <t>Oficial</t>
        </is>
      </c>
      <c r="I745" s="2" t="inlineStr">
        <is>
          <t>Un widget de "Potential Savings" y "Savings Rate" cuantifica el ahorro, y las recomendaciones se siguen a través de estados (Ready for Review, In Progress, Completed, Archived).</t>
        </is>
      </c>
      <c r="J745" t="inlineStr">
        <is>
          <t>https://docs.vantage.sh/cost_recommendations</t>
        </is>
      </c>
      <c r="K745" t="inlineStr">
        <is>
          <t>2026-09-16</t>
        </is>
      </c>
      <c r="L745" s="2" t="inlineStr"/>
    </row>
    <row r="746">
      <c r="A746" t="inlineStr">
        <is>
          <t>E6</t>
        </is>
      </c>
      <c r="B746" t="inlineStr">
        <is>
          <t>Multicloud</t>
        </is>
      </c>
      <c r="C746" t="inlineStr">
        <is>
          <t>Vantage</t>
        </is>
      </c>
      <c r="D746" t="inlineStr">
        <is>
          <t>Automatizacion</t>
        </is>
      </c>
      <c r="E746" t="inlineStr">
        <is>
          <t>AU1</t>
        </is>
      </c>
      <c r="F746" s="2" t="inlineStr">
        <is>
          <t>¿Ejecuta o bloquea acciones/políticas de costo con control verificable?</t>
        </is>
      </c>
      <c r="G746" t="inlineStr">
        <is>
          <t>NE</t>
        </is>
      </c>
      <c r="H746" t="inlineStr">
        <is>
          <t>Pendiente</t>
        </is>
      </c>
      <c r="I746" s="2" t="inlineStr">
        <is>
          <t>"Autopilot" habilita compra automatizada (opcional, desactivada por defecto) de Savings Plans de EC2/Fargate/Lambda; para RDS/ElastiCache/Redshift/OpenSearch/Aurora/DynamoDB/etc. solo genera recomendaciones.</t>
        </is>
      </c>
      <c r="J746" t="inlineStr">
        <is>
          <t>https://docs.vantage.sh/autopilot</t>
        </is>
      </c>
      <c r="K746" t="inlineStr">
        <is>
          <t>2026-09-16</t>
        </is>
      </c>
      <c r="L746" s="2" t="inlineStr">
        <is>
          <t>Celda heredada FP-180 (2026-09-16): el valor 2 proviene de la investigacion del escenario E2 y no cuenta con evidencia propia de E6. Segun FP-177 el indicador AU1 depende del escenario, por lo que pasa a NE (no evidenciado, reduce cobertura) hasta investigarlo. La evidencia y la fuente originales se conservan como referencia del escenario de origen.</t>
        </is>
      </c>
    </row>
    <row r="747">
      <c r="A747" t="inlineStr">
        <is>
          <t>E6</t>
        </is>
      </c>
      <c r="B747" t="inlineStr">
        <is>
          <t>Multicloud</t>
        </is>
      </c>
      <c r="C747" t="inlineStr">
        <is>
          <t>Vantage</t>
        </is>
      </c>
      <c r="D747" t="inlineStr">
        <is>
          <t>Automatizacion</t>
        </is>
      </c>
      <c r="E747" t="inlineStr">
        <is>
          <t>AU2</t>
        </is>
      </c>
      <c r="F747" s="2" t="inlineStr">
        <is>
          <t>¿Ofrece aprobación, reversión, registro o límites antes de actuar?</t>
        </is>
      </c>
      <c r="G747" t="n">
        <v>2</v>
      </c>
      <c r="H747" t="inlineStr">
        <is>
          <t>Oficial</t>
        </is>
      </c>
      <c r="I747" s="2" t="inlineStr">
        <is>
          <t>Autopilot exige aprobación manual cuando la compra automática está desactivada ("Approve Purchase"), inicia la compra 24 h después de aprobada (ventana de cancelación), notifica a los account owners por correo y declara explícitamente que "nunca cambiará tu infraestructura subyacente"; se alinea a la política de devolución de 7 días de AWS.</t>
        </is>
      </c>
      <c r="J747" t="inlineStr">
        <is>
          <t>https://docs.vantage.sh/autopilot</t>
        </is>
      </c>
      <c r="K747" t="inlineStr">
        <is>
          <t>2026-09-16</t>
        </is>
      </c>
      <c r="L747" s="2" t="inlineStr"/>
    </row>
    <row r="748">
      <c r="A748" t="inlineStr">
        <is>
          <t>E6</t>
        </is>
      </c>
      <c r="B748" t="inlineStr">
        <is>
          <t>Multicloud</t>
        </is>
      </c>
      <c r="C748" t="inlineStr">
        <is>
          <t>Vantage</t>
        </is>
      </c>
      <c r="D748" t="inlineStr">
        <is>
          <t>Multicloud</t>
        </is>
      </c>
      <c r="E748" t="inlineStr">
        <is>
          <t>M1</t>
        </is>
      </c>
      <c r="F748" s="2" t="inlineStr">
        <is>
          <t>¿Consolida al menos dos proveedores bajo el mismo esquema declarado?</t>
        </is>
      </c>
      <c r="G748" t="n">
        <v>2</v>
      </c>
      <c r="H748" t="inlineStr">
        <is>
          <t>Oficial</t>
        </is>
      </c>
      <c r="I748" s="2" t="inlineStr">
        <is>
          <t>La plataforma integra de forma nativa AWS (rol IAM de solo lectura), Azure (pay-as-you-go/MCA/EA/CSP), GCP y Kubernetes dentro de los mismos Cost Reports.</t>
        </is>
      </c>
      <c r="J748" t="inlineStr">
        <is>
          <t>https://docs.vantage.sh/getting_started/</t>
        </is>
      </c>
      <c r="K748" t="inlineStr">
        <is>
          <t>2026-09-16</t>
        </is>
      </c>
      <c r="L748" s="2" t="inlineStr"/>
    </row>
    <row r="749">
      <c r="A749" t="inlineStr">
        <is>
          <t>E6</t>
        </is>
      </c>
      <c r="B749" t="inlineStr">
        <is>
          <t>Multicloud</t>
        </is>
      </c>
      <c r="C749" t="inlineStr">
        <is>
          <t>Vantage</t>
        </is>
      </c>
      <c r="D749" t="inlineStr">
        <is>
          <t>Multicloud</t>
        </is>
      </c>
      <c r="E749" t="inlineStr">
        <is>
          <t>M2</t>
        </is>
      </c>
      <c r="F749" s="2" t="inlineStr">
        <is>
          <t>¿Hace visibles proveedor, cobertura y diferencias semánticas?</t>
        </is>
      </c>
      <c r="G749" t="n">
        <v>2</v>
      </c>
      <c r="H749" t="inlineStr">
        <is>
          <t>Oficial</t>
        </is>
      </c>
      <c r="I749" s="2" t="inlineStr">
        <is>
          <t>Las diferencias semánticas entre proveedores se hacen explícitas y se normalizan: «Vantage normalizes Usage Unit labels in the console for consistent spelling and capitalization. For example, Vantage standardized Hours, hrs, Hrs, and hours to Hours», y se aplica un esquema de etiquetas normalizado por proveedor para costos de IA. La cobertura se declara de forma explícita —la lista de proveedores soportados para reporte por uso está enumerada en la documentación— y los no soportados se canalizan por Custom Providers: «you can upload costs from providers that don't expose billing APIs, aren't yet supported by Vantage, or originate from custom systems». El límite de cobertura queda visible, que es lo que mide M2.</t>
        </is>
      </c>
      <c r="J749" t="inlineStr">
        <is>
          <t>https://docs.vantage.sh/usage_based_reporting ; https://docs.vantage.sh/connecting_custom_providers ; https://docs.vantage.sh/data_dictionary</t>
        </is>
      </c>
      <c r="K749" t="inlineStr">
        <is>
          <t>2026-09-16</t>
        </is>
      </c>
      <c r="L749" s="2" t="inlineStr">
        <is>
          <t>Investigación E2 FP-180 (2026-09-16): celda completada con evidencia propia del escenario, verificada contra documentación oficial.</t>
        </is>
      </c>
    </row>
    <row r="750">
      <c r="A750" t="inlineStr">
        <is>
          <t>E6</t>
        </is>
      </c>
      <c r="B750" t="inlineStr">
        <is>
          <t>Multicloud</t>
        </is>
      </c>
      <c r="C750" t="inlineStr">
        <is>
          <t>Vantage</t>
        </is>
      </c>
      <c r="D750" t="inlineStr">
        <is>
          <t>Integracion</t>
        </is>
      </c>
      <c r="E750" t="inlineStr">
        <is>
          <t>I1</t>
        </is>
      </c>
      <c r="F750" s="2" t="inlineStr">
        <is>
          <t>¿Integra datos requeridos (facturación, uso, clúster o IaC) del escenario?</t>
        </is>
      </c>
      <c r="G750" t="inlineStr">
        <is>
          <t>NE</t>
        </is>
      </c>
      <c r="H750" t="inlineStr">
        <is>
          <t>Pendiente</t>
        </is>
      </c>
      <c r="I750" s="2" t="inlineStr">
        <is>
          <t>Conectores definidos y documentados: rol IAM de solo lectura entre cuentas para AWS, soporte de los modelos de facturación de Azure, integración con GCP vía BigQuery export y un agente de Kubernetes.</t>
        </is>
      </c>
      <c r="J750" t="inlineStr">
        <is>
          <t>https://docs.vantage.sh/getting_started/</t>
        </is>
      </c>
      <c r="K750" t="inlineStr">
        <is>
          <t>2026-09-16</t>
        </is>
      </c>
      <c r="L750" s="2" t="inlineStr">
        <is>
          <t>Celda heredada FP-180 (2026-09-16): el valor 2 proviene de la investigacion del escenario E2 y no cuenta con evidencia propia de E6. Segun FP-177 el indicador I1 depende del escenario, por lo que pasa a NE (no evidenciado, reduce cobertura) hasta investigarlo. La evidencia y la fuente originales se conservan como referencia del escenario de origen.</t>
        </is>
      </c>
    </row>
    <row r="751">
      <c r="A751" t="inlineStr">
        <is>
          <t>E6</t>
        </is>
      </c>
      <c r="B751" t="inlineStr">
        <is>
          <t>Multicloud</t>
        </is>
      </c>
      <c r="C751" t="inlineStr">
        <is>
          <t>Vantage</t>
        </is>
      </c>
      <c r="D751" t="inlineStr">
        <is>
          <t>Integracion</t>
        </is>
      </c>
      <c r="E751" t="inlineStr">
        <is>
          <t>I2</t>
        </is>
      </c>
      <c r="F751" s="2" t="inlineStr">
        <is>
          <t>¿Se integra con el flujo de trabajo relevante (alerta, ticket, CI/CD o reporte)?</t>
        </is>
      </c>
      <c r="G751" t="inlineStr">
        <is>
          <t>NE</t>
        </is>
      </c>
      <c r="H751" t="inlineStr">
        <is>
          <t>Pendiente</t>
        </is>
      </c>
      <c r="I751" s="2" t="inlineStr">
        <is>
          <t>La integración con Jira crea automáticamente tickets a partir de Cost Anomalies, Budget Alerts, Cost Alerts y Resource Reports, y sincroniza el estado (To Do/In Progress/Done) diariamente dentro de Vantage.</t>
        </is>
      </c>
      <c r="J751" t="inlineStr">
        <is>
          <t>https://docs.vantage.sh/jira</t>
        </is>
      </c>
      <c r="K751" t="inlineStr">
        <is>
          <t>2026-09-16</t>
        </is>
      </c>
      <c r="L751" s="2" t="inlineStr">
        <is>
          <t>Celda heredada FP-180 (2026-09-16): el valor 2 proviene de la investigacion del escenario E2 y no cuenta con evidencia propia de E6. Segun FP-177 el indicador I2 depende del escenario, por lo que pasa a NE (no evidenciado, reduce cobertura) hasta investigarlo. La evidencia y la fuente originales se conservan como referencia del escenario de origen.</t>
        </is>
      </c>
    </row>
    <row r="752">
      <c r="A752" t="inlineStr">
        <is>
          <t>E6</t>
        </is>
      </c>
      <c r="B752" t="inlineStr">
        <is>
          <t>Multicloud</t>
        </is>
      </c>
      <c r="C752" t="inlineStr">
        <is>
          <t>Vantage</t>
        </is>
      </c>
      <c r="D752" t="inlineStr">
        <is>
          <t>Adopcion</t>
        </is>
      </c>
      <c r="E752" t="inlineStr">
        <is>
          <t>AD1</t>
        </is>
      </c>
      <c r="F752" s="2" t="inlineStr">
        <is>
          <t>¿Soporta acceso/entrega para los roles del escenario?</t>
        </is>
      </c>
      <c r="G752" t="inlineStr">
        <is>
          <t>NE</t>
        </is>
      </c>
      <c r="H752" t="inlineStr">
        <is>
          <t>Pendiente</t>
        </is>
      </c>
      <c r="I752" s="2" t="inlineStr">
        <is>
          <t>Existen roles definidos (Organization Owner, Integration Owner, entre otros) con control de acceso basado en roles (RBAC) documentado.</t>
        </is>
      </c>
      <c r="J752" t="inlineStr">
        <is>
          <t>https://docs.vantage.sh/permissions_gcp</t>
        </is>
      </c>
      <c r="K752" t="inlineStr">
        <is>
          <t>2026-09-16</t>
        </is>
      </c>
      <c r="L752" s="2" t="inlineStr">
        <is>
          <t>Celda heredada FP-180 (2026-09-16): el valor 2 proviene de la investigacion del escenario E2 y no cuenta con evidencia propia de E6. Segun FP-177 el indicador AD1 depende del escenario, por lo que pasa a NE (no evidenciado, reduce cobertura) hasta investigarlo. La evidencia y la fuente originales se conservan como referencia del escenario de origen.</t>
        </is>
      </c>
    </row>
    <row r="753">
      <c r="A753" t="inlineStr">
        <is>
          <t>E6</t>
        </is>
      </c>
      <c r="B753" t="inlineStr">
        <is>
          <t>Multicloud</t>
        </is>
      </c>
      <c r="C753" t="inlineStr">
        <is>
          <t>Vantage</t>
        </is>
      </c>
      <c r="D753" t="inlineStr">
        <is>
          <t>Adopcion</t>
        </is>
      </c>
      <c r="E753" t="inlineStr">
        <is>
          <t>AD2</t>
        </is>
      </c>
      <c r="F753" s="2" t="inlineStr">
        <is>
          <t>¿Ofrece guías, ownership o mecanismos de seguimiento para uso sostenido?</t>
        </is>
      </c>
      <c r="G753" t="n">
        <v>2</v>
      </c>
      <c r="H753" t="inlineStr">
        <is>
          <t>Oficial</t>
        </is>
      </c>
      <c r="I753" s="2" t="inlineStr">
        <is>
          <t>Habilitación documentada por rol en Vantage University, con rutas para FinOps Analyst, Developers y Finance Managers, y una ruta específica de asignación de costos. El ownership se sostiene en segmentos jerárquicos: los segmentos de asignación «let you create hierarchical structures for your costs, mapping them to various organizational entities, such as business units, teams, or services», con jerarquías anidadas por equipo y subequipo. Proceso y guía definidos; sin evidencia de adopción medida para 3.</t>
        </is>
      </c>
      <c r="J753" t="inlineStr">
        <is>
          <t>https://docs.vantage.sh/vantage_university ; https://docs.vantage.sh/vantage_university_cost_allocation ; https://docs.vantage.sh/segments</t>
        </is>
      </c>
      <c r="K753" t="inlineStr">
        <is>
          <t>2026-09-16</t>
        </is>
      </c>
      <c r="L753" s="2" t="inlineStr">
        <is>
          <t>Investigación E2 FP-180 (2026-09-16): celda completada con evidencia propia del escenario, verificada contra documentación oficial.</t>
        </is>
      </c>
    </row>
    <row r="754">
      <c r="A754" t="inlineStr">
        <is>
          <t>E6</t>
        </is>
      </c>
      <c r="B754" t="inlineStr">
        <is>
          <t>Multicloud</t>
        </is>
      </c>
      <c r="C754" t="inlineStr">
        <is>
          <t>Vantage</t>
        </is>
      </c>
      <c r="D754" t="inlineStr">
        <is>
          <t>Precio</t>
        </is>
      </c>
      <c r="E754" t="inlineStr">
        <is>
          <t>P1</t>
        </is>
      </c>
      <c r="F754" s="2" t="inlineStr">
        <is>
          <t>¿Expone precio, moneda, región, unidad, período y supuestos relevantes?</t>
        </is>
      </c>
      <c r="G754" t="inlineStr">
        <is>
          <t>NE</t>
        </is>
      </c>
      <c r="H754" t="inlineStr">
        <is>
          <t>Pendiente</t>
        </is>
      </c>
      <c r="I754" s="2" t="inlineStr">
        <is>
          <t>No se encontró evidencia específica de transparencia de supuestos de precio (moneda/región/período) en las páginas revisadas.</t>
        </is>
      </c>
      <c r="K754" t="inlineStr">
        <is>
          <t>2026-09-16</t>
        </is>
      </c>
      <c r="L754" s="2" t="inlineStr"/>
    </row>
    <row r="755">
      <c r="A755" t="inlineStr">
        <is>
          <t>E6</t>
        </is>
      </c>
      <c r="B755" t="inlineStr">
        <is>
          <t>Multicloud</t>
        </is>
      </c>
      <c r="C755" t="inlineStr">
        <is>
          <t>Vantage</t>
        </is>
      </c>
      <c r="D755" t="inlineStr">
        <is>
          <t>Precio</t>
        </is>
      </c>
      <c r="E755" t="inlineStr">
        <is>
          <t>P2</t>
        </is>
      </c>
      <c r="F755" s="2" t="inlineStr">
        <is>
          <t>¿Permite estimar o comparar componentes sin ocultar límites de equivalencia?</t>
        </is>
      </c>
      <c r="G755" t="inlineStr">
        <is>
          <t>NE</t>
        </is>
      </c>
      <c r="H755" t="inlineStr">
        <is>
          <t>Pendiente</t>
        </is>
      </c>
      <c r="I755" s="2" t="inlineStr">
        <is>
          <t>No se encontró evidencia de una función de comparación/estimación de precio contextual en las páginas revisadas.</t>
        </is>
      </c>
      <c r="K755" t="inlineStr">
        <is>
          <t>2026-09-16</t>
        </is>
      </c>
      <c r="L755" s="2" t="inlineStr"/>
    </row>
    <row r="756">
      <c r="A756" t="inlineStr">
        <is>
          <t>E6</t>
        </is>
      </c>
      <c r="B756" t="inlineStr">
        <is>
          <t>Multicloud</t>
        </is>
      </c>
      <c r="C756" t="inlineStr">
        <is>
          <t>Vantage</t>
        </is>
      </c>
      <c r="D756" t="inlineStr">
        <is>
          <t>Dependencia</t>
        </is>
      </c>
      <c r="E756" t="inlineStr">
        <is>
          <t>D1</t>
        </is>
      </c>
      <c r="F756" s="2" t="inlineStr">
        <is>
          <t>¿Exporta datos/resultados en formato utilizable y documentado?</t>
        </is>
      </c>
      <c r="G756" t="inlineStr">
        <is>
          <t>NE</t>
        </is>
      </c>
      <c r="H756" t="inlineStr">
        <is>
          <t>Pendiente</t>
        </is>
      </c>
      <c r="I756" s="2" t="inlineStr">
        <is>
          <t>Se identificó el anuncio de un "Recommendations API Endpoint", pero no se verificó contra documentación técnica una función general de exportación de datos de costo (evidencia insuficiente para puntuar).</t>
        </is>
      </c>
      <c r="K756" t="inlineStr">
        <is>
          <t>2026-09-16</t>
        </is>
      </c>
      <c r="L756" s="2" t="inlineStr"/>
    </row>
    <row r="757">
      <c r="A757" t="inlineStr">
        <is>
          <t>E6</t>
        </is>
      </c>
      <c r="B757" t="inlineStr">
        <is>
          <t>Multicloud</t>
        </is>
      </c>
      <c r="C757" t="inlineStr">
        <is>
          <t>Vantage</t>
        </is>
      </c>
      <c r="D757" t="inlineStr">
        <is>
          <t>Dependencia</t>
        </is>
      </c>
      <c r="E757" t="inlineStr">
        <is>
          <t>D2</t>
        </is>
      </c>
      <c r="F757" s="2" t="inlineStr">
        <is>
          <t>¿Documenta dependencias propietarias y un camino de salida/configuración reversible?</t>
        </is>
      </c>
      <c r="G757" t="inlineStr">
        <is>
          <t>NE</t>
        </is>
      </c>
      <c r="H757" t="inlineStr">
        <is>
          <t>Pendiente</t>
        </is>
      </c>
      <c r="I757" s="2" t="inlineStr">
        <is>
          <t>No se encontró documentación sobre un camino de salida o reversibilidad de la configuración.</t>
        </is>
      </c>
      <c r="K757" t="inlineStr">
        <is>
          <t>2026-09-16</t>
        </is>
      </c>
      <c r="L757" s="2" t="inlineStr"/>
    </row>
    <row r="758">
      <c r="A758" t="inlineStr">
        <is>
          <t>E1</t>
        </is>
      </c>
      <c r="B758" t="inlineStr">
        <is>
          <t>Multicloud</t>
        </is>
      </c>
      <c r="C758" t="inlineStr">
        <is>
          <t>Finout</t>
        </is>
      </c>
      <c r="D758" t="inlineStr">
        <is>
          <t>Visibilidad</t>
        </is>
      </c>
      <c r="E758" t="inlineStr">
        <is>
          <t>V1</t>
        </is>
      </c>
      <c r="F758" s="2" t="inlineStr">
        <is>
          <t>¿Desagrega costo y uso por cuenta/proyecto, servicio y período?</t>
        </is>
      </c>
      <c r="G758" t="inlineStr">
        <is>
          <t>NE</t>
        </is>
      </c>
      <c r="H758" t="inlineStr">
        <is>
          <t>Pendiente</t>
        </is>
      </c>
      <c r="I758" s="2" t="inlineStr">
        <is>
          <t>La "Default FOCUS Table" construye automáticamente un dataset unificado y normalizado a partir de los billing exports de todos los proveedores soportados ("AWS, GCP, Azure, and more"), y "Virtual Tags" permite "slice and analyze" el costo por proveedor/servicio/región/categoría de cargo/tipo de precio.</t>
        </is>
      </c>
      <c r="J758" t="inlineStr">
        <is>
          <t>https://docs.finout.io/get-started-with-finout/cost-and-usage-types/focus-in-finout</t>
        </is>
      </c>
      <c r="K758" t="inlineStr">
        <is>
          <t>2026-09-16</t>
        </is>
      </c>
      <c r="L758" s="2" t="inlineStr">
        <is>
          <t>Celda heredada FP-180 (2026-09-16): el valor 2 proviene de la investigacion del escenario E2 y no cuenta con evidencia propia de E1. Segun FP-177 el indicador V1 depende del escenario, por lo que pasa a NE (no evidenciado, reduce cobertura) hasta investigarlo. La evidencia y la fuente originales se conservan como referencia del escenario de origen.</t>
        </is>
      </c>
    </row>
    <row r="759">
      <c r="A759" t="inlineStr">
        <is>
          <t>E1</t>
        </is>
      </c>
      <c r="B759" t="inlineStr">
        <is>
          <t>Multicloud</t>
        </is>
      </c>
      <c r="C759" t="inlineStr">
        <is>
          <t>Finout</t>
        </is>
      </c>
      <c r="D759" t="inlineStr">
        <is>
          <t>Visibilidad</t>
        </is>
      </c>
      <c r="E759" t="inlineStr">
        <is>
          <t>V2</t>
        </is>
      </c>
      <c r="F759" s="2" t="inlineStr">
        <is>
          <t>¿Permite rastrear un total hasta registros o fuente de facturación?</t>
        </is>
      </c>
      <c r="G759" t="n">
        <v>2</v>
      </c>
      <c r="H759" t="inlineStr">
        <is>
          <t>Oficial</t>
        </is>
      </c>
      <c r="I759" s="2" t="inlineStr">
        <is>
          <t>MegaBill permite descender del total al detalle: «You can quickly drill down into the costs/usage by clicking an area on the graph», y la Cost API V2 expone consulta directa de costo y uso con filtros y group-by, de modo que el detalle es exportable y reproducible. Límite registrado para E2: la documentación oficial declara que «Cost data in MegaBill is available for all cloud providers and services supported by Finout. Usage data is available for AWS, GCP, and Azure», es decir, el dato de uso no cubre a todos los proveedores. No se encontró documentación oficial de conciliación contra la factura del proveedor; la afirmación de conciliación patentada aparece solo en material comercial y por eso no se usa para puntuar.</t>
        </is>
      </c>
      <c r="J759" t="inlineStr">
        <is>
          <t>https://docs.finout.io/user-guide/inform/megabill ; https://docs.finout.io/api/finout-api/finout-api-v2</t>
        </is>
      </c>
      <c r="K759" t="inlineStr">
        <is>
          <t>2026-09-16</t>
        </is>
      </c>
      <c r="L759" s="2" t="inlineStr">
        <is>
          <t>Investigación E2 FP-180 (2026-09-16): celda completada con evidencia propia del escenario, verificada contra documentación oficial.</t>
        </is>
      </c>
    </row>
    <row r="760">
      <c r="A760" t="inlineStr">
        <is>
          <t>E1</t>
        </is>
      </c>
      <c r="B760" t="inlineStr">
        <is>
          <t>Multicloud</t>
        </is>
      </c>
      <c r="C760" t="inlineStr">
        <is>
          <t>Finout</t>
        </is>
      </c>
      <c r="D760" t="inlineStr">
        <is>
          <t>Asignacion</t>
        </is>
      </c>
      <c r="E760" t="inlineStr">
        <is>
          <t>A1</t>
        </is>
      </c>
      <c r="F760" s="2" t="inlineStr">
        <is>
          <t>¿Calcula gasto asignado/no asignado por responsable, centro o entidad?</t>
        </is>
      </c>
      <c r="G760" t="inlineStr">
        <is>
          <t>NE</t>
        </is>
      </c>
      <c r="H760" t="inlineStr">
        <is>
          <t>Pendiente</t>
        </is>
      </c>
      <c r="I760" s="2" t="inlineStr">
        <is>
          <t>"Virtual Tags" y "Shared Cost Reallocation" (con MegaBill key) permiten segmentar el costo retroactivamente y mejorar la granularidad de la asignación sin modificar las etiquetas originales del recurso, funcionando entre proveedores.</t>
        </is>
      </c>
      <c r="J760" t="inlineStr">
        <is>
          <t>https://docs.finout.io/user-guide/inform/virtual-tags</t>
        </is>
      </c>
      <c r="K760" t="inlineStr">
        <is>
          <t>2026-09-16</t>
        </is>
      </c>
      <c r="L760" s="2" t="inlineStr">
        <is>
          <t>Celda heredada FP-180 (2026-09-16): el valor 2 proviene de la investigacion del escenario E2 y no cuenta con evidencia propia de E1. Segun FP-177 el indicador A1 depende del escenario, por lo que pasa a NE (no evidenciado, reduce cobertura) hasta investigarlo. La evidencia y la fuente originales se conservan como referencia del escenario de origen.</t>
        </is>
      </c>
    </row>
    <row r="761">
      <c r="A761" t="inlineStr">
        <is>
          <t>E1</t>
        </is>
      </c>
      <c r="B761" t="inlineStr">
        <is>
          <t>Multicloud</t>
        </is>
      </c>
      <c r="C761" t="inlineStr">
        <is>
          <t>Finout</t>
        </is>
      </c>
      <c r="D761" t="inlineStr">
        <is>
          <t>Asignacion</t>
        </is>
      </c>
      <c r="E761" t="inlineStr">
        <is>
          <t>A2</t>
        </is>
      </c>
      <c r="F761" s="2" t="inlineStr">
        <is>
          <t>¿Explicita y aplica reglas para costo compartido/multi-tenant?</t>
        </is>
      </c>
      <c r="G761" t="inlineStr">
        <is>
          <t>NE</t>
        </is>
      </c>
      <c r="H761" t="inlineStr">
        <is>
          <t>Pendiente</t>
        </is>
      </c>
      <c r="I761" s="2" t="inlineStr">
        <is>
          <t>"Shared Cost Reallocation" es una función dedicada para el reparto de costo compartido, construida sobre las reglas de filtrado de Virtual Tags ("funnel from the top down").</t>
        </is>
      </c>
      <c r="J761" t="inlineStr">
        <is>
          <t>https://docs.finout.io/user-guide/inform/shared-cost-reallocation</t>
        </is>
      </c>
      <c r="K761" t="inlineStr">
        <is>
          <t>2026-09-16</t>
        </is>
      </c>
      <c r="L761" s="2" t="inlineStr">
        <is>
          <t>Celda heredada FP-180 (2026-09-16): el valor 2 proviene de la investigacion del escenario E2 y no cuenta con evidencia propia de E1. Segun FP-177 el indicador A2 depende del escenario, por lo que pasa a NE (no evidenciado, reduce cobertura) hasta investigarlo. La evidencia y la fuente originales se conservan como referencia del escenario de origen.</t>
        </is>
      </c>
    </row>
    <row r="762">
      <c r="A762" t="inlineStr">
        <is>
          <t>E1</t>
        </is>
      </c>
      <c r="B762" t="inlineStr">
        <is>
          <t>Multicloud</t>
        </is>
      </c>
      <c r="C762" t="inlineStr">
        <is>
          <t>Finout</t>
        </is>
      </c>
      <c r="D762" t="inlineStr">
        <is>
          <t>Optimizacion</t>
        </is>
      </c>
      <c r="E762" t="inlineStr">
        <is>
          <t>O1</t>
        </is>
      </c>
      <c r="F762" s="2" t="inlineStr">
        <is>
          <t>¿Detecta desperdicio, rightsizing o compromiso relevante al escenario?</t>
        </is>
      </c>
      <c r="G762" t="inlineStr">
        <is>
          <t>NE</t>
        </is>
      </c>
      <c r="H762" t="inlineStr">
        <is>
          <t>Pendiente</t>
        </is>
      </c>
      <c r="I762" s="2" t="inlineStr">
        <is>
          <t>"CostGuard" detecta recursos inactivos, oportunidades de rightsizing (incluye pods/StatefulSets de Kubernetes) y candidatos a compromisos (savings plans), disponible "out of the box" sin configuración.</t>
        </is>
      </c>
      <c r="J762" t="inlineStr">
        <is>
          <t>https://docs.finout.io/user-guide/optimize/costguard</t>
        </is>
      </c>
      <c r="K762" t="inlineStr">
        <is>
          <t>2026-09-16</t>
        </is>
      </c>
      <c r="L762" s="2" t="inlineStr">
        <is>
          <t>Celda heredada FP-180 (2026-09-16): el valor 2 proviene de la investigacion del escenario E2 y no cuenta con evidencia propia de E1. Segun FP-177 el indicador O1 depende del escenario, por lo que pasa a NE (no evidenciado, reduce cobertura) hasta investigarlo. La evidencia y la fuente originales se conservan como referencia del escenario de origen.</t>
        </is>
      </c>
    </row>
    <row r="763">
      <c r="A763" t="inlineStr">
        <is>
          <t>E1</t>
        </is>
      </c>
      <c r="B763" t="inlineStr">
        <is>
          <t>Multicloud</t>
        </is>
      </c>
      <c r="C763" t="inlineStr">
        <is>
          <t>Finout</t>
        </is>
      </c>
      <c r="D763" t="inlineStr">
        <is>
          <t>Optimizacion</t>
        </is>
      </c>
      <c r="E763" t="inlineStr">
        <is>
          <t>O2</t>
        </is>
      </c>
      <c r="F763" s="2" t="inlineStr">
        <is>
          <t>¿Explica supuesto/impacto y permite seguir una recomendación?</t>
        </is>
      </c>
      <c r="G763" t="n">
        <v>1</v>
      </c>
      <c r="H763" t="inlineStr">
        <is>
          <t>Oficial</t>
        </is>
      </c>
      <c r="I763" s="2" t="inlineStr">
        <is>
          <t>CostGuard entrega "información y confianza" para optimizar, pero la documentación revisada no detalla un ciclo de seguimiento de estado/ahorro realizado equivalente al de CloudZero/Vantage.</t>
        </is>
      </c>
      <c r="J763" t="inlineStr">
        <is>
          <t>https://docs.finout.io/user-guide/optimize/costguard</t>
        </is>
      </c>
      <c r="K763" t="inlineStr">
        <is>
          <t>2026-09-16</t>
        </is>
      </c>
      <c r="L763" s="2" t="inlineStr"/>
    </row>
    <row r="764">
      <c r="A764" t="inlineStr">
        <is>
          <t>E1</t>
        </is>
      </c>
      <c r="B764" t="inlineStr">
        <is>
          <t>Multicloud</t>
        </is>
      </c>
      <c r="C764" t="inlineStr">
        <is>
          <t>Finout</t>
        </is>
      </c>
      <c r="D764" t="inlineStr">
        <is>
          <t>Automatizacion</t>
        </is>
      </c>
      <c r="E764" t="inlineStr">
        <is>
          <t>AU1</t>
        </is>
      </c>
      <c r="F764" s="2" t="inlineStr">
        <is>
          <t>¿Ejecuta o bloquea acciones/políticas de costo con control verificable?</t>
        </is>
      </c>
      <c r="G764" t="inlineStr">
        <is>
          <t>NE</t>
        </is>
      </c>
      <c r="H764" t="inlineStr">
        <is>
          <t>Pendiente</t>
        </is>
      </c>
      <c r="I764" s="2" t="inlineStr">
        <is>
          <t>La documentación revisada no confirma ni descarta ejecución automática de acciones; CostGuard se describe como una fuente de información/recomendación, sin detalle suficiente para puntuar con certeza.</t>
        </is>
      </c>
      <c r="K764" t="inlineStr">
        <is>
          <t>2026-09-16</t>
        </is>
      </c>
      <c r="L764" s="2" t="inlineStr"/>
    </row>
    <row r="765">
      <c r="A765" t="inlineStr">
        <is>
          <t>E1</t>
        </is>
      </c>
      <c r="B765" t="inlineStr">
        <is>
          <t>Multicloud</t>
        </is>
      </c>
      <c r="C765" t="inlineStr">
        <is>
          <t>Finout</t>
        </is>
      </c>
      <c r="D765" t="inlineStr">
        <is>
          <t>Automatizacion</t>
        </is>
      </c>
      <c r="E765" t="inlineStr">
        <is>
          <t>AU2</t>
        </is>
      </c>
      <c r="F765" s="2" t="inlineStr">
        <is>
          <t>¿Ofrece aprobación, reversión, registro o límites antes de actuar?</t>
        </is>
      </c>
      <c r="G765" t="inlineStr">
        <is>
          <t>NE</t>
        </is>
      </c>
      <c r="H765" t="inlineStr">
        <is>
          <t>Pendiente</t>
        </is>
      </c>
      <c r="I765" s="2" t="inlineStr">
        <is>
          <t>Mismo motivo que AU1: evidencia insuficiente sobre el mecanismo de ejecución como para evaluar sus salvaguardas.</t>
        </is>
      </c>
      <c r="K765" t="inlineStr">
        <is>
          <t>2026-09-16</t>
        </is>
      </c>
      <c r="L765" s="2" t="inlineStr"/>
    </row>
    <row r="766">
      <c r="A766" t="inlineStr">
        <is>
          <t>E1</t>
        </is>
      </c>
      <c r="B766" t="inlineStr">
        <is>
          <t>Multicloud</t>
        </is>
      </c>
      <c r="C766" t="inlineStr">
        <is>
          <t>Finout</t>
        </is>
      </c>
      <c r="D766" t="inlineStr">
        <is>
          <t>Multicloud</t>
        </is>
      </c>
      <c r="E766" t="inlineStr">
        <is>
          <t>M1</t>
        </is>
      </c>
      <c r="F766" s="2" t="inlineStr">
        <is>
          <t>¿Consolida al menos dos proveedores bajo el mismo esquema declarado?</t>
        </is>
      </c>
      <c r="G766" t="n">
        <v>2</v>
      </c>
      <c r="H766" t="inlineStr">
        <is>
          <t>Oficial</t>
        </is>
      </c>
      <c r="I766" s="2" t="inlineStr">
        <is>
          <t>El "Default FOCUS Table" consolida AWS, Azure, GCP "and more" bajo el estándar FOCUS de forma automática y sin configuración ("no setup required").</t>
        </is>
      </c>
      <c r="J766" t="inlineStr">
        <is>
          <t>https://docs.finout.io/get-started-with-finout/cost-and-usage-types/focus-in-finout</t>
        </is>
      </c>
      <c r="K766" t="inlineStr">
        <is>
          <t>2026-09-16</t>
        </is>
      </c>
      <c r="L766" s="2" t="inlineStr"/>
    </row>
    <row r="767">
      <c r="A767" t="inlineStr">
        <is>
          <t>E1</t>
        </is>
      </c>
      <c r="B767" t="inlineStr">
        <is>
          <t>Multicloud</t>
        </is>
      </c>
      <c r="C767" t="inlineStr">
        <is>
          <t>Finout</t>
        </is>
      </c>
      <c r="D767" t="inlineStr">
        <is>
          <t>Multicloud</t>
        </is>
      </c>
      <c r="E767" t="inlineStr">
        <is>
          <t>M2</t>
        </is>
      </c>
      <c r="F767" s="2" t="inlineStr">
        <is>
          <t>¿Hace visibles proveedor, cobertura y diferencias semánticas?</t>
        </is>
      </c>
      <c r="G767" t="n">
        <v>2</v>
      </c>
      <c r="H767" t="inlineStr">
        <is>
          <t>Oficial</t>
        </is>
      </c>
      <c r="I767" s="2" t="inlineStr">
        <is>
          <t>"Virtual Tags" normaliza explícitamente dimensiones núcleo -proveedor, servicio, región, categoría de cargo y tipo de precio- entre proveedores, exponiendo diferencias en lugar de ocultarlas.</t>
        </is>
      </c>
      <c r="J767" t="inlineStr">
        <is>
          <t>https://docs.finout.io/get-started-with-finout/cost-and-usage-types/focus-in-finout</t>
        </is>
      </c>
      <c r="K767" t="inlineStr">
        <is>
          <t>2026-09-16</t>
        </is>
      </c>
      <c r="L767" s="2" t="inlineStr"/>
    </row>
    <row r="768">
      <c r="A768" t="inlineStr">
        <is>
          <t>E1</t>
        </is>
      </c>
      <c r="B768" t="inlineStr">
        <is>
          <t>Multicloud</t>
        </is>
      </c>
      <c r="C768" t="inlineStr">
        <is>
          <t>Finout</t>
        </is>
      </c>
      <c r="D768" t="inlineStr">
        <is>
          <t>Integracion</t>
        </is>
      </c>
      <c r="E768" t="inlineStr">
        <is>
          <t>I1</t>
        </is>
      </c>
      <c r="F768" s="2" t="inlineStr">
        <is>
          <t>¿Integra datos requeridos (facturación, uso, clúster o IaC) del escenario?</t>
        </is>
      </c>
      <c r="G768" t="inlineStr">
        <is>
          <t>NE</t>
        </is>
      </c>
      <c r="H768" t="inlineStr">
        <is>
          <t>Pendiente</t>
        </is>
      </c>
      <c r="I768" s="2" t="inlineStr">
        <is>
          <t>Ingesta automatizada de billing exports en formato FOCUS de cualquier proveedor soportado, más escaneos específicos de Kubernetes para CostGuard.</t>
        </is>
      </c>
      <c r="J768" t="inlineStr">
        <is>
          <t>https://docs.finout.io/get-started-with-finout/cost-and-usage-types/focus-in-finout</t>
        </is>
      </c>
      <c r="K768" t="inlineStr">
        <is>
          <t>2026-09-16</t>
        </is>
      </c>
      <c r="L768" s="2" t="inlineStr">
        <is>
          <t>Celda heredada FP-180 (2026-09-16): el valor 2 proviene de la investigacion del escenario E2 y no cuenta con evidencia propia de E1. Segun FP-177 el indicador I1 depende del escenario, por lo que pasa a NE (no evidenciado, reduce cobertura) hasta investigarlo. La evidencia y la fuente originales se conservan como referencia del escenario de origen.</t>
        </is>
      </c>
    </row>
    <row r="769">
      <c r="A769" t="inlineStr">
        <is>
          <t>E1</t>
        </is>
      </c>
      <c r="B769" t="inlineStr">
        <is>
          <t>Multicloud</t>
        </is>
      </c>
      <c r="C769" t="inlineStr">
        <is>
          <t>Finout</t>
        </is>
      </c>
      <c r="D769" t="inlineStr">
        <is>
          <t>Integracion</t>
        </is>
      </c>
      <c r="E769" t="inlineStr">
        <is>
          <t>I2</t>
        </is>
      </c>
      <c r="F769" s="2" t="inlineStr">
        <is>
          <t>¿Se integra con el flujo de trabajo relevante (alerta, ticket, CI/CD o reporte)?</t>
        </is>
      </c>
      <c r="G769" t="inlineStr">
        <is>
          <t>NE</t>
        </is>
      </c>
      <c r="H769" t="inlineStr">
        <is>
          <t>Pendiente</t>
        </is>
      </c>
      <c r="I769" s="2" t="inlineStr">
        <is>
          <t>Existe una integración con Slack para seguimiento de uso y anomalías, documentada únicamente en el blog del proveedor (no se ubicó la página técnica equivalente en docs.finout.io), por lo que se trata como evidencia comercial.</t>
        </is>
      </c>
      <c r="J769" t="inlineStr">
        <is>
          <t>https://www.finout.io/slack-and-finout-integration-track-usage-and-anomalies</t>
        </is>
      </c>
      <c r="K769" t="inlineStr">
        <is>
          <t>2026-09-16</t>
        </is>
      </c>
      <c r="L769" s="2" t="inlineStr">
        <is>
          <t>Celda heredada FP-180 (2026-09-16): el valor 1 proviene de la investigacion del escenario E2 y no cuenta con evidencia propia de E1. Segun FP-177 el indicador I2 depende del escenario, por lo que pasa a NE (no evidenciado, reduce cobertura) hasta investigarlo. La evidencia y la fuente originales se conservan como referencia del escenario de origen.</t>
        </is>
      </c>
    </row>
    <row r="770">
      <c r="A770" t="inlineStr">
        <is>
          <t>E1</t>
        </is>
      </c>
      <c r="B770" t="inlineStr">
        <is>
          <t>Multicloud</t>
        </is>
      </c>
      <c r="C770" t="inlineStr">
        <is>
          <t>Finout</t>
        </is>
      </c>
      <c r="D770" t="inlineStr">
        <is>
          <t>Adopcion</t>
        </is>
      </c>
      <c r="E770" t="inlineStr">
        <is>
          <t>AD1</t>
        </is>
      </c>
      <c r="F770" s="2" t="inlineStr">
        <is>
          <t>¿Soporta acceso/entrega para los roles del escenario?</t>
        </is>
      </c>
      <c r="G770" t="inlineStr">
        <is>
          <t>NE</t>
        </is>
      </c>
      <c r="H770" t="inlineStr">
        <is>
          <t>Pendiente</t>
        </is>
      </c>
      <c r="I770" s="2" t="inlineStr">
        <is>
          <t>Existen páginas dedicadas de "Role-Based Access Control (RBAC)" y "ACL Permissions" en la documentación técnica.</t>
        </is>
      </c>
      <c r="J770" t="inlineStr">
        <is>
          <t>https://docs.finout.io/settings/role-based-access-control-rbac/role-permissions</t>
        </is>
      </c>
      <c r="K770" t="inlineStr">
        <is>
          <t>2026-09-16</t>
        </is>
      </c>
      <c r="L770" s="2" t="inlineStr">
        <is>
          <t>Celda heredada FP-180 (2026-09-16): el valor 2 proviene de la investigacion del escenario E2 y no cuenta con evidencia propia de E1. Segun FP-177 el indicador AD1 depende del escenario, por lo que pasa a NE (no evidenciado, reduce cobertura) hasta investigarlo. La evidencia y la fuente originales se conservan como referencia del escenario de origen.</t>
        </is>
      </c>
    </row>
    <row r="771">
      <c r="A771" t="inlineStr">
        <is>
          <t>E1</t>
        </is>
      </c>
      <c r="B771" t="inlineStr">
        <is>
          <t>Multicloud</t>
        </is>
      </c>
      <c r="C771" t="inlineStr">
        <is>
          <t>Finout</t>
        </is>
      </c>
      <c r="D771" t="inlineStr">
        <is>
          <t>Adopcion</t>
        </is>
      </c>
      <c r="E771" t="inlineStr">
        <is>
          <t>AD2</t>
        </is>
      </c>
      <c r="F771" s="2" t="inlineStr">
        <is>
          <t>¿Ofrece guías, ownership o mecanismos de seguimiento para uso sostenido?</t>
        </is>
      </c>
      <c r="G771" t="n">
        <v>2</v>
      </c>
      <c r="H771" t="inlineStr">
        <is>
          <t>Oficial</t>
        </is>
      </c>
      <c r="I771" s="2" t="inlineStr">
        <is>
          <t>Gobernanza documentada como función del producto: la gobernanza de etiquetas «allows you to define tagging policies across multiple cloud environments, offering visibility into non-compliant resources and costs while simplifying resource tracking», que es un mecanismo de seguimiento para uso sostenido en un entorno multinube. La documentación incluye además la guía de incorporación de nuevos usuarios a la cuenta. Proceso definido; sin evidencia de adopción medida para 3.</t>
        </is>
      </c>
      <c r="J771" t="inlineStr">
        <is>
          <t>https://docs.finout.io/user-guide/operate/tag-governance ; https://docs.finout.io/get-started-with-finout/introduction-to-finouts-suite-of-features</t>
        </is>
      </c>
      <c r="K771" t="inlineStr">
        <is>
          <t>2026-09-16</t>
        </is>
      </c>
      <c r="L771" s="2" t="inlineStr">
        <is>
          <t>Investigación E2 FP-180 (2026-09-16): celda completada con evidencia propia del escenario, verificada contra documentación oficial.</t>
        </is>
      </c>
    </row>
    <row r="772">
      <c r="A772" t="inlineStr">
        <is>
          <t>E1</t>
        </is>
      </c>
      <c r="B772" t="inlineStr">
        <is>
          <t>Multicloud</t>
        </is>
      </c>
      <c r="C772" t="inlineStr">
        <is>
          <t>Finout</t>
        </is>
      </c>
      <c r="D772" t="inlineStr">
        <is>
          <t>Precio</t>
        </is>
      </c>
      <c r="E772" t="inlineStr">
        <is>
          <t>P1</t>
        </is>
      </c>
      <c r="F772" s="2" t="inlineStr">
        <is>
          <t>¿Expone precio, moneda, región, unidad, período y supuestos relevantes?</t>
        </is>
      </c>
      <c r="G772" t="inlineStr">
        <is>
          <t>NE</t>
        </is>
      </c>
      <c r="H772" t="inlineStr">
        <is>
          <t>Pendiente</t>
        </is>
      </c>
      <c r="I772" s="2" t="inlineStr">
        <is>
          <t>No se encontró evidencia específica de transparencia de supuestos de precio (moneda/región/período) en las páginas revisadas.</t>
        </is>
      </c>
      <c r="K772" t="inlineStr">
        <is>
          <t>2026-09-16</t>
        </is>
      </c>
      <c r="L772" s="2" t="inlineStr"/>
    </row>
    <row r="773">
      <c r="A773" t="inlineStr">
        <is>
          <t>E1</t>
        </is>
      </c>
      <c r="B773" t="inlineStr">
        <is>
          <t>Multicloud</t>
        </is>
      </c>
      <c r="C773" t="inlineStr">
        <is>
          <t>Finout</t>
        </is>
      </c>
      <c r="D773" t="inlineStr">
        <is>
          <t>Precio</t>
        </is>
      </c>
      <c r="E773" t="inlineStr">
        <is>
          <t>P2</t>
        </is>
      </c>
      <c r="F773" s="2" t="inlineStr">
        <is>
          <t>¿Permite estimar o comparar componentes sin ocultar límites de equivalencia?</t>
        </is>
      </c>
      <c r="G773" t="inlineStr">
        <is>
          <t>NE</t>
        </is>
      </c>
      <c r="H773" t="inlineStr">
        <is>
          <t>Pendiente</t>
        </is>
      </c>
      <c r="I773" s="2" t="inlineStr">
        <is>
          <t>No se encontró evidencia de una función de comparación/estimación de precio contextual en las páginas revisadas.</t>
        </is>
      </c>
      <c r="K773" t="inlineStr">
        <is>
          <t>2026-09-16</t>
        </is>
      </c>
      <c r="L773" s="2" t="inlineStr"/>
    </row>
    <row r="774">
      <c r="A774" t="inlineStr">
        <is>
          <t>E1</t>
        </is>
      </c>
      <c r="B774" t="inlineStr">
        <is>
          <t>Multicloud</t>
        </is>
      </c>
      <c r="C774" t="inlineStr">
        <is>
          <t>Finout</t>
        </is>
      </c>
      <c r="D774" t="inlineStr">
        <is>
          <t>Dependencia</t>
        </is>
      </c>
      <c r="E774" t="inlineStr">
        <is>
          <t>D1</t>
        </is>
      </c>
      <c r="F774" s="2" t="inlineStr">
        <is>
          <t>¿Exporta datos/resultados en formato utilizable y documentado?</t>
        </is>
      </c>
      <c r="G774" t="n">
        <v>2</v>
      </c>
      <c r="H774" t="inlineStr">
        <is>
          <t>Oficial</t>
        </is>
      </c>
      <c r="I774" s="2" t="inlineStr">
        <is>
          <t>Documentación técnica dedicada de "Finout API", "Cost API", "CostGuard API" y "Virtual Tags API" confirma una vía de exportación/acceso a datos definida y reproducible.</t>
        </is>
      </c>
      <c r="J774" t="inlineStr">
        <is>
          <t>https://docs.finout.io/configuration/finout-api</t>
        </is>
      </c>
      <c r="K774" t="inlineStr">
        <is>
          <t>2026-09-16</t>
        </is>
      </c>
      <c r="L774" s="2" t="inlineStr"/>
    </row>
    <row r="775">
      <c r="A775" t="inlineStr">
        <is>
          <t>E1</t>
        </is>
      </c>
      <c r="B775" t="inlineStr">
        <is>
          <t>Multicloud</t>
        </is>
      </c>
      <c r="C775" t="inlineStr">
        <is>
          <t>Finout</t>
        </is>
      </c>
      <c r="D775" t="inlineStr">
        <is>
          <t>Dependencia</t>
        </is>
      </c>
      <c r="E775" t="inlineStr">
        <is>
          <t>D2</t>
        </is>
      </c>
      <c r="F775" s="2" t="inlineStr">
        <is>
          <t>¿Documenta dependencias propietarias y un camino de salida/configuración reversible?</t>
        </is>
      </c>
      <c r="G775" t="inlineStr">
        <is>
          <t>NE</t>
        </is>
      </c>
      <c r="H775" t="inlineStr">
        <is>
          <t>Pendiente</t>
        </is>
      </c>
      <c r="I775" s="2" t="inlineStr">
        <is>
          <t>No se encontró documentación sobre un camino de salida o reversibilidad de la configuración.</t>
        </is>
      </c>
      <c r="K775" t="inlineStr">
        <is>
          <t>2026-09-16</t>
        </is>
      </c>
      <c r="L775" s="2" t="inlineStr"/>
    </row>
    <row r="776">
      <c r="A776" t="inlineStr">
        <is>
          <t>E2</t>
        </is>
      </c>
      <c r="B776" t="inlineStr">
        <is>
          <t>Multicloud</t>
        </is>
      </c>
      <c r="C776" t="inlineStr">
        <is>
          <t>Finout</t>
        </is>
      </c>
      <c r="D776" t="inlineStr">
        <is>
          <t>Visibilidad</t>
        </is>
      </c>
      <c r="E776" t="inlineStr">
        <is>
          <t>V1</t>
        </is>
      </c>
      <c r="F776" s="2" t="inlineStr">
        <is>
          <t>¿Desagrega costo y uso por cuenta/proyecto, servicio y período?</t>
        </is>
      </c>
      <c r="G776" t="n">
        <v>2</v>
      </c>
      <c r="H776" t="inlineStr">
        <is>
          <t>Oficial</t>
        </is>
      </c>
      <c r="I776" s="2" t="inlineStr">
        <is>
          <t>La "Default FOCUS Table" construye automáticamente un dataset unificado y normalizado a partir de los billing exports de todos los proveedores soportados ("AWS, GCP, Azure, and more"), y "Virtual Tags" permite "slice and analyze" el costo por proveedor/servicio/región/categoría de cargo/tipo de precio.</t>
        </is>
      </c>
      <c r="J776" t="inlineStr">
        <is>
          <t>https://docs.finout.io/get-started-with-finout/cost-and-usage-types/focus-in-finout</t>
        </is>
      </c>
      <c r="K776" t="inlineStr">
        <is>
          <t>2026-09-16</t>
        </is>
      </c>
      <c r="L776" s="2" t="inlineStr"/>
    </row>
    <row r="777">
      <c r="A777" t="inlineStr">
        <is>
          <t>E2</t>
        </is>
      </c>
      <c r="B777" t="inlineStr">
        <is>
          <t>Multicloud</t>
        </is>
      </c>
      <c r="C777" t="inlineStr">
        <is>
          <t>Finout</t>
        </is>
      </c>
      <c r="D777" t="inlineStr">
        <is>
          <t>Visibilidad</t>
        </is>
      </c>
      <c r="E777" t="inlineStr">
        <is>
          <t>V2</t>
        </is>
      </c>
      <c r="F777" s="2" t="inlineStr">
        <is>
          <t>¿Permite rastrear un total hasta registros o fuente de facturación?</t>
        </is>
      </c>
      <c r="G777" t="n">
        <v>2</v>
      </c>
      <c r="H777" t="inlineStr">
        <is>
          <t>Oficial</t>
        </is>
      </c>
      <c r="I777" s="2" t="inlineStr">
        <is>
          <t>MegaBill permite descender del total al detalle: «You can quickly drill down into the costs/usage by clicking an area on the graph», y la Cost API V2 expone consulta directa de costo y uso con filtros y group-by, de modo que el detalle es exportable y reproducible. Límite registrado para E2: la documentación oficial declara que «Cost data in MegaBill is available for all cloud providers and services supported by Finout. Usage data is available for AWS, GCP, and Azure», es decir, el dato de uso no cubre a todos los proveedores. No se encontró documentación oficial de conciliación contra la factura del proveedor; la afirmación de conciliación patentada aparece solo en material comercial y por eso no se usa para puntuar.</t>
        </is>
      </c>
      <c r="J777" t="inlineStr">
        <is>
          <t>https://docs.finout.io/user-guide/inform/megabill ; https://docs.finout.io/api/finout-api/finout-api-v2</t>
        </is>
      </c>
      <c r="K777" t="inlineStr">
        <is>
          <t>2026-09-16</t>
        </is>
      </c>
      <c r="L777" s="2" t="inlineStr">
        <is>
          <t>Investigación E2 FP-180 (2026-09-16): celda completada con evidencia propia del escenario, verificada contra documentación oficial.</t>
        </is>
      </c>
    </row>
    <row r="778">
      <c r="A778" t="inlineStr">
        <is>
          <t>E2</t>
        </is>
      </c>
      <c r="B778" t="inlineStr">
        <is>
          <t>Multicloud</t>
        </is>
      </c>
      <c r="C778" t="inlineStr">
        <is>
          <t>Finout</t>
        </is>
      </c>
      <c r="D778" t="inlineStr">
        <is>
          <t>Asignacion</t>
        </is>
      </c>
      <c r="E778" t="inlineStr">
        <is>
          <t>A1</t>
        </is>
      </c>
      <c r="F778" s="2" t="inlineStr">
        <is>
          <t>¿Calcula gasto asignado/no asignado por responsable, centro o entidad?</t>
        </is>
      </c>
      <c r="G778" t="n">
        <v>2</v>
      </c>
      <c r="H778" t="inlineStr">
        <is>
          <t>Oficial</t>
        </is>
      </c>
      <c r="I778" s="2" t="inlineStr">
        <is>
          <t>"Virtual Tags" y "Shared Cost Reallocation" (con MegaBill key) permiten segmentar el costo retroactivamente y mejorar la granularidad de la asignación sin modificar las etiquetas originales del recurso, funcionando entre proveedores.</t>
        </is>
      </c>
      <c r="J778" t="inlineStr">
        <is>
          <t>https://docs.finout.io/user-guide/inform/virtual-tags</t>
        </is>
      </c>
      <c r="K778" t="inlineStr">
        <is>
          <t>2026-09-16</t>
        </is>
      </c>
      <c r="L778" s="2" t="inlineStr"/>
    </row>
    <row r="779">
      <c r="A779" t="inlineStr">
        <is>
          <t>E2</t>
        </is>
      </c>
      <c r="B779" t="inlineStr">
        <is>
          <t>Multicloud</t>
        </is>
      </c>
      <c r="C779" t="inlineStr">
        <is>
          <t>Finout</t>
        </is>
      </c>
      <c r="D779" t="inlineStr">
        <is>
          <t>Asignacion</t>
        </is>
      </c>
      <c r="E779" t="inlineStr">
        <is>
          <t>A2</t>
        </is>
      </c>
      <c r="F779" s="2" t="inlineStr">
        <is>
          <t>¿Explicita y aplica reglas para costo compartido/multi-tenant?</t>
        </is>
      </c>
      <c r="G779" t="n">
        <v>2</v>
      </c>
      <c r="H779" t="inlineStr">
        <is>
          <t>Oficial</t>
        </is>
      </c>
      <c r="I779" s="2" t="inlineStr">
        <is>
          <t>"Shared Cost Reallocation" es una función dedicada para el reparto de costo compartido, construida sobre las reglas de filtrado de Virtual Tags ("funnel from the top down").</t>
        </is>
      </c>
      <c r="J779" t="inlineStr">
        <is>
          <t>https://docs.finout.io/user-guide/inform/shared-cost-reallocation</t>
        </is>
      </c>
      <c r="K779" t="inlineStr">
        <is>
          <t>2026-09-16</t>
        </is>
      </c>
      <c r="L779" s="2" t="inlineStr"/>
    </row>
    <row r="780">
      <c r="A780" t="inlineStr">
        <is>
          <t>E2</t>
        </is>
      </c>
      <c r="B780" t="inlineStr">
        <is>
          <t>Multicloud</t>
        </is>
      </c>
      <c r="C780" t="inlineStr">
        <is>
          <t>Finout</t>
        </is>
      </c>
      <c r="D780" t="inlineStr">
        <is>
          <t>Optimizacion</t>
        </is>
      </c>
      <c r="E780" t="inlineStr">
        <is>
          <t>O1</t>
        </is>
      </c>
      <c r="F780" s="2" t="inlineStr">
        <is>
          <t>¿Detecta desperdicio, rightsizing o compromiso relevante al escenario?</t>
        </is>
      </c>
      <c r="G780" t="n">
        <v>2</v>
      </c>
      <c r="H780" t="inlineStr">
        <is>
          <t>Oficial</t>
        </is>
      </c>
      <c r="I780" s="2" t="inlineStr">
        <is>
          <t>"CostGuard" detecta recursos inactivos, oportunidades de rightsizing (incluye pods/StatefulSets de Kubernetes) y candidatos a compromisos (savings plans), disponible "out of the box" sin configuración.</t>
        </is>
      </c>
      <c r="J780" t="inlineStr">
        <is>
          <t>https://docs.finout.io/user-guide/optimize/costguard</t>
        </is>
      </c>
      <c r="K780" t="inlineStr">
        <is>
          <t>2026-09-16</t>
        </is>
      </c>
      <c r="L780" s="2" t="inlineStr"/>
    </row>
    <row r="781">
      <c r="A781" t="inlineStr">
        <is>
          <t>E2</t>
        </is>
      </c>
      <c r="B781" t="inlineStr">
        <is>
          <t>Multicloud</t>
        </is>
      </c>
      <c r="C781" t="inlineStr">
        <is>
          <t>Finout</t>
        </is>
      </c>
      <c r="D781" t="inlineStr">
        <is>
          <t>Optimizacion</t>
        </is>
      </c>
      <c r="E781" t="inlineStr">
        <is>
          <t>O2</t>
        </is>
      </c>
      <c r="F781" s="2" t="inlineStr">
        <is>
          <t>¿Explica supuesto/impacto y permite seguir una recomendación?</t>
        </is>
      </c>
      <c r="G781" t="n">
        <v>1</v>
      </c>
      <c r="H781" t="inlineStr">
        <is>
          <t>Oficial</t>
        </is>
      </c>
      <c r="I781" s="2" t="inlineStr">
        <is>
          <t>CostGuard entrega "información y confianza" para optimizar, pero la documentación revisada no detalla un ciclo de seguimiento de estado/ahorro realizado equivalente al de CloudZero/Vantage.</t>
        </is>
      </c>
      <c r="J781" t="inlineStr">
        <is>
          <t>https://docs.finout.io/user-guide/optimize/costguard</t>
        </is>
      </c>
      <c r="K781" t="inlineStr">
        <is>
          <t>2026-09-16</t>
        </is>
      </c>
      <c r="L781" s="2" t="inlineStr"/>
    </row>
    <row r="782">
      <c r="A782" t="inlineStr">
        <is>
          <t>E2</t>
        </is>
      </c>
      <c r="B782" t="inlineStr">
        <is>
          <t>Multicloud</t>
        </is>
      </c>
      <c r="C782" t="inlineStr">
        <is>
          <t>Finout</t>
        </is>
      </c>
      <c r="D782" t="inlineStr">
        <is>
          <t>Automatizacion</t>
        </is>
      </c>
      <c r="E782" t="inlineStr">
        <is>
          <t>AU1</t>
        </is>
      </c>
      <c r="F782" s="2" t="inlineStr">
        <is>
          <t>¿Ejecuta o bloquea acciones/políticas de costo con control verificable?</t>
        </is>
      </c>
      <c r="G782" t="inlineStr">
        <is>
          <t>NE</t>
        </is>
      </c>
      <c r="H782" t="inlineStr">
        <is>
          <t>Pendiente</t>
        </is>
      </c>
      <c r="I782" s="2" t="inlineStr">
        <is>
          <t>La documentación revisada no confirma ni descarta ejecución automática de acciones; CostGuard se describe como una fuente de información/recomendación, sin detalle suficiente para puntuar con certeza.</t>
        </is>
      </c>
      <c r="K782" t="inlineStr">
        <is>
          <t>2026-09-16</t>
        </is>
      </c>
      <c r="L782" s="2" t="inlineStr"/>
    </row>
    <row r="783">
      <c r="A783" t="inlineStr">
        <is>
          <t>E2</t>
        </is>
      </c>
      <c r="B783" t="inlineStr">
        <is>
          <t>Multicloud</t>
        </is>
      </c>
      <c r="C783" t="inlineStr">
        <is>
          <t>Finout</t>
        </is>
      </c>
      <c r="D783" t="inlineStr">
        <is>
          <t>Automatizacion</t>
        </is>
      </c>
      <c r="E783" t="inlineStr">
        <is>
          <t>AU2</t>
        </is>
      </c>
      <c r="F783" s="2" t="inlineStr">
        <is>
          <t>¿Ofrece aprobación, reversión, registro o límites antes de actuar?</t>
        </is>
      </c>
      <c r="G783" t="inlineStr">
        <is>
          <t>NE</t>
        </is>
      </c>
      <c r="H783" t="inlineStr">
        <is>
          <t>Pendiente</t>
        </is>
      </c>
      <c r="I783" s="2" t="inlineStr">
        <is>
          <t>Mismo motivo que AU1: evidencia insuficiente sobre el mecanismo de ejecución como para evaluar sus salvaguardas.</t>
        </is>
      </c>
      <c r="K783" t="inlineStr">
        <is>
          <t>2026-09-16</t>
        </is>
      </c>
      <c r="L783" s="2" t="inlineStr"/>
    </row>
    <row r="784">
      <c r="A784" t="inlineStr">
        <is>
          <t>E2</t>
        </is>
      </c>
      <c r="B784" t="inlineStr">
        <is>
          <t>Multicloud</t>
        </is>
      </c>
      <c r="C784" t="inlineStr">
        <is>
          <t>Finout</t>
        </is>
      </c>
      <c r="D784" t="inlineStr">
        <is>
          <t>Multicloud</t>
        </is>
      </c>
      <c r="E784" t="inlineStr">
        <is>
          <t>M1</t>
        </is>
      </c>
      <c r="F784" s="2" t="inlineStr">
        <is>
          <t>¿Consolida al menos dos proveedores bajo el mismo esquema declarado?</t>
        </is>
      </c>
      <c r="G784" t="n">
        <v>2</v>
      </c>
      <c r="H784" t="inlineStr">
        <is>
          <t>Oficial</t>
        </is>
      </c>
      <c r="I784" s="2" t="inlineStr">
        <is>
          <t>El "Default FOCUS Table" consolida AWS, Azure, GCP "and more" bajo el estándar FOCUS de forma automática y sin configuración ("no setup required").</t>
        </is>
      </c>
      <c r="J784" t="inlineStr">
        <is>
          <t>https://docs.finout.io/get-started-with-finout/cost-and-usage-types/focus-in-finout</t>
        </is>
      </c>
      <c r="K784" t="inlineStr">
        <is>
          <t>2026-09-16</t>
        </is>
      </c>
      <c r="L784" s="2" t="inlineStr"/>
    </row>
    <row r="785">
      <c r="A785" t="inlineStr">
        <is>
          <t>E2</t>
        </is>
      </c>
      <c r="B785" t="inlineStr">
        <is>
          <t>Multicloud</t>
        </is>
      </c>
      <c r="C785" t="inlineStr">
        <is>
          <t>Finout</t>
        </is>
      </c>
      <c r="D785" t="inlineStr">
        <is>
          <t>Multicloud</t>
        </is>
      </c>
      <c r="E785" t="inlineStr">
        <is>
          <t>M2</t>
        </is>
      </c>
      <c r="F785" s="2" t="inlineStr">
        <is>
          <t>¿Hace visibles proveedor, cobertura y diferencias semánticas?</t>
        </is>
      </c>
      <c r="G785" t="n">
        <v>2</v>
      </c>
      <c r="H785" t="inlineStr">
        <is>
          <t>Oficial</t>
        </is>
      </c>
      <c r="I785" s="2" t="inlineStr">
        <is>
          <t>"Virtual Tags" normaliza explícitamente dimensiones núcleo -proveedor, servicio, región, categoría de cargo y tipo de precio- entre proveedores, exponiendo diferencias en lugar de ocultarlas.</t>
        </is>
      </c>
      <c r="J785" t="inlineStr">
        <is>
          <t>https://docs.finout.io/get-started-with-finout/cost-and-usage-types/focus-in-finout</t>
        </is>
      </c>
      <c r="K785" t="inlineStr">
        <is>
          <t>2026-09-16</t>
        </is>
      </c>
      <c r="L785" s="2" t="inlineStr"/>
    </row>
    <row r="786">
      <c r="A786" t="inlineStr">
        <is>
          <t>E2</t>
        </is>
      </c>
      <c r="B786" t="inlineStr">
        <is>
          <t>Multicloud</t>
        </is>
      </c>
      <c r="C786" t="inlineStr">
        <is>
          <t>Finout</t>
        </is>
      </c>
      <c r="D786" t="inlineStr">
        <is>
          <t>Integracion</t>
        </is>
      </c>
      <c r="E786" t="inlineStr">
        <is>
          <t>I1</t>
        </is>
      </c>
      <c r="F786" s="2" t="inlineStr">
        <is>
          <t>¿Integra datos requeridos (facturación, uso, clúster o IaC) del escenario?</t>
        </is>
      </c>
      <c r="G786" t="n">
        <v>2</v>
      </c>
      <c r="H786" t="inlineStr">
        <is>
          <t>Oficial</t>
        </is>
      </c>
      <c r="I786" s="2" t="inlineStr">
        <is>
          <t>Ingesta automatizada de billing exports en formato FOCUS de cualquier proveedor soportado, más escaneos específicos de Kubernetes para CostGuard.</t>
        </is>
      </c>
      <c r="J786" t="inlineStr">
        <is>
          <t>https://docs.finout.io/get-started-with-finout/cost-and-usage-types/focus-in-finout</t>
        </is>
      </c>
      <c r="K786" t="inlineStr">
        <is>
          <t>2026-09-16</t>
        </is>
      </c>
      <c r="L786" s="2" t="inlineStr"/>
    </row>
    <row r="787">
      <c r="A787" t="inlineStr">
        <is>
          <t>E2</t>
        </is>
      </c>
      <c r="B787" t="inlineStr">
        <is>
          <t>Multicloud</t>
        </is>
      </c>
      <c r="C787" t="inlineStr">
        <is>
          <t>Finout</t>
        </is>
      </c>
      <c r="D787" t="inlineStr">
        <is>
          <t>Integracion</t>
        </is>
      </c>
      <c r="E787" t="inlineStr">
        <is>
          <t>I2</t>
        </is>
      </c>
      <c r="F787" s="2" t="inlineStr">
        <is>
          <t>¿Se integra con el flujo de trabajo relevante (alerta, ticket, CI/CD o reporte)?</t>
        </is>
      </c>
      <c r="G787" t="n">
        <v>1</v>
      </c>
      <c r="H787" t="inlineStr">
        <is>
          <t>Comercial</t>
        </is>
      </c>
      <c r="I787" s="2" t="inlineStr">
        <is>
          <t>Existe una integración con Slack para seguimiento de uso y anomalías, documentada únicamente en el blog del proveedor (no se ubicó la página técnica equivalente en docs.finout.io), por lo que se trata como evidencia comercial.</t>
        </is>
      </c>
      <c r="J787" t="inlineStr">
        <is>
          <t>https://www.finout.io/slack-and-finout-integration-track-usage-and-anomalies</t>
        </is>
      </c>
      <c r="K787" t="inlineStr">
        <is>
          <t>2026-09-16</t>
        </is>
      </c>
      <c r="L787" s="2" t="inlineStr"/>
    </row>
    <row r="788">
      <c r="A788" t="inlineStr">
        <is>
          <t>E2</t>
        </is>
      </c>
      <c r="B788" t="inlineStr">
        <is>
          <t>Multicloud</t>
        </is>
      </c>
      <c r="C788" t="inlineStr">
        <is>
          <t>Finout</t>
        </is>
      </c>
      <c r="D788" t="inlineStr">
        <is>
          <t>Adopcion</t>
        </is>
      </c>
      <c r="E788" t="inlineStr">
        <is>
          <t>AD1</t>
        </is>
      </c>
      <c r="F788" s="2" t="inlineStr">
        <is>
          <t>¿Soporta acceso/entrega para los roles del escenario?</t>
        </is>
      </c>
      <c r="G788" t="n">
        <v>2</v>
      </c>
      <c r="H788" t="inlineStr">
        <is>
          <t>Oficial</t>
        </is>
      </c>
      <c r="I788" s="2" t="inlineStr">
        <is>
          <t>Existen páginas dedicadas de "Role-Based Access Control (RBAC)" y "ACL Permissions" en la documentación técnica.</t>
        </is>
      </c>
      <c r="J788" t="inlineStr">
        <is>
          <t>https://docs.finout.io/settings/role-based-access-control-rbac/role-permissions</t>
        </is>
      </c>
      <c r="K788" t="inlineStr">
        <is>
          <t>2026-09-16</t>
        </is>
      </c>
      <c r="L788" s="2" t="inlineStr"/>
    </row>
    <row r="789">
      <c r="A789" t="inlineStr">
        <is>
          <t>E2</t>
        </is>
      </c>
      <c r="B789" t="inlineStr">
        <is>
          <t>Multicloud</t>
        </is>
      </c>
      <c r="C789" t="inlineStr">
        <is>
          <t>Finout</t>
        </is>
      </c>
      <c r="D789" t="inlineStr">
        <is>
          <t>Adopcion</t>
        </is>
      </c>
      <c r="E789" t="inlineStr">
        <is>
          <t>AD2</t>
        </is>
      </c>
      <c r="F789" s="2" t="inlineStr">
        <is>
          <t>¿Ofrece guías, ownership o mecanismos de seguimiento para uso sostenido?</t>
        </is>
      </c>
      <c r="G789" t="n">
        <v>2</v>
      </c>
      <c r="H789" t="inlineStr">
        <is>
          <t>Oficial</t>
        </is>
      </c>
      <c r="I789" s="2" t="inlineStr">
        <is>
          <t>Gobernanza documentada como función del producto: la gobernanza de etiquetas «allows you to define tagging policies across multiple cloud environments, offering visibility into non-compliant resources and costs while simplifying resource tracking», que es un mecanismo de seguimiento para uso sostenido en un entorno multinube. La documentación incluye además la guía de incorporación de nuevos usuarios a la cuenta. Proceso definido; sin evidencia de adopción medida para 3.</t>
        </is>
      </c>
      <c r="J789" t="inlineStr">
        <is>
          <t>https://docs.finout.io/user-guide/operate/tag-governance ; https://docs.finout.io/get-started-with-finout/introduction-to-finouts-suite-of-features</t>
        </is>
      </c>
      <c r="K789" t="inlineStr">
        <is>
          <t>2026-09-16</t>
        </is>
      </c>
      <c r="L789" s="2" t="inlineStr">
        <is>
          <t>Investigación E2 FP-180 (2026-09-16): celda completada con evidencia propia del escenario, verificada contra documentación oficial.</t>
        </is>
      </c>
    </row>
    <row r="790">
      <c r="A790" t="inlineStr">
        <is>
          <t>E2</t>
        </is>
      </c>
      <c r="B790" t="inlineStr">
        <is>
          <t>Multicloud</t>
        </is>
      </c>
      <c r="C790" t="inlineStr">
        <is>
          <t>Finout</t>
        </is>
      </c>
      <c r="D790" t="inlineStr">
        <is>
          <t>Precio</t>
        </is>
      </c>
      <c r="E790" t="inlineStr">
        <is>
          <t>P1</t>
        </is>
      </c>
      <c r="F790" s="2" t="inlineStr">
        <is>
          <t>¿Expone precio, moneda, región, unidad, período y supuestos relevantes?</t>
        </is>
      </c>
      <c r="G790" t="inlineStr">
        <is>
          <t>NE</t>
        </is>
      </c>
      <c r="H790" t="inlineStr">
        <is>
          <t>Pendiente</t>
        </is>
      </c>
      <c r="I790" s="2" t="inlineStr">
        <is>
          <t>No se encontró evidencia específica de transparencia de supuestos de precio (moneda/región/período) en las páginas revisadas.</t>
        </is>
      </c>
      <c r="K790" t="inlineStr">
        <is>
          <t>2026-09-16</t>
        </is>
      </c>
      <c r="L790" s="2" t="inlineStr"/>
    </row>
    <row r="791">
      <c r="A791" t="inlineStr">
        <is>
          <t>E2</t>
        </is>
      </c>
      <c r="B791" t="inlineStr">
        <is>
          <t>Multicloud</t>
        </is>
      </c>
      <c r="C791" t="inlineStr">
        <is>
          <t>Finout</t>
        </is>
      </c>
      <c r="D791" t="inlineStr">
        <is>
          <t>Precio</t>
        </is>
      </c>
      <c r="E791" t="inlineStr">
        <is>
          <t>P2</t>
        </is>
      </c>
      <c r="F791" s="2" t="inlineStr">
        <is>
          <t>¿Permite estimar o comparar componentes sin ocultar límites de equivalencia?</t>
        </is>
      </c>
      <c r="G791" t="inlineStr">
        <is>
          <t>NE</t>
        </is>
      </c>
      <c r="H791" t="inlineStr">
        <is>
          <t>Pendiente</t>
        </is>
      </c>
      <c r="I791" s="2" t="inlineStr">
        <is>
          <t>No se encontró evidencia de una función de comparación/estimación de precio contextual en las páginas revisadas.</t>
        </is>
      </c>
      <c r="K791" t="inlineStr">
        <is>
          <t>2026-09-16</t>
        </is>
      </c>
      <c r="L791" s="2" t="inlineStr"/>
    </row>
    <row r="792">
      <c r="A792" t="inlineStr">
        <is>
          <t>E2</t>
        </is>
      </c>
      <c r="B792" t="inlineStr">
        <is>
          <t>Multicloud</t>
        </is>
      </c>
      <c r="C792" t="inlineStr">
        <is>
          <t>Finout</t>
        </is>
      </c>
      <c r="D792" t="inlineStr">
        <is>
          <t>Dependencia</t>
        </is>
      </c>
      <c r="E792" t="inlineStr">
        <is>
          <t>D1</t>
        </is>
      </c>
      <c r="F792" s="2" t="inlineStr">
        <is>
          <t>¿Exporta datos/resultados en formato utilizable y documentado?</t>
        </is>
      </c>
      <c r="G792" t="n">
        <v>2</v>
      </c>
      <c r="H792" t="inlineStr">
        <is>
          <t>Oficial</t>
        </is>
      </c>
      <c r="I792" s="2" t="inlineStr">
        <is>
          <t>Documentación técnica dedicada de "Finout API", "Cost API", "CostGuard API" y "Virtual Tags API" confirma una vía de exportación/acceso a datos definida y reproducible.</t>
        </is>
      </c>
      <c r="J792" t="inlineStr">
        <is>
          <t>https://docs.finout.io/configuration/finout-api</t>
        </is>
      </c>
      <c r="K792" t="inlineStr">
        <is>
          <t>2026-09-16</t>
        </is>
      </c>
      <c r="L792" s="2" t="inlineStr"/>
    </row>
    <row r="793">
      <c r="A793" t="inlineStr">
        <is>
          <t>E2</t>
        </is>
      </c>
      <c r="B793" t="inlineStr">
        <is>
          <t>Multicloud</t>
        </is>
      </c>
      <c r="C793" t="inlineStr">
        <is>
          <t>Finout</t>
        </is>
      </c>
      <c r="D793" t="inlineStr">
        <is>
          <t>Dependencia</t>
        </is>
      </c>
      <c r="E793" t="inlineStr">
        <is>
          <t>D2</t>
        </is>
      </c>
      <c r="F793" s="2" t="inlineStr">
        <is>
          <t>¿Documenta dependencias propietarias y un camino de salida/configuración reversible?</t>
        </is>
      </c>
      <c r="G793" t="inlineStr">
        <is>
          <t>NE</t>
        </is>
      </c>
      <c r="H793" t="inlineStr">
        <is>
          <t>Pendiente</t>
        </is>
      </c>
      <c r="I793" s="2" t="inlineStr">
        <is>
          <t>No se encontró documentación sobre un camino de salida o reversibilidad de la configuración.</t>
        </is>
      </c>
      <c r="K793" t="inlineStr">
        <is>
          <t>2026-09-16</t>
        </is>
      </c>
      <c r="L793" s="2" t="inlineStr"/>
    </row>
    <row r="794">
      <c r="A794" t="inlineStr">
        <is>
          <t>E5</t>
        </is>
      </c>
      <c r="B794" t="inlineStr">
        <is>
          <t>Multicloud</t>
        </is>
      </c>
      <c r="C794" t="inlineStr">
        <is>
          <t>Finout</t>
        </is>
      </c>
      <c r="D794" t="inlineStr">
        <is>
          <t>Visibilidad</t>
        </is>
      </c>
      <c r="E794" t="inlineStr">
        <is>
          <t>V1</t>
        </is>
      </c>
      <c r="F794" s="2" t="inlineStr">
        <is>
          <t>¿Desagrega costo y uso por cuenta/proyecto, servicio y período?</t>
        </is>
      </c>
      <c r="G794" t="inlineStr">
        <is>
          <t>NE</t>
        </is>
      </c>
      <c r="H794" t="inlineStr">
        <is>
          <t>Pendiente</t>
        </is>
      </c>
      <c r="I794" s="2" t="inlineStr">
        <is>
          <t>La "Default FOCUS Table" construye automáticamente un dataset unificado y normalizado a partir de los billing exports de todos los proveedores soportados ("AWS, GCP, Azure, and more"), y "Virtual Tags" permite "slice and analyze" el costo por proveedor/servicio/región/categoría de cargo/tipo de precio.</t>
        </is>
      </c>
      <c r="J794" t="inlineStr">
        <is>
          <t>https://docs.finout.io/get-started-with-finout/cost-and-usage-types/focus-in-finout</t>
        </is>
      </c>
      <c r="K794" t="inlineStr">
        <is>
          <t>2026-09-16</t>
        </is>
      </c>
      <c r="L794" s="2" t="inlineStr">
        <is>
          <t>Celda heredada FP-180 (2026-09-16): el valor 2 proviene de la investigacion del escenario E2 y no cuenta con evidencia propia de E5. Segun FP-177 el indicador V1 depende del escenario, por lo que pasa a NE (no evidenciado, reduce cobertura) hasta investigarlo. La evidencia y la fuente originales se conservan como referencia del escenario de origen.</t>
        </is>
      </c>
    </row>
    <row r="795">
      <c r="A795" t="inlineStr">
        <is>
          <t>E5</t>
        </is>
      </c>
      <c r="B795" t="inlineStr">
        <is>
          <t>Multicloud</t>
        </is>
      </c>
      <c r="C795" t="inlineStr">
        <is>
          <t>Finout</t>
        </is>
      </c>
      <c r="D795" t="inlineStr">
        <is>
          <t>Visibilidad</t>
        </is>
      </c>
      <c r="E795" t="inlineStr">
        <is>
          <t>V2</t>
        </is>
      </c>
      <c r="F795" s="2" t="inlineStr">
        <is>
          <t>¿Permite rastrear un total hasta registros o fuente de facturación?</t>
        </is>
      </c>
      <c r="G795" t="n">
        <v>2</v>
      </c>
      <c r="H795" t="inlineStr">
        <is>
          <t>Oficial</t>
        </is>
      </c>
      <c r="I795" s="2" t="inlineStr">
        <is>
          <t>MegaBill permite descender del total al detalle: «You can quickly drill down into the costs/usage by clicking an area on the graph», y la Cost API V2 expone consulta directa de costo y uso con filtros y group-by, de modo que el detalle es exportable y reproducible. Límite registrado para E2: la documentación oficial declara que «Cost data in MegaBill is available for all cloud providers and services supported by Finout. Usage data is available for AWS, GCP, and Azure», es decir, el dato de uso no cubre a todos los proveedores. No se encontró documentación oficial de conciliación contra la factura del proveedor; la afirmación de conciliación patentada aparece solo en material comercial y por eso no se usa para puntuar.</t>
        </is>
      </c>
      <c r="J795" t="inlineStr">
        <is>
          <t>https://docs.finout.io/user-guide/inform/megabill ; https://docs.finout.io/api/finout-api/finout-api-v2</t>
        </is>
      </c>
      <c r="K795" t="inlineStr">
        <is>
          <t>2026-09-16</t>
        </is>
      </c>
      <c r="L795" s="2" t="inlineStr">
        <is>
          <t>Investigación E2 FP-180 (2026-09-16): celda completada con evidencia propia del escenario, verificada contra documentación oficial.</t>
        </is>
      </c>
    </row>
    <row r="796">
      <c r="A796" t="inlineStr">
        <is>
          <t>E5</t>
        </is>
      </c>
      <c r="B796" t="inlineStr">
        <is>
          <t>Multicloud</t>
        </is>
      </c>
      <c r="C796" t="inlineStr">
        <is>
          <t>Finout</t>
        </is>
      </c>
      <c r="D796" t="inlineStr">
        <is>
          <t>Asignacion</t>
        </is>
      </c>
      <c r="E796" t="inlineStr">
        <is>
          <t>A1</t>
        </is>
      </c>
      <c r="F796" s="2" t="inlineStr">
        <is>
          <t>¿Calcula gasto asignado/no asignado por responsable, centro o entidad?</t>
        </is>
      </c>
      <c r="G796" t="inlineStr">
        <is>
          <t>NE</t>
        </is>
      </c>
      <c r="H796" t="inlineStr">
        <is>
          <t>Pendiente</t>
        </is>
      </c>
      <c r="I796" s="2" t="inlineStr">
        <is>
          <t>"Virtual Tags" y "Shared Cost Reallocation" (con MegaBill key) permiten segmentar el costo retroactivamente y mejorar la granularidad de la asignación sin modificar las etiquetas originales del recurso, funcionando entre proveedores.</t>
        </is>
      </c>
      <c r="J796" t="inlineStr">
        <is>
          <t>https://docs.finout.io/user-guide/inform/virtual-tags</t>
        </is>
      </c>
      <c r="K796" t="inlineStr">
        <is>
          <t>2026-09-16</t>
        </is>
      </c>
      <c r="L796" s="2" t="inlineStr">
        <is>
          <t>Celda heredada FP-180 (2026-09-16): el valor 2 proviene de la investigacion del escenario E2 y no cuenta con evidencia propia de E5. Segun FP-177 el indicador A1 depende del escenario, por lo que pasa a NE (no evidenciado, reduce cobertura) hasta investigarlo. La evidencia y la fuente originales se conservan como referencia del escenario de origen.</t>
        </is>
      </c>
    </row>
    <row r="797">
      <c r="A797" t="inlineStr">
        <is>
          <t>E5</t>
        </is>
      </c>
      <c r="B797" t="inlineStr">
        <is>
          <t>Multicloud</t>
        </is>
      </c>
      <c r="C797" t="inlineStr">
        <is>
          <t>Finout</t>
        </is>
      </c>
      <c r="D797" t="inlineStr">
        <is>
          <t>Asignacion</t>
        </is>
      </c>
      <c r="E797" t="inlineStr">
        <is>
          <t>A2</t>
        </is>
      </c>
      <c r="F797" s="2" t="inlineStr">
        <is>
          <t>¿Explicita y aplica reglas para costo compartido/multi-tenant?</t>
        </is>
      </c>
      <c r="G797" t="inlineStr">
        <is>
          <t>NE</t>
        </is>
      </c>
      <c r="H797" t="inlineStr">
        <is>
          <t>Pendiente</t>
        </is>
      </c>
      <c r="I797" s="2" t="inlineStr">
        <is>
          <t>"Shared Cost Reallocation" es una función dedicada para el reparto de costo compartido, construida sobre las reglas de filtrado de Virtual Tags ("funnel from the top down").</t>
        </is>
      </c>
      <c r="J797" t="inlineStr">
        <is>
          <t>https://docs.finout.io/user-guide/inform/shared-cost-reallocation</t>
        </is>
      </c>
      <c r="K797" t="inlineStr">
        <is>
          <t>2026-09-16</t>
        </is>
      </c>
      <c r="L797" s="2" t="inlineStr">
        <is>
          <t>Celda heredada FP-180 (2026-09-16): el valor 2 proviene de la investigacion del escenario E2 y no cuenta con evidencia propia de E5. Segun FP-177 el indicador A2 depende del escenario, por lo que pasa a NE (no evidenciado, reduce cobertura) hasta investigarlo. La evidencia y la fuente originales se conservan como referencia del escenario de origen.</t>
        </is>
      </c>
    </row>
    <row r="798">
      <c r="A798" t="inlineStr">
        <is>
          <t>E5</t>
        </is>
      </c>
      <c r="B798" t="inlineStr">
        <is>
          <t>Multicloud</t>
        </is>
      </c>
      <c r="C798" t="inlineStr">
        <is>
          <t>Finout</t>
        </is>
      </c>
      <c r="D798" t="inlineStr">
        <is>
          <t>Optimizacion</t>
        </is>
      </c>
      <c r="E798" t="inlineStr">
        <is>
          <t>O1</t>
        </is>
      </c>
      <c r="F798" s="2" t="inlineStr">
        <is>
          <t>¿Detecta desperdicio, rightsizing o compromiso relevante al escenario?</t>
        </is>
      </c>
      <c r="G798" t="inlineStr">
        <is>
          <t>NE</t>
        </is>
      </c>
      <c r="H798" t="inlineStr">
        <is>
          <t>Pendiente</t>
        </is>
      </c>
      <c r="I798" s="2" t="inlineStr">
        <is>
          <t>"CostGuard" detecta recursos inactivos, oportunidades de rightsizing (incluye pods/StatefulSets de Kubernetes) y candidatos a compromisos (savings plans), disponible "out of the box" sin configuración.</t>
        </is>
      </c>
      <c r="J798" t="inlineStr">
        <is>
          <t>https://docs.finout.io/user-guide/optimize/costguard</t>
        </is>
      </c>
      <c r="K798" t="inlineStr">
        <is>
          <t>2026-09-16</t>
        </is>
      </c>
      <c r="L798" s="2" t="inlineStr">
        <is>
          <t>Celda heredada FP-180 (2026-09-16): el valor 2 proviene de la investigacion del escenario E2 y no cuenta con evidencia propia de E5. Segun FP-177 el indicador O1 depende del escenario, por lo que pasa a NE (no evidenciado, reduce cobertura) hasta investigarlo. La evidencia y la fuente originales se conservan como referencia del escenario de origen.</t>
        </is>
      </c>
    </row>
    <row r="799">
      <c r="A799" t="inlineStr">
        <is>
          <t>E5</t>
        </is>
      </c>
      <c r="B799" t="inlineStr">
        <is>
          <t>Multicloud</t>
        </is>
      </c>
      <c r="C799" t="inlineStr">
        <is>
          <t>Finout</t>
        </is>
      </c>
      <c r="D799" t="inlineStr">
        <is>
          <t>Optimizacion</t>
        </is>
      </c>
      <c r="E799" t="inlineStr">
        <is>
          <t>O2</t>
        </is>
      </c>
      <c r="F799" s="2" t="inlineStr">
        <is>
          <t>¿Explica supuesto/impacto y permite seguir una recomendación?</t>
        </is>
      </c>
      <c r="G799" t="n">
        <v>1</v>
      </c>
      <c r="H799" t="inlineStr">
        <is>
          <t>Oficial</t>
        </is>
      </c>
      <c r="I799" s="2" t="inlineStr">
        <is>
          <t>CostGuard entrega "información y confianza" para optimizar, pero la documentación revisada no detalla un ciclo de seguimiento de estado/ahorro realizado equivalente al de CloudZero/Vantage.</t>
        </is>
      </c>
      <c r="J799" t="inlineStr">
        <is>
          <t>https://docs.finout.io/user-guide/optimize/costguard</t>
        </is>
      </c>
      <c r="K799" t="inlineStr">
        <is>
          <t>2026-09-16</t>
        </is>
      </c>
      <c r="L799" s="2" t="inlineStr"/>
    </row>
    <row r="800">
      <c r="A800" t="inlineStr">
        <is>
          <t>E5</t>
        </is>
      </c>
      <c r="B800" t="inlineStr">
        <is>
          <t>Multicloud</t>
        </is>
      </c>
      <c r="C800" t="inlineStr">
        <is>
          <t>Finout</t>
        </is>
      </c>
      <c r="D800" t="inlineStr">
        <is>
          <t>Automatizacion</t>
        </is>
      </c>
      <c r="E800" t="inlineStr">
        <is>
          <t>AU1</t>
        </is>
      </c>
      <c r="F800" s="2" t="inlineStr">
        <is>
          <t>¿Ejecuta o bloquea acciones/políticas de costo con control verificable?</t>
        </is>
      </c>
      <c r="G800" t="inlineStr">
        <is>
          <t>NE</t>
        </is>
      </c>
      <c r="H800" t="inlineStr">
        <is>
          <t>Pendiente</t>
        </is>
      </c>
      <c r="I800" s="2" t="inlineStr">
        <is>
          <t>La documentación revisada no confirma ni descarta ejecución automática de acciones; CostGuard se describe como una fuente de información/recomendación, sin detalle suficiente para puntuar con certeza.</t>
        </is>
      </c>
      <c r="K800" t="inlineStr">
        <is>
          <t>2026-09-16</t>
        </is>
      </c>
      <c r="L800" s="2" t="inlineStr"/>
    </row>
    <row r="801">
      <c r="A801" t="inlineStr">
        <is>
          <t>E5</t>
        </is>
      </c>
      <c r="B801" t="inlineStr">
        <is>
          <t>Multicloud</t>
        </is>
      </c>
      <c r="C801" t="inlineStr">
        <is>
          <t>Finout</t>
        </is>
      </c>
      <c r="D801" t="inlineStr">
        <is>
          <t>Automatizacion</t>
        </is>
      </c>
      <c r="E801" t="inlineStr">
        <is>
          <t>AU2</t>
        </is>
      </c>
      <c r="F801" s="2" t="inlineStr">
        <is>
          <t>¿Ofrece aprobación, reversión, registro o límites antes de actuar?</t>
        </is>
      </c>
      <c r="G801" t="inlineStr">
        <is>
          <t>NE</t>
        </is>
      </c>
      <c r="H801" t="inlineStr">
        <is>
          <t>Pendiente</t>
        </is>
      </c>
      <c r="I801" s="2" t="inlineStr">
        <is>
          <t>Mismo motivo que AU1: evidencia insuficiente sobre el mecanismo de ejecución como para evaluar sus salvaguardas.</t>
        </is>
      </c>
      <c r="K801" t="inlineStr">
        <is>
          <t>2026-09-16</t>
        </is>
      </c>
      <c r="L801" s="2" t="inlineStr"/>
    </row>
    <row r="802">
      <c r="A802" t="inlineStr">
        <is>
          <t>E5</t>
        </is>
      </c>
      <c r="B802" t="inlineStr">
        <is>
          <t>Multicloud</t>
        </is>
      </c>
      <c r="C802" t="inlineStr">
        <is>
          <t>Finout</t>
        </is>
      </c>
      <c r="D802" t="inlineStr">
        <is>
          <t>Multicloud</t>
        </is>
      </c>
      <c r="E802" t="inlineStr">
        <is>
          <t>M1</t>
        </is>
      </c>
      <c r="F802" s="2" t="inlineStr">
        <is>
          <t>¿Consolida al menos dos proveedores bajo el mismo esquema declarado?</t>
        </is>
      </c>
      <c r="G802" t="n">
        <v>2</v>
      </c>
      <c r="H802" t="inlineStr">
        <is>
          <t>Oficial</t>
        </is>
      </c>
      <c r="I802" s="2" t="inlineStr">
        <is>
          <t>El "Default FOCUS Table" consolida AWS, Azure, GCP "and more" bajo el estándar FOCUS de forma automática y sin configuración ("no setup required").</t>
        </is>
      </c>
      <c r="J802" t="inlineStr">
        <is>
          <t>https://docs.finout.io/get-started-with-finout/cost-and-usage-types/focus-in-finout</t>
        </is>
      </c>
      <c r="K802" t="inlineStr">
        <is>
          <t>2026-09-16</t>
        </is>
      </c>
      <c r="L802" s="2" t="inlineStr"/>
    </row>
    <row r="803">
      <c r="A803" t="inlineStr">
        <is>
          <t>E5</t>
        </is>
      </c>
      <c r="B803" t="inlineStr">
        <is>
          <t>Multicloud</t>
        </is>
      </c>
      <c r="C803" t="inlineStr">
        <is>
          <t>Finout</t>
        </is>
      </c>
      <c r="D803" t="inlineStr">
        <is>
          <t>Multicloud</t>
        </is>
      </c>
      <c r="E803" t="inlineStr">
        <is>
          <t>M2</t>
        </is>
      </c>
      <c r="F803" s="2" t="inlineStr">
        <is>
          <t>¿Hace visibles proveedor, cobertura y diferencias semánticas?</t>
        </is>
      </c>
      <c r="G803" t="n">
        <v>2</v>
      </c>
      <c r="H803" t="inlineStr">
        <is>
          <t>Oficial</t>
        </is>
      </c>
      <c r="I803" s="2" t="inlineStr">
        <is>
          <t>"Virtual Tags" normaliza explícitamente dimensiones núcleo -proveedor, servicio, región, categoría de cargo y tipo de precio- entre proveedores, exponiendo diferencias en lugar de ocultarlas.</t>
        </is>
      </c>
      <c r="J803" t="inlineStr">
        <is>
          <t>https://docs.finout.io/get-started-with-finout/cost-and-usage-types/focus-in-finout</t>
        </is>
      </c>
      <c r="K803" t="inlineStr">
        <is>
          <t>2026-09-16</t>
        </is>
      </c>
      <c r="L803" s="2" t="inlineStr"/>
    </row>
    <row r="804">
      <c r="A804" t="inlineStr">
        <is>
          <t>E5</t>
        </is>
      </c>
      <c r="B804" t="inlineStr">
        <is>
          <t>Multicloud</t>
        </is>
      </c>
      <c r="C804" t="inlineStr">
        <is>
          <t>Finout</t>
        </is>
      </c>
      <c r="D804" t="inlineStr">
        <is>
          <t>Integracion</t>
        </is>
      </c>
      <c r="E804" t="inlineStr">
        <is>
          <t>I1</t>
        </is>
      </c>
      <c r="F804" s="2" t="inlineStr">
        <is>
          <t>¿Integra datos requeridos (facturación, uso, clúster o IaC) del escenario?</t>
        </is>
      </c>
      <c r="G804" t="inlineStr">
        <is>
          <t>NE</t>
        </is>
      </c>
      <c r="H804" t="inlineStr">
        <is>
          <t>Pendiente</t>
        </is>
      </c>
      <c r="I804" s="2" t="inlineStr">
        <is>
          <t>Ingesta automatizada de billing exports en formato FOCUS de cualquier proveedor soportado, más escaneos específicos de Kubernetes para CostGuard.</t>
        </is>
      </c>
      <c r="J804" t="inlineStr">
        <is>
          <t>https://docs.finout.io/get-started-with-finout/cost-and-usage-types/focus-in-finout</t>
        </is>
      </c>
      <c r="K804" t="inlineStr">
        <is>
          <t>2026-09-16</t>
        </is>
      </c>
      <c r="L804" s="2" t="inlineStr">
        <is>
          <t>Celda heredada FP-180 (2026-09-16): el valor 2 proviene de la investigacion del escenario E2 y no cuenta con evidencia propia de E5. Segun FP-177 el indicador I1 depende del escenario, por lo que pasa a NE (no evidenciado, reduce cobertura) hasta investigarlo. La evidencia y la fuente originales se conservan como referencia del escenario de origen.</t>
        </is>
      </c>
    </row>
    <row r="805">
      <c r="A805" t="inlineStr">
        <is>
          <t>E5</t>
        </is>
      </c>
      <c r="B805" t="inlineStr">
        <is>
          <t>Multicloud</t>
        </is>
      </c>
      <c r="C805" t="inlineStr">
        <is>
          <t>Finout</t>
        </is>
      </c>
      <c r="D805" t="inlineStr">
        <is>
          <t>Integracion</t>
        </is>
      </c>
      <c r="E805" t="inlineStr">
        <is>
          <t>I2</t>
        </is>
      </c>
      <c r="F805" s="2" t="inlineStr">
        <is>
          <t>¿Se integra con el flujo de trabajo relevante (alerta, ticket, CI/CD o reporte)?</t>
        </is>
      </c>
      <c r="G805" t="inlineStr">
        <is>
          <t>NE</t>
        </is>
      </c>
      <c r="H805" t="inlineStr">
        <is>
          <t>Pendiente</t>
        </is>
      </c>
      <c r="I805" s="2" t="inlineStr">
        <is>
          <t>Existe una integración con Slack para seguimiento de uso y anomalías, documentada únicamente en el blog del proveedor (no se ubicó la página técnica equivalente en docs.finout.io), por lo que se trata como evidencia comercial.</t>
        </is>
      </c>
      <c r="J805" t="inlineStr">
        <is>
          <t>https://www.finout.io/slack-and-finout-integration-track-usage-and-anomalies</t>
        </is>
      </c>
      <c r="K805" t="inlineStr">
        <is>
          <t>2026-09-16</t>
        </is>
      </c>
      <c r="L805" s="2" t="inlineStr">
        <is>
          <t>Celda heredada FP-180 (2026-09-16): el valor 1 proviene de la investigacion del escenario E2 y no cuenta con evidencia propia de E5. Segun FP-177 el indicador I2 depende del escenario, por lo que pasa a NE (no evidenciado, reduce cobertura) hasta investigarlo. La evidencia y la fuente originales se conservan como referencia del escenario de origen.</t>
        </is>
      </c>
    </row>
    <row r="806">
      <c r="A806" t="inlineStr">
        <is>
          <t>E5</t>
        </is>
      </c>
      <c r="B806" t="inlineStr">
        <is>
          <t>Multicloud</t>
        </is>
      </c>
      <c r="C806" t="inlineStr">
        <is>
          <t>Finout</t>
        </is>
      </c>
      <c r="D806" t="inlineStr">
        <is>
          <t>Adopcion</t>
        </is>
      </c>
      <c r="E806" t="inlineStr">
        <is>
          <t>AD1</t>
        </is>
      </c>
      <c r="F806" s="2" t="inlineStr">
        <is>
          <t>¿Soporta acceso/entrega para los roles del escenario?</t>
        </is>
      </c>
      <c r="G806" t="inlineStr">
        <is>
          <t>NE</t>
        </is>
      </c>
      <c r="H806" t="inlineStr">
        <is>
          <t>Pendiente</t>
        </is>
      </c>
      <c r="I806" s="2" t="inlineStr">
        <is>
          <t>Existen páginas dedicadas de "Role-Based Access Control (RBAC)" y "ACL Permissions" en la documentación técnica.</t>
        </is>
      </c>
      <c r="J806" t="inlineStr">
        <is>
          <t>https://docs.finout.io/settings/role-based-access-control-rbac/role-permissions</t>
        </is>
      </c>
      <c r="K806" t="inlineStr">
        <is>
          <t>2026-09-16</t>
        </is>
      </c>
      <c r="L806" s="2" t="inlineStr">
        <is>
          <t>Celda heredada FP-180 (2026-09-16): el valor 2 proviene de la investigacion del escenario E2 y no cuenta con evidencia propia de E5. Segun FP-177 el indicador AD1 depende del escenario, por lo que pasa a NE (no evidenciado, reduce cobertura) hasta investigarlo. La evidencia y la fuente originales se conservan como referencia del escenario de origen.</t>
        </is>
      </c>
    </row>
    <row r="807">
      <c r="A807" t="inlineStr">
        <is>
          <t>E5</t>
        </is>
      </c>
      <c r="B807" t="inlineStr">
        <is>
          <t>Multicloud</t>
        </is>
      </c>
      <c r="C807" t="inlineStr">
        <is>
          <t>Finout</t>
        </is>
      </c>
      <c r="D807" t="inlineStr">
        <is>
          <t>Adopcion</t>
        </is>
      </c>
      <c r="E807" t="inlineStr">
        <is>
          <t>AD2</t>
        </is>
      </c>
      <c r="F807" s="2" t="inlineStr">
        <is>
          <t>¿Ofrece guías, ownership o mecanismos de seguimiento para uso sostenido?</t>
        </is>
      </c>
      <c r="G807" t="n">
        <v>2</v>
      </c>
      <c r="H807" t="inlineStr">
        <is>
          <t>Oficial</t>
        </is>
      </c>
      <c r="I807" s="2" t="inlineStr">
        <is>
          <t>Gobernanza documentada como función del producto: la gobernanza de etiquetas «allows you to define tagging policies across multiple cloud environments, offering visibility into non-compliant resources and costs while simplifying resource tracking», que es un mecanismo de seguimiento para uso sostenido en un entorno multinube. La documentación incluye además la guía de incorporación de nuevos usuarios a la cuenta. Proceso definido; sin evidencia de adopción medida para 3.</t>
        </is>
      </c>
      <c r="J807" t="inlineStr">
        <is>
          <t>https://docs.finout.io/user-guide/operate/tag-governance ; https://docs.finout.io/get-started-with-finout/introduction-to-finouts-suite-of-features</t>
        </is>
      </c>
      <c r="K807" t="inlineStr">
        <is>
          <t>2026-09-16</t>
        </is>
      </c>
      <c r="L807" s="2" t="inlineStr">
        <is>
          <t>Investigación E2 FP-180 (2026-09-16): celda completada con evidencia propia del escenario, verificada contra documentación oficial.</t>
        </is>
      </c>
    </row>
    <row r="808">
      <c r="A808" t="inlineStr">
        <is>
          <t>E5</t>
        </is>
      </c>
      <c r="B808" t="inlineStr">
        <is>
          <t>Multicloud</t>
        </is>
      </c>
      <c r="C808" t="inlineStr">
        <is>
          <t>Finout</t>
        </is>
      </c>
      <c r="D808" t="inlineStr">
        <is>
          <t>Precio</t>
        </is>
      </c>
      <c r="E808" t="inlineStr">
        <is>
          <t>P1</t>
        </is>
      </c>
      <c r="F808" s="2" t="inlineStr">
        <is>
          <t>¿Expone precio, moneda, región, unidad, período y supuestos relevantes?</t>
        </is>
      </c>
      <c r="G808" t="inlineStr">
        <is>
          <t>NE</t>
        </is>
      </c>
      <c r="H808" t="inlineStr">
        <is>
          <t>Pendiente</t>
        </is>
      </c>
      <c r="I808" s="2" t="inlineStr">
        <is>
          <t>No se encontró evidencia específica de transparencia de supuestos de precio (moneda/región/período) en las páginas revisadas.</t>
        </is>
      </c>
      <c r="K808" t="inlineStr">
        <is>
          <t>2026-09-16</t>
        </is>
      </c>
      <c r="L808" s="2" t="inlineStr"/>
    </row>
    <row r="809">
      <c r="A809" t="inlineStr">
        <is>
          <t>E5</t>
        </is>
      </c>
      <c r="B809" t="inlineStr">
        <is>
          <t>Multicloud</t>
        </is>
      </c>
      <c r="C809" t="inlineStr">
        <is>
          <t>Finout</t>
        </is>
      </c>
      <c r="D809" t="inlineStr">
        <is>
          <t>Precio</t>
        </is>
      </c>
      <c r="E809" t="inlineStr">
        <is>
          <t>P2</t>
        </is>
      </c>
      <c r="F809" s="2" t="inlineStr">
        <is>
          <t>¿Permite estimar o comparar componentes sin ocultar límites de equivalencia?</t>
        </is>
      </c>
      <c r="G809" t="inlineStr">
        <is>
          <t>NE</t>
        </is>
      </c>
      <c r="H809" t="inlineStr">
        <is>
          <t>Pendiente</t>
        </is>
      </c>
      <c r="I809" s="2" t="inlineStr">
        <is>
          <t>No se encontró evidencia de una función de comparación/estimación de precio contextual en las páginas revisadas.</t>
        </is>
      </c>
      <c r="K809" t="inlineStr">
        <is>
          <t>2026-09-16</t>
        </is>
      </c>
      <c r="L809" s="2" t="inlineStr"/>
    </row>
    <row r="810">
      <c r="A810" t="inlineStr">
        <is>
          <t>E5</t>
        </is>
      </c>
      <c r="B810" t="inlineStr">
        <is>
          <t>Multicloud</t>
        </is>
      </c>
      <c r="C810" t="inlineStr">
        <is>
          <t>Finout</t>
        </is>
      </c>
      <c r="D810" t="inlineStr">
        <is>
          <t>Dependencia</t>
        </is>
      </c>
      <c r="E810" t="inlineStr">
        <is>
          <t>D1</t>
        </is>
      </c>
      <c r="F810" s="2" t="inlineStr">
        <is>
          <t>¿Exporta datos/resultados en formato utilizable y documentado?</t>
        </is>
      </c>
      <c r="G810" t="n">
        <v>2</v>
      </c>
      <c r="H810" t="inlineStr">
        <is>
          <t>Oficial</t>
        </is>
      </c>
      <c r="I810" s="2" t="inlineStr">
        <is>
          <t>Documentación técnica dedicada de "Finout API", "Cost API", "CostGuard API" y "Virtual Tags API" confirma una vía de exportación/acceso a datos definida y reproducible.</t>
        </is>
      </c>
      <c r="J810" t="inlineStr">
        <is>
          <t>https://docs.finout.io/configuration/finout-api</t>
        </is>
      </c>
      <c r="K810" t="inlineStr">
        <is>
          <t>2026-09-16</t>
        </is>
      </c>
      <c r="L810" s="2" t="inlineStr"/>
    </row>
    <row r="811">
      <c r="A811" t="inlineStr">
        <is>
          <t>E5</t>
        </is>
      </c>
      <c r="B811" t="inlineStr">
        <is>
          <t>Multicloud</t>
        </is>
      </c>
      <c r="C811" t="inlineStr">
        <is>
          <t>Finout</t>
        </is>
      </c>
      <c r="D811" t="inlineStr">
        <is>
          <t>Dependencia</t>
        </is>
      </c>
      <c r="E811" t="inlineStr">
        <is>
          <t>D2</t>
        </is>
      </c>
      <c r="F811" s="2" t="inlineStr">
        <is>
          <t>¿Documenta dependencias propietarias y un camino de salida/configuración reversible?</t>
        </is>
      </c>
      <c r="G811" t="inlineStr">
        <is>
          <t>NE</t>
        </is>
      </c>
      <c r="H811" t="inlineStr">
        <is>
          <t>Pendiente</t>
        </is>
      </c>
      <c r="I811" s="2" t="inlineStr">
        <is>
          <t>No se encontró documentación sobre un camino de salida o reversibilidad de la configuración.</t>
        </is>
      </c>
      <c r="K811" t="inlineStr">
        <is>
          <t>2026-09-16</t>
        </is>
      </c>
      <c r="L811" s="2" t="inlineStr"/>
    </row>
    <row r="812">
      <c r="A812" t="inlineStr">
        <is>
          <t>E6</t>
        </is>
      </c>
      <c r="B812" t="inlineStr">
        <is>
          <t>Multicloud</t>
        </is>
      </c>
      <c r="C812" t="inlineStr">
        <is>
          <t>Finout</t>
        </is>
      </c>
      <c r="D812" t="inlineStr">
        <is>
          <t>Visibilidad</t>
        </is>
      </c>
      <c r="E812" t="inlineStr">
        <is>
          <t>V1</t>
        </is>
      </c>
      <c r="F812" s="2" t="inlineStr">
        <is>
          <t>¿Desagrega costo y uso por cuenta/proyecto, servicio y período?</t>
        </is>
      </c>
      <c r="G812" t="inlineStr">
        <is>
          <t>NE</t>
        </is>
      </c>
      <c r="H812" t="inlineStr">
        <is>
          <t>Pendiente</t>
        </is>
      </c>
      <c r="I812" s="2" t="inlineStr">
        <is>
          <t>La "Default FOCUS Table" construye automáticamente un dataset unificado y normalizado a partir de los billing exports de todos los proveedores soportados ("AWS, GCP, Azure, and more"), y "Virtual Tags" permite "slice and analyze" el costo por proveedor/servicio/región/categoría de cargo/tipo de precio.</t>
        </is>
      </c>
      <c r="J812" t="inlineStr">
        <is>
          <t>https://docs.finout.io/get-started-with-finout/cost-and-usage-types/focus-in-finout</t>
        </is>
      </c>
      <c r="K812" t="inlineStr">
        <is>
          <t>2026-09-16</t>
        </is>
      </c>
      <c r="L812" s="2" t="inlineStr">
        <is>
          <t>Celda heredada FP-180 (2026-09-16): el valor 2 proviene de la investigacion del escenario E2 y no cuenta con evidencia propia de E6. Segun FP-177 el indicador V1 depende del escenario, por lo que pasa a NE (no evidenciado, reduce cobertura) hasta investigarlo. La evidencia y la fuente originales se conservan como referencia del escenario de origen.</t>
        </is>
      </c>
    </row>
    <row r="813">
      <c r="A813" t="inlineStr">
        <is>
          <t>E6</t>
        </is>
      </c>
      <c r="B813" t="inlineStr">
        <is>
          <t>Multicloud</t>
        </is>
      </c>
      <c r="C813" t="inlineStr">
        <is>
          <t>Finout</t>
        </is>
      </c>
      <c r="D813" t="inlineStr">
        <is>
          <t>Visibilidad</t>
        </is>
      </c>
      <c r="E813" t="inlineStr">
        <is>
          <t>V2</t>
        </is>
      </c>
      <c r="F813" s="2" t="inlineStr">
        <is>
          <t>¿Permite rastrear un total hasta registros o fuente de facturación?</t>
        </is>
      </c>
      <c r="G813" t="n">
        <v>2</v>
      </c>
      <c r="H813" t="inlineStr">
        <is>
          <t>Oficial</t>
        </is>
      </c>
      <c r="I813" s="2" t="inlineStr">
        <is>
          <t>MegaBill permite descender del total al detalle: «You can quickly drill down into the costs/usage by clicking an area on the graph», y la Cost API V2 expone consulta directa de costo y uso con filtros y group-by, de modo que el detalle es exportable y reproducible. Límite registrado para E2: la documentación oficial declara que «Cost data in MegaBill is available for all cloud providers and services supported by Finout. Usage data is available for AWS, GCP, and Azure», es decir, el dato de uso no cubre a todos los proveedores. No se encontró documentación oficial de conciliación contra la factura del proveedor; la afirmación de conciliación patentada aparece solo en material comercial y por eso no se usa para puntuar.</t>
        </is>
      </c>
      <c r="J813" t="inlineStr">
        <is>
          <t>https://docs.finout.io/user-guide/inform/megabill ; https://docs.finout.io/api/finout-api/finout-api-v2</t>
        </is>
      </c>
      <c r="K813" t="inlineStr">
        <is>
          <t>2026-09-16</t>
        </is>
      </c>
      <c r="L813" s="2" t="inlineStr">
        <is>
          <t>Investigación E2 FP-180 (2026-09-16): celda completada con evidencia propia del escenario, verificada contra documentación oficial.</t>
        </is>
      </c>
    </row>
    <row r="814">
      <c r="A814" t="inlineStr">
        <is>
          <t>E6</t>
        </is>
      </c>
      <c r="B814" t="inlineStr">
        <is>
          <t>Multicloud</t>
        </is>
      </c>
      <c r="C814" t="inlineStr">
        <is>
          <t>Finout</t>
        </is>
      </c>
      <c r="D814" t="inlineStr">
        <is>
          <t>Asignacion</t>
        </is>
      </c>
      <c r="E814" t="inlineStr">
        <is>
          <t>A1</t>
        </is>
      </c>
      <c r="F814" s="2" t="inlineStr">
        <is>
          <t>¿Calcula gasto asignado/no asignado por responsable, centro o entidad?</t>
        </is>
      </c>
      <c r="G814" t="inlineStr">
        <is>
          <t>NE</t>
        </is>
      </c>
      <c r="H814" t="inlineStr">
        <is>
          <t>Pendiente</t>
        </is>
      </c>
      <c r="I814" s="2" t="inlineStr">
        <is>
          <t>"Virtual Tags" y "Shared Cost Reallocation" (con MegaBill key) permiten segmentar el costo retroactivamente y mejorar la granularidad de la asignación sin modificar las etiquetas originales del recurso, funcionando entre proveedores.</t>
        </is>
      </c>
      <c r="J814" t="inlineStr">
        <is>
          <t>https://docs.finout.io/user-guide/inform/virtual-tags</t>
        </is>
      </c>
      <c r="K814" t="inlineStr">
        <is>
          <t>2026-09-16</t>
        </is>
      </c>
      <c r="L814" s="2" t="inlineStr">
        <is>
          <t>Celda heredada FP-180 (2026-09-16): el valor 2 proviene de la investigacion del escenario E2 y no cuenta con evidencia propia de E6. Segun FP-177 el indicador A1 depende del escenario, por lo que pasa a NE (no evidenciado, reduce cobertura) hasta investigarlo. La evidencia y la fuente originales se conservan como referencia del escenario de origen.</t>
        </is>
      </c>
    </row>
    <row r="815">
      <c r="A815" t="inlineStr">
        <is>
          <t>E6</t>
        </is>
      </c>
      <c r="B815" t="inlineStr">
        <is>
          <t>Multicloud</t>
        </is>
      </c>
      <c r="C815" t="inlineStr">
        <is>
          <t>Finout</t>
        </is>
      </c>
      <c r="D815" t="inlineStr">
        <is>
          <t>Asignacion</t>
        </is>
      </c>
      <c r="E815" t="inlineStr">
        <is>
          <t>A2</t>
        </is>
      </c>
      <c r="F815" s="2" t="inlineStr">
        <is>
          <t>¿Explicita y aplica reglas para costo compartido/multi-tenant?</t>
        </is>
      </c>
      <c r="G815" t="inlineStr">
        <is>
          <t>NE</t>
        </is>
      </c>
      <c r="H815" t="inlineStr">
        <is>
          <t>Pendiente</t>
        </is>
      </c>
      <c r="I815" s="2" t="inlineStr">
        <is>
          <t>"Shared Cost Reallocation" es una función dedicada para el reparto de costo compartido, construida sobre las reglas de filtrado de Virtual Tags ("funnel from the top down").</t>
        </is>
      </c>
      <c r="J815" t="inlineStr">
        <is>
          <t>https://docs.finout.io/user-guide/inform/shared-cost-reallocation</t>
        </is>
      </c>
      <c r="K815" t="inlineStr">
        <is>
          <t>2026-09-16</t>
        </is>
      </c>
      <c r="L815" s="2" t="inlineStr">
        <is>
          <t>Celda heredada FP-180 (2026-09-16): el valor 2 proviene de la investigacion del escenario E2 y no cuenta con evidencia propia de E6. Segun FP-177 el indicador A2 depende del escenario, por lo que pasa a NE (no evidenciado, reduce cobertura) hasta investigarlo. La evidencia y la fuente originales se conservan como referencia del escenario de origen.</t>
        </is>
      </c>
    </row>
    <row r="816">
      <c r="A816" t="inlineStr">
        <is>
          <t>E6</t>
        </is>
      </c>
      <c r="B816" t="inlineStr">
        <is>
          <t>Multicloud</t>
        </is>
      </c>
      <c r="C816" t="inlineStr">
        <is>
          <t>Finout</t>
        </is>
      </c>
      <c r="D816" t="inlineStr">
        <is>
          <t>Optimizacion</t>
        </is>
      </c>
      <c r="E816" t="inlineStr">
        <is>
          <t>O1</t>
        </is>
      </c>
      <c r="F816" s="2" t="inlineStr">
        <is>
          <t>¿Detecta desperdicio, rightsizing o compromiso relevante al escenario?</t>
        </is>
      </c>
      <c r="G816" t="inlineStr">
        <is>
          <t>NE</t>
        </is>
      </c>
      <c r="H816" t="inlineStr">
        <is>
          <t>Pendiente</t>
        </is>
      </c>
      <c r="I816" s="2" t="inlineStr">
        <is>
          <t>"CostGuard" detecta recursos inactivos, oportunidades de rightsizing (incluye pods/StatefulSets de Kubernetes) y candidatos a compromisos (savings plans), disponible "out of the box" sin configuración.</t>
        </is>
      </c>
      <c r="J816" t="inlineStr">
        <is>
          <t>https://docs.finout.io/user-guide/optimize/costguard</t>
        </is>
      </c>
      <c r="K816" t="inlineStr">
        <is>
          <t>2026-09-16</t>
        </is>
      </c>
      <c r="L816" s="2" t="inlineStr">
        <is>
          <t>Celda heredada FP-180 (2026-09-16): el valor 2 proviene de la investigacion del escenario E2 y no cuenta con evidencia propia de E6. Segun FP-177 el indicador O1 depende del escenario, por lo que pasa a NE (no evidenciado, reduce cobertura) hasta investigarlo. La evidencia y la fuente originales se conservan como referencia del escenario de origen.</t>
        </is>
      </c>
    </row>
    <row r="817">
      <c r="A817" t="inlineStr">
        <is>
          <t>E6</t>
        </is>
      </c>
      <c r="B817" t="inlineStr">
        <is>
          <t>Multicloud</t>
        </is>
      </c>
      <c r="C817" t="inlineStr">
        <is>
          <t>Finout</t>
        </is>
      </c>
      <c r="D817" t="inlineStr">
        <is>
          <t>Optimizacion</t>
        </is>
      </c>
      <c r="E817" t="inlineStr">
        <is>
          <t>O2</t>
        </is>
      </c>
      <c r="F817" s="2" t="inlineStr">
        <is>
          <t>¿Explica supuesto/impacto y permite seguir una recomendación?</t>
        </is>
      </c>
      <c r="G817" t="n">
        <v>1</v>
      </c>
      <c r="H817" t="inlineStr">
        <is>
          <t>Oficial</t>
        </is>
      </c>
      <c r="I817" s="2" t="inlineStr">
        <is>
          <t>CostGuard entrega "información y confianza" para optimizar, pero la documentación revisada no detalla un ciclo de seguimiento de estado/ahorro realizado equivalente al de CloudZero/Vantage.</t>
        </is>
      </c>
      <c r="J817" t="inlineStr">
        <is>
          <t>https://docs.finout.io/user-guide/optimize/costguard</t>
        </is>
      </c>
      <c r="K817" t="inlineStr">
        <is>
          <t>2026-09-16</t>
        </is>
      </c>
      <c r="L817" s="2" t="inlineStr"/>
    </row>
    <row r="818">
      <c r="A818" t="inlineStr">
        <is>
          <t>E6</t>
        </is>
      </c>
      <c r="B818" t="inlineStr">
        <is>
          <t>Multicloud</t>
        </is>
      </c>
      <c r="C818" t="inlineStr">
        <is>
          <t>Finout</t>
        </is>
      </c>
      <c r="D818" t="inlineStr">
        <is>
          <t>Automatizacion</t>
        </is>
      </c>
      <c r="E818" t="inlineStr">
        <is>
          <t>AU1</t>
        </is>
      </c>
      <c r="F818" s="2" t="inlineStr">
        <is>
          <t>¿Ejecuta o bloquea acciones/políticas de costo con control verificable?</t>
        </is>
      </c>
      <c r="G818" t="inlineStr">
        <is>
          <t>NE</t>
        </is>
      </c>
      <c r="H818" t="inlineStr">
        <is>
          <t>Pendiente</t>
        </is>
      </c>
      <c r="I818" s="2" t="inlineStr">
        <is>
          <t>La documentación revisada no confirma ni descarta ejecución automática de acciones; CostGuard se describe como una fuente de información/recomendación, sin detalle suficiente para puntuar con certeza.</t>
        </is>
      </c>
      <c r="K818" t="inlineStr">
        <is>
          <t>2026-09-16</t>
        </is>
      </c>
      <c r="L818" s="2" t="inlineStr"/>
    </row>
    <row r="819">
      <c r="A819" t="inlineStr">
        <is>
          <t>E6</t>
        </is>
      </c>
      <c r="B819" t="inlineStr">
        <is>
          <t>Multicloud</t>
        </is>
      </c>
      <c r="C819" t="inlineStr">
        <is>
          <t>Finout</t>
        </is>
      </c>
      <c r="D819" t="inlineStr">
        <is>
          <t>Automatizacion</t>
        </is>
      </c>
      <c r="E819" t="inlineStr">
        <is>
          <t>AU2</t>
        </is>
      </c>
      <c r="F819" s="2" t="inlineStr">
        <is>
          <t>¿Ofrece aprobación, reversión, registro o límites antes de actuar?</t>
        </is>
      </c>
      <c r="G819" t="inlineStr">
        <is>
          <t>NE</t>
        </is>
      </c>
      <c r="H819" t="inlineStr">
        <is>
          <t>Pendiente</t>
        </is>
      </c>
      <c r="I819" s="2" t="inlineStr">
        <is>
          <t>Mismo motivo que AU1: evidencia insuficiente sobre el mecanismo de ejecución como para evaluar sus salvaguardas.</t>
        </is>
      </c>
      <c r="K819" t="inlineStr">
        <is>
          <t>2026-09-16</t>
        </is>
      </c>
      <c r="L819" s="2" t="inlineStr"/>
    </row>
    <row r="820">
      <c r="A820" t="inlineStr">
        <is>
          <t>E6</t>
        </is>
      </c>
      <c r="B820" t="inlineStr">
        <is>
          <t>Multicloud</t>
        </is>
      </c>
      <c r="C820" t="inlineStr">
        <is>
          <t>Finout</t>
        </is>
      </c>
      <c r="D820" t="inlineStr">
        <is>
          <t>Multicloud</t>
        </is>
      </c>
      <c r="E820" t="inlineStr">
        <is>
          <t>M1</t>
        </is>
      </c>
      <c r="F820" s="2" t="inlineStr">
        <is>
          <t>¿Consolida al menos dos proveedores bajo el mismo esquema declarado?</t>
        </is>
      </c>
      <c r="G820" t="n">
        <v>2</v>
      </c>
      <c r="H820" t="inlineStr">
        <is>
          <t>Oficial</t>
        </is>
      </c>
      <c r="I820" s="2" t="inlineStr">
        <is>
          <t>El "Default FOCUS Table" consolida AWS, Azure, GCP "and more" bajo el estándar FOCUS de forma automática y sin configuración ("no setup required").</t>
        </is>
      </c>
      <c r="J820" t="inlineStr">
        <is>
          <t>https://docs.finout.io/get-started-with-finout/cost-and-usage-types/focus-in-finout</t>
        </is>
      </c>
      <c r="K820" t="inlineStr">
        <is>
          <t>2026-09-16</t>
        </is>
      </c>
      <c r="L820" s="2" t="inlineStr"/>
    </row>
    <row r="821">
      <c r="A821" t="inlineStr">
        <is>
          <t>E6</t>
        </is>
      </c>
      <c r="B821" t="inlineStr">
        <is>
          <t>Multicloud</t>
        </is>
      </c>
      <c r="C821" t="inlineStr">
        <is>
          <t>Finout</t>
        </is>
      </c>
      <c r="D821" t="inlineStr">
        <is>
          <t>Multicloud</t>
        </is>
      </c>
      <c r="E821" t="inlineStr">
        <is>
          <t>M2</t>
        </is>
      </c>
      <c r="F821" s="2" t="inlineStr">
        <is>
          <t>¿Hace visibles proveedor, cobertura y diferencias semánticas?</t>
        </is>
      </c>
      <c r="G821" t="n">
        <v>2</v>
      </c>
      <c r="H821" t="inlineStr">
        <is>
          <t>Oficial</t>
        </is>
      </c>
      <c r="I821" s="2" t="inlineStr">
        <is>
          <t>"Virtual Tags" normaliza explícitamente dimensiones núcleo -proveedor, servicio, región, categoría de cargo y tipo de precio- entre proveedores, exponiendo diferencias en lugar de ocultarlas.</t>
        </is>
      </c>
      <c r="J821" t="inlineStr">
        <is>
          <t>https://docs.finout.io/get-started-with-finout/cost-and-usage-types/focus-in-finout</t>
        </is>
      </c>
      <c r="K821" t="inlineStr">
        <is>
          <t>2026-09-16</t>
        </is>
      </c>
      <c r="L821" s="2" t="inlineStr"/>
    </row>
    <row r="822">
      <c r="A822" t="inlineStr">
        <is>
          <t>E6</t>
        </is>
      </c>
      <c r="B822" t="inlineStr">
        <is>
          <t>Multicloud</t>
        </is>
      </c>
      <c r="C822" t="inlineStr">
        <is>
          <t>Finout</t>
        </is>
      </c>
      <c r="D822" t="inlineStr">
        <is>
          <t>Integracion</t>
        </is>
      </c>
      <c r="E822" t="inlineStr">
        <is>
          <t>I1</t>
        </is>
      </c>
      <c r="F822" s="2" t="inlineStr">
        <is>
          <t>¿Integra datos requeridos (facturación, uso, clúster o IaC) del escenario?</t>
        </is>
      </c>
      <c r="G822" t="inlineStr">
        <is>
          <t>NE</t>
        </is>
      </c>
      <c r="H822" t="inlineStr">
        <is>
          <t>Pendiente</t>
        </is>
      </c>
      <c r="I822" s="2" t="inlineStr">
        <is>
          <t>Ingesta automatizada de billing exports en formato FOCUS de cualquier proveedor soportado, más escaneos específicos de Kubernetes para CostGuard.</t>
        </is>
      </c>
      <c r="J822" t="inlineStr">
        <is>
          <t>https://docs.finout.io/get-started-with-finout/cost-and-usage-types/focus-in-finout</t>
        </is>
      </c>
      <c r="K822" t="inlineStr">
        <is>
          <t>2026-09-16</t>
        </is>
      </c>
      <c r="L822" s="2" t="inlineStr">
        <is>
          <t>Celda heredada FP-180 (2026-09-16): el valor 2 proviene de la investigacion del escenario E2 y no cuenta con evidencia propia de E6. Segun FP-177 el indicador I1 depende del escenario, por lo que pasa a NE (no evidenciado, reduce cobertura) hasta investigarlo. La evidencia y la fuente originales se conservan como referencia del escenario de origen.</t>
        </is>
      </c>
    </row>
    <row r="823">
      <c r="A823" t="inlineStr">
        <is>
          <t>E6</t>
        </is>
      </c>
      <c r="B823" t="inlineStr">
        <is>
          <t>Multicloud</t>
        </is>
      </c>
      <c r="C823" t="inlineStr">
        <is>
          <t>Finout</t>
        </is>
      </c>
      <c r="D823" t="inlineStr">
        <is>
          <t>Integracion</t>
        </is>
      </c>
      <c r="E823" t="inlineStr">
        <is>
          <t>I2</t>
        </is>
      </c>
      <c r="F823" s="2" t="inlineStr">
        <is>
          <t>¿Se integra con el flujo de trabajo relevante (alerta, ticket, CI/CD o reporte)?</t>
        </is>
      </c>
      <c r="G823" t="inlineStr">
        <is>
          <t>NE</t>
        </is>
      </c>
      <c r="H823" t="inlineStr">
        <is>
          <t>Pendiente</t>
        </is>
      </c>
      <c r="I823" s="2" t="inlineStr">
        <is>
          <t>Existe una integración con Slack para seguimiento de uso y anomalías, documentada únicamente en el blog del proveedor (no se ubicó la página técnica equivalente en docs.finout.io), por lo que se trata como evidencia comercial.</t>
        </is>
      </c>
      <c r="J823" t="inlineStr">
        <is>
          <t>https://www.finout.io/slack-and-finout-integration-track-usage-and-anomalies</t>
        </is>
      </c>
      <c r="K823" t="inlineStr">
        <is>
          <t>2026-09-16</t>
        </is>
      </c>
      <c r="L823" s="2" t="inlineStr">
        <is>
          <t>Celda heredada FP-180 (2026-09-16): el valor 1 proviene de la investigacion del escenario E2 y no cuenta con evidencia propia de E6. Segun FP-177 el indicador I2 depende del escenario, por lo que pasa a NE (no evidenciado, reduce cobertura) hasta investigarlo. La evidencia y la fuente originales se conservan como referencia del escenario de origen.</t>
        </is>
      </c>
    </row>
    <row r="824">
      <c r="A824" t="inlineStr">
        <is>
          <t>E6</t>
        </is>
      </c>
      <c r="B824" t="inlineStr">
        <is>
          <t>Multicloud</t>
        </is>
      </c>
      <c r="C824" t="inlineStr">
        <is>
          <t>Finout</t>
        </is>
      </c>
      <c r="D824" t="inlineStr">
        <is>
          <t>Adopcion</t>
        </is>
      </c>
      <c r="E824" t="inlineStr">
        <is>
          <t>AD1</t>
        </is>
      </c>
      <c r="F824" s="2" t="inlineStr">
        <is>
          <t>¿Soporta acceso/entrega para los roles del escenario?</t>
        </is>
      </c>
      <c r="G824" t="inlineStr">
        <is>
          <t>NE</t>
        </is>
      </c>
      <c r="H824" t="inlineStr">
        <is>
          <t>Pendiente</t>
        </is>
      </c>
      <c r="I824" s="2" t="inlineStr">
        <is>
          <t>Existen páginas dedicadas de "Role-Based Access Control (RBAC)" y "ACL Permissions" en la documentación técnica.</t>
        </is>
      </c>
      <c r="J824" t="inlineStr">
        <is>
          <t>https://docs.finout.io/settings/role-based-access-control-rbac/role-permissions</t>
        </is>
      </c>
      <c r="K824" t="inlineStr">
        <is>
          <t>2026-09-16</t>
        </is>
      </c>
      <c r="L824" s="2" t="inlineStr">
        <is>
          <t>Celda heredada FP-180 (2026-09-16): el valor 2 proviene de la investigacion del escenario E2 y no cuenta con evidencia propia de E6. Segun FP-177 el indicador AD1 depende del escenario, por lo que pasa a NE (no evidenciado, reduce cobertura) hasta investigarlo. La evidencia y la fuente originales se conservan como referencia del escenario de origen.</t>
        </is>
      </c>
    </row>
    <row r="825">
      <c r="A825" t="inlineStr">
        <is>
          <t>E6</t>
        </is>
      </c>
      <c r="B825" t="inlineStr">
        <is>
          <t>Multicloud</t>
        </is>
      </c>
      <c r="C825" t="inlineStr">
        <is>
          <t>Finout</t>
        </is>
      </c>
      <c r="D825" t="inlineStr">
        <is>
          <t>Adopcion</t>
        </is>
      </c>
      <c r="E825" t="inlineStr">
        <is>
          <t>AD2</t>
        </is>
      </c>
      <c r="F825" s="2" t="inlineStr">
        <is>
          <t>¿Ofrece guías, ownership o mecanismos de seguimiento para uso sostenido?</t>
        </is>
      </c>
      <c r="G825" t="n">
        <v>2</v>
      </c>
      <c r="H825" t="inlineStr">
        <is>
          <t>Oficial</t>
        </is>
      </c>
      <c r="I825" s="2" t="inlineStr">
        <is>
          <t>Gobernanza documentada como función del producto: la gobernanza de etiquetas «allows you to define tagging policies across multiple cloud environments, offering visibility into non-compliant resources and costs while simplifying resource tracking», que es un mecanismo de seguimiento para uso sostenido en un entorno multinube. La documentación incluye además la guía de incorporación de nuevos usuarios a la cuenta. Proceso definido; sin evidencia de adopción medida para 3.</t>
        </is>
      </c>
      <c r="J825" t="inlineStr">
        <is>
          <t>https://docs.finout.io/user-guide/operate/tag-governance ; https://docs.finout.io/get-started-with-finout/introduction-to-finouts-suite-of-features</t>
        </is>
      </c>
      <c r="K825" t="inlineStr">
        <is>
          <t>2026-09-16</t>
        </is>
      </c>
      <c r="L825" s="2" t="inlineStr">
        <is>
          <t>Investigación E2 FP-180 (2026-09-16): celda completada con evidencia propia del escenario, verificada contra documentación oficial.</t>
        </is>
      </c>
    </row>
    <row r="826">
      <c r="A826" t="inlineStr">
        <is>
          <t>E6</t>
        </is>
      </c>
      <c r="B826" t="inlineStr">
        <is>
          <t>Multicloud</t>
        </is>
      </c>
      <c r="C826" t="inlineStr">
        <is>
          <t>Finout</t>
        </is>
      </c>
      <c r="D826" t="inlineStr">
        <is>
          <t>Precio</t>
        </is>
      </c>
      <c r="E826" t="inlineStr">
        <is>
          <t>P1</t>
        </is>
      </c>
      <c r="F826" s="2" t="inlineStr">
        <is>
          <t>¿Expone precio, moneda, región, unidad, período y supuestos relevantes?</t>
        </is>
      </c>
      <c r="G826" t="inlineStr">
        <is>
          <t>NE</t>
        </is>
      </c>
      <c r="H826" t="inlineStr">
        <is>
          <t>Pendiente</t>
        </is>
      </c>
      <c r="I826" s="2" t="inlineStr">
        <is>
          <t>No se encontró evidencia específica de transparencia de supuestos de precio (moneda/región/período) en las páginas revisadas.</t>
        </is>
      </c>
      <c r="K826" t="inlineStr">
        <is>
          <t>2026-09-16</t>
        </is>
      </c>
      <c r="L826" s="2" t="inlineStr"/>
    </row>
    <row r="827">
      <c r="A827" t="inlineStr">
        <is>
          <t>E6</t>
        </is>
      </c>
      <c r="B827" t="inlineStr">
        <is>
          <t>Multicloud</t>
        </is>
      </c>
      <c r="C827" t="inlineStr">
        <is>
          <t>Finout</t>
        </is>
      </c>
      <c r="D827" t="inlineStr">
        <is>
          <t>Precio</t>
        </is>
      </c>
      <c r="E827" t="inlineStr">
        <is>
          <t>P2</t>
        </is>
      </c>
      <c r="F827" s="2" t="inlineStr">
        <is>
          <t>¿Permite estimar o comparar componentes sin ocultar límites de equivalencia?</t>
        </is>
      </c>
      <c r="G827" t="inlineStr">
        <is>
          <t>NE</t>
        </is>
      </c>
      <c r="H827" t="inlineStr">
        <is>
          <t>Pendiente</t>
        </is>
      </c>
      <c r="I827" s="2" t="inlineStr">
        <is>
          <t>No se encontró evidencia de una función de comparación/estimación de precio contextual en las páginas revisadas.</t>
        </is>
      </c>
      <c r="K827" t="inlineStr">
        <is>
          <t>2026-09-16</t>
        </is>
      </c>
      <c r="L827" s="2" t="inlineStr"/>
    </row>
    <row r="828">
      <c r="A828" t="inlineStr">
        <is>
          <t>E6</t>
        </is>
      </c>
      <c r="B828" t="inlineStr">
        <is>
          <t>Multicloud</t>
        </is>
      </c>
      <c r="C828" t="inlineStr">
        <is>
          <t>Finout</t>
        </is>
      </c>
      <c r="D828" t="inlineStr">
        <is>
          <t>Dependencia</t>
        </is>
      </c>
      <c r="E828" t="inlineStr">
        <is>
          <t>D1</t>
        </is>
      </c>
      <c r="F828" s="2" t="inlineStr">
        <is>
          <t>¿Exporta datos/resultados en formato utilizable y documentado?</t>
        </is>
      </c>
      <c r="G828" t="n">
        <v>2</v>
      </c>
      <c r="H828" t="inlineStr">
        <is>
          <t>Oficial</t>
        </is>
      </c>
      <c r="I828" s="2" t="inlineStr">
        <is>
          <t>Documentación técnica dedicada de "Finout API", "Cost API", "CostGuard API" y "Virtual Tags API" confirma una vía de exportación/acceso a datos definida y reproducible.</t>
        </is>
      </c>
      <c r="J828" t="inlineStr">
        <is>
          <t>https://docs.finout.io/configuration/finout-api</t>
        </is>
      </c>
      <c r="K828" t="inlineStr">
        <is>
          <t>2026-09-16</t>
        </is>
      </c>
      <c r="L828" s="2" t="inlineStr"/>
    </row>
    <row r="829">
      <c r="A829" t="inlineStr">
        <is>
          <t>E6</t>
        </is>
      </c>
      <c r="B829" t="inlineStr">
        <is>
          <t>Multicloud</t>
        </is>
      </c>
      <c r="C829" t="inlineStr">
        <is>
          <t>Finout</t>
        </is>
      </c>
      <c r="D829" t="inlineStr">
        <is>
          <t>Dependencia</t>
        </is>
      </c>
      <c r="E829" t="inlineStr">
        <is>
          <t>D2</t>
        </is>
      </c>
      <c r="F829" s="2" t="inlineStr">
        <is>
          <t>¿Documenta dependencias propietarias y un camino de salida/configuración reversible?</t>
        </is>
      </c>
      <c r="G829" t="inlineStr">
        <is>
          <t>NE</t>
        </is>
      </c>
      <c r="H829" t="inlineStr">
        <is>
          <t>Pendiente</t>
        </is>
      </c>
      <c r="I829" s="2" t="inlineStr">
        <is>
          <t>No se encontró documentación sobre un camino de salida o reversibilidad de la configuración.</t>
        </is>
      </c>
      <c r="K829" t="inlineStr">
        <is>
          <t>2026-09-16</t>
        </is>
      </c>
      <c r="L829" s="2" t="inlineStr"/>
    </row>
    <row r="830">
      <c r="A830" t="inlineStr">
        <is>
          <t>E1</t>
        </is>
      </c>
      <c r="B830" t="inlineStr">
        <is>
          <t>Multicloud</t>
        </is>
      </c>
      <c r="C830" t="inlineStr">
        <is>
          <t>nOps</t>
        </is>
      </c>
      <c r="D830" t="inlineStr">
        <is>
          <t>Visibilidad</t>
        </is>
      </c>
      <c r="E830" t="inlineStr">
        <is>
          <t>V1</t>
        </is>
      </c>
      <c r="F830" s="2" t="inlineStr">
        <is>
          <t>¿Desagrega costo y uso por cuenta/proyecto, servicio y período?</t>
        </is>
      </c>
      <c r="G830" t="inlineStr">
        <is>
          <t>NE</t>
        </is>
      </c>
      <c r="H830" t="inlineStr">
        <is>
          <t>Pendiente</t>
        </is>
      </c>
      <c r="I830" s="2" t="inlineStr">
        <is>
          <t>"Inform" ofrece Explorer, reportes y dashboards con más de 40 filtros diseñados para ingeniería y finanzas, y vistas personalizadas por dimensión de negocio.</t>
        </is>
      </c>
      <c r="J830" t="inlineStr">
        <is>
          <t>https://help.nops.io/</t>
        </is>
      </c>
      <c r="K830" t="inlineStr">
        <is>
          <t>2026-09-16</t>
        </is>
      </c>
      <c r="L830" s="2" t="inlineStr">
        <is>
          <t>Celda heredada FP-180 (2026-09-16): el valor 2 proviene de la investigacion del escenario E2 y no cuenta con evidencia propia de E1. Segun FP-177 el indicador V1 depende del escenario, por lo que pasa a NE (no evidenciado, reduce cobertura) hasta investigarlo. La evidencia y la fuente originales se conservan como referencia del escenario de origen.</t>
        </is>
      </c>
    </row>
    <row r="831">
      <c r="A831" t="inlineStr">
        <is>
          <t>E1</t>
        </is>
      </c>
      <c r="B831" t="inlineStr">
        <is>
          <t>Multicloud</t>
        </is>
      </c>
      <c r="C831" t="inlineStr">
        <is>
          <t>nOps</t>
        </is>
      </c>
      <c r="D831" t="inlineStr">
        <is>
          <t>Visibilidad</t>
        </is>
      </c>
      <c r="E831" t="inlineStr">
        <is>
          <t>V2</t>
        </is>
      </c>
      <c r="F831" s="2" t="inlineStr">
        <is>
          <t>¿Permite rastrear un total hasta registros o fuente de facturación?</t>
        </is>
      </c>
      <c r="G831" t="n">
        <v>2</v>
      </c>
      <c r="H831" t="inlineStr">
        <is>
          <t>Oficial</t>
        </is>
      </c>
      <c r="I831" s="2" t="inlineStr">
        <is>
          <t>La API documenta "Allocation history time series" y funciones de previsualización ("Showback spend preview") para rastrear cómo evoluciona una asignación en el tiempo.</t>
        </is>
      </c>
      <c r="J831" t="inlineStr">
        <is>
          <t>https://help.nops.io/llms.txt</t>
        </is>
      </c>
      <c r="K831" t="inlineStr">
        <is>
          <t>2026-09-16</t>
        </is>
      </c>
      <c r="L831" s="2" t="inlineStr"/>
    </row>
    <row r="832">
      <c r="A832" t="inlineStr">
        <is>
          <t>E1</t>
        </is>
      </c>
      <c r="B832" t="inlineStr">
        <is>
          <t>Multicloud</t>
        </is>
      </c>
      <c r="C832" t="inlineStr">
        <is>
          <t>nOps</t>
        </is>
      </c>
      <c r="D832" t="inlineStr">
        <is>
          <t>Asignacion</t>
        </is>
      </c>
      <c r="E832" t="inlineStr">
        <is>
          <t>A1</t>
        </is>
      </c>
      <c r="F832" s="2" t="inlineStr">
        <is>
          <t>¿Calcula gasto asignado/no asignado por responsable, centro o entidad?</t>
        </is>
      </c>
      <c r="G832" t="inlineStr">
        <is>
          <t>NE</t>
        </is>
      </c>
      <c r="H832" t="inlineStr">
        <is>
          <t>Pendiente</t>
        </is>
      </c>
      <c r="I832" s="2" t="inlineStr">
        <is>
          <t>"Showback"/"cost allocation" con reglas de asignación (crear, actualizar, reordenar, previsualizar) y un modelo de "Business Unit Economics" que vincula el gasto de Explorer a métricas de negocio (clientes, asientos).</t>
        </is>
      </c>
      <c r="J832" t="inlineStr">
        <is>
          <t>https://help.nops.io/operate/business-unit-economics.md</t>
        </is>
      </c>
      <c r="K832" t="inlineStr">
        <is>
          <t>2026-09-16</t>
        </is>
      </c>
      <c r="L832" s="2" t="inlineStr">
        <is>
          <t>Celda heredada FP-180 (2026-09-16): el valor 2 proviene de la investigacion del escenario E2 y no cuenta con evidencia propia de E1. Segun FP-177 el indicador A1 depende del escenario, por lo que pasa a NE (no evidenciado, reduce cobertura) hasta investigarlo. La evidencia y la fuente originales se conservan como referencia del escenario de origen.</t>
        </is>
      </c>
    </row>
    <row r="833">
      <c r="A833" t="inlineStr">
        <is>
          <t>E1</t>
        </is>
      </c>
      <c r="B833" t="inlineStr">
        <is>
          <t>Multicloud</t>
        </is>
      </c>
      <c r="C833" t="inlineStr">
        <is>
          <t>nOps</t>
        </is>
      </c>
      <c r="D833" t="inlineStr">
        <is>
          <t>Asignacion</t>
        </is>
      </c>
      <c r="E833" t="inlineStr">
        <is>
          <t>A2</t>
        </is>
      </c>
      <c r="F833" s="2" t="inlineStr">
        <is>
          <t>¿Explicita y aplica reglas para costo compartido/multi-tenant?</t>
        </is>
      </c>
      <c r="G833" t="inlineStr">
        <is>
          <t>NE</t>
        </is>
      </c>
      <c r="H833" t="inlineStr">
        <is>
          <t>Pendiente</t>
        </is>
      </c>
      <c r="I833" s="2" t="inlineStr">
        <is>
          <t>Las "allocation rules" son reordenables y previsualizables antes de guardarse ("Preview a proposed (unsaved) rule set"), y pueden auto-generarse a partir de tags existentes ("Sync dimension-discovered rules").</t>
        </is>
      </c>
      <c r="J833" t="inlineStr">
        <is>
          <t>https://help.nops.io/api-reference/cost-allocation/reorder-allocation-rule.md</t>
        </is>
      </c>
      <c r="K833" t="inlineStr">
        <is>
          <t>2026-09-16</t>
        </is>
      </c>
      <c r="L833" s="2" t="inlineStr">
        <is>
          <t>Celda heredada FP-180 (2026-09-16): el valor 2 proviene de la investigacion del escenario E2 y no cuenta con evidencia propia de E1. Segun FP-177 el indicador A2 depende del escenario, por lo que pasa a NE (no evidenciado, reduce cobertura) hasta investigarlo. La evidencia y la fuente originales se conservan como referencia del escenario de origen.</t>
        </is>
      </c>
    </row>
    <row r="834">
      <c r="A834" t="inlineStr">
        <is>
          <t>E1</t>
        </is>
      </c>
      <c r="B834" t="inlineStr">
        <is>
          <t>Multicloud</t>
        </is>
      </c>
      <c r="C834" t="inlineStr">
        <is>
          <t>nOps</t>
        </is>
      </c>
      <c r="D834" t="inlineStr">
        <is>
          <t>Optimizacion</t>
        </is>
      </c>
      <c r="E834" t="inlineStr">
        <is>
          <t>O1</t>
        </is>
      </c>
      <c r="F834" s="2" t="inlineStr">
        <is>
          <t>¿Detecta desperdicio, rightsizing o compromiso relevante al escenario?</t>
        </is>
      </c>
      <c r="G834" t="inlineStr">
        <is>
          <t>NE</t>
        </is>
      </c>
      <c r="H834" t="inlineStr">
        <is>
          <t>Pendiente</t>
        </is>
      </c>
      <c r="I834" s="2" t="inlineStr">
        <is>
          <t>"Compute Copilot" reubica de forma continua el cómputo entre Reservas, Savings Plans y Spot ("real-time instance reconsideration"), exclusivamente para AWS (incluye EKS).</t>
        </is>
      </c>
      <c r="J834" t="inlineStr">
        <is>
          <t>https://help.nops.io/docs/products/compute-copilot/introduction/</t>
        </is>
      </c>
      <c r="K834" t="inlineStr">
        <is>
          <t>2026-09-16</t>
        </is>
      </c>
      <c r="L834" s="2" t="inlineStr">
        <is>
          <t>Celda heredada FP-180 (2026-09-16): el valor 2 proviene de la investigacion del escenario E2 y no cuenta con evidencia propia de E1. Segun FP-177 el indicador O1 depende del escenario, por lo que pasa a NE (no evidenciado, reduce cobertura) hasta investigarlo. La evidencia y la fuente originales se conservan como referencia del escenario de origen.</t>
        </is>
      </c>
    </row>
    <row r="835">
      <c r="A835" t="inlineStr">
        <is>
          <t>E1</t>
        </is>
      </c>
      <c r="B835" t="inlineStr">
        <is>
          <t>Multicloud</t>
        </is>
      </c>
      <c r="C835" t="inlineStr">
        <is>
          <t>nOps</t>
        </is>
      </c>
      <c r="D835" t="inlineStr">
        <is>
          <t>Optimizacion</t>
        </is>
      </c>
      <c r="E835" t="inlineStr">
        <is>
          <t>O2</t>
        </is>
      </c>
      <c r="F835" s="2" t="inlineStr">
        <is>
          <t>¿Explica supuesto/impacto y permite seguir una recomendación?</t>
        </is>
      </c>
      <c r="G835" t="n">
        <v>1</v>
      </c>
      <c r="H835" t="inlineStr">
        <is>
          <t>Oficial</t>
        </is>
      </c>
      <c r="I835" s="2" t="inlineStr">
        <is>
          <t>La documentación revisada no detalla un ciclo de seguimiento de ahorro realizado equivalente al de CloudZero/Vantage para Compute Copilot; el módulo de "Requests" de límites de gasto de IA sí lleva historial, pero es de otro dominio (gasto de IA, no de cómputo).</t>
        </is>
      </c>
      <c r="J835" t="inlineStr">
        <is>
          <t>https://help.nops.io/docs/products/compute-copilot/introduction/</t>
        </is>
      </c>
      <c r="K835" t="inlineStr">
        <is>
          <t>2026-09-16</t>
        </is>
      </c>
      <c r="L835" s="2" t="inlineStr"/>
    </row>
    <row r="836">
      <c r="A836" t="inlineStr">
        <is>
          <t>E1</t>
        </is>
      </c>
      <c r="B836" t="inlineStr">
        <is>
          <t>Multicloud</t>
        </is>
      </c>
      <c r="C836" t="inlineStr">
        <is>
          <t>nOps</t>
        </is>
      </c>
      <c r="D836" t="inlineStr">
        <is>
          <t>Automatizacion</t>
        </is>
      </c>
      <c r="E836" t="inlineStr">
        <is>
          <t>AU1</t>
        </is>
      </c>
      <c r="F836" s="2" t="inlineStr">
        <is>
          <t>¿Ejecuta o bloquea acciones/políticas de costo con control verificable?</t>
        </is>
      </c>
      <c r="G836" t="inlineStr">
        <is>
          <t>NE</t>
        </is>
      </c>
      <c r="H836" t="inlineStr">
        <is>
          <t>Pendiente</t>
        </is>
      </c>
      <c r="I836" s="2" t="inlineStr">
        <is>
          <t>La "Commitment Management" ejecuta automáticamente compras/gestión de Reserved Instances y Savings Plans en AWS, Committed Use Discounts en GCP, y Reservations/Savings Plans en Azure, cada una con su propio flujo de onboarding.</t>
        </is>
      </c>
      <c r="J836" t="inlineStr">
        <is>
          <t>https://help.nops.io/aws/commitment-management-setup.md</t>
        </is>
      </c>
      <c r="K836" t="inlineStr">
        <is>
          <t>2026-09-16</t>
        </is>
      </c>
      <c r="L836"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 | Celda heredada FP-180 (2026-09-16): el valor 2 proviene de la investigacion del escenario E2 y no cuenta con evidencia propia de E1. Segun FP-177 el indicador AU1 depende del escenario, por lo que pasa a NE (no evidenciado, reduce cobertura) hasta investigarlo. La evidencia y la fuente originales se conservan como referencia del escenario de origen.</t>
        </is>
      </c>
    </row>
    <row r="837">
      <c r="A837" t="inlineStr">
        <is>
          <t>E1</t>
        </is>
      </c>
      <c r="B837" t="inlineStr">
        <is>
          <t>Multicloud</t>
        </is>
      </c>
      <c r="C837" t="inlineStr">
        <is>
          <t>nOps</t>
        </is>
      </c>
      <c r="D837" t="inlineStr">
        <is>
          <t>Automatizacion</t>
        </is>
      </c>
      <c r="E837" t="inlineStr">
        <is>
          <t>AU2</t>
        </is>
      </c>
      <c r="F837" s="2" t="inlineStr">
        <is>
          <t>¿Ofrece aprobación, reversión, registro o límites antes de actuar?</t>
        </is>
      </c>
      <c r="G837" t="n">
        <v>2</v>
      </c>
      <c r="H837" t="inlineStr">
        <is>
          <t>Oficial</t>
        </is>
      </c>
      <c r="I837" s="2" t="inlineStr">
        <is>
          <t>Cada Commitment Management documenta salvaguardas: en GCP, un "Automation Agent" de compra autónoma más un acceso de soporte para "manual overrides"; en Azure, una suscripción dedicada aislada "for clear auditing" y verificación de políticas de facturación antes de comprar.</t>
        </is>
      </c>
      <c r="J837" t="inlineStr">
        <is>
          <t>https://help.nops.io/gcp/commitment-management-setup.md</t>
        </is>
      </c>
      <c r="K837" t="inlineStr">
        <is>
          <t>2026-09-16</t>
        </is>
      </c>
      <c r="L837"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38">
      <c r="A838" t="inlineStr">
        <is>
          <t>E1</t>
        </is>
      </c>
      <c r="B838" t="inlineStr">
        <is>
          <t>Multicloud</t>
        </is>
      </c>
      <c r="C838" t="inlineStr">
        <is>
          <t>nOps</t>
        </is>
      </c>
      <c r="D838" t="inlineStr">
        <is>
          <t>Multicloud</t>
        </is>
      </c>
      <c r="E838" t="inlineStr">
        <is>
          <t>M1</t>
        </is>
      </c>
      <c r="F838" s="2" t="inlineStr">
        <is>
          <t>¿Consolida al menos dos proveedores bajo el mismo esquema declarado?</t>
        </is>
      </c>
      <c r="G838" t="n">
        <v>2</v>
      </c>
      <c r="H838" t="inlineStr">
        <is>
          <t>Oficial</t>
        </is>
      </c>
      <c r="I838" s="2" t="inlineStr">
        <is>
          <t>"Inform" ingiere costo de AWS, Kubernetes, Azure y GCP (vía FOCUS Export) en una sola plataforma integrada, según la documentación de integraciones y el anuncio oficial de soporte GCP/Azure/Datadog/Databricks.</t>
        </is>
      </c>
      <c r="J838" t="inlineStr">
        <is>
          <t>https://help.nops.io/docs/products/business-contexts/integrations/</t>
        </is>
      </c>
      <c r="K838" t="inlineStr">
        <is>
          <t>2026-09-16</t>
        </is>
      </c>
      <c r="L838"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39">
      <c r="A839" t="inlineStr">
        <is>
          <t>E1</t>
        </is>
      </c>
      <c r="B839" t="inlineStr">
        <is>
          <t>Multicloud</t>
        </is>
      </c>
      <c r="C839" t="inlineStr">
        <is>
          <t>nOps</t>
        </is>
      </c>
      <c r="D839" t="inlineStr">
        <is>
          <t>Multicloud</t>
        </is>
      </c>
      <c r="E839" t="inlineStr">
        <is>
          <t>M2</t>
        </is>
      </c>
      <c r="F839" s="2" t="inlineStr">
        <is>
          <t>¿Hace visibles proveedor, cobertura y diferencias semánticas?</t>
        </is>
      </c>
      <c r="G839" t="n">
        <v>2</v>
      </c>
      <c r="H839" t="inlineStr">
        <is>
          <t>Oficial</t>
        </is>
      </c>
      <c r="I839" s="2" t="inlineStr">
        <is>
          <t>Azure y GCP se ingieren mediante el estándar FOCUS Export (documentado paso a paso), un esquema de normalización declarado y común a ambos proveedores junto con AWS.</t>
        </is>
      </c>
      <c r="J839" t="inlineStr">
        <is>
          <t>https://help.nops.io/docs/agents-integrations/BC+%20Integrations/Azure%20FOCUS%20Exports/ms-azure-export-configuration/</t>
        </is>
      </c>
      <c r="K839" t="inlineStr">
        <is>
          <t>2026-09-16</t>
        </is>
      </c>
      <c r="L839"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40">
      <c r="A840" t="inlineStr">
        <is>
          <t>E1</t>
        </is>
      </c>
      <c r="B840" t="inlineStr">
        <is>
          <t>Multicloud</t>
        </is>
      </c>
      <c r="C840" t="inlineStr">
        <is>
          <t>nOps</t>
        </is>
      </c>
      <c r="D840" t="inlineStr">
        <is>
          <t>Integracion</t>
        </is>
      </c>
      <c r="E840" t="inlineStr">
        <is>
          <t>I1</t>
        </is>
      </c>
      <c r="F840" s="2" t="inlineStr">
        <is>
          <t>¿Integra datos requeridos (facturación, uso, clúster o IaC) del escenario?</t>
        </is>
      </c>
      <c r="G840" t="inlineStr">
        <is>
          <t>NE</t>
        </is>
      </c>
      <c r="H840" t="inlineStr">
        <is>
          <t>Pendiente</t>
        </is>
      </c>
      <c r="I840" s="2" t="inlineStr">
        <is>
          <t>Integraciones documentadas para AWS, Azure (FOCUS Export), GCP (Inform Cost), contenedores (EKS), Databricks, Datadog, MongoDB Atlas, Snowflake, OpenAI y Twilio.</t>
        </is>
      </c>
      <c r="J840" t="inlineStr">
        <is>
          <t>https://help.nops.io/docs/agents-integrations/integrations/</t>
        </is>
      </c>
      <c r="K840" t="inlineStr">
        <is>
          <t>2026-09-16</t>
        </is>
      </c>
      <c r="L840" s="2" t="inlineStr">
        <is>
          <t>Celda heredada FP-180 (2026-09-16): el valor 2 proviene de la investigacion del escenario E2 y no cuenta con evidencia propia de E1. Segun FP-177 el indicador I1 depende del escenario, por lo que pasa a NE (no evidenciado, reduce cobertura) hasta investigarlo. La evidencia y la fuente originales se conservan como referencia del escenario de origen.</t>
        </is>
      </c>
    </row>
    <row r="841">
      <c r="A841" t="inlineStr">
        <is>
          <t>E1</t>
        </is>
      </c>
      <c r="B841" t="inlineStr">
        <is>
          <t>Multicloud</t>
        </is>
      </c>
      <c r="C841" t="inlineStr">
        <is>
          <t>nOps</t>
        </is>
      </c>
      <c r="D841" t="inlineStr">
        <is>
          <t>Integracion</t>
        </is>
      </c>
      <c r="E841" t="inlineStr">
        <is>
          <t>I2</t>
        </is>
      </c>
      <c r="F841" s="2" t="inlineStr">
        <is>
          <t>¿Se integra con el flujo de trabajo relevante (alerta, ticket, CI/CD o reporte)?</t>
        </is>
      </c>
      <c r="G841" t="inlineStr">
        <is>
          <t>NE</t>
        </is>
      </c>
      <c r="H841" t="inlineStr">
        <is>
          <t>Pendiente</t>
        </is>
      </c>
      <c r="I841" s="2" t="inlineStr">
        <is>
          <t>No se encontró, en las páginas revisadas, documentación de integración directa con ticketing/CI-CD para el flujo de costos (el flujo de "Requests" encontrado es específico de límites de gasto de IA).</t>
        </is>
      </c>
      <c r="K841" t="inlineStr">
        <is>
          <t>2026-09-16</t>
        </is>
      </c>
      <c r="L841" s="2" t="inlineStr"/>
    </row>
    <row r="842">
      <c r="A842" t="inlineStr">
        <is>
          <t>E1</t>
        </is>
      </c>
      <c r="B842" t="inlineStr">
        <is>
          <t>Multicloud</t>
        </is>
      </c>
      <c r="C842" t="inlineStr">
        <is>
          <t>nOps</t>
        </is>
      </c>
      <c r="D842" t="inlineStr">
        <is>
          <t>Adopcion</t>
        </is>
      </c>
      <c r="E842" t="inlineStr">
        <is>
          <t>AD1</t>
        </is>
      </c>
      <c r="F842" s="2" t="inlineStr">
        <is>
          <t>¿Soporta acceso/entrega para los roles del escenario?</t>
        </is>
      </c>
      <c r="G842" t="inlineStr">
        <is>
          <t>NE</t>
        </is>
      </c>
      <c r="H842" t="inlineStr">
        <is>
          <t>Pendiente</t>
        </is>
      </c>
      <c r="I842" s="2" t="inlineStr">
        <is>
          <t>"Roles and data scopes" documenta un modelo de dos capas (permisos + alcance de datos) con reglas de inclusión/exclusión por cuenta AWS, región, valor de asignación o tag; por defecto todos los roles son "Unrestricted".</t>
        </is>
      </c>
      <c r="J842" t="inlineStr">
        <is>
          <t>https://help.nops.io/platform/roles-and-data-scopes.md</t>
        </is>
      </c>
      <c r="K842" t="inlineStr">
        <is>
          <t>2026-09-16</t>
        </is>
      </c>
      <c r="L842" s="2" t="inlineStr">
        <is>
          <t>Celda heredada FP-180 (2026-09-16): el valor 2 proviene de la investigacion del escenario E2 y no cuenta con evidencia propia de E1. Segun FP-177 el indicador AD1 depende del escenario, por lo que pasa a NE (no evidenciado, reduce cobertura) hasta investigarlo. La evidencia y la fuente originales se conservan como referencia del escenario de origen.</t>
        </is>
      </c>
    </row>
    <row r="843">
      <c r="A843" t="inlineStr">
        <is>
          <t>E1</t>
        </is>
      </c>
      <c r="B843" t="inlineStr">
        <is>
          <t>Multicloud</t>
        </is>
      </c>
      <c r="C843" t="inlineStr">
        <is>
          <t>nOps</t>
        </is>
      </c>
      <c r="D843" t="inlineStr">
        <is>
          <t>Adopcion</t>
        </is>
      </c>
      <c r="E843" t="inlineStr">
        <is>
          <t>AD2</t>
        </is>
      </c>
      <c r="F843" s="2" t="inlineStr">
        <is>
          <t>¿Ofrece guías, ownership o mecanismos de seguimiento para uso sostenido?</t>
        </is>
      </c>
      <c r="G843" t="n">
        <v>2</v>
      </c>
      <c r="H843" t="inlineStr">
        <is>
          <t>Oficial</t>
        </is>
      </c>
      <c r="I843" s="2" t="inlineStr">
        <is>
          <t>El módulo de showback/chargeback y "Business Unit Economics" ofrece un proceso de gobernanza definido para sostener el uso (asignación, métricas de negocio, límites de gasto de IA con flujo de aprobación).</t>
        </is>
      </c>
      <c r="J843" t="inlineStr">
        <is>
          <t>https://help.nops.io/operate/business-unit-economics.md</t>
        </is>
      </c>
      <c r="K843" t="inlineStr">
        <is>
          <t>2026-09-16</t>
        </is>
      </c>
      <c r="L843" s="2" t="inlineStr"/>
    </row>
    <row r="844">
      <c r="A844" t="inlineStr">
        <is>
          <t>E1</t>
        </is>
      </c>
      <c r="B844" t="inlineStr">
        <is>
          <t>Multicloud</t>
        </is>
      </c>
      <c r="C844" t="inlineStr">
        <is>
          <t>nOps</t>
        </is>
      </c>
      <c r="D844" t="inlineStr">
        <is>
          <t>Precio</t>
        </is>
      </c>
      <c r="E844" t="inlineStr">
        <is>
          <t>P1</t>
        </is>
      </c>
      <c r="F844" s="2" t="inlineStr">
        <is>
          <t>¿Expone precio, moneda, región, unidad, período y supuestos relevantes?</t>
        </is>
      </c>
      <c r="G844" t="n">
        <v>1</v>
      </c>
      <c r="H844" t="inlineStr">
        <is>
          <t>Comercial</t>
        </is>
      </c>
      <c r="I844" s="2" t="inlineStr">
        <is>
          <t>El anuncio de "Azure to AWS Cost Assessment" documenta niveles de confianza explícitos (90% coincidencia exacta, 8% equivalente validado, 2% marcado para validación manual) y supuestos de región/SO/tipo de instancia, pero solo se ubicó como anuncio de producto (blog), no como documentación técnica en help.nops.io.</t>
        </is>
      </c>
      <c r="J844" t="inlineStr">
        <is>
          <t>https://www.nops.io/blog/new-azure-to-aws-cost-assessment/</t>
        </is>
      </c>
      <c r="K844" t="inlineStr">
        <is>
          <t>2026-09-16</t>
        </is>
      </c>
      <c r="L844" s="2" t="inlineStr"/>
    </row>
    <row r="845">
      <c r="A845" t="inlineStr">
        <is>
          <t>E1</t>
        </is>
      </c>
      <c r="B845" t="inlineStr">
        <is>
          <t>Multicloud</t>
        </is>
      </c>
      <c r="C845" t="inlineStr">
        <is>
          <t>nOps</t>
        </is>
      </c>
      <c r="D845" t="inlineStr">
        <is>
          <t>Precio</t>
        </is>
      </c>
      <c r="E845" t="inlineStr">
        <is>
          <t>P2</t>
        </is>
      </c>
      <c r="F845" s="2" t="inlineStr">
        <is>
          <t>¿Permite estimar o comparar componentes sin ocultar límites de equivalencia?</t>
        </is>
      </c>
      <c r="G845" t="inlineStr">
        <is>
          <t>NE</t>
        </is>
      </c>
      <c r="H845" t="inlineStr">
        <is>
          <t>Pendiente</t>
        </is>
      </c>
      <c r="I845" s="2" t="inlineStr">
        <is>
          <t>El mismo "Azure to AWS Cost Assessment" mapea especificaciones técnicas de Azure a instancias equivalentes de AWS con ejemplos concretos (p. ej. D16 v3 → m5.4xlarge) y un caso real de 18,8% de ahorro; única evidencia disponible es de blog (Comercial).</t>
        </is>
      </c>
      <c r="J845" t="inlineStr">
        <is>
          <t>https://www.nops.io/blog/new-azure-to-aws-cost-assessment/</t>
        </is>
      </c>
      <c r="K845" t="inlineStr">
        <is>
          <t>2026-09-16</t>
        </is>
      </c>
      <c r="L845" s="2" t="inlineStr">
        <is>
          <t>Celda heredada FP-180 (2026-09-16): el valor 1 proviene de la investigacion del escenario E2 y no cuenta con evidencia propia de E1. Segun FP-177 el indicador P2 depende del escenario, por lo que pasa a NE (no evidenciado, reduce cobertura) hasta investigarlo. La evidencia y la fuente originales se conservan como referencia del escenario de origen.</t>
        </is>
      </c>
    </row>
    <row r="846">
      <c r="A846" t="inlineStr">
        <is>
          <t>E1</t>
        </is>
      </c>
      <c r="B846" t="inlineStr">
        <is>
          <t>Multicloud</t>
        </is>
      </c>
      <c r="C846" t="inlineStr">
        <is>
          <t>nOps</t>
        </is>
      </c>
      <c r="D846" t="inlineStr">
        <is>
          <t>Dependencia</t>
        </is>
      </c>
      <c r="E846" t="inlineStr">
        <is>
          <t>D1</t>
        </is>
      </c>
      <c r="F846" s="2" t="inlineStr">
        <is>
          <t>¿Exporta datos/resultados en formato utilizable y documentado?</t>
        </is>
      </c>
      <c r="G846" t="n">
        <v>2</v>
      </c>
      <c r="H846" t="inlineStr">
        <is>
          <t>Oficial</t>
        </is>
      </c>
      <c r="I846" s="2" t="inlineStr">
        <is>
          <t>La documentación de API reference (cost-allocation, explorer-dashboards, business-unit-economics) confirma una vía de exportación/acceso a datos definida y reproducible vía API REST.</t>
        </is>
      </c>
      <c r="J846" t="inlineStr">
        <is>
          <t>https://help.nops.io/llms.txt</t>
        </is>
      </c>
      <c r="K846" t="inlineStr">
        <is>
          <t>2026-09-16</t>
        </is>
      </c>
      <c r="L846" s="2" t="inlineStr"/>
    </row>
    <row r="847">
      <c r="A847" t="inlineStr">
        <is>
          <t>E1</t>
        </is>
      </c>
      <c r="B847" t="inlineStr">
        <is>
          <t>Multicloud</t>
        </is>
      </c>
      <c r="C847" t="inlineStr">
        <is>
          <t>nOps</t>
        </is>
      </c>
      <c r="D847" t="inlineStr">
        <is>
          <t>Dependencia</t>
        </is>
      </c>
      <c r="E847" t="inlineStr">
        <is>
          <t>D2</t>
        </is>
      </c>
      <c r="F847" s="2" t="inlineStr">
        <is>
          <t>¿Documenta dependencias propietarias y un camino de salida/configuración reversible?</t>
        </is>
      </c>
      <c r="G847" t="inlineStr">
        <is>
          <t>NE</t>
        </is>
      </c>
      <c r="H847" t="inlineStr">
        <is>
          <t>Pendiente</t>
        </is>
      </c>
      <c r="I847" s="2" t="inlineStr">
        <is>
          <t>No se encontró documentación sobre un camino de salida o reversibilidad de la configuración.</t>
        </is>
      </c>
      <c r="K847" t="inlineStr">
        <is>
          <t>2026-09-16</t>
        </is>
      </c>
      <c r="L847" s="2" t="inlineStr"/>
    </row>
    <row r="848">
      <c r="A848" t="inlineStr">
        <is>
          <t>E2</t>
        </is>
      </c>
      <c r="B848" t="inlineStr">
        <is>
          <t>Multicloud</t>
        </is>
      </c>
      <c r="C848" t="inlineStr">
        <is>
          <t>nOps</t>
        </is>
      </c>
      <c r="D848" t="inlineStr">
        <is>
          <t>Visibilidad</t>
        </is>
      </c>
      <c r="E848" t="inlineStr">
        <is>
          <t>V1</t>
        </is>
      </c>
      <c r="F848" s="2" t="inlineStr">
        <is>
          <t>¿Desagrega costo y uso por cuenta/proyecto, servicio y período?</t>
        </is>
      </c>
      <c r="G848" t="n">
        <v>2</v>
      </c>
      <c r="H848" t="inlineStr">
        <is>
          <t>Oficial</t>
        </is>
      </c>
      <c r="I848" s="2" t="inlineStr">
        <is>
          <t>"Inform" ofrece Explorer, reportes y dashboards con más de 40 filtros diseñados para ingeniería y finanzas, y vistas personalizadas por dimensión de negocio.</t>
        </is>
      </c>
      <c r="J848" t="inlineStr">
        <is>
          <t>https://help.nops.io/</t>
        </is>
      </c>
      <c r="K848" t="inlineStr">
        <is>
          <t>2026-09-16</t>
        </is>
      </c>
      <c r="L848" s="2" t="inlineStr"/>
    </row>
    <row r="849">
      <c r="A849" t="inlineStr">
        <is>
          <t>E2</t>
        </is>
      </c>
      <c r="B849" t="inlineStr">
        <is>
          <t>Multicloud</t>
        </is>
      </c>
      <c r="C849" t="inlineStr">
        <is>
          <t>nOps</t>
        </is>
      </c>
      <c r="D849" t="inlineStr">
        <is>
          <t>Visibilidad</t>
        </is>
      </c>
      <c r="E849" t="inlineStr">
        <is>
          <t>V2</t>
        </is>
      </c>
      <c r="F849" s="2" t="inlineStr">
        <is>
          <t>¿Permite rastrear un total hasta registros o fuente de facturación?</t>
        </is>
      </c>
      <c r="G849" t="n">
        <v>2</v>
      </c>
      <c r="H849" t="inlineStr">
        <is>
          <t>Oficial</t>
        </is>
      </c>
      <c r="I849" s="2" t="inlineStr">
        <is>
          <t>La API documenta "Allocation history time series" y funciones de previsualización ("Showback spend preview") para rastrear cómo evoluciona una asignación en el tiempo.</t>
        </is>
      </c>
      <c r="J849" t="inlineStr">
        <is>
          <t>https://help.nops.io/llms.txt</t>
        </is>
      </c>
      <c r="K849" t="inlineStr">
        <is>
          <t>2026-09-16</t>
        </is>
      </c>
      <c r="L849" s="2" t="inlineStr"/>
    </row>
    <row r="850">
      <c r="A850" t="inlineStr">
        <is>
          <t>E2</t>
        </is>
      </c>
      <c r="B850" t="inlineStr">
        <is>
          <t>Multicloud</t>
        </is>
      </c>
      <c r="C850" t="inlineStr">
        <is>
          <t>nOps</t>
        </is>
      </c>
      <c r="D850" t="inlineStr">
        <is>
          <t>Asignacion</t>
        </is>
      </c>
      <c r="E850" t="inlineStr">
        <is>
          <t>A1</t>
        </is>
      </c>
      <c r="F850" s="2" t="inlineStr">
        <is>
          <t>¿Calcula gasto asignado/no asignado por responsable, centro o entidad?</t>
        </is>
      </c>
      <c r="G850" t="n">
        <v>2</v>
      </c>
      <c r="H850" t="inlineStr">
        <is>
          <t>Oficial</t>
        </is>
      </c>
      <c r="I850" s="2" t="inlineStr">
        <is>
          <t>"Showback"/"cost allocation" con reglas de asignación (crear, actualizar, reordenar, previsualizar) y un modelo de "Business Unit Economics" que vincula el gasto de Explorer a métricas de negocio (clientes, asientos).</t>
        </is>
      </c>
      <c r="J850" t="inlineStr">
        <is>
          <t>https://help.nops.io/operate/business-unit-economics.md</t>
        </is>
      </c>
      <c r="K850" t="inlineStr">
        <is>
          <t>2026-09-16</t>
        </is>
      </c>
      <c r="L850" s="2" t="inlineStr"/>
    </row>
    <row r="851">
      <c r="A851" t="inlineStr">
        <is>
          <t>E2</t>
        </is>
      </c>
      <c r="B851" t="inlineStr">
        <is>
          <t>Multicloud</t>
        </is>
      </c>
      <c r="C851" t="inlineStr">
        <is>
          <t>nOps</t>
        </is>
      </c>
      <c r="D851" t="inlineStr">
        <is>
          <t>Asignacion</t>
        </is>
      </c>
      <c r="E851" t="inlineStr">
        <is>
          <t>A2</t>
        </is>
      </c>
      <c r="F851" s="2" t="inlineStr">
        <is>
          <t>¿Explicita y aplica reglas para costo compartido/multi-tenant?</t>
        </is>
      </c>
      <c r="G851" t="n">
        <v>2</v>
      </c>
      <c r="H851" t="inlineStr">
        <is>
          <t>Oficial</t>
        </is>
      </c>
      <c r="I851" s="2" t="inlineStr">
        <is>
          <t>Las "allocation rules" son reordenables y previsualizables antes de guardarse ("Preview a proposed (unsaved) rule set"), y pueden auto-generarse a partir de tags existentes ("Sync dimension-discovered rules").</t>
        </is>
      </c>
      <c r="J851" t="inlineStr">
        <is>
          <t>https://help.nops.io/api-reference/cost-allocation/reorder-allocation-rule.md</t>
        </is>
      </c>
      <c r="K851" t="inlineStr">
        <is>
          <t>2026-09-16</t>
        </is>
      </c>
      <c r="L851" s="2" t="inlineStr"/>
    </row>
    <row r="852">
      <c r="A852" t="inlineStr">
        <is>
          <t>E2</t>
        </is>
      </c>
      <c r="B852" t="inlineStr">
        <is>
          <t>Multicloud</t>
        </is>
      </c>
      <c r="C852" t="inlineStr">
        <is>
          <t>nOps</t>
        </is>
      </c>
      <c r="D852" t="inlineStr">
        <is>
          <t>Optimizacion</t>
        </is>
      </c>
      <c r="E852" t="inlineStr">
        <is>
          <t>O1</t>
        </is>
      </c>
      <c r="F852" s="2" t="inlineStr">
        <is>
          <t>¿Detecta desperdicio, rightsizing o compromiso relevante al escenario?</t>
        </is>
      </c>
      <c r="G852" t="n">
        <v>2</v>
      </c>
      <c r="H852" t="inlineStr">
        <is>
          <t>Oficial</t>
        </is>
      </c>
      <c r="I852" s="2" t="inlineStr">
        <is>
          <t>"Compute Copilot" reubica de forma continua el cómputo entre Reservas, Savings Plans y Spot ("real-time instance reconsideration"), exclusivamente para AWS (incluye EKS).</t>
        </is>
      </c>
      <c r="J852" t="inlineStr">
        <is>
          <t>https://help.nops.io/docs/products/compute-copilot/introduction/</t>
        </is>
      </c>
      <c r="K852" t="inlineStr">
        <is>
          <t>2026-09-16</t>
        </is>
      </c>
      <c r="L852" s="2" t="inlineStr"/>
    </row>
    <row r="853">
      <c r="A853" t="inlineStr">
        <is>
          <t>E2</t>
        </is>
      </c>
      <c r="B853" t="inlineStr">
        <is>
          <t>Multicloud</t>
        </is>
      </c>
      <c r="C853" t="inlineStr">
        <is>
          <t>nOps</t>
        </is>
      </c>
      <c r="D853" t="inlineStr">
        <is>
          <t>Optimizacion</t>
        </is>
      </c>
      <c r="E853" t="inlineStr">
        <is>
          <t>O2</t>
        </is>
      </c>
      <c r="F853" s="2" t="inlineStr">
        <is>
          <t>¿Explica supuesto/impacto y permite seguir una recomendación?</t>
        </is>
      </c>
      <c r="G853" t="n">
        <v>1</v>
      </c>
      <c r="H853" t="inlineStr">
        <is>
          <t>Oficial</t>
        </is>
      </c>
      <c r="I853" s="2" t="inlineStr">
        <is>
          <t>La documentación revisada no detalla un ciclo de seguimiento de ahorro realizado equivalente al de CloudZero/Vantage para Compute Copilot; el módulo de "Requests" de límites de gasto de IA sí lleva historial, pero es de otro dominio (gasto de IA, no de cómputo).</t>
        </is>
      </c>
      <c r="J853" t="inlineStr">
        <is>
          <t>https://help.nops.io/docs/products/compute-copilot/introduction/</t>
        </is>
      </c>
      <c r="K853" t="inlineStr">
        <is>
          <t>2026-09-16</t>
        </is>
      </c>
      <c r="L853" s="2" t="inlineStr"/>
    </row>
    <row r="854">
      <c r="A854" t="inlineStr">
        <is>
          <t>E2</t>
        </is>
      </c>
      <c r="B854" t="inlineStr">
        <is>
          <t>Multicloud</t>
        </is>
      </c>
      <c r="C854" t="inlineStr">
        <is>
          <t>nOps</t>
        </is>
      </c>
      <c r="D854" t="inlineStr">
        <is>
          <t>Automatizacion</t>
        </is>
      </c>
      <c r="E854" t="inlineStr">
        <is>
          <t>AU1</t>
        </is>
      </c>
      <c r="F854" s="2" t="inlineStr">
        <is>
          <t>¿Ejecuta o bloquea acciones/políticas de costo con control verificable?</t>
        </is>
      </c>
      <c r="G854" t="n">
        <v>2</v>
      </c>
      <c r="H854" t="inlineStr">
        <is>
          <t>Oficial</t>
        </is>
      </c>
      <c r="I854" s="2" t="inlineStr">
        <is>
          <t>La "Commitment Management" ejecuta automáticamente compras/gestión de Reserved Instances y Savings Plans en AWS, Committed Use Discounts en GCP, y Reservations/Savings Plans en Azure, cada una con su propio flujo de onboarding.</t>
        </is>
      </c>
      <c r="J854" t="inlineStr">
        <is>
          <t>https://help.nops.io/aws/commitment-management-setup.md</t>
        </is>
      </c>
      <c r="K854" t="inlineStr">
        <is>
          <t>2026-09-16</t>
        </is>
      </c>
      <c r="L854"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55">
      <c r="A855" t="inlineStr">
        <is>
          <t>E2</t>
        </is>
      </c>
      <c r="B855" t="inlineStr">
        <is>
          <t>Multicloud</t>
        </is>
      </c>
      <c r="C855" t="inlineStr">
        <is>
          <t>nOps</t>
        </is>
      </c>
      <c r="D855" t="inlineStr">
        <is>
          <t>Automatizacion</t>
        </is>
      </c>
      <c r="E855" t="inlineStr">
        <is>
          <t>AU2</t>
        </is>
      </c>
      <c r="F855" s="2" t="inlineStr">
        <is>
          <t>¿Ofrece aprobación, reversión, registro o límites antes de actuar?</t>
        </is>
      </c>
      <c r="G855" t="n">
        <v>2</v>
      </c>
      <c r="H855" t="inlineStr">
        <is>
          <t>Oficial</t>
        </is>
      </c>
      <c r="I855" s="2" t="inlineStr">
        <is>
          <t>Cada Commitment Management documenta salvaguardas: en GCP, un "Automation Agent" de compra autónoma más un acceso de soporte para "manual overrides"; en Azure, una suscripción dedicada aislada "for clear auditing" y verificación de políticas de facturación antes de comprar.</t>
        </is>
      </c>
      <c r="J855" t="inlineStr">
        <is>
          <t>https://help.nops.io/gcp/commitment-management-setup.md</t>
        </is>
      </c>
      <c r="K855" t="inlineStr">
        <is>
          <t>2026-09-16</t>
        </is>
      </c>
      <c r="L855"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56">
      <c r="A856" t="inlineStr">
        <is>
          <t>E2</t>
        </is>
      </c>
      <c r="B856" t="inlineStr">
        <is>
          <t>Multicloud</t>
        </is>
      </c>
      <c r="C856" t="inlineStr">
        <is>
          <t>nOps</t>
        </is>
      </c>
      <c r="D856" t="inlineStr">
        <is>
          <t>Multicloud</t>
        </is>
      </c>
      <c r="E856" t="inlineStr">
        <is>
          <t>M1</t>
        </is>
      </c>
      <c r="F856" s="2" t="inlineStr">
        <is>
          <t>¿Consolida al menos dos proveedores bajo el mismo esquema declarado?</t>
        </is>
      </c>
      <c r="G856" t="n">
        <v>2</v>
      </c>
      <c r="H856" t="inlineStr">
        <is>
          <t>Oficial</t>
        </is>
      </c>
      <c r="I856" s="2" t="inlineStr">
        <is>
          <t>"Inform" ingiere costo de AWS, Kubernetes, Azure y GCP (vía FOCUS Export) en una sola plataforma integrada, según la documentación de integraciones y el anuncio oficial de soporte GCP/Azure/Datadog/Databricks.</t>
        </is>
      </c>
      <c r="J856" t="inlineStr">
        <is>
          <t>https://help.nops.io/docs/products/business-contexts/integrations/</t>
        </is>
      </c>
      <c r="K856" t="inlineStr">
        <is>
          <t>2026-09-16</t>
        </is>
      </c>
      <c r="L856"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57">
      <c r="A857" t="inlineStr">
        <is>
          <t>E2</t>
        </is>
      </c>
      <c r="B857" t="inlineStr">
        <is>
          <t>Multicloud</t>
        </is>
      </c>
      <c r="C857" t="inlineStr">
        <is>
          <t>nOps</t>
        </is>
      </c>
      <c r="D857" t="inlineStr">
        <is>
          <t>Multicloud</t>
        </is>
      </c>
      <c r="E857" t="inlineStr">
        <is>
          <t>M2</t>
        </is>
      </c>
      <c r="F857" s="2" t="inlineStr">
        <is>
          <t>¿Hace visibles proveedor, cobertura y diferencias semánticas?</t>
        </is>
      </c>
      <c r="G857" t="n">
        <v>2</v>
      </c>
      <c r="H857" t="inlineStr">
        <is>
          <t>Oficial</t>
        </is>
      </c>
      <c r="I857" s="2" t="inlineStr">
        <is>
          <t>Azure y GCP se ingieren mediante el estándar FOCUS Export (documentado paso a paso), un esquema de normalización declarado y común a ambos proveedores junto con AWS.</t>
        </is>
      </c>
      <c r="J857" t="inlineStr">
        <is>
          <t>https://help.nops.io/docs/agents-integrations/BC+%20Integrations/Azure%20FOCUS%20Exports/ms-azure-export-configuration/</t>
        </is>
      </c>
      <c r="K857" t="inlineStr">
        <is>
          <t>2026-09-16</t>
        </is>
      </c>
      <c r="L857"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58">
      <c r="A858" t="inlineStr">
        <is>
          <t>E2</t>
        </is>
      </c>
      <c r="B858" t="inlineStr">
        <is>
          <t>Multicloud</t>
        </is>
      </c>
      <c r="C858" t="inlineStr">
        <is>
          <t>nOps</t>
        </is>
      </c>
      <c r="D858" t="inlineStr">
        <is>
          <t>Integracion</t>
        </is>
      </c>
      <c r="E858" t="inlineStr">
        <is>
          <t>I1</t>
        </is>
      </c>
      <c r="F858" s="2" t="inlineStr">
        <is>
          <t>¿Integra datos requeridos (facturación, uso, clúster o IaC) del escenario?</t>
        </is>
      </c>
      <c r="G858" t="n">
        <v>2</v>
      </c>
      <c r="H858" t="inlineStr">
        <is>
          <t>Oficial</t>
        </is>
      </c>
      <c r="I858" s="2" t="inlineStr">
        <is>
          <t>Integraciones documentadas para AWS, Azure (FOCUS Export), GCP (Inform Cost), contenedores (EKS), Databricks, Datadog, MongoDB Atlas, Snowflake, OpenAI y Twilio.</t>
        </is>
      </c>
      <c r="J858" t="inlineStr">
        <is>
          <t>https://help.nops.io/docs/agents-integrations/integrations/</t>
        </is>
      </c>
      <c r="K858" t="inlineStr">
        <is>
          <t>2026-09-16</t>
        </is>
      </c>
      <c r="L858" s="2" t="inlineStr"/>
    </row>
    <row r="859">
      <c r="A859" t="inlineStr">
        <is>
          <t>E2</t>
        </is>
      </c>
      <c r="B859" t="inlineStr">
        <is>
          <t>Multicloud</t>
        </is>
      </c>
      <c r="C859" t="inlineStr">
        <is>
          <t>nOps</t>
        </is>
      </c>
      <c r="D859" t="inlineStr">
        <is>
          <t>Integracion</t>
        </is>
      </c>
      <c r="E859" t="inlineStr">
        <is>
          <t>I2</t>
        </is>
      </c>
      <c r="F859" s="2" t="inlineStr">
        <is>
          <t>¿Se integra con el flujo de trabajo relevante (alerta, ticket, CI/CD o reporte)?</t>
        </is>
      </c>
      <c r="G859" t="inlineStr">
        <is>
          <t>NE</t>
        </is>
      </c>
      <c r="H859" t="inlineStr">
        <is>
          <t>Pendiente</t>
        </is>
      </c>
      <c r="I859" s="2" t="inlineStr">
        <is>
          <t>No se encontró, en las páginas revisadas, documentación de integración directa con ticketing/CI-CD para el flujo de costos (el flujo de "Requests" encontrado es específico de límites de gasto de IA).</t>
        </is>
      </c>
      <c r="K859" t="inlineStr">
        <is>
          <t>2026-09-16</t>
        </is>
      </c>
      <c r="L859" s="2" t="inlineStr"/>
    </row>
    <row r="860">
      <c r="A860" t="inlineStr">
        <is>
          <t>E2</t>
        </is>
      </c>
      <c r="B860" t="inlineStr">
        <is>
          <t>Multicloud</t>
        </is>
      </c>
      <c r="C860" t="inlineStr">
        <is>
          <t>nOps</t>
        </is>
      </c>
      <c r="D860" t="inlineStr">
        <is>
          <t>Adopcion</t>
        </is>
      </c>
      <c r="E860" t="inlineStr">
        <is>
          <t>AD1</t>
        </is>
      </c>
      <c r="F860" s="2" t="inlineStr">
        <is>
          <t>¿Soporta acceso/entrega para los roles del escenario?</t>
        </is>
      </c>
      <c r="G860" t="n">
        <v>2</v>
      </c>
      <c r="H860" t="inlineStr">
        <is>
          <t>Oficial</t>
        </is>
      </c>
      <c r="I860" s="2" t="inlineStr">
        <is>
          <t>"Roles and data scopes" documenta un modelo de dos capas (permisos + alcance de datos) con reglas de inclusión/exclusión por cuenta AWS, región, valor de asignación o tag; por defecto todos los roles son "Unrestricted".</t>
        </is>
      </c>
      <c r="J860" t="inlineStr">
        <is>
          <t>https://help.nops.io/platform/roles-and-data-scopes.md</t>
        </is>
      </c>
      <c r="K860" t="inlineStr">
        <is>
          <t>2026-09-16</t>
        </is>
      </c>
      <c r="L860" s="2" t="inlineStr"/>
    </row>
    <row r="861">
      <c r="A861" t="inlineStr">
        <is>
          <t>E2</t>
        </is>
      </c>
      <c r="B861" t="inlineStr">
        <is>
          <t>Multicloud</t>
        </is>
      </c>
      <c r="C861" t="inlineStr">
        <is>
          <t>nOps</t>
        </is>
      </c>
      <c r="D861" t="inlineStr">
        <is>
          <t>Adopcion</t>
        </is>
      </c>
      <c r="E861" t="inlineStr">
        <is>
          <t>AD2</t>
        </is>
      </c>
      <c r="F861" s="2" t="inlineStr">
        <is>
          <t>¿Ofrece guías, ownership o mecanismos de seguimiento para uso sostenido?</t>
        </is>
      </c>
      <c r="G861" t="n">
        <v>2</v>
      </c>
      <c r="H861" t="inlineStr">
        <is>
          <t>Oficial</t>
        </is>
      </c>
      <c r="I861" s="2" t="inlineStr">
        <is>
          <t>El módulo de showback/chargeback y "Business Unit Economics" ofrece un proceso de gobernanza definido para sostener el uso (asignación, métricas de negocio, límites de gasto de IA con flujo de aprobación).</t>
        </is>
      </c>
      <c r="J861" t="inlineStr">
        <is>
          <t>https://help.nops.io/operate/business-unit-economics.md</t>
        </is>
      </c>
      <c r="K861" t="inlineStr">
        <is>
          <t>2026-09-16</t>
        </is>
      </c>
      <c r="L861" s="2" t="inlineStr"/>
    </row>
    <row r="862">
      <c r="A862" t="inlineStr">
        <is>
          <t>E2</t>
        </is>
      </c>
      <c r="B862" t="inlineStr">
        <is>
          <t>Multicloud</t>
        </is>
      </c>
      <c r="C862" t="inlineStr">
        <is>
          <t>nOps</t>
        </is>
      </c>
      <c r="D862" t="inlineStr">
        <is>
          <t>Precio</t>
        </is>
      </c>
      <c r="E862" t="inlineStr">
        <is>
          <t>P1</t>
        </is>
      </c>
      <c r="F862" s="2" t="inlineStr">
        <is>
          <t>¿Expone precio, moneda, región, unidad, período y supuestos relevantes?</t>
        </is>
      </c>
      <c r="G862" t="n">
        <v>1</v>
      </c>
      <c r="H862" t="inlineStr">
        <is>
          <t>Comercial</t>
        </is>
      </c>
      <c r="I862" s="2" t="inlineStr">
        <is>
          <t>El anuncio de "Azure to AWS Cost Assessment" documenta niveles de confianza explícitos (90% coincidencia exacta, 8% equivalente validado, 2% marcado para validación manual) y supuestos de región/SO/tipo de instancia, pero solo se ubicó como anuncio de producto (blog), no como documentación técnica en help.nops.io.</t>
        </is>
      </c>
      <c r="J862" t="inlineStr">
        <is>
          <t>https://www.nops.io/blog/new-azure-to-aws-cost-assessment/</t>
        </is>
      </c>
      <c r="K862" t="inlineStr">
        <is>
          <t>2026-09-16</t>
        </is>
      </c>
      <c r="L862" s="2" t="inlineStr"/>
    </row>
    <row r="863">
      <c r="A863" t="inlineStr">
        <is>
          <t>E2</t>
        </is>
      </c>
      <c r="B863" t="inlineStr">
        <is>
          <t>Multicloud</t>
        </is>
      </c>
      <c r="C863" t="inlineStr">
        <is>
          <t>nOps</t>
        </is>
      </c>
      <c r="D863" t="inlineStr">
        <is>
          <t>Precio</t>
        </is>
      </c>
      <c r="E863" t="inlineStr">
        <is>
          <t>P2</t>
        </is>
      </c>
      <c r="F863" s="2" t="inlineStr">
        <is>
          <t>¿Permite estimar o comparar componentes sin ocultar límites de equivalencia?</t>
        </is>
      </c>
      <c r="G863" t="n">
        <v>1</v>
      </c>
      <c r="H863" t="inlineStr">
        <is>
          <t>Comercial</t>
        </is>
      </c>
      <c r="I863" s="2" t="inlineStr">
        <is>
          <t>El mismo "Azure to AWS Cost Assessment" mapea especificaciones técnicas de Azure a instancias equivalentes de AWS con ejemplos concretos (p. ej. D16 v3 → m5.4xlarge) y un caso real de 18,8% de ahorro; única evidencia disponible es de blog (Comercial).</t>
        </is>
      </c>
      <c r="J863" t="inlineStr">
        <is>
          <t>https://www.nops.io/blog/new-azure-to-aws-cost-assessment/</t>
        </is>
      </c>
      <c r="K863" t="inlineStr">
        <is>
          <t>2026-09-16</t>
        </is>
      </c>
      <c r="L863" s="2" t="inlineStr"/>
    </row>
    <row r="864">
      <c r="A864" t="inlineStr">
        <is>
          <t>E2</t>
        </is>
      </c>
      <c r="B864" t="inlineStr">
        <is>
          <t>Multicloud</t>
        </is>
      </c>
      <c r="C864" t="inlineStr">
        <is>
          <t>nOps</t>
        </is>
      </c>
      <c r="D864" t="inlineStr">
        <is>
          <t>Dependencia</t>
        </is>
      </c>
      <c r="E864" t="inlineStr">
        <is>
          <t>D1</t>
        </is>
      </c>
      <c r="F864" s="2" t="inlineStr">
        <is>
          <t>¿Exporta datos/resultados en formato utilizable y documentado?</t>
        </is>
      </c>
      <c r="G864" t="n">
        <v>2</v>
      </c>
      <c r="H864" t="inlineStr">
        <is>
          <t>Oficial</t>
        </is>
      </c>
      <c r="I864" s="2" t="inlineStr">
        <is>
          <t>La documentación de API reference (cost-allocation, explorer-dashboards, business-unit-economics) confirma una vía de exportación/acceso a datos definida y reproducible vía API REST.</t>
        </is>
      </c>
      <c r="J864" t="inlineStr">
        <is>
          <t>https://help.nops.io/llms.txt</t>
        </is>
      </c>
      <c r="K864" t="inlineStr">
        <is>
          <t>2026-09-16</t>
        </is>
      </c>
      <c r="L864" s="2" t="inlineStr"/>
    </row>
    <row r="865">
      <c r="A865" t="inlineStr">
        <is>
          <t>E2</t>
        </is>
      </c>
      <c r="B865" t="inlineStr">
        <is>
          <t>Multicloud</t>
        </is>
      </c>
      <c r="C865" t="inlineStr">
        <is>
          <t>nOps</t>
        </is>
      </c>
      <c r="D865" t="inlineStr">
        <is>
          <t>Dependencia</t>
        </is>
      </c>
      <c r="E865" t="inlineStr">
        <is>
          <t>D2</t>
        </is>
      </c>
      <c r="F865" s="2" t="inlineStr">
        <is>
          <t>¿Documenta dependencias propietarias y un camino de salida/configuración reversible?</t>
        </is>
      </c>
      <c r="G865" t="inlineStr">
        <is>
          <t>NE</t>
        </is>
      </c>
      <c r="H865" t="inlineStr">
        <is>
          <t>Pendiente</t>
        </is>
      </c>
      <c r="I865" s="2" t="inlineStr">
        <is>
          <t>No se encontró documentación sobre un camino de salida o reversibilidad de la configuración.</t>
        </is>
      </c>
      <c r="K865" t="inlineStr">
        <is>
          <t>2026-09-16</t>
        </is>
      </c>
      <c r="L865" s="2" t="inlineStr"/>
    </row>
    <row r="866">
      <c r="A866" t="inlineStr">
        <is>
          <t>E5</t>
        </is>
      </c>
      <c r="B866" t="inlineStr">
        <is>
          <t>Multicloud</t>
        </is>
      </c>
      <c r="C866" t="inlineStr">
        <is>
          <t>nOps</t>
        </is>
      </c>
      <c r="D866" t="inlineStr">
        <is>
          <t>Visibilidad</t>
        </is>
      </c>
      <c r="E866" t="inlineStr">
        <is>
          <t>V1</t>
        </is>
      </c>
      <c r="F866" s="2" t="inlineStr">
        <is>
          <t>¿Desagrega costo y uso por cuenta/proyecto, servicio y período?</t>
        </is>
      </c>
      <c r="G866" t="inlineStr">
        <is>
          <t>NE</t>
        </is>
      </c>
      <c r="H866" t="inlineStr">
        <is>
          <t>Pendiente</t>
        </is>
      </c>
      <c r="I866" s="2" t="inlineStr">
        <is>
          <t>"Inform" ofrece Explorer, reportes y dashboards con más de 40 filtros diseñados para ingeniería y finanzas, y vistas personalizadas por dimensión de negocio.</t>
        </is>
      </c>
      <c r="J866" t="inlineStr">
        <is>
          <t>https://help.nops.io/</t>
        </is>
      </c>
      <c r="K866" t="inlineStr">
        <is>
          <t>2026-09-16</t>
        </is>
      </c>
      <c r="L866" s="2" t="inlineStr">
        <is>
          <t>Celda heredada FP-180 (2026-09-16): el valor 2 proviene de la investigacion del escenario E2 y no cuenta con evidencia propia de E5. Segun FP-177 el indicador V1 depende del escenario, por lo que pasa a NE (no evidenciado, reduce cobertura) hasta investigarlo. La evidencia y la fuente originales se conservan como referencia del escenario de origen.</t>
        </is>
      </c>
    </row>
    <row r="867">
      <c r="A867" t="inlineStr">
        <is>
          <t>E5</t>
        </is>
      </c>
      <c r="B867" t="inlineStr">
        <is>
          <t>Multicloud</t>
        </is>
      </c>
      <c r="C867" t="inlineStr">
        <is>
          <t>nOps</t>
        </is>
      </c>
      <c r="D867" t="inlineStr">
        <is>
          <t>Visibilidad</t>
        </is>
      </c>
      <c r="E867" t="inlineStr">
        <is>
          <t>V2</t>
        </is>
      </c>
      <c r="F867" s="2" t="inlineStr">
        <is>
          <t>¿Permite rastrear un total hasta registros o fuente de facturación?</t>
        </is>
      </c>
      <c r="G867" t="n">
        <v>2</v>
      </c>
      <c r="H867" t="inlineStr">
        <is>
          <t>Oficial</t>
        </is>
      </c>
      <c r="I867" s="2" t="inlineStr">
        <is>
          <t>La API documenta "Allocation history time series" y funciones de previsualización ("Showback spend preview") para rastrear cómo evoluciona una asignación en el tiempo.</t>
        </is>
      </c>
      <c r="J867" t="inlineStr">
        <is>
          <t>https://help.nops.io/llms.txt</t>
        </is>
      </c>
      <c r="K867" t="inlineStr">
        <is>
          <t>2026-09-16</t>
        </is>
      </c>
      <c r="L867" s="2" t="inlineStr"/>
    </row>
    <row r="868">
      <c r="A868" t="inlineStr">
        <is>
          <t>E5</t>
        </is>
      </c>
      <c r="B868" t="inlineStr">
        <is>
          <t>Multicloud</t>
        </is>
      </c>
      <c r="C868" t="inlineStr">
        <is>
          <t>nOps</t>
        </is>
      </c>
      <c r="D868" t="inlineStr">
        <is>
          <t>Asignacion</t>
        </is>
      </c>
      <c r="E868" t="inlineStr">
        <is>
          <t>A1</t>
        </is>
      </c>
      <c r="F868" s="2" t="inlineStr">
        <is>
          <t>¿Calcula gasto asignado/no asignado por responsable, centro o entidad?</t>
        </is>
      </c>
      <c r="G868" t="inlineStr">
        <is>
          <t>NE</t>
        </is>
      </c>
      <c r="H868" t="inlineStr">
        <is>
          <t>Pendiente</t>
        </is>
      </c>
      <c r="I868" s="2" t="inlineStr">
        <is>
          <t>"Showback"/"cost allocation" con reglas de asignación (crear, actualizar, reordenar, previsualizar) y un modelo de "Business Unit Economics" que vincula el gasto de Explorer a métricas de negocio (clientes, asientos).</t>
        </is>
      </c>
      <c r="J868" t="inlineStr">
        <is>
          <t>https://help.nops.io/operate/business-unit-economics.md</t>
        </is>
      </c>
      <c r="K868" t="inlineStr">
        <is>
          <t>2026-09-16</t>
        </is>
      </c>
      <c r="L868" s="2" t="inlineStr">
        <is>
          <t>Celda heredada FP-180 (2026-09-16): el valor 2 proviene de la investigacion del escenario E2 y no cuenta con evidencia propia de E5. Segun FP-177 el indicador A1 depende del escenario, por lo que pasa a NE (no evidenciado, reduce cobertura) hasta investigarlo. La evidencia y la fuente originales se conservan como referencia del escenario de origen.</t>
        </is>
      </c>
    </row>
    <row r="869">
      <c r="A869" t="inlineStr">
        <is>
          <t>E5</t>
        </is>
      </c>
      <c r="B869" t="inlineStr">
        <is>
          <t>Multicloud</t>
        </is>
      </c>
      <c r="C869" t="inlineStr">
        <is>
          <t>nOps</t>
        </is>
      </c>
      <c r="D869" t="inlineStr">
        <is>
          <t>Asignacion</t>
        </is>
      </c>
      <c r="E869" t="inlineStr">
        <is>
          <t>A2</t>
        </is>
      </c>
      <c r="F869" s="2" t="inlineStr">
        <is>
          <t>¿Explicita y aplica reglas para costo compartido/multi-tenant?</t>
        </is>
      </c>
      <c r="G869" t="inlineStr">
        <is>
          <t>NE</t>
        </is>
      </c>
      <c r="H869" t="inlineStr">
        <is>
          <t>Pendiente</t>
        </is>
      </c>
      <c r="I869" s="2" t="inlineStr">
        <is>
          <t>Las "allocation rules" son reordenables y previsualizables antes de guardarse ("Preview a proposed (unsaved) rule set"), y pueden auto-generarse a partir de tags existentes ("Sync dimension-discovered rules").</t>
        </is>
      </c>
      <c r="J869" t="inlineStr">
        <is>
          <t>https://help.nops.io/api-reference/cost-allocation/reorder-allocation-rule.md</t>
        </is>
      </c>
      <c r="K869" t="inlineStr">
        <is>
          <t>2026-09-16</t>
        </is>
      </c>
      <c r="L869" s="2" t="inlineStr">
        <is>
          <t>Celda heredada FP-180 (2026-09-16): el valor 2 proviene de la investigacion del escenario E2 y no cuenta con evidencia propia de E5. Segun FP-177 el indicador A2 depende del escenario, por lo que pasa a NE (no evidenciado, reduce cobertura) hasta investigarlo. La evidencia y la fuente originales se conservan como referencia del escenario de origen.</t>
        </is>
      </c>
    </row>
    <row r="870">
      <c r="A870" t="inlineStr">
        <is>
          <t>E5</t>
        </is>
      </c>
      <c r="B870" t="inlineStr">
        <is>
          <t>Multicloud</t>
        </is>
      </c>
      <c r="C870" t="inlineStr">
        <is>
          <t>nOps</t>
        </is>
      </c>
      <c r="D870" t="inlineStr">
        <is>
          <t>Optimizacion</t>
        </is>
      </c>
      <c r="E870" t="inlineStr">
        <is>
          <t>O1</t>
        </is>
      </c>
      <c r="F870" s="2" t="inlineStr">
        <is>
          <t>¿Detecta desperdicio, rightsizing o compromiso relevante al escenario?</t>
        </is>
      </c>
      <c r="G870" t="inlineStr">
        <is>
          <t>NE</t>
        </is>
      </c>
      <c r="H870" t="inlineStr">
        <is>
          <t>Pendiente</t>
        </is>
      </c>
      <c r="I870" s="2" t="inlineStr">
        <is>
          <t>"Compute Copilot" reubica de forma continua el cómputo entre Reservas, Savings Plans y Spot ("real-time instance reconsideration"), exclusivamente para AWS (incluye EKS).</t>
        </is>
      </c>
      <c r="J870" t="inlineStr">
        <is>
          <t>https://help.nops.io/docs/products/compute-copilot/introduction/</t>
        </is>
      </c>
      <c r="K870" t="inlineStr">
        <is>
          <t>2026-09-16</t>
        </is>
      </c>
      <c r="L870" s="2" t="inlineStr">
        <is>
          <t>Celda heredada FP-180 (2026-09-16): el valor 2 proviene de la investigacion del escenario E2 y no cuenta con evidencia propia de E5. Segun FP-177 el indicador O1 depende del escenario, por lo que pasa a NE (no evidenciado, reduce cobertura) hasta investigarlo. La evidencia y la fuente originales se conservan como referencia del escenario de origen.</t>
        </is>
      </c>
    </row>
    <row r="871">
      <c r="A871" t="inlineStr">
        <is>
          <t>E5</t>
        </is>
      </c>
      <c r="B871" t="inlineStr">
        <is>
          <t>Multicloud</t>
        </is>
      </c>
      <c r="C871" t="inlineStr">
        <is>
          <t>nOps</t>
        </is>
      </c>
      <c r="D871" t="inlineStr">
        <is>
          <t>Optimizacion</t>
        </is>
      </c>
      <c r="E871" t="inlineStr">
        <is>
          <t>O2</t>
        </is>
      </c>
      <c r="F871" s="2" t="inlineStr">
        <is>
          <t>¿Explica supuesto/impacto y permite seguir una recomendación?</t>
        </is>
      </c>
      <c r="G871" t="n">
        <v>1</v>
      </c>
      <c r="H871" t="inlineStr">
        <is>
          <t>Oficial</t>
        </is>
      </c>
      <c r="I871" s="2" t="inlineStr">
        <is>
          <t>La documentación revisada no detalla un ciclo de seguimiento de ahorro realizado equivalente al de CloudZero/Vantage para Compute Copilot; el módulo de "Requests" de límites de gasto de IA sí lleva historial, pero es de otro dominio (gasto de IA, no de cómputo).</t>
        </is>
      </c>
      <c r="J871" t="inlineStr">
        <is>
          <t>https://help.nops.io/docs/products/compute-copilot/introduction/</t>
        </is>
      </c>
      <c r="K871" t="inlineStr">
        <is>
          <t>2026-09-16</t>
        </is>
      </c>
      <c r="L871" s="2" t="inlineStr"/>
    </row>
    <row r="872">
      <c r="A872" t="inlineStr">
        <is>
          <t>E5</t>
        </is>
      </c>
      <c r="B872" t="inlineStr">
        <is>
          <t>Multicloud</t>
        </is>
      </c>
      <c r="C872" t="inlineStr">
        <is>
          <t>nOps</t>
        </is>
      </c>
      <c r="D872" t="inlineStr">
        <is>
          <t>Automatizacion</t>
        </is>
      </c>
      <c r="E872" t="inlineStr">
        <is>
          <t>AU1</t>
        </is>
      </c>
      <c r="F872" s="2" t="inlineStr">
        <is>
          <t>¿Ejecuta o bloquea acciones/políticas de costo con control verificable?</t>
        </is>
      </c>
      <c r="G872" t="inlineStr">
        <is>
          <t>NE</t>
        </is>
      </c>
      <c r="H872" t="inlineStr">
        <is>
          <t>Pendiente</t>
        </is>
      </c>
      <c r="I872" s="2" t="inlineStr">
        <is>
          <t>La "Commitment Management" ejecuta automáticamente compras/gestión de Reserved Instances y Savings Plans en AWS, Committed Use Discounts en GCP, y Reservations/Savings Plans en Azure, cada una con su propio flujo de onboarding.</t>
        </is>
      </c>
      <c r="J872" t="inlineStr">
        <is>
          <t>https://help.nops.io/aws/commitment-management-setup.md</t>
        </is>
      </c>
      <c r="K872" t="inlineStr">
        <is>
          <t>2026-09-16</t>
        </is>
      </c>
      <c r="L872"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 | Celda heredada FP-180 (2026-09-16): el valor 2 proviene de la investigacion del escenario E2 y no cuenta con evidencia propia de E5. Segun FP-177 el indicador AU1 depende del escenario, por lo que pasa a NE (no evidenciado, reduce cobertura) hasta investigarlo. La evidencia y la fuente originales se conservan como referencia del escenario de origen.</t>
        </is>
      </c>
    </row>
    <row r="873">
      <c r="A873" t="inlineStr">
        <is>
          <t>E5</t>
        </is>
      </c>
      <c r="B873" t="inlineStr">
        <is>
          <t>Multicloud</t>
        </is>
      </c>
      <c r="C873" t="inlineStr">
        <is>
          <t>nOps</t>
        </is>
      </c>
      <c r="D873" t="inlineStr">
        <is>
          <t>Automatizacion</t>
        </is>
      </c>
      <c r="E873" t="inlineStr">
        <is>
          <t>AU2</t>
        </is>
      </c>
      <c r="F873" s="2" t="inlineStr">
        <is>
          <t>¿Ofrece aprobación, reversión, registro o límites antes de actuar?</t>
        </is>
      </c>
      <c r="G873" t="n">
        <v>2</v>
      </c>
      <c r="H873" t="inlineStr">
        <is>
          <t>Oficial</t>
        </is>
      </c>
      <c r="I873" s="2" t="inlineStr">
        <is>
          <t>Cada Commitment Management documenta salvaguardas: en GCP, un "Automation Agent" de compra autónoma más un acceso de soporte para "manual overrides"; en Azure, una suscripción dedicada aislada "for clear auditing" y verificación de políticas de facturación antes de comprar.</t>
        </is>
      </c>
      <c r="J873" t="inlineStr">
        <is>
          <t>https://help.nops.io/gcp/commitment-management-setup.md</t>
        </is>
      </c>
      <c r="K873" t="inlineStr">
        <is>
          <t>2026-09-16</t>
        </is>
      </c>
      <c r="L873"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74">
      <c r="A874" t="inlineStr">
        <is>
          <t>E5</t>
        </is>
      </c>
      <c r="B874" t="inlineStr">
        <is>
          <t>Multicloud</t>
        </is>
      </c>
      <c r="C874" t="inlineStr">
        <is>
          <t>nOps</t>
        </is>
      </c>
      <c r="D874" t="inlineStr">
        <is>
          <t>Multicloud</t>
        </is>
      </c>
      <c r="E874" t="inlineStr">
        <is>
          <t>M1</t>
        </is>
      </c>
      <c r="F874" s="2" t="inlineStr">
        <is>
          <t>¿Consolida al menos dos proveedores bajo el mismo esquema declarado?</t>
        </is>
      </c>
      <c r="G874" t="n">
        <v>2</v>
      </c>
      <c r="H874" t="inlineStr">
        <is>
          <t>Oficial</t>
        </is>
      </c>
      <c r="I874" s="2" t="inlineStr">
        <is>
          <t>"Inform" ingiere costo de AWS, Kubernetes, Azure y GCP (vía FOCUS Export) en una sola plataforma integrada, según la documentación de integraciones y el anuncio oficial de soporte GCP/Azure/Datadog/Databricks.</t>
        </is>
      </c>
      <c r="J874" t="inlineStr">
        <is>
          <t>https://help.nops.io/docs/products/business-contexts/integrations/</t>
        </is>
      </c>
      <c r="K874" t="inlineStr">
        <is>
          <t>2026-09-16</t>
        </is>
      </c>
      <c r="L874"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75">
      <c r="A875" t="inlineStr">
        <is>
          <t>E5</t>
        </is>
      </c>
      <c r="B875" t="inlineStr">
        <is>
          <t>Multicloud</t>
        </is>
      </c>
      <c r="C875" t="inlineStr">
        <is>
          <t>nOps</t>
        </is>
      </c>
      <c r="D875" t="inlineStr">
        <is>
          <t>Multicloud</t>
        </is>
      </c>
      <c r="E875" t="inlineStr">
        <is>
          <t>M2</t>
        </is>
      </c>
      <c r="F875" s="2" t="inlineStr">
        <is>
          <t>¿Hace visibles proveedor, cobertura y diferencias semánticas?</t>
        </is>
      </c>
      <c r="G875" t="n">
        <v>2</v>
      </c>
      <c r="H875" t="inlineStr">
        <is>
          <t>Oficial</t>
        </is>
      </c>
      <c r="I875" s="2" t="inlineStr">
        <is>
          <t>Azure y GCP se ingieren mediante el estándar FOCUS Export (documentado paso a paso), un esquema de normalización declarado y común a ambos proveedores junto con AWS.</t>
        </is>
      </c>
      <c r="J875" t="inlineStr">
        <is>
          <t>https://help.nops.io/docs/agents-integrations/BC+%20Integrations/Azure%20FOCUS%20Exports/ms-azure-export-configuration/</t>
        </is>
      </c>
      <c r="K875" t="inlineStr">
        <is>
          <t>2026-09-16</t>
        </is>
      </c>
      <c r="L875"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76">
      <c r="A876" t="inlineStr">
        <is>
          <t>E5</t>
        </is>
      </c>
      <c r="B876" t="inlineStr">
        <is>
          <t>Multicloud</t>
        </is>
      </c>
      <c r="C876" t="inlineStr">
        <is>
          <t>nOps</t>
        </is>
      </c>
      <c r="D876" t="inlineStr">
        <is>
          <t>Integracion</t>
        </is>
      </c>
      <c r="E876" t="inlineStr">
        <is>
          <t>I1</t>
        </is>
      </c>
      <c r="F876" s="2" t="inlineStr">
        <is>
          <t>¿Integra datos requeridos (facturación, uso, clúster o IaC) del escenario?</t>
        </is>
      </c>
      <c r="G876" t="inlineStr">
        <is>
          <t>NE</t>
        </is>
      </c>
      <c r="H876" t="inlineStr">
        <is>
          <t>Pendiente</t>
        </is>
      </c>
      <c r="I876" s="2" t="inlineStr">
        <is>
          <t>Integraciones documentadas para AWS, Azure (FOCUS Export), GCP (Inform Cost), contenedores (EKS), Databricks, Datadog, MongoDB Atlas, Snowflake, OpenAI y Twilio.</t>
        </is>
      </c>
      <c r="J876" t="inlineStr">
        <is>
          <t>https://help.nops.io/docs/agents-integrations/integrations/</t>
        </is>
      </c>
      <c r="K876" t="inlineStr">
        <is>
          <t>2026-09-16</t>
        </is>
      </c>
      <c r="L876" s="2" t="inlineStr">
        <is>
          <t>Celda heredada FP-180 (2026-09-16): el valor 2 proviene de la investigacion del escenario E2 y no cuenta con evidencia propia de E5. Segun FP-177 el indicador I1 depende del escenario, por lo que pasa a NE (no evidenciado, reduce cobertura) hasta investigarlo. La evidencia y la fuente originales se conservan como referencia del escenario de origen.</t>
        </is>
      </c>
    </row>
    <row r="877">
      <c r="A877" t="inlineStr">
        <is>
          <t>E5</t>
        </is>
      </c>
      <c r="B877" t="inlineStr">
        <is>
          <t>Multicloud</t>
        </is>
      </c>
      <c r="C877" t="inlineStr">
        <is>
          <t>nOps</t>
        </is>
      </c>
      <c r="D877" t="inlineStr">
        <is>
          <t>Integracion</t>
        </is>
      </c>
      <c r="E877" t="inlineStr">
        <is>
          <t>I2</t>
        </is>
      </c>
      <c r="F877" s="2" t="inlineStr">
        <is>
          <t>¿Se integra con el flujo de trabajo relevante (alerta, ticket, CI/CD o reporte)?</t>
        </is>
      </c>
      <c r="G877" t="inlineStr">
        <is>
          <t>NE</t>
        </is>
      </c>
      <c r="H877" t="inlineStr">
        <is>
          <t>Pendiente</t>
        </is>
      </c>
      <c r="I877" s="2" t="inlineStr">
        <is>
          <t>No se encontró, en las páginas revisadas, documentación de integración directa con ticketing/CI-CD para el flujo de costos (el flujo de "Requests" encontrado es específico de límites de gasto de IA).</t>
        </is>
      </c>
      <c r="K877" t="inlineStr">
        <is>
          <t>2026-09-16</t>
        </is>
      </c>
      <c r="L877" s="2" t="inlineStr"/>
    </row>
    <row r="878">
      <c r="A878" t="inlineStr">
        <is>
          <t>E5</t>
        </is>
      </c>
      <c r="B878" t="inlineStr">
        <is>
          <t>Multicloud</t>
        </is>
      </c>
      <c r="C878" t="inlineStr">
        <is>
          <t>nOps</t>
        </is>
      </c>
      <c r="D878" t="inlineStr">
        <is>
          <t>Adopcion</t>
        </is>
      </c>
      <c r="E878" t="inlineStr">
        <is>
          <t>AD1</t>
        </is>
      </c>
      <c r="F878" s="2" t="inlineStr">
        <is>
          <t>¿Soporta acceso/entrega para los roles del escenario?</t>
        </is>
      </c>
      <c r="G878" t="inlineStr">
        <is>
          <t>NE</t>
        </is>
      </c>
      <c r="H878" t="inlineStr">
        <is>
          <t>Pendiente</t>
        </is>
      </c>
      <c r="I878" s="2" t="inlineStr">
        <is>
          <t>"Roles and data scopes" documenta un modelo de dos capas (permisos + alcance de datos) con reglas de inclusión/exclusión por cuenta AWS, región, valor de asignación o tag; por defecto todos los roles son "Unrestricted".</t>
        </is>
      </c>
      <c r="J878" t="inlineStr">
        <is>
          <t>https://help.nops.io/platform/roles-and-data-scopes.md</t>
        </is>
      </c>
      <c r="K878" t="inlineStr">
        <is>
          <t>2026-09-16</t>
        </is>
      </c>
      <c r="L878" s="2" t="inlineStr">
        <is>
          <t>Celda heredada FP-180 (2026-09-16): el valor 2 proviene de la investigacion del escenario E2 y no cuenta con evidencia propia de E5. Segun FP-177 el indicador AD1 depende del escenario, por lo que pasa a NE (no evidenciado, reduce cobertura) hasta investigarlo. La evidencia y la fuente originales se conservan como referencia del escenario de origen.</t>
        </is>
      </c>
    </row>
    <row r="879">
      <c r="A879" t="inlineStr">
        <is>
          <t>E5</t>
        </is>
      </c>
      <c r="B879" t="inlineStr">
        <is>
          <t>Multicloud</t>
        </is>
      </c>
      <c r="C879" t="inlineStr">
        <is>
          <t>nOps</t>
        </is>
      </c>
      <c r="D879" t="inlineStr">
        <is>
          <t>Adopcion</t>
        </is>
      </c>
      <c r="E879" t="inlineStr">
        <is>
          <t>AD2</t>
        </is>
      </c>
      <c r="F879" s="2" t="inlineStr">
        <is>
          <t>¿Ofrece guías, ownership o mecanismos de seguimiento para uso sostenido?</t>
        </is>
      </c>
      <c r="G879" t="n">
        <v>2</v>
      </c>
      <c r="H879" t="inlineStr">
        <is>
          <t>Oficial</t>
        </is>
      </c>
      <c r="I879" s="2" t="inlineStr">
        <is>
          <t>El módulo de showback/chargeback y "Business Unit Economics" ofrece un proceso de gobernanza definido para sostener el uso (asignación, métricas de negocio, límites de gasto de IA con flujo de aprobación).</t>
        </is>
      </c>
      <c r="J879" t="inlineStr">
        <is>
          <t>https://help.nops.io/operate/business-unit-economics.md</t>
        </is>
      </c>
      <c r="K879" t="inlineStr">
        <is>
          <t>2026-09-16</t>
        </is>
      </c>
      <c r="L879" s="2" t="inlineStr"/>
    </row>
    <row r="880">
      <c r="A880" t="inlineStr">
        <is>
          <t>E5</t>
        </is>
      </c>
      <c r="B880" t="inlineStr">
        <is>
          <t>Multicloud</t>
        </is>
      </c>
      <c r="C880" t="inlineStr">
        <is>
          <t>nOps</t>
        </is>
      </c>
      <c r="D880" t="inlineStr">
        <is>
          <t>Precio</t>
        </is>
      </c>
      <c r="E880" t="inlineStr">
        <is>
          <t>P1</t>
        </is>
      </c>
      <c r="F880" s="2" t="inlineStr">
        <is>
          <t>¿Expone precio, moneda, región, unidad, período y supuestos relevantes?</t>
        </is>
      </c>
      <c r="G880" t="n">
        <v>1</v>
      </c>
      <c r="H880" t="inlineStr">
        <is>
          <t>Comercial</t>
        </is>
      </c>
      <c r="I880" s="2" t="inlineStr">
        <is>
          <t>El anuncio de "Azure to AWS Cost Assessment" documenta niveles de confianza explícitos (90% coincidencia exacta, 8% equivalente validado, 2% marcado para validación manual) y supuestos de región/SO/tipo de instancia, pero solo se ubicó como anuncio de producto (blog), no como documentación técnica en help.nops.io.</t>
        </is>
      </c>
      <c r="J880" t="inlineStr">
        <is>
          <t>https://www.nops.io/blog/new-azure-to-aws-cost-assessment/</t>
        </is>
      </c>
      <c r="K880" t="inlineStr">
        <is>
          <t>2026-09-16</t>
        </is>
      </c>
      <c r="L880" s="2" t="inlineStr"/>
    </row>
    <row r="881">
      <c r="A881" t="inlineStr">
        <is>
          <t>E5</t>
        </is>
      </c>
      <c r="B881" t="inlineStr">
        <is>
          <t>Multicloud</t>
        </is>
      </c>
      <c r="C881" t="inlineStr">
        <is>
          <t>nOps</t>
        </is>
      </c>
      <c r="D881" t="inlineStr">
        <is>
          <t>Precio</t>
        </is>
      </c>
      <c r="E881" t="inlineStr">
        <is>
          <t>P2</t>
        </is>
      </c>
      <c r="F881" s="2" t="inlineStr">
        <is>
          <t>¿Permite estimar o comparar componentes sin ocultar límites de equivalencia?</t>
        </is>
      </c>
      <c r="G881" t="inlineStr">
        <is>
          <t>NE</t>
        </is>
      </c>
      <c r="H881" t="inlineStr">
        <is>
          <t>Pendiente</t>
        </is>
      </c>
      <c r="I881" s="2" t="inlineStr">
        <is>
          <t>El mismo "Azure to AWS Cost Assessment" mapea especificaciones técnicas de Azure a instancias equivalentes de AWS con ejemplos concretos (p. ej. D16 v3 → m5.4xlarge) y un caso real de 18,8% de ahorro; única evidencia disponible es de blog (Comercial).</t>
        </is>
      </c>
      <c r="J881" t="inlineStr">
        <is>
          <t>https://www.nops.io/blog/new-azure-to-aws-cost-assessment/</t>
        </is>
      </c>
      <c r="K881" t="inlineStr">
        <is>
          <t>2026-09-16</t>
        </is>
      </c>
      <c r="L881" s="2" t="inlineStr">
        <is>
          <t>Celda heredada FP-180 (2026-09-16): el valor 1 proviene de la investigacion del escenario E2 y no cuenta con evidencia propia de E5. Segun FP-177 el indicador P2 depende del escenario, por lo que pasa a NE (no evidenciado, reduce cobertura) hasta investigarlo. La evidencia y la fuente originales se conservan como referencia del escenario de origen.</t>
        </is>
      </c>
    </row>
    <row r="882">
      <c r="A882" t="inlineStr">
        <is>
          <t>E5</t>
        </is>
      </c>
      <c r="B882" t="inlineStr">
        <is>
          <t>Multicloud</t>
        </is>
      </c>
      <c r="C882" t="inlineStr">
        <is>
          <t>nOps</t>
        </is>
      </c>
      <c r="D882" t="inlineStr">
        <is>
          <t>Dependencia</t>
        </is>
      </c>
      <c r="E882" t="inlineStr">
        <is>
          <t>D1</t>
        </is>
      </c>
      <c r="F882" s="2" t="inlineStr">
        <is>
          <t>¿Exporta datos/resultados en formato utilizable y documentado?</t>
        </is>
      </c>
      <c r="G882" t="n">
        <v>2</v>
      </c>
      <c r="H882" t="inlineStr">
        <is>
          <t>Oficial</t>
        </is>
      </c>
      <c r="I882" s="2" t="inlineStr">
        <is>
          <t>La documentación de API reference (cost-allocation, explorer-dashboards, business-unit-economics) confirma una vía de exportación/acceso a datos definida y reproducible vía API REST.</t>
        </is>
      </c>
      <c r="J882" t="inlineStr">
        <is>
          <t>https://help.nops.io/llms.txt</t>
        </is>
      </c>
      <c r="K882" t="inlineStr">
        <is>
          <t>2026-09-16</t>
        </is>
      </c>
      <c r="L882" s="2" t="inlineStr"/>
    </row>
    <row r="883">
      <c r="A883" t="inlineStr">
        <is>
          <t>E5</t>
        </is>
      </c>
      <c r="B883" t="inlineStr">
        <is>
          <t>Multicloud</t>
        </is>
      </c>
      <c r="C883" t="inlineStr">
        <is>
          <t>nOps</t>
        </is>
      </c>
      <c r="D883" t="inlineStr">
        <is>
          <t>Dependencia</t>
        </is>
      </c>
      <c r="E883" t="inlineStr">
        <is>
          <t>D2</t>
        </is>
      </c>
      <c r="F883" s="2" t="inlineStr">
        <is>
          <t>¿Documenta dependencias propietarias y un camino de salida/configuración reversible?</t>
        </is>
      </c>
      <c r="G883" t="inlineStr">
        <is>
          <t>NE</t>
        </is>
      </c>
      <c r="H883" t="inlineStr">
        <is>
          <t>Pendiente</t>
        </is>
      </c>
      <c r="I883" s="2" t="inlineStr">
        <is>
          <t>No se encontró documentación sobre un camino de salida o reversibilidad de la configuración.</t>
        </is>
      </c>
      <c r="K883" t="inlineStr">
        <is>
          <t>2026-09-16</t>
        </is>
      </c>
      <c r="L883" s="2" t="inlineStr"/>
    </row>
    <row r="884">
      <c r="A884" t="inlineStr">
        <is>
          <t>E6</t>
        </is>
      </c>
      <c r="B884" t="inlineStr">
        <is>
          <t>Multicloud</t>
        </is>
      </c>
      <c r="C884" t="inlineStr">
        <is>
          <t>nOps</t>
        </is>
      </c>
      <c r="D884" t="inlineStr">
        <is>
          <t>Visibilidad</t>
        </is>
      </c>
      <c r="E884" t="inlineStr">
        <is>
          <t>V1</t>
        </is>
      </c>
      <c r="F884" s="2" t="inlineStr">
        <is>
          <t>¿Desagrega costo y uso por cuenta/proyecto, servicio y período?</t>
        </is>
      </c>
      <c r="G884" t="inlineStr">
        <is>
          <t>NE</t>
        </is>
      </c>
      <c r="H884" t="inlineStr">
        <is>
          <t>Pendiente</t>
        </is>
      </c>
      <c r="I884" s="2" t="inlineStr">
        <is>
          <t>"Inform" ofrece Explorer, reportes y dashboards con más de 40 filtros diseñados para ingeniería y finanzas, y vistas personalizadas por dimensión de negocio.</t>
        </is>
      </c>
      <c r="J884" t="inlineStr">
        <is>
          <t>https://help.nops.io/</t>
        </is>
      </c>
      <c r="K884" t="inlineStr">
        <is>
          <t>2026-09-16</t>
        </is>
      </c>
      <c r="L884" s="2" t="inlineStr">
        <is>
          <t>Celda heredada FP-180 (2026-09-16): el valor 2 proviene de la investigacion del escenario E2 y no cuenta con evidencia propia de E6. Segun FP-177 el indicador V1 depende del escenario, por lo que pasa a NE (no evidenciado, reduce cobertura) hasta investigarlo. La evidencia y la fuente originales se conservan como referencia del escenario de origen.</t>
        </is>
      </c>
    </row>
    <row r="885">
      <c r="A885" t="inlineStr">
        <is>
          <t>E6</t>
        </is>
      </c>
      <c r="B885" t="inlineStr">
        <is>
          <t>Multicloud</t>
        </is>
      </c>
      <c r="C885" t="inlineStr">
        <is>
          <t>nOps</t>
        </is>
      </c>
      <c r="D885" t="inlineStr">
        <is>
          <t>Visibilidad</t>
        </is>
      </c>
      <c r="E885" t="inlineStr">
        <is>
          <t>V2</t>
        </is>
      </c>
      <c r="F885" s="2" t="inlineStr">
        <is>
          <t>¿Permite rastrear un total hasta registros o fuente de facturación?</t>
        </is>
      </c>
      <c r="G885" t="n">
        <v>2</v>
      </c>
      <c r="H885" t="inlineStr">
        <is>
          <t>Oficial</t>
        </is>
      </c>
      <c r="I885" s="2" t="inlineStr">
        <is>
          <t>La API documenta "Allocation history time series" y funciones de previsualización ("Showback spend preview") para rastrear cómo evoluciona una asignación en el tiempo.</t>
        </is>
      </c>
      <c r="J885" t="inlineStr">
        <is>
          <t>https://help.nops.io/llms.txt</t>
        </is>
      </c>
      <c r="K885" t="inlineStr">
        <is>
          <t>2026-09-16</t>
        </is>
      </c>
      <c r="L885" s="2" t="inlineStr"/>
    </row>
    <row r="886">
      <c r="A886" t="inlineStr">
        <is>
          <t>E6</t>
        </is>
      </c>
      <c r="B886" t="inlineStr">
        <is>
          <t>Multicloud</t>
        </is>
      </c>
      <c r="C886" t="inlineStr">
        <is>
          <t>nOps</t>
        </is>
      </c>
      <c r="D886" t="inlineStr">
        <is>
          <t>Asignacion</t>
        </is>
      </c>
      <c r="E886" t="inlineStr">
        <is>
          <t>A1</t>
        </is>
      </c>
      <c r="F886" s="2" t="inlineStr">
        <is>
          <t>¿Calcula gasto asignado/no asignado por responsable, centro o entidad?</t>
        </is>
      </c>
      <c r="G886" t="inlineStr">
        <is>
          <t>NE</t>
        </is>
      </c>
      <c r="H886" t="inlineStr">
        <is>
          <t>Pendiente</t>
        </is>
      </c>
      <c r="I886" s="2" t="inlineStr">
        <is>
          <t>"Showback"/"cost allocation" con reglas de asignación (crear, actualizar, reordenar, previsualizar) y un modelo de "Business Unit Economics" que vincula el gasto de Explorer a métricas de negocio (clientes, asientos).</t>
        </is>
      </c>
      <c r="J886" t="inlineStr">
        <is>
          <t>https://help.nops.io/operate/business-unit-economics.md</t>
        </is>
      </c>
      <c r="K886" t="inlineStr">
        <is>
          <t>2026-09-16</t>
        </is>
      </c>
      <c r="L886" s="2" t="inlineStr">
        <is>
          <t>Celda heredada FP-180 (2026-09-16): el valor 2 proviene de la investigacion del escenario E2 y no cuenta con evidencia propia de E6. Segun FP-177 el indicador A1 depende del escenario, por lo que pasa a NE (no evidenciado, reduce cobertura) hasta investigarlo. La evidencia y la fuente originales se conservan como referencia del escenario de origen.</t>
        </is>
      </c>
    </row>
    <row r="887">
      <c r="A887" t="inlineStr">
        <is>
          <t>E6</t>
        </is>
      </c>
      <c r="B887" t="inlineStr">
        <is>
          <t>Multicloud</t>
        </is>
      </c>
      <c r="C887" t="inlineStr">
        <is>
          <t>nOps</t>
        </is>
      </c>
      <c r="D887" t="inlineStr">
        <is>
          <t>Asignacion</t>
        </is>
      </c>
      <c r="E887" t="inlineStr">
        <is>
          <t>A2</t>
        </is>
      </c>
      <c r="F887" s="2" t="inlineStr">
        <is>
          <t>¿Explicita y aplica reglas para costo compartido/multi-tenant?</t>
        </is>
      </c>
      <c r="G887" t="inlineStr">
        <is>
          <t>NE</t>
        </is>
      </c>
      <c r="H887" t="inlineStr">
        <is>
          <t>Pendiente</t>
        </is>
      </c>
      <c r="I887" s="2" t="inlineStr">
        <is>
          <t>Las "allocation rules" son reordenables y previsualizables antes de guardarse ("Preview a proposed (unsaved) rule set"), y pueden auto-generarse a partir de tags existentes ("Sync dimension-discovered rules").</t>
        </is>
      </c>
      <c r="J887" t="inlineStr">
        <is>
          <t>https://help.nops.io/api-reference/cost-allocation/reorder-allocation-rule.md</t>
        </is>
      </c>
      <c r="K887" t="inlineStr">
        <is>
          <t>2026-09-16</t>
        </is>
      </c>
      <c r="L887" s="2" t="inlineStr">
        <is>
          <t>Celda heredada FP-180 (2026-09-16): el valor 2 proviene de la investigacion del escenario E2 y no cuenta con evidencia propia de E6. Segun FP-177 el indicador A2 depende del escenario, por lo que pasa a NE (no evidenciado, reduce cobertura) hasta investigarlo. La evidencia y la fuente originales se conservan como referencia del escenario de origen.</t>
        </is>
      </c>
    </row>
    <row r="888">
      <c r="A888" t="inlineStr">
        <is>
          <t>E6</t>
        </is>
      </c>
      <c r="B888" t="inlineStr">
        <is>
          <t>Multicloud</t>
        </is>
      </c>
      <c r="C888" t="inlineStr">
        <is>
          <t>nOps</t>
        </is>
      </c>
      <c r="D888" t="inlineStr">
        <is>
          <t>Optimizacion</t>
        </is>
      </c>
      <c r="E888" t="inlineStr">
        <is>
          <t>O1</t>
        </is>
      </c>
      <c r="F888" s="2" t="inlineStr">
        <is>
          <t>¿Detecta desperdicio, rightsizing o compromiso relevante al escenario?</t>
        </is>
      </c>
      <c r="G888" t="inlineStr">
        <is>
          <t>NE</t>
        </is>
      </c>
      <c r="H888" t="inlineStr">
        <is>
          <t>Pendiente</t>
        </is>
      </c>
      <c r="I888" s="2" t="inlineStr">
        <is>
          <t>"Compute Copilot" reubica de forma continua el cómputo entre Reservas, Savings Plans y Spot ("real-time instance reconsideration"), exclusivamente para AWS (incluye EKS).</t>
        </is>
      </c>
      <c r="J888" t="inlineStr">
        <is>
          <t>https://help.nops.io/docs/products/compute-copilot/introduction/</t>
        </is>
      </c>
      <c r="K888" t="inlineStr">
        <is>
          <t>2026-09-16</t>
        </is>
      </c>
      <c r="L888" s="2" t="inlineStr">
        <is>
          <t>Celda heredada FP-180 (2026-09-16): el valor 2 proviene de la investigacion del escenario E2 y no cuenta con evidencia propia de E6. Segun FP-177 el indicador O1 depende del escenario, por lo que pasa a NE (no evidenciado, reduce cobertura) hasta investigarlo. La evidencia y la fuente originales se conservan como referencia del escenario de origen.</t>
        </is>
      </c>
    </row>
    <row r="889">
      <c r="A889" t="inlineStr">
        <is>
          <t>E6</t>
        </is>
      </c>
      <c r="B889" t="inlineStr">
        <is>
          <t>Multicloud</t>
        </is>
      </c>
      <c r="C889" t="inlineStr">
        <is>
          <t>nOps</t>
        </is>
      </c>
      <c r="D889" t="inlineStr">
        <is>
          <t>Optimizacion</t>
        </is>
      </c>
      <c r="E889" t="inlineStr">
        <is>
          <t>O2</t>
        </is>
      </c>
      <c r="F889" s="2" t="inlineStr">
        <is>
          <t>¿Explica supuesto/impacto y permite seguir una recomendación?</t>
        </is>
      </c>
      <c r="G889" t="n">
        <v>1</v>
      </c>
      <c r="H889" t="inlineStr">
        <is>
          <t>Oficial</t>
        </is>
      </c>
      <c r="I889" s="2" t="inlineStr">
        <is>
          <t>La documentación revisada no detalla un ciclo de seguimiento de ahorro realizado equivalente al de CloudZero/Vantage para Compute Copilot; el módulo de "Requests" de límites de gasto de IA sí lleva historial, pero es de otro dominio (gasto de IA, no de cómputo).</t>
        </is>
      </c>
      <c r="J889" t="inlineStr">
        <is>
          <t>https://help.nops.io/docs/products/compute-copilot/introduction/</t>
        </is>
      </c>
      <c r="K889" t="inlineStr">
        <is>
          <t>2026-09-16</t>
        </is>
      </c>
      <c r="L889" s="2" t="inlineStr"/>
    </row>
    <row r="890">
      <c r="A890" t="inlineStr">
        <is>
          <t>E6</t>
        </is>
      </c>
      <c r="B890" t="inlineStr">
        <is>
          <t>Multicloud</t>
        </is>
      </c>
      <c r="C890" t="inlineStr">
        <is>
          <t>nOps</t>
        </is>
      </c>
      <c r="D890" t="inlineStr">
        <is>
          <t>Automatizacion</t>
        </is>
      </c>
      <c r="E890" t="inlineStr">
        <is>
          <t>AU1</t>
        </is>
      </c>
      <c r="F890" s="2" t="inlineStr">
        <is>
          <t>¿Ejecuta o bloquea acciones/políticas de costo con control verificable?</t>
        </is>
      </c>
      <c r="G890" t="inlineStr">
        <is>
          <t>NE</t>
        </is>
      </c>
      <c r="H890" t="inlineStr">
        <is>
          <t>Pendiente</t>
        </is>
      </c>
      <c r="I890" s="2" t="inlineStr">
        <is>
          <t>La "Commitment Management" ejecuta automáticamente compras/gestión de Reserved Instances y Savings Plans en AWS, Committed Use Discounts en GCP, y Reservations/Savings Plans en Azure, cada una con su propio flujo de onboarding.</t>
        </is>
      </c>
      <c r="J890" t="inlineStr">
        <is>
          <t>https://help.nops.io/aws/commitment-management-setup.md</t>
        </is>
      </c>
      <c r="K890" t="inlineStr">
        <is>
          <t>2026-09-16</t>
        </is>
      </c>
      <c r="L890"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 | Celda heredada FP-180 (2026-09-16): el valor 2 proviene de la investigacion del escenario E2 y no cuenta con evidencia propia de E6. Segun FP-177 el indicador AU1 depende del escenario, por lo que pasa a NE (no evidenciado, reduce cobertura) hasta investigarlo. La evidencia y la fuente originales se conservan como referencia del escenario de origen.</t>
        </is>
      </c>
    </row>
    <row r="891">
      <c r="A891" t="inlineStr">
        <is>
          <t>E6</t>
        </is>
      </c>
      <c r="B891" t="inlineStr">
        <is>
          <t>Multicloud</t>
        </is>
      </c>
      <c r="C891" t="inlineStr">
        <is>
          <t>nOps</t>
        </is>
      </c>
      <c r="D891" t="inlineStr">
        <is>
          <t>Automatizacion</t>
        </is>
      </c>
      <c r="E891" t="inlineStr">
        <is>
          <t>AU2</t>
        </is>
      </c>
      <c r="F891" s="2" t="inlineStr">
        <is>
          <t>¿Ofrece aprobación, reversión, registro o límites antes de actuar?</t>
        </is>
      </c>
      <c r="G891" t="n">
        <v>2</v>
      </c>
      <c r="H891" t="inlineStr">
        <is>
          <t>Oficial</t>
        </is>
      </c>
      <c r="I891" s="2" t="inlineStr">
        <is>
          <t>Cada Commitment Management documenta salvaguardas: en GCP, un "Automation Agent" de compra autónoma más un acceso de soporte para "manual overrides"; en Azure, una suscripción dedicada aislada "for clear auditing" y verificación de políticas de facturación antes de comprar.</t>
        </is>
      </c>
      <c r="J891" t="inlineStr">
        <is>
          <t>https://help.nops.io/gcp/commitment-management-setup.md</t>
        </is>
      </c>
      <c r="K891" t="inlineStr">
        <is>
          <t>2026-09-16</t>
        </is>
      </c>
      <c r="L891"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92">
      <c r="A892" t="inlineStr">
        <is>
          <t>E6</t>
        </is>
      </c>
      <c r="B892" t="inlineStr">
        <is>
          <t>Multicloud</t>
        </is>
      </c>
      <c r="C892" t="inlineStr">
        <is>
          <t>nOps</t>
        </is>
      </c>
      <c r="D892" t="inlineStr">
        <is>
          <t>Multicloud</t>
        </is>
      </c>
      <c r="E892" t="inlineStr">
        <is>
          <t>M1</t>
        </is>
      </c>
      <c r="F892" s="2" t="inlineStr">
        <is>
          <t>¿Consolida al menos dos proveedores bajo el mismo esquema declarado?</t>
        </is>
      </c>
      <c r="G892" t="n">
        <v>2</v>
      </c>
      <c r="H892" t="inlineStr">
        <is>
          <t>Oficial</t>
        </is>
      </c>
      <c r="I892" s="2" t="inlineStr">
        <is>
          <t>"Inform" ingiere costo de AWS, Kubernetes, Azure y GCP (vía FOCUS Export) en una sola plataforma integrada, según la documentación de integraciones y el anuncio oficial de soporte GCP/Azure/Datadog/Databricks.</t>
        </is>
      </c>
      <c r="J892" t="inlineStr">
        <is>
          <t>https://help.nops.io/docs/products/business-contexts/integrations/</t>
        </is>
      </c>
      <c r="K892" t="inlineStr">
        <is>
          <t>2026-09-16</t>
        </is>
      </c>
      <c r="L892"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93">
      <c r="A893" t="inlineStr">
        <is>
          <t>E6</t>
        </is>
      </c>
      <c r="B893" t="inlineStr">
        <is>
          <t>Multicloud</t>
        </is>
      </c>
      <c r="C893" t="inlineStr">
        <is>
          <t>nOps</t>
        </is>
      </c>
      <c r="D893" t="inlineStr">
        <is>
          <t>Multicloud</t>
        </is>
      </c>
      <c r="E893" t="inlineStr">
        <is>
          <t>M2</t>
        </is>
      </c>
      <c r="F893" s="2" t="inlineStr">
        <is>
          <t>¿Hace visibles proveedor, cobertura y diferencias semánticas?</t>
        </is>
      </c>
      <c r="G893" t="n">
        <v>2</v>
      </c>
      <c r="H893" t="inlineStr">
        <is>
          <t>Oficial</t>
        </is>
      </c>
      <c r="I893" s="2" t="inlineStr">
        <is>
          <t>Azure y GCP se ingieren mediante el estándar FOCUS Export (documentado paso a paso), un esquema de normalización declarado y común a ambos proveedores junto con AWS.</t>
        </is>
      </c>
      <c r="J893" t="inlineStr">
        <is>
          <t>https://help.nops.io/docs/agents-integrations/BC+%20Integrations/Azure%20FOCUS%20Exports/ms-azure-export-configuration/</t>
        </is>
      </c>
      <c r="K893" t="inlineStr">
        <is>
          <t>2026-09-16</t>
        </is>
      </c>
      <c r="L893" s="2" t="inlineStr">
        <is>
          <t>Nota de alcance: la automatización de ejecución (AU1/AU2) de nOps combina Compute Copilot -exclusivamente AWS, incluye EKS- con Commitment Management -con implementaciones separadas y no unificadas por proveedor para AWS, GCP y Azure-. La consolidación multicloud (M1/M2) es una función distinta (Inform, vía FOCUS Export) que sí integra los tres proveedores en una misma vista.</t>
        </is>
      </c>
    </row>
    <row r="894">
      <c r="A894" t="inlineStr">
        <is>
          <t>E6</t>
        </is>
      </c>
      <c r="B894" t="inlineStr">
        <is>
          <t>Multicloud</t>
        </is>
      </c>
      <c r="C894" t="inlineStr">
        <is>
          <t>nOps</t>
        </is>
      </c>
      <c r="D894" t="inlineStr">
        <is>
          <t>Integracion</t>
        </is>
      </c>
      <c r="E894" t="inlineStr">
        <is>
          <t>I1</t>
        </is>
      </c>
      <c r="F894" s="2" t="inlineStr">
        <is>
          <t>¿Integra datos requeridos (facturación, uso, clúster o IaC) del escenario?</t>
        </is>
      </c>
      <c r="G894" t="inlineStr">
        <is>
          <t>NE</t>
        </is>
      </c>
      <c r="H894" t="inlineStr">
        <is>
          <t>Pendiente</t>
        </is>
      </c>
      <c r="I894" s="2" t="inlineStr">
        <is>
          <t>Integraciones documentadas para AWS, Azure (FOCUS Export), GCP (Inform Cost), contenedores (EKS), Databricks, Datadog, MongoDB Atlas, Snowflake, OpenAI y Twilio.</t>
        </is>
      </c>
      <c r="J894" t="inlineStr">
        <is>
          <t>https://help.nops.io/docs/agents-integrations/integrations/</t>
        </is>
      </c>
      <c r="K894" t="inlineStr">
        <is>
          <t>2026-09-16</t>
        </is>
      </c>
      <c r="L894" s="2" t="inlineStr">
        <is>
          <t>Celda heredada FP-180 (2026-09-16): el valor 2 proviene de la investigacion del escenario E2 y no cuenta con evidencia propia de E6. Segun FP-177 el indicador I1 depende del escenario, por lo que pasa a NE (no evidenciado, reduce cobertura) hasta investigarlo. La evidencia y la fuente originales se conservan como referencia del escenario de origen.</t>
        </is>
      </c>
    </row>
    <row r="895">
      <c r="A895" t="inlineStr">
        <is>
          <t>E6</t>
        </is>
      </c>
      <c r="B895" t="inlineStr">
        <is>
          <t>Multicloud</t>
        </is>
      </c>
      <c r="C895" t="inlineStr">
        <is>
          <t>nOps</t>
        </is>
      </c>
      <c r="D895" t="inlineStr">
        <is>
          <t>Integracion</t>
        </is>
      </c>
      <c r="E895" t="inlineStr">
        <is>
          <t>I2</t>
        </is>
      </c>
      <c r="F895" s="2" t="inlineStr">
        <is>
          <t>¿Se integra con el flujo de trabajo relevante (alerta, ticket, CI/CD o reporte)?</t>
        </is>
      </c>
      <c r="G895" t="inlineStr">
        <is>
          <t>NE</t>
        </is>
      </c>
      <c r="H895" t="inlineStr">
        <is>
          <t>Pendiente</t>
        </is>
      </c>
      <c r="I895" s="2" t="inlineStr">
        <is>
          <t>No se encontró, en las páginas revisadas, documentación de integración directa con ticketing/CI-CD para el flujo de costos (el flujo de "Requests" encontrado es específico de límites de gasto de IA).</t>
        </is>
      </c>
      <c r="K895" t="inlineStr">
        <is>
          <t>2026-09-16</t>
        </is>
      </c>
      <c r="L895" s="2" t="inlineStr"/>
    </row>
    <row r="896">
      <c r="A896" t="inlineStr">
        <is>
          <t>E6</t>
        </is>
      </c>
      <c r="B896" t="inlineStr">
        <is>
          <t>Multicloud</t>
        </is>
      </c>
      <c r="C896" t="inlineStr">
        <is>
          <t>nOps</t>
        </is>
      </c>
      <c r="D896" t="inlineStr">
        <is>
          <t>Adopcion</t>
        </is>
      </c>
      <c r="E896" t="inlineStr">
        <is>
          <t>AD1</t>
        </is>
      </c>
      <c r="F896" s="2" t="inlineStr">
        <is>
          <t>¿Soporta acceso/entrega para los roles del escenario?</t>
        </is>
      </c>
      <c r="G896" t="inlineStr">
        <is>
          <t>NE</t>
        </is>
      </c>
      <c r="H896" t="inlineStr">
        <is>
          <t>Pendiente</t>
        </is>
      </c>
      <c r="I896" s="2" t="inlineStr">
        <is>
          <t>"Roles and data scopes" documenta un modelo de dos capas (permisos + alcance de datos) con reglas de inclusión/exclusión por cuenta AWS, región, valor de asignación o tag; por defecto todos los roles son "Unrestricted".</t>
        </is>
      </c>
      <c r="J896" t="inlineStr">
        <is>
          <t>https://help.nops.io/platform/roles-and-data-scopes.md</t>
        </is>
      </c>
      <c r="K896" t="inlineStr">
        <is>
          <t>2026-09-16</t>
        </is>
      </c>
      <c r="L896" s="2" t="inlineStr">
        <is>
          <t>Celda heredada FP-180 (2026-09-16): el valor 2 proviene de la investigacion del escenario E2 y no cuenta con evidencia propia de E6. Segun FP-177 el indicador AD1 depende del escenario, por lo que pasa a NE (no evidenciado, reduce cobertura) hasta investigarlo. La evidencia y la fuente originales se conservan como referencia del escenario de origen.</t>
        </is>
      </c>
    </row>
    <row r="897">
      <c r="A897" t="inlineStr">
        <is>
          <t>E6</t>
        </is>
      </c>
      <c r="B897" t="inlineStr">
        <is>
          <t>Multicloud</t>
        </is>
      </c>
      <c r="C897" t="inlineStr">
        <is>
          <t>nOps</t>
        </is>
      </c>
      <c r="D897" t="inlineStr">
        <is>
          <t>Adopcion</t>
        </is>
      </c>
      <c r="E897" t="inlineStr">
        <is>
          <t>AD2</t>
        </is>
      </c>
      <c r="F897" s="2" t="inlineStr">
        <is>
          <t>¿Ofrece guías, ownership o mecanismos de seguimiento para uso sostenido?</t>
        </is>
      </c>
      <c r="G897" t="n">
        <v>2</v>
      </c>
      <c r="H897" t="inlineStr">
        <is>
          <t>Oficial</t>
        </is>
      </c>
      <c r="I897" s="2" t="inlineStr">
        <is>
          <t>El módulo de showback/chargeback y "Business Unit Economics" ofrece un proceso de gobernanza definido para sostener el uso (asignación, métricas de negocio, límites de gasto de IA con flujo de aprobación).</t>
        </is>
      </c>
      <c r="J897" t="inlineStr">
        <is>
          <t>https://help.nops.io/operate/business-unit-economics.md</t>
        </is>
      </c>
      <c r="K897" t="inlineStr">
        <is>
          <t>2026-09-16</t>
        </is>
      </c>
      <c r="L897" s="2" t="inlineStr"/>
    </row>
    <row r="898">
      <c r="A898" t="inlineStr">
        <is>
          <t>E6</t>
        </is>
      </c>
      <c r="B898" t="inlineStr">
        <is>
          <t>Multicloud</t>
        </is>
      </c>
      <c r="C898" t="inlineStr">
        <is>
          <t>nOps</t>
        </is>
      </c>
      <c r="D898" t="inlineStr">
        <is>
          <t>Precio</t>
        </is>
      </c>
      <c r="E898" t="inlineStr">
        <is>
          <t>P1</t>
        </is>
      </c>
      <c r="F898" s="2" t="inlineStr">
        <is>
          <t>¿Expone precio, moneda, región, unidad, período y supuestos relevantes?</t>
        </is>
      </c>
      <c r="G898" t="n">
        <v>1</v>
      </c>
      <c r="H898" t="inlineStr">
        <is>
          <t>Comercial</t>
        </is>
      </c>
      <c r="I898" s="2" t="inlineStr">
        <is>
          <t>El anuncio de "Azure to AWS Cost Assessment" documenta niveles de confianza explícitos (90% coincidencia exacta, 8% equivalente validado, 2% marcado para validación manual) y supuestos de región/SO/tipo de instancia, pero solo se ubicó como anuncio de producto (blog), no como documentación técnica en help.nops.io.</t>
        </is>
      </c>
      <c r="J898" t="inlineStr">
        <is>
          <t>https://www.nops.io/blog/new-azure-to-aws-cost-assessment/</t>
        </is>
      </c>
      <c r="K898" t="inlineStr">
        <is>
          <t>2026-09-16</t>
        </is>
      </c>
      <c r="L898" s="2" t="inlineStr"/>
    </row>
    <row r="899">
      <c r="A899" t="inlineStr">
        <is>
          <t>E6</t>
        </is>
      </c>
      <c r="B899" t="inlineStr">
        <is>
          <t>Multicloud</t>
        </is>
      </c>
      <c r="C899" t="inlineStr">
        <is>
          <t>nOps</t>
        </is>
      </c>
      <c r="D899" t="inlineStr">
        <is>
          <t>Precio</t>
        </is>
      </c>
      <c r="E899" t="inlineStr">
        <is>
          <t>P2</t>
        </is>
      </c>
      <c r="F899" s="2" t="inlineStr">
        <is>
          <t>¿Permite estimar o comparar componentes sin ocultar límites de equivalencia?</t>
        </is>
      </c>
      <c r="G899" t="inlineStr">
        <is>
          <t>NE</t>
        </is>
      </c>
      <c r="H899" t="inlineStr">
        <is>
          <t>Pendiente</t>
        </is>
      </c>
      <c r="I899" s="2" t="inlineStr">
        <is>
          <t>El mismo "Azure to AWS Cost Assessment" mapea especificaciones técnicas de Azure a instancias equivalentes de AWS con ejemplos concretos (p. ej. D16 v3 → m5.4xlarge) y un caso real de 18,8% de ahorro; única evidencia disponible es de blog (Comercial).</t>
        </is>
      </c>
      <c r="J899" t="inlineStr">
        <is>
          <t>https://www.nops.io/blog/new-azure-to-aws-cost-assessment/</t>
        </is>
      </c>
      <c r="K899" t="inlineStr">
        <is>
          <t>2026-09-16</t>
        </is>
      </c>
      <c r="L899" s="2" t="inlineStr">
        <is>
          <t>Celda heredada FP-180 (2026-09-16): el valor 1 proviene de la investigacion del escenario E2 y no cuenta con evidencia propia de E6. Segun FP-177 el indicador P2 depende del escenario, por lo que pasa a NE (no evidenciado, reduce cobertura) hasta investigarlo. La evidencia y la fuente originales se conservan como referencia del escenario de origen.</t>
        </is>
      </c>
    </row>
    <row r="900">
      <c r="A900" t="inlineStr">
        <is>
          <t>E6</t>
        </is>
      </c>
      <c r="B900" t="inlineStr">
        <is>
          <t>Multicloud</t>
        </is>
      </c>
      <c r="C900" t="inlineStr">
        <is>
          <t>nOps</t>
        </is>
      </c>
      <c r="D900" t="inlineStr">
        <is>
          <t>Dependencia</t>
        </is>
      </c>
      <c r="E900" t="inlineStr">
        <is>
          <t>D1</t>
        </is>
      </c>
      <c r="F900" s="2" t="inlineStr">
        <is>
          <t>¿Exporta datos/resultados en formato utilizable y documentado?</t>
        </is>
      </c>
      <c r="G900" t="n">
        <v>2</v>
      </c>
      <c r="H900" t="inlineStr">
        <is>
          <t>Oficial</t>
        </is>
      </c>
      <c r="I900" s="2" t="inlineStr">
        <is>
          <t>La documentación de API reference (cost-allocation, explorer-dashboards, business-unit-economics) confirma una vía de exportación/acceso a datos definida y reproducible vía API REST.</t>
        </is>
      </c>
      <c r="J900" t="inlineStr">
        <is>
          <t>https://help.nops.io/llms.txt</t>
        </is>
      </c>
      <c r="K900" t="inlineStr">
        <is>
          <t>2026-09-16</t>
        </is>
      </c>
      <c r="L900" s="2" t="inlineStr"/>
    </row>
    <row r="901">
      <c r="A901" t="inlineStr">
        <is>
          <t>E6</t>
        </is>
      </c>
      <c r="B901" t="inlineStr">
        <is>
          <t>Multicloud</t>
        </is>
      </c>
      <c r="C901" t="inlineStr">
        <is>
          <t>nOps</t>
        </is>
      </c>
      <c r="D901" t="inlineStr">
        <is>
          <t>Dependencia</t>
        </is>
      </c>
      <c r="E901" t="inlineStr">
        <is>
          <t>D2</t>
        </is>
      </c>
      <c r="F901" s="2" t="inlineStr">
        <is>
          <t>¿Documenta dependencias propietarias y un camino de salida/configuración reversible?</t>
        </is>
      </c>
      <c r="G901" t="inlineStr">
        <is>
          <t>NE</t>
        </is>
      </c>
      <c r="H901" t="inlineStr">
        <is>
          <t>Pendiente</t>
        </is>
      </c>
      <c r="I901" s="2" t="inlineStr">
        <is>
          <t>No se encontró documentación sobre un camino de salida o reversibilidad de la configuración.</t>
        </is>
      </c>
      <c r="K901" t="inlineStr">
        <is>
          <t>2026-09-16</t>
        </is>
      </c>
      <c r="L901" s="2" t="inlineStr"/>
    </row>
    <row r="902">
      <c r="A902" t="inlineStr">
        <is>
          <t>E3</t>
        </is>
      </c>
      <c r="B902" t="inlineStr">
        <is>
          <t>Kubernetes</t>
        </is>
      </c>
      <c r="C902" t="inlineStr">
        <is>
          <t>OpenCost</t>
        </is>
      </c>
      <c r="D902" t="inlineStr">
        <is>
          <t>Visibilidad</t>
        </is>
      </c>
      <c r="E902" t="inlineStr">
        <is>
          <t>V1</t>
        </is>
      </c>
      <c r="F902" s="2" t="inlineStr">
        <is>
          <t>¿Desagrega costo y uso por cuenta/proyecto, servicio y período?</t>
        </is>
      </c>
      <c r="G902" t="n">
        <v>2</v>
      </c>
      <c r="H902" t="inlineStr">
        <is>
          <t>Oficial</t>
        </is>
      </c>
      <c r="I902" s="2" t="inlineStr">
        <is>
          <t>Asignación de costo en tiempo real por clúster, nodo, namespace, tipo de controlador, controlador, servicio o pod, con soporte multicloud vía integraciones con las APIs de facturación de AWS, Azure y GCP.</t>
        </is>
      </c>
      <c r="J902" t="inlineStr">
        <is>
          <t>https://github.com/opencost/opencost</t>
        </is>
      </c>
      <c r="K902" t="inlineStr">
        <is>
          <t>2026-09-16</t>
        </is>
      </c>
      <c r="L902" s="2" t="inlineStr"/>
    </row>
    <row r="903">
      <c r="A903" t="inlineStr">
        <is>
          <t>E3</t>
        </is>
      </c>
      <c r="B903" t="inlineStr">
        <is>
          <t>Kubernetes</t>
        </is>
      </c>
      <c r="C903" t="inlineStr">
        <is>
          <t>OpenCost</t>
        </is>
      </c>
      <c r="D903" t="inlineStr">
        <is>
          <t>Visibilidad</t>
        </is>
      </c>
      <c r="E903" t="inlineStr">
        <is>
          <t>V2</t>
        </is>
      </c>
      <c r="F903" s="2" t="inlineStr">
        <is>
          <t>¿Permite rastrear un total hasta registros o fuente de facturación?</t>
        </is>
      </c>
      <c r="G903" t="n">
        <v>1</v>
      </c>
      <c r="H903" t="inlineStr">
        <is>
          <t>Oficial</t>
        </is>
      </c>
      <c r="I903" s="2" t="inlineStr">
        <is>
          <t>El export a Prometheus (endpoint /metrics) permite rastrear el detalle de costo por recurso, pero no se documentó una reconciliación explícita con la factura del proveedor.</t>
        </is>
      </c>
      <c r="J903" t="inlineStr">
        <is>
          <t>https://github.com/opencost/opencost</t>
        </is>
      </c>
      <c r="K903" t="inlineStr">
        <is>
          <t>2026-09-16</t>
        </is>
      </c>
      <c r="L903" s="2" t="inlineStr"/>
    </row>
    <row r="904">
      <c r="A904" t="inlineStr">
        <is>
          <t>E3</t>
        </is>
      </c>
      <c r="B904" t="inlineStr">
        <is>
          <t>Kubernetes</t>
        </is>
      </c>
      <c r="C904" t="inlineStr">
        <is>
          <t>OpenCost</t>
        </is>
      </c>
      <c r="D904" t="inlineStr">
        <is>
          <t>Asignacion</t>
        </is>
      </c>
      <c r="E904" t="inlineStr">
        <is>
          <t>A1</t>
        </is>
      </c>
      <c r="F904" s="2" t="inlineStr">
        <is>
          <t>¿Calcula gasto asignado/no asignado por responsable, centro o entidad?</t>
        </is>
      </c>
      <c r="G904" t="n">
        <v>2</v>
      </c>
      <c r="H904" t="inlineStr">
        <is>
          <t>Oficial</t>
        </is>
      </c>
      <c r="I904" s="2" t="inlineStr">
        <is>
          <t>El costo idle puede repartirse o excluirse explícitamente entre los recursos, con configuración para incluir/excluir el costo no utilizado del cálculo por namespace/pod.</t>
        </is>
      </c>
      <c r="J904" t="inlineStr">
        <is>
          <t>https://github.com/opencost/opencost</t>
        </is>
      </c>
      <c r="K904" t="inlineStr">
        <is>
          <t>2026-09-16</t>
        </is>
      </c>
      <c r="L904" s="2" t="inlineStr"/>
    </row>
    <row r="905">
      <c r="A905" t="inlineStr">
        <is>
          <t>E3</t>
        </is>
      </c>
      <c r="B905" t="inlineStr">
        <is>
          <t>Kubernetes</t>
        </is>
      </c>
      <c r="C905" t="inlineStr">
        <is>
          <t>OpenCost</t>
        </is>
      </c>
      <c r="D905" t="inlineStr">
        <is>
          <t>Asignacion</t>
        </is>
      </c>
      <c r="E905" t="inlineStr">
        <is>
          <t>A2</t>
        </is>
      </c>
      <c r="F905" s="2" t="inlineStr">
        <is>
          <t>¿Explicita y aplica reglas para costo compartido/multi-tenant?</t>
        </is>
      </c>
      <c r="G905" t="n">
        <v>1</v>
      </c>
      <c r="H905" t="inlineStr">
        <is>
          <t>Oficial</t>
        </is>
      </c>
      <c r="I905" s="2" t="inlineStr">
        <is>
          <t>El reparto de costo idle es configurable (incluir/excluir), pero no se documentó un mecanismo de reparto porcentual de costo compartido más allá de esa función.</t>
        </is>
      </c>
      <c r="J905" t="inlineStr">
        <is>
          <t>https://github.com/opencost/opencost</t>
        </is>
      </c>
      <c r="K905" t="inlineStr">
        <is>
          <t>2026-09-16</t>
        </is>
      </c>
      <c r="L905" s="2" t="inlineStr"/>
    </row>
    <row r="906">
      <c r="A906" t="inlineStr">
        <is>
          <t>E3</t>
        </is>
      </c>
      <c r="B906" t="inlineStr">
        <is>
          <t>Kubernetes</t>
        </is>
      </c>
      <c r="C906" t="inlineStr">
        <is>
          <t>OpenCost</t>
        </is>
      </c>
      <c r="D906" t="inlineStr">
        <is>
          <t>Optimizacion</t>
        </is>
      </c>
      <c r="E906" t="inlineStr">
        <is>
          <t>O1</t>
        </is>
      </c>
      <c r="F906" s="2" t="inlineStr">
        <is>
          <t>¿Detecta desperdicio, rightsizing o compromiso relevante al escenario?</t>
        </is>
      </c>
      <c r="G906" t="n">
        <v>1</v>
      </c>
      <c r="H906" t="inlineStr">
        <is>
          <t>Oficial</t>
        </is>
      </c>
      <c r="I906" s="2" t="inlineStr">
        <is>
          <t>El proyecto declara ofrecer "rightsizing recommendations and cost savings analysis" para informar decisiones manuales de optimización; no se encontró más detalle específico por proveedor.</t>
        </is>
      </c>
      <c r="J906" t="inlineStr">
        <is>
          <t>https://github.com/opencost/opencost</t>
        </is>
      </c>
      <c r="K906" t="inlineStr">
        <is>
          <t>2026-09-16</t>
        </is>
      </c>
      <c r="L906" s="2" t="inlineStr"/>
    </row>
    <row r="907">
      <c r="A907" t="inlineStr">
        <is>
          <t>E3</t>
        </is>
      </c>
      <c r="B907" t="inlineStr">
        <is>
          <t>Kubernetes</t>
        </is>
      </c>
      <c r="C907" t="inlineStr">
        <is>
          <t>OpenCost</t>
        </is>
      </c>
      <c r="D907" t="inlineStr">
        <is>
          <t>Optimizacion</t>
        </is>
      </c>
      <c r="E907" t="inlineStr">
        <is>
          <t>O2</t>
        </is>
      </c>
      <c r="F907" s="2" t="inlineStr">
        <is>
          <t>¿Explica supuesto/impacto y permite seguir una recomendación?</t>
        </is>
      </c>
      <c r="G907" t="n">
        <v>0</v>
      </c>
      <c r="H907" t="inlineStr">
        <is>
          <t>Oficial (ausencia verificada)</t>
        </is>
      </c>
      <c r="I907" s="2" t="inlineStr">
        <is>
          <t>OpenCost funciona explícitamente como "herramienta de visibilidad y medición únicamente"; no ejecuta ni da seguimiento a un ciclo de realización de ahorro, por lo que no aplica evaluar seguimiento de una acción que no ejecuta.</t>
        </is>
      </c>
      <c r="J907" t="inlineStr">
        <is>
          <t>https://github.com/opencost/opencost</t>
        </is>
      </c>
      <c r="K907" t="inlineStr">
        <is>
          <t>2026-09-16</t>
        </is>
      </c>
      <c r="L90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908">
      <c r="A908" t="inlineStr">
        <is>
          <t>E3</t>
        </is>
      </c>
      <c r="B908" t="inlineStr">
        <is>
          <t>Kubernetes</t>
        </is>
      </c>
      <c r="C908" t="inlineStr">
        <is>
          <t>OpenCost</t>
        </is>
      </c>
      <c r="D908" t="inlineStr">
        <is>
          <t>Automatizacion</t>
        </is>
      </c>
      <c r="E908" t="inlineStr">
        <is>
          <t>AU1</t>
        </is>
      </c>
      <c r="F908" s="2" t="inlineStr">
        <is>
          <t>¿Ejecuta o bloquea acciones/políticas de costo con control verificable?</t>
        </is>
      </c>
      <c r="G908" t="n">
        <v>0</v>
      </c>
      <c r="H908" t="inlineStr">
        <is>
          <t>Oficial</t>
        </is>
      </c>
      <c r="I908" s="2" t="inlineStr">
        <is>
          <t>OpenCost es, según su propia documentación, una herramienta de visibilidad y medición únicamente: no ejecuta acciones ni controla recursos.</t>
        </is>
      </c>
      <c r="J908" t="inlineStr">
        <is>
          <t>https://github.com/opencost/opencost</t>
        </is>
      </c>
      <c r="K908" t="inlineStr">
        <is>
          <t>2026-09-16</t>
        </is>
      </c>
      <c r="L908" s="2" t="inlineStr"/>
    </row>
    <row r="909">
      <c r="A909" t="inlineStr">
        <is>
          <t>E3</t>
        </is>
      </c>
      <c r="B909" t="inlineStr">
        <is>
          <t>Kubernetes</t>
        </is>
      </c>
      <c r="C909" t="inlineStr">
        <is>
          <t>OpenCost</t>
        </is>
      </c>
      <c r="D909" t="inlineStr">
        <is>
          <t>Automatizacion</t>
        </is>
      </c>
      <c r="E909" t="inlineStr">
        <is>
          <t>AU2</t>
        </is>
      </c>
      <c r="F909" s="2" t="inlineStr">
        <is>
          <t>¿Ofrece aprobación, reversión, registro o límites antes de actuar?</t>
        </is>
      </c>
      <c r="G909" t="inlineStr">
        <is>
          <t>NA</t>
        </is>
      </c>
      <c r="H909" t="inlineStr">
        <is>
          <t>Justificación de alcance</t>
        </is>
      </c>
      <c r="I909" s="2" t="inlineStr">
        <is>
          <t>Al no ejecutar acciones (ver AU1), no aplica evaluar salvaguardas de ejecución.</t>
        </is>
      </c>
      <c r="J909" t="inlineStr">
        <is>
          <t>https://github.com/opencost/opencost</t>
        </is>
      </c>
      <c r="K909" t="inlineStr">
        <is>
          <t>2026-09-16</t>
        </is>
      </c>
      <c r="L909" s="2" t="inlineStr"/>
    </row>
    <row r="910">
      <c r="A910" t="inlineStr">
        <is>
          <t>E3</t>
        </is>
      </c>
      <c r="B910" t="inlineStr">
        <is>
          <t>Kubernetes</t>
        </is>
      </c>
      <c r="C910" t="inlineStr">
        <is>
          <t>OpenCost</t>
        </is>
      </c>
      <c r="D910" t="inlineStr">
        <is>
          <t>Multicloud</t>
        </is>
      </c>
      <c r="E910" t="inlineStr">
        <is>
          <t>M1</t>
        </is>
      </c>
      <c r="F910" s="2" t="inlineStr">
        <is>
          <t>¿Consolida al menos dos proveedores bajo el mismo esquema declarado?</t>
        </is>
      </c>
      <c r="G910" t="n">
        <v>0</v>
      </c>
      <c r="H910" t="inlineStr">
        <is>
          <t>Oficial</t>
        </is>
      </c>
      <c r="I910" s="2" t="inlineStr">
        <is>
          <t>OpenCost mide el costo dentro de un clúster de Kubernetes; aunque usa las APIs de precio de AWS/Azure/GCP para valorar los recursos de ese clúster, no consolida gasto de cuentas/facturación de múltiples proveedores bajo un mismo esquema (esa función corresponde a las plataformas de la categoría Multicloud).</t>
        </is>
      </c>
      <c r="J910" t="inlineStr">
        <is>
          <t>https://github.com/opencost/opencost</t>
        </is>
      </c>
      <c r="K910" t="inlineStr">
        <is>
          <t>2026-09-16</t>
        </is>
      </c>
      <c r="L910" s="2" t="inlineStr"/>
    </row>
    <row r="911">
      <c r="A911" t="inlineStr">
        <is>
          <t>E3</t>
        </is>
      </c>
      <c r="B911" t="inlineStr">
        <is>
          <t>Kubernetes</t>
        </is>
      </c>
      <c r="C911" t="inlineStr">
        <is>
          <t>OpenCost</t>
        </is>
      </c>
      <c r="D911" t="inlineStr">
        <is>
          <t>Multicloud</t>
        </is>
      </c>
      <c r="E911" t="inlineStr">
        <is>
          <t>M2</t>
        </is>
      </c>
      <c r="F911" s="2" t="inlineStr">
        <is>
          <t>¿Hace visibles proveedor, cobertura y diferencias semánticas?</t>
        </is>
      </c>
      <c r="G911" t="n">
        <v>0</v>
      </c>
      <c r="H911" t="inlineStr">
        <is>
          <t>Oficial</t>
        </is>
      </c>
      <c r="I911" s="2" t="inlineStr">
        <is>
          <t>Mismo motivo que M1: no es una herramienta de consolidación multicloud de facturación.</t>
        </is>
      </c>
      <c r="J911" t="inlineStr">
        <is>
          <t>https://github.com/opencost/opencost</t>
        </is>
      </c>
      <c r="K911" t="inlineStr">
        <is>
          <t>2026-09-16</t>
        </is>
      </c>
      <c r="L911" s="2" t="inlineStr"/>
    </row>
    <row r="912">
      <c r="A912" t="inlineStr">
        <is>
          <t>E3</t>
        </is>
      </c>
      <c r="B912" t="inlineStr">
        <is>
          <t>Kubernetes</t>
        </is>
      </c>
      <c r="C912" t="inlineStr">
        <is>
          <t>OpenCost</t>
        </is>
      </c>
      <c r="D912" t="inlineStr">
        <is>
          <t>Integracion</t>
        </is>
      </c>
      <c r="E912" t="inlineStr">
        <is>
          <t>I1</t>
        </is>
      </c>
      <c r="F912" s="2" t="inlineStr">
        <is>
          <t>¿Integra datos requeridos (facturación, uso, clúster o IaC) del escenario?</t>
        </is>
      </c>
      <c r="G912" t="n">
        <v>2</v>
      </c>
      <c r="H912" t="inlineStr">
        <is>
          <t>Oficial</t>
        </is>
      </c>
      <c r="I912" s="2" t="inlineStr">
        <is>
          <t>Precio dinámico de activos mediante integraciones con las APIs de facturación de AWS, Azure y GCP, con soporte adicional para clústeres on-premises mediante hojas de precio personalizadas (CSV).</t>
        </is>
      </c>
      <c r="J912" t="inlineStr">
        <is>
          <t>https://github.com/opencost/opencost</t>
        </is>
      </c>
      <c r="K912" t="inlineStr">
        <is>
          <t>2026-09-16</t>
        </is>
      </c>
      <c r="L912" s="2" t="inlineStr"/>
    </row>
    <row r="913">
      <c r="A913" t="inlineStr">
        <is>
          <t>E3</t>
        </is>
      </c>
      <c r="B913" t="inlineStr">
        <is>
          <t>Kubernetes</t>
        </is>
      </c>
      <c r="C913" t="inlineStr">
        <is>
          <t>OpenCost</t>
        </is>
      </c>
      <c r="D913" t="inlineStr">
        <is>
          <t>Integracion</t>
        </is>
      </c>
      <c r="E913" t="inlineStr">
        <is>
          <t>I2</t>
        </is>
      </c>
      <c r="F913" s="2" t="inlineStr">
        <is>
          <t>¿Se integra con el flujo de trabajo relevante (alerta, ticket, CI/CD o reporte)?</t>
        </is>
      </c>
      <c r="G913" t="n">
        <v>2</v>
      </c>
      <c r="H913" t="inlineStr">
        <is>
          <t>Oficial</t>
        </is>
      </c>
      <c r="I913" s="2" t="inlineStr">
        <is>
          <t>Acceso mediante interfaz web, Cost APIs, plugin de kubectl (CLI) y exportador de métricas de Prometheus, integrándose al flujo de observabilidad existente del equipo.</t>
        </is>
      </c>
      <c r="J913" t="inlineStr">
        <is>
          <t>https://github.com/opencost/opencost</t>
        </is>
      </c>
      <c r="K913" t="inlineStr">
        <is>
          <t>2026-09-16</t>
        </is>
      </c>
      <c r="L913" s="2" t="inlineStr"/>
    </row>
    <row r="914">
      <c r="A914" t="inlineStr">
        <is>
          <t>E3</t>
        </is>
      </c>
      <c r="B914" t="inlineStr">
        <is>
          <t>Kubernetes</t>
        </is>
      </c>
      <c r="C914" t="inlineStr">
        <is>
          <t>OpenCost</t>
        </is>
      </c>
      <c r="D914" t="inlineStr">
        <is>
          <t>Adopcion</t>
        </is>
      </c>
      <c r="E914" t="inlineStr">
        <is>
          <t>AD1</t>
        </is>
      </c>
      <c r="F914" s="2" t="inlineStr">
        <is>
          <t>¿Soporta acceso/entrega para los roles del escenario?</t>
        </is>
      </c>
      <c r="G914" t="inlineStr">
        <is>
          <t>NE</t>
        </is>
      </c>
      <c r="H914" t="inlineStr">
        <is>
          <t>Pendiente</t>
        </is>
      </c>
      <c r="I914" s="2" t="inlineStr">
        <is>
          <t>No se encontró, en la documentación revisada, un modelo de roles/permisos propio del proyecto (es software open source autoalojado; el control de acceso depende de la infraestructura de Kubernetes del equipo).</t>
        </is>
      </c>
      <c r="K914" t="inlineStr">
        <is>
          <t>2026-09-16</t>
        </is>
      </c>
      <c r="L914" s="2" t="inlineStr"/>
    </row>
    <row r="915">
      <c r="A915" t="inlineStr">
        <is>
          <t>E3</t>
        </is>
      </c>
      <c r="B915" t="inlineStr">
        <is>
          <t>Kubernetes</t>
        </is>
      </c>
      <c r="C915" t="inlineStr">
        <is>
          <t>OpenCost</t>
        </is>
      </c>
      <c r="D915" t="inlineStr">
        <is>
          <t>Adopcion</t>
        </is>
      </c>
      <c r="E915" t="inlineStr">
        <is>
          <t>AD2</t>
        </is>
      </c>
      <c r="F915" s="2" t="inlineStr">
        <is>
          <t>¿Ofrece guías, ownership o mecanismos de seguimiento para uso sostenido?</t>
        </is>
      </c>
      <c r="G915" t="n">
        <v>1</v>
      </c>
      <c r="H915" t="inlineStr">
        <is>
          <t>Oficial</t>
        </is>
      </c>
      <c r="I915" s="2" t="inlineStr">
        <is>
          <t>El proyecto es "vendor-neutral" y de código abierto bajo Apache 2.0, con documentación pública, pero no se identificó un programa de adopción/gobernanza dedicado (a diferencia de productos comerciales con Customer Success).</t>
        </is>
      </c>
      <c r="J915" t="inlineStr">
        <is>
          <t>https://github.com/opencost/opencost</t>
        </is>
      </c>
      <c r="K915" t="inlineStr">
        <is>
          <t>2026-09-16</t>
        </is>
      </c>
      <c r="L915" s="2" t="inlineStr"/>
    </row>
    <row r="916">
      <c r="A916" t="inlineStr">
        <is>
          <t>E3</t>
        </is>
      </c>
      <c r="B916" t="inlineStr">
        <is>
          <t>Kubernetes</t>
        </is>
      </c>
      <c r="C916" t="inlineStr">
        <is>
          <t>OpenCost</t>
        </is>
      </c>
      <c r="D916" t="inlineStr">
        <is>
          <t>Precio</t>
        </is>
      </c>
      <c r="E916" t="inlineStr">
        <is>
          <t>P1</t>
        </is>
      </c>
      <c r="F916" s="2" t="inlineStr">
        <is>
          <t>¿Expone precio, moneda, región, unidad, período y supuestos relevantes?</t>
        </is>
      </c>
      <c r="G916" t="inlineStr">
        <is>
          <t>NE</t>
        </is>
      </c>
      <c r="H916" t="inlineStr">
        <is>
          <t>Pendiente</t>
        </is>
      </c>
      <c r="I916" s="2" t="inlineStr">
        <is>
          <t>OpenCost mide costo de recursos ya desplegados en el clúster; no expone transparencia de precio/supuestos de una estimación (esa función corresponde a herramientas de estimación temprana como Infracost).</t>
        </is>
      </c>
      <c r="J916" t="inlineStr">
        <is>
          <t>https://github.com/opencost/opencost</t>
        </is>
      </c>
      <c r="K916" t="inlineStr">
        <is>
          <t>2026-09-16</t>
        </is>
      </c>
      <c r="L916" s="2" t="inlineStr">
        <is>
          <t>Corrección de alcance FP-180 (2026-09-16): el valor pasa de NA a NE. La justificación NA reinterpreta P1 como estimación previa al despliegue; FP-177 define P1 como exposición de precio, moneda, región, unidad y supuestos, que sí tiene objeto para una herramienta de costo de clúster. Queda NE hasta investigarlo. La evidencia y la fuente originales no se modifican.</t>
        </is>
      </c>
    </row>
    <row r="917">
      <c r="A917" t="inlineStr">
        <is>
          <t>E3</t>
        </is>
      </c>
      <c r="B917" t="inlineStr">
        <is>
          <t>Kubernetes</t>
        </is>
      </c>
      <c r="C917" t="inlineStr">
        <is>
          <t>OpenCost</t>
        </is>
      </c>
      <c r="D917" t="inlineStr">
        <is>
          <t>Precio</t>
        </is>
      </c>
      <c r="E917" t="inlineStr">
        <is>
          <t>P2</t>
        </is>
      </c>
      <c r="F917" s="2" t="inlineStr">
        <is>
          <t>¿Permite estimar o comparar componentes sin ocultar límites de equivalencia?</t>
        </is>
      </c>
      <c r="G917" t="inlineStr">
        <is>
          <t>NE</t>
        </is>
      </c>
      <c r="H917" t="inlineStr">
        <is>
          <t>Pendiente</t>
        </is>
      </c>
      <c r="I917" s="2" t="inlineStr">
        <is>
          <t>Mismo motivo que P1: no es una herramienta de comparación/estimación de precio contextual.</t>
        </is>
      </c>
      <c r="J917" t="inlineStr">
        <is>
          <t>https://github.com/opencost/opencost</t>
        </is>
      </c>
      <c r="K917" t="inlineStr">
        <is>
          <t>2026-09-16</t>
        </is>
      </c>
      <c r="L917" s="2" t="inlineStr">
        <is>
          <t>Corrección de alcance FP-180 (2026-09-16): el valor pasa de NA a NE. Mismo motivo que P1: el indicador tiene objeto y no fue investigado. La evidencia y la fuente originales no se modifican.</t>
        </is>
      </c>
    </row>
    <row r="918">
      <c r="A918" t="inlineStr">
        <is>
          <t>E3</t>
        </is>
      </c>
      <c r="B918" t="inlineStr">
        <is>
          <t>Kubernetes</t>
        </is>
      </c>
      <c r="C918" t="inlineStr">
        <is>
          <t>OpenCost</t>
        </is>
      </c>
      <c r="D918" t="inlineStr">
        <is>
          <t>Dependencia</t>
        </is>
      </c>
      <c r="E918" t="inlineStr">
        <is>
          <t>D1</t>
        </is>
      </c>
      <c r="F918" s="2" t="inlineStr">
        <is>
          <t>¿Exporta datos/resultados en formato utilizable y documentado?</t>
        </is>
      </c>
      <c r="G918" t="n">
        <v>2</v>
      </c>
      <c r="H918" t="inlineStr">
        <is>
          <t>Oficial</t>
        </is>
      </c>
      <c r="I918" s="2" t="inlineStr">
        <is>
          <t>Exportación documentada vía endpoint /metrics de Prometheus, Cost APIs y CLI (kubectl cost), en formatos abiertos y reproducibles.</t>
        </is>
      </c>
      <c r="J918" t="inlineStr">
        <is>
          <t>https://github.com/opencost/opencost</t>
        </is>
      </c>
      <c r="K918" t="inlineStr">
        <is>
          <t>2026-09-16</t>
        </is>
      </c>
      <c r="L918" s="2" t="inlineStr"/>
    </row>
    <row r="919">
      <c r="A919" t="inlineStr">
        <is>
          <t>E3</t>
        </is>
      </c>
      <c r="B919" t="inlineStr">
        <is>
          <t>Kubernetes</t>
        </is>
      </c>
      <c r="C919" t="inlineStr">
        <is>
          <t>OpenCost</t>
        </is>
      </c>
      <c r="D919" t="inlineStr">
        <is>
          <t>Dependencia</t>
        </is>
      </c>
      <c r="E919" t="inlineStr">
        <is>
          <t>D2</t>
        </is>
      </c>
      <c r="F919" s="2" t="inlineStr">
        <is>
          <t>¿Documenta dependencias propietarias y un camino de salida/configuración reversible?</t>
        </is>
      </c>
      <c r="G919" t="n">
        <v>1</v>
      </c>
      <c r="H919" t="inlineStr">
        <is>
          <t>Oficial</t>
        </is>
      </c>
      <c r="I919" s="2" t="inlineStr">
        <is>
          <t>Al ser software open source autoalojado (Apache 2.0), el riesgo de acoplamiento es menor por diseño, pero no se encontró una guía de reversibilidad/salida dedicada.</t>
        </is>
      </c>
      <c r="J919" t="inlineStr">
        <is>
          <t>https://github.com/opencost/opencost</t>
        </is>
      </c>
      <c r="K919" t="inlineStr">
        <is>
          <t>2026-09-16</t>
        </is>
      </c>
      <c r="L919" s="2" t="inlineStr"/>
    </row>
    <row r="920">
      <c r="A920" t="inlineStr">
        <is>
          <t>E5</t>
        </is>
      </c>
      <c r="B920" t="inlineStr">
        <is>
          <t>Kubernetes</t>
        </is>
      </c>
      <c r="C920" t="inlineStr">
        <is>
          <t>OpenCost</t>
        </is>
      </c>
      <c r="D920" t="inlineStr">
        <is>
          <t>Visibilidad</t>
        </is>
      </c>
      <c r="E920" t="inlineStr">
        <is>
          <t>V1</t>
        </is>
      </c>
      <c r="F920" s="2" t="inlineStr">
        <is>
          <t>¿Desagrega costo y uso por cuenta/proyecto, servicio y período?</t>
        </is>
      </c>
      <c r="G920" t="inlineStr">
        <is>
          <t>NE</t>
        </is>
      </c>
      <c r="H920" t="inlineStr">
        <is>
          <t>Pendiente</t>
        </is>
      </c>
      <c r="I920" s="2" t="inlineStr">
        <is>
          <t>Asignación de costo en tiempo real por clúster, nodo, namespace, tipo de controlador, controlador, servicio o pod, con soporte multicloud vía integraciones con las APIs de facturación de AWS, Azure y GCP.</t>
        </is>
      </c>
      <c r="J920" t="inlineStr">
        <is>
          <t>https://github.com/opencost/opencost</t>
        </is>
      </c>
      <c r="K920" t="inlineStr">
        <is>
          <t>2026-09-16</t>
        </is>
      </c>
      <c r="L920" s="2" t="inlineStr">
        <is>
          <t>Celda heredada FP-180 (2026-09-16): el valor 2 proviene de la investigacion del escenario E3 y no cuenta con evidencia propia de E5. Segun FP-177 el indicador V1 depende del escenario, por lo que pasa a NE (no evidenciado, reduce cobertura) hasta investigarlo. La evidencia y la fuente originales se conservan como referencia del escenario de origen.</t>
        </is>
      </c>
    </row>
    <row r="921">
      <c r="A921" t="inlineStr">
        <is>
          <t>E5</t>
        </is>
      </c>
      <c r="B921" t="inlineStr">
        <is>
          <t>Kubernetes</t>
        </is>
      </c>
      <c r="C921" t="inlineStr">
        <is>
          <t>OpenCost</t>
        </is>
      </c>
      <c r="D921" t="inlineStr">
        <is>
          <t>Visibilidad</t>
        </is>
      </c>
      <c r="E921" t="inlineStr">
        <is>
          <t>V2</t>
        </is>
      </c>
      <c r="F921" s="2" t="inlineStr">
        <is>
          <t>¿Permite rastrear un total hasta registros o fuente de facturación?</t>
        </is>
      </c>
      <c r="G921" t="n">
        <v>1</v>
      </c>
      <c r="H921" t="inlineStr">
        <is>
          <t>Oficial</t>
        </is>
      </c>
      <c r="I921" s="2" t="inlineStr">
        <is>
          <t>El export a Prometheus (endpoint /metrics) permite rastrear el detalle de costo por recurso, pero no se documentó una reconciliación explícita con la factura del proveedor.</t>
        </is>
      </c>
      <c r="J921" t="inlineStr">
        <is>
          <t>https://github.com/opencost/opencost</t>
        </is>
      </c>
      <c r="K921" t="inlineStr">
        <is>
          <t>2026-09-16</t>
        </is>
      </c>
      <c r="L921" s="2" t="inlineStr"/>
    </row>
    <row r="922">
      <c r="A922" t="inlineStr">
        <is>
          <t>E5</t>
        </is>
      </c>
      <c r="B922" t="inlineStr">
        <is>
          <t>Kubernetes</t>
        </is>
      </c>
      <c r="C922" t="inlineStr">
        <is>
          <t>OpenCost</t>
        </is>
      </c>
      <c r="D922" t="inlineStr">
        <is>
          <t>Asignacion</t>
        </is>
      </c>
      <c r="E922" t="inlineStr">
        <is>
          <t>A1</t>
        </is>
      </c>
      <c r="F922" s="2" t="inlineStr">
        <is>
          <t>¿Calcula gasto asignado/no asignado por responsable, centro o entidad?</t>
        </is>
      </c>
      <c r="G922" t="inlineStr">
        <is>
          <t>NE</t>
        </is>
      </c>
      <c r="H922" t="inlineStr">
        <is>
          <t>Pendiente</t>
        </is>
      </c>
      <c r="I922" s="2" t="inlineStr">
        <is>
          <t>El costo idle puede repartirse o excluirse explícitamente entre los recursos, con configuración para incluir/excluir el costo no utilizado del cálculo por namespace/pod.</t>
        </is>
      </c>
      <c r="J922" t="inlineStr">
        <is>
          <t>https://github.com/opencost/opencost</t>
        </is>
      </c>
      <c r="K922" t="inlineStr">
        <is>
          <t>2026-09-16</t>
        </is>
      </c>
      <c r="L922" s="2" t="inlineStr">
        <is>
          <t>Celda heredada FP-180 (2026-09-16): el valor 2 proviene de la investigacion del escenario E3 y no cuenta con evidencia propia de E5. Segun FP-177 el indicador A1 depende del escenario, por lo que pasa a NE (no evidenciado, reduce cobertura) hasta investigarlo. La evidencia y la fuente originales se conservan como referencia del escenario de origen.</t>
        </is>
      </c>
    </row>
    <row r="923">
      <c r="A923" t="inlineStr">
        <is>
          <t>E5</t>
        </is>
      </c>
      <c r="B923" t="inlineStr">
        <is>
          <t>Kubernetes</t>
        </is>
      </c>
      <c r="C923" t="inlineStr">
        <is>
          <t>OpenCost</t>
        </is>
      </c>
      <c r="D923" t="inlineStr">
        <is>
          <t>Asignacion</t>
        </is>
      </c>
      <c r="E923" t="inlineStr">
        <is>
          <t>A2</t>
        </is>
      </c>
      <c r="F923" s="2" t="inlineStr">
        <is>
          <t>¿Explicita y aplica reglas para costo compartido/multi-tenant?</t>
        </is>
      </c>
      <c r="G923" t="inlineStr">
        <is>
          <t>NE</t>
        </is>
      </c>
      <c r="H923" t="inlineStr">
        <is>
          <t>Pendiente</t>
        </is>
      </c>
      <c r="I923" s="2" t="inlineStr">
        <is>
          <t>El reparto de costo idle es configurable (incluir/excluir), pero no se documentó un mecanismo de reparto porcentual de costo compartido más allá de esa función.</t>
        </is>
      </c>
      <c r="J923" t="inlineStr">
        <is>
          <t>https://github.com/opencost/opencost</t>
        </is>
      </c>
      <c r="K923" t="inlineStr">
        <is>
          <t>2026-09-16</t>
        </is>
      </c>
      <c r="L923" s="2" t="inlineStr">
        <is>
          <t>Celda heredada FP-180 (2026-09-16): el valor 1 proviene de la investigacion del escenario E3 y no cuenta con evidencia propia de E5. Segun FP-177 el indicador A2 depende del escenario, por lo que pasa a NE (no evidenciado, reduce cobertura) hasta investigarlo. La evidencia y la fuente originales se conservan como referencia del escenario de origen.</t>
        </is>
      </c>
    </row>
    <row r="924">
      <c r="A924" t="inlineStr">
        <is>
          <t>E5</t>
        </is>
      </c>
      <c r="B924" t="inlineStr">
        <is>
          <t>Kubernetes</t>
        </is>
      </c>
      <c r="C924" t="inlineStr">
        <is>
          <t>OpenCost</t>
        </is>
      </c>
      <c r="D924" t="inlineStr">
        <is>
          <t>Optimizacion</t>
        </is>
      </c>
      <c r="E924" t="inlineStr">
        <is>
          <t>O1</t>
        </is>
      </c>
      <c r="F924" s="2" t="inlineStr">
        <is>
          <t>¿Detecta desperdicio, rightsizing o compromiso relevante al escenario?</t>
        </is>
      </c>
      <c r="G924" t="inlineStr">
        <is>
          <t>NE</t>
        </is>
      </c>
      <c r="H924" t="inlineStr">
        <is>
          <t>Pendiente</t>
        </is>
      </c>
      <c r="I924" s="2" t="inlineStr">
        <is>
          <t>El proyecto declara ofrecer "rightsizing recommendations and cost savings analysis" para informar decisiones manuales de optimización; no se encontró más detalle específico por proveedor.</t>
        </is>
      </c>
      <c r="J924" t="inlineStr">
        <is>
          <t>https://github.com/opencost/opencost</t>
        </is>
      </c>
      <c r="K924" t="inlineStr">
        <is>
          <t>2026-09-16</t>
        </is>
      </c>
      <c r="L924" s="2" t="inlineStr">
        <is>
          <t>Celda heredada FP-180 (2026-09-16): el valor 1 proviene de la investigacion del escenario E3 y no cuenta con evidencia propia de E5. Segun FP-177 el indicador O1 depende del escenario, por lo que pasa a NE (no evidenciado, reduce cobertura) hasta investigarlo. La evidencia y la fuente originales se conservan como referencia del escenario de origen.</t>
        </is>
      </c>
    </row>
    <row r="925">
      <c r="A925" t="inlineStr">
        <is>
          <t>E5</t>
        </is>
      </c>
      <c r="B925" t="inlineStr">
        <is>
          <t>Kubernetes</t>
        </is>
      </c>
      <c r="C925" t="inlineStr">
        <is>
          <t>OpenCost</t>
        </is>
      </c>
      <c r="D925" t="inlineStr">
        <is>
          <t>Optimizacion</t>
        </is>
      </c>
      <c r="E925" t="inlineStr">
        <is>
          <t>O2</t>
        </is>
      </c>
      <c r="F925" s="2" t="inlineStr">
        <is>
          <t>¿Explica supuesto/impacto y permite seguir una recomendación?</t>
        </is>
      </c>
      <c r="G925" t="n">
        <v>0</v>
      </c>
      <c r="H925" t="inlineStr">
        <is>
          <t>Oficial (ausencia verificada)</t>
        </is>
      </c>
      <c r="I925" s="2" t="inlineStr">
        <is>
          <t>OpenCost funciona explícitamente como "herramienta de visibilidad y medición únicamente"; no ejecuta ni da seguimiento a un ciclo de realización de ahorro, por lo que no aplica evaluar seguimiento de una acción que no ejecuta.</t>
        </is>
      </c>
      <c r="J925" t="inlineStr">
        <is>
          <t>https://github.com/opencost/opencost</t>
        </is>
      </c>
      <c r="K925" t="inlineStr">
        <is>
          <t>2026-09-16</t>
        </is>
      </c>
      <c r="L92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926">
      <c r="A926" t="inlineStr">
        <is>
          <t>E5</t>
        </is>
      </c>
      <c r="B926" t="inlineStr">
        <is>
          <t>Kubernetes</t>
        </is>
      </c>
      <c r="C926" t="inlineStr">
        <is>
          <t>OpenCost</t>
        </is>
      </c>
      <c r="D926" t="inlineStr">
        <is>
          <t>Automatizacion</t>
        </is>
      </c>
      <c r="E926" t="inlineStr">
        <is>
          <t>AU1</t>
        </is>
      </c>
      <c r="F926" s="2" t="inlineStr">
        <is>
          <t>¿Ejecuta o bloquea acciones/políticas de costo con control verificable?</t>
        </is>
      </c>
      <c r="G926" t="inlineStr">
        <is>
          <t>NE</t>
        </is>
      </c>
      <c r="H926" t="inlineStr">
        <is>
          <t>Pendiente</t>
        </is>
      </c>
      <c r="I926" s="2" t="inlineStr">
        <is>
          <t>OpenCost es, según su propia documentación, una herramienta de visibilidad y medición únicamente: no ejecuta acciones ni controla recursos.</t>
        </is>
      </c>
      <c r="J926" t="inlineStr">
        <is>
          <t>https://github.com/opencost/opencost</t>
        </is>
      </c>
      <c r="K926" t="inlineStr">
        <is>
          <t>2026-09-16</t>
        </is>
      </c>
      <c r="L926" s="2" t="inlineStr">
        <is>
          <t>Celda heredada FP-180 (2026-09-16): el valor 0 proviene de la investigacion del escenario E3 y no cuenta con evidencia propia de E5. Segun FP-177 el indicador AU1 depende del escenario, por lo que pasa a NE (no evidenciado, reduce cobertura) hasta investigarlo. La evidencia y la fuente originales se conservan como referencia del escenario de origen.</t>
        </is>
      </c>
    </row>
    <row r="927">
      <c r="A927" t="inlineStr">
        <is>
          <t>E5</t>
        </is>
      </c>
      <c r="B927" t="inlineStr">
        <is>
          <t>Kubernetes</t>
        </is>
      </c>
      <c r="C927" t="inlineStr">
        <is>
          <t>OpenCost</t>
        </is>
      </c>
      <c r="D927" t="inlineStr">
        <is>
          <t>Automatizacion</t>
        </is>
      </c>
      <c r="E927" t="inlineStr">
        <is>
          <t>AU2</t>
        </is>
      </c>
      <c r="F927" s="2" t="inlineStr">
        <is>
          <t>¿Ofrece aprobación, reversión, registro o límites antes de actuar?</t>
        </is>
      </c>
      <c r="G927" t="inlineStr">
        <is>
          <t>NA</t>
        </is>
      </c>
      <c r="H927" t="inlineStr">
        <is>
          <t>Justificación de alcance</t>
        </is>
      </c>
      <c r="I927" s="2" t="inlineStr">
        <is>
          <t>Al no ejecutar acciones (ver AU1), no aplica evaluar salvaguardas de ejecución.</t>
        </is>
      </c>
      <c r="J927" t="inlineStr">
        <is>
          <t>https://github.com/opencost/opencost</t>
        </is>
      </c>
      <c r="K927" t="inlineStr">
        <is>
          <t>2026-09-16</t>
        </is>
      </c>
      <c r="L927" s="2" t="inlineStr"/>
    </row>
    <row r="928">
      <c r="A928" t="inlineStr">
        <is>
          <t>E5</t>
        </is>
      </c>
      <c r="B928" t="inlineStr">
        <is>
          <t>Kubernetes</t>
        </is>
      </c>
      <c r="C928" t="inlineStr">
        <is>
          <t>OpenCost</t>
        </is>
      </c>
      <c r="D928" t="inlineStr">
        <is>
          <t>Multicloud</t>
        </is>
      </c>
      <c r="E928" t="inlineStr">
        <is>
          <t>M1</t>
        </is>
      </c>
      <c r="F928" s="2" t="inlineStr">
        <is>
          <t>¿Consolida al menos dos proveedores bajo el mismo esquema declarado?</t>
        </is>
      </c>
      <c r="G928" t="n">
        <v>0</v>
      </c>
      <c r="H928" t="inlineStr">
        <is>
          <t>Oficial</t>
        </is>
      </c>
      <c r="I928" s="2" t="inlineStr">
        <is>
          <t>OpenCost mide el costo dentro de un clúster de Kubernetes; aunque usa las APIs de precio de AWS/Azure/GCP para valorar los recursos de ese clúster, no consolida gasto de cuentas/facturación de múltiples proveedores bajo un mismo esquema (esa función corresponde a las plataformas de la categoría Multicloud).</t>
        </is>
      </c>
      <c r="J928" t="inlineStr">
        <is>
          <t>https://github.com/opencost/opencost</t>
        </is>
      </c>
      <c r="K928" t="inlineStr">
        <is>
          <t>2026-09-16</t>
        </is>
      </c>
      <c r="L928" s="2" t="inlineStr"/>
    </row>
    <row r="929">
      <c r="A929" t="inlineStr">
        <is>
          <t>E5</t>
        </is>
      </c>
      <c r="B929" t="inlineStr">
        <is>
          <t>Kubernetes</t>
        </is>
      </c>
      <c r="C929" t="inlineStr">
        <is>
          <t>OpenCost</t>
        </is>
      </c>
      <c r="D929" t="inlineStr">
        <is>
          <t>Multicloud</t>
        </is>
      </c>
      <c r="E929" t="inlineStr">
        <is>
          <t>M2</t>
        </is>
      </c>
      <c r="F929" s="2" t="inlineStr">
        <is>
          <t>¿Hace visibles proveedor, cobertura y diferencias semánticas?</t>
        </is>
      </c>
      <c r="G929" t="n">
        <v>0</v>
      </c>
      <c r="H929" t="inlineStr">
        <is>
          <t>Oficial</t>
        </is>
      </c>
      <c r="I929" s="2" t="inlineStr">
        <is>
          <t>Mismo motivo que M1: no es una herramienta de consolidación multicloud de facturación.</t>
        </is>
      </c>
      <c r="J929" t="inlineStr">
        <is>
          <t>https://github.com/opencost/opencost</t>
        </is>
      </c>
      <c r="K929" t="inlineStr">
        <is>
          <t>2026-09-16</t>
        </is>
      </c>
      <c r="L929" s="2" t="inlineStr"/>
    </row>
    <row r="930">
      <c r="A930" t="inlineStr">
        <is>
          <t>E5</t>
        </is>
      </c>
      <c r="B930" t="inlineStr">
        <is>
          <t>Kubernetes</t>
        </is>
      </c>
      <c r="C930" t="inlineStr">
        <is>
          <t>OpenCost</t>
        </is>
      </c>
      <c r="D930" t="inlineStr">
        <is>
          <t>Integracion</t>
        </is>
      </c>
      <c r="E930" t="inlineStr">
        <is>
          <t>I1</t>
        </is>
      </c>
      <c r="F930" s="2" t="inlineStr">
        <is>
          <t>¿Integra datos requeridos (facturación, uso, clúster o IaC) del escenario?</t>
        </is>
      </c>
      <c r="G930" t="inlineStr">
        <is>
          <t>NE</t>
        </is>
      </c>
      <c r="H930" t="inlineStr">
        <is>
          <t>Pendiente</t>
        </is>
      </c>
      <c r="I930" s="2" t="inlineStr">
        <is>
          <t>Precio dinámico de activos mediante integraciones con las APIs de facturación de AWS, Azure y GCP, con soporte adicional para clústeres on-premises mediante hojas de precio personalizadas (CSV).</t>
        </is>
      </c>
      <c r="J930" t="inlineStr">
        <is>
          <t>https://github.com/opencost/opencost</t>
        </is>
      </c>
      <c r="K930" t="inlineStr">
        <is>
          <t>2026-09-16</t>
        </is>
      </c>
      <c r="L930" s="2" t="inlineStr">
        <is>
          <t>Celda heredada FP-180 (2026-09-16): el valor 2 proviene de la investigacion del escenario E3 y no cuenta con evidencia propia de E5. Segun FP-177 el indicador I1 depende del escenario, por lo que pasa a NE (no evidenciado, reduce cobertura) hasta investigarlo. La evidencia y la fuente originales se conservan como referencia del escenario de origen.</t>
        </is>
      </c>
    </row>
    <row r="931">
      <c r="A931" t="inlineStr">
        <is>
          <t>E5</t>
        </is>
      </c>
      <c r="B931" t="inlineStr">
        <is>
          <t>Kubernetes</t>
        </is>
      </c>
      <c r="C931" t="inlineStr">
        <is>
          <t>OpenCost</t>
        </is>
      </c>
      <c r="D931" t="inlineStr">
        <is>
          <t>Integracion</t>
        </is>
      </c>
      <c r="E931" t="inlineStr">
        <is>
          <t>I2</t>
        </is>
      </c>
      <c r="F931" s="2" t="inlineStr">
        <is>
          <t>¿Se integra con el flujo de trabajo relevante (alerta, ticket, CI/CD o reporte)?</t>
        </is>
      </c>
      <c r="G931" t="inlineStr">
        <is>
          <t>NE</t>
        </is>
      </c>
      <c r="H931" t="inlineStr">
        <is>
          <t>Pendiente</t>
        </is>
      </c>
      <c r="I931" s="2" t="inlineStr">
        <is>
          <t>Acceso mediante interfaz web, Cost APIs, plugin de kubectl (CLI) y exportador de métricas de Prometheus, integrándose al flujo de observabilidad existente del equipo.</t>
        </is>
      </c>
      <c r="J931" t="inlineStr">
        <is>
          <t>https://github.com/opencost/opencost</t>
        </is>
      </c>
      <c r="K931" t="inlineStr">
        <is>
          <t>2026-09-16</t>
        </is>
      </c>
      <c r="L931" s="2" t="inlineStr">
        <is>
          <t>Celda heredada FP-180 (2026-09-16): el valor 2 proviene de la investigacion del escenario E3 y no cuenta con evidencia propia de E5. Segun FP-177 el indicador I2 depende del escenario, por lo que pasa a NE (no evidenciado, reduce cobertura) hasta investigarlo. La evidencia y la fuente originales se conservan como referencia del escenario de origen.</t>
        </is>
      </c>
    </row>
    <row r="932">
      <c r="A932" t="inlineStr">
        <is>
          <t>E5</t>
        </is>
      </c>
      <c r="B932" t="inlineStr">
        <is>
          <t>Kubernetes</t>
        </is>
      </c>
      <c r="C932" t="inlineStr">
        <is>
          <t>OpenCost</t>
        </is>
      </c>
      <c r="D932" t="inlineStr">
        <is>
          <t>Adopcion</t>
        </is>
      </c>
      <c r="E932" t="inlineStr">
        <is>
          <t>AD1</t>
        </is>
      </c>
      <c r="F932" s="2" t="inlineStr">
        <is>
          <t>¿Soporta acceso/entrega para los roles del escenario?</t>
        </is>
      </c>
      <c r="G932" t="inlineStr">
        <is>
          <t>NE</t>
        </is>
      </c>
      <c r="H932" t="inlineStr">
        <is>
          <t>Pendiente</t>
        </is>
      </c>
      <c r="I932" s="2" t="inlineStr">
        <is>
          <t>No se encontró, en la documentación revisada, un modelo de roles/permisos propio del proyecto (es software open source autoalojado; el control de acceso depende de la infraestructura de Kubernetes del equipo).</t>
        </is>
      </c>
      <c r="K932" t="inlineStr">
        <is>
          <t>2026-09-16</t>
        </is>
      </c>
      <c r="L932" s="2" t="inlineStr"/>
    </row>
    <row r="933">
      <c r="A933" t="inlineStr">
        <is>
          <t>E5</t>
        </is>
      </c>
      <c r="B933" t="inlineStr">
        <is>
          <t>Kubernetes</t>
        </is>
      </c>
      <c r="C933" t="inlineStr">
        <is>
          <t>OpenCost</t>
        </is>
      </c>
      <c r="D933" t="inlineStr">
        <is>
          <t>Adopcion</t>
        </is>
      </c>
      <c r="E933" t="inlineStr">
        <is>
          <t>AD2</t>
        </is>
      </c>
      <c r="F933" s="2" t="inlineStr">
        <is>
          <t>¿Ofrece guías, ownership o mecanismos de seguimiento para uso sostenido?</t>
        </is>
      </c>
      <c r="G933" t="n">
        <v>1</v>
      </c>
      <c r="H933" t="inlineStr">
        <is>
          <t>Oficial</t>
        </is>
      </c>
      <c r="I933" s="2" t="inlineStr">
        <is>
          <t>El proyecto es "vendor-neutral" y de código abierto bajo Apache 2.0, con documentación pública, pero no se identificó un programa de adopción/gobernanza dedicado (a diferencia de productos comerciales con Customer Success).</t>
        </is>
      </c>
      <c r="J933" t="inlineStr">
        <is>
          <t>https://github.com/opencost/opencost</t>
        </is>
      </c>
      <c r="K933" t="inlineStr">
        <is>
          <t>2026-09-16</t>
        </is>
      </c>
      <c r="L933" s="2" t="inlineStr"/>
    </row>
    <row r="934">
      <c r="A934" t="inlineStr">
        <is>
          <t>E5</t>
        </is>
      </c>
      <c r="B934" t="inlineStr">
        <is>
          <t>Kubernetes</t>
        </is>
      </c>
      <c r="C934" t="inlineStr">
        <is>
          <t>OpenCost</t>
        </is>
      </c>
      <c r="D934" t="inlineStr">
        <is>
          <t>Precio</t>
        </is>
      </c>
      <c r="E934" t="inlineStr">
        <is>
          <t>P1</t>
        </is>
      </c>
      <c r="F934" s="2" t="inlineStr">
        <is>
          <t>¿Expone precio, moneda, región, unidad, período y supuestos relevantes?</t>
        </is>
      </c>
      <c r="G934" t="inlineStr">
        <is>
          <t>NE</t>
        </is>
      </c>
      <c r="H934" t="inlineStr">
        <is>
          <t>Pendiente</t>
        </is>
      </c>
      <c r="I934" s="2" t="inlineStr">
        <is>
          <t>OpenCost mide costo de recursos ya desplegados en el clúster; no expone transparencia de precio/supuestos de una estimación (esa función corresponde a herramientas de estimación temprana como Infracost).</t>
        </is>
      </c>
      <c r="J934" t="inlineStr">
        <is>
          <t>https://github.com/opencost/opencost</t>
        </is>
      </c>
      <c r="K934" t="inlineStr">
        <is>
          <t>2026-09-16</t>
        </is>
      </c>
      <c r="L934" s="2" t="inlineStr">
        <is>
          <t>Corrección de alcance FP-180 (2026-09-16): el valor pasa de NA a NE. La justificación NA reinterpreta P1 como estimación previa al despliegue; FP-177 define P1 como exposición de precio, moneda, región, unidad y supuestos, que sí tiene objeto para una herramienta de costo de clúster. Queda NE hasta investigarlo. La evidencia y la fuente originales no se modifican.</t>
        </is>
      </c>
    </row>
    <row r="935">
      <c r="A935" t="inlineStr">
        <is>
          <t>E5</t>
        </is>
      </c>
      <c r="B935" t="inlineStr">
        <is>
          <t>Kubernetes</t>
        </is>
      </c>
      <c r="C935" t="inlineStr">
        <is>
          <t>OpenCost</t>
        </is>
      </c>
      <c r="D935" t="inlineStr">
        <is>
          <t>Precio</t>
        </is>
      </c>
      <c r="E935" t="inlineStr">
        <is>
          <t>P2</t>
        </is>
      </c>
      <c r="F935" s="2" t="inlineStr">
        <is>
          <t>¿Permite estimar o comparar componentes sin ocultar límites de equivalencia?</t>
        </is>
      </c>
      <c r="G935" t="inlineStr">
        <is>
          <t>NE</t>
        </is>
      </c>
      <c r="H935" t="inlineStr">
        <is>
          <t>Pendiente</t>
        </is>
      </c>
      <c r="I935" s="2" t="inlineStr">
        <is>
          <t>Mismo motivo que P1: no es una herramienta de comparación/estimación de precio contextual.</t>
        </is>
      </c>
      <c r="J935" t="inlineStr">
        <is>
          <t>https://github.com/opencost/opencost</t>
        </is>
      </c>
      <c r="K935" t="inlineStr">
        <is>
          <t>2026-09-16</t>
        </is>
      </c>
      <c r="L935" s="2" t="inlineStr">
        <is>
          <t>Corrección de alcance FP-180 (2026-09-16): el valor pasa de NA a NE. Mismo motivo que P1: el indicador tiene objeto y no fue investigado. La evidencia y la fuente originales no se modifican.</t>
        </is>
      </c>
    </row>
    <row r="936">
      <c r="A936" t="inlineStr">
        <is>
          <t>E5</t>
        </is>
      </c>
      <c r="B936" t="inlineStr">
        <is>
          <t>Kubernetes</t>
        </is>
      </c>
      <c r="C936" t="inlineStr">
        <is>
          <t>OpenCost</t>
        </is>
      </c>
      <c r="D936" t="inlineStr">
        <is>
          <t>Dependencia</t>
        </is>
      </c>
      <c r="E936" t="inlineStr">
        <is>
          <t>D1</t>
        </is>
      </c>
      <c r="F936" s="2" t="inlineStr">
        <is>
          <t>¿Exporta datos/resultados en formato utilizable y documentado?</t>
        </is>
      </c>
      <c r="G936" t="n">
        <v>2</v>
      </c>
      <c r="H936" t="inlineStr">
        <is>
          <t>Oficial</t>
        </is>
      </c>
      <c r="I936" s="2" t="inlineStr">
        <is>
          <t>Exportación documentada vía endpoint /metrics de Prometheus, Cost APIs y CLI (kubectl cost), en formatos abiertos y reproducibles.</t>
        </is>
      </c>
      <c r="J936" t="inlineStr">
        <is>
          <t>https://github.com/opencost/opencost</t>
        </is>
      </c>
      <c r="K936" t="inlineStr">
        <is>
          <t>2026-09-16</t>
        </is>
      </c>
      <c r="L936" s="2" t="inlineStr"/>
    </row>
    <row r="937">
      <c r="A937" t="inlineStr">
        <is>
          <t>E5</t>
        </is>
      </c>
      <c r="B937" t="inlineStr">
        <is>
          <t>Kubernetes</t>
        </is>
      </c>
      <c r="C937" t="inlineStr">
        <is>
          <t>OpenCost</t>
        </is>
      </c>
      <c r="D937" t="inlineStr">
        <is>
          <t>Dependencia</t>
        </is>
      </c>
      <c r="E937" t="inlineStr">
        <is>
          <t>D2</t>
        </is>
      </c>
      <c r="F937" s="2" t="inlineStr">
        <is>
          <t>¿Documenta dependencias propietarias y un camino de salida/configuración reversible?</t>
        </is>
      </c>
      <c r="G937" t="n">
        <v>1</v>
      </c>
      <c r="H937" t="inlineStr">
        <is>
          <t>Oficial</t>
        </is>
      </c>
      <c r="I937" s="2" t="inlineStr">
        <is>
          <t>Al ser software open source autoalojado (Apache 2.0), el riesgo de acoplamiento es menor por diseño, pero no se encontró una guía de reversibilidad/salida dedicada.</t>
        </is>
      </c>
      <c r="J937" t="inlineStr">
        <is>
          <t>https://github.com/opencost/opencost</t>
        </is>
      </c>
      <c r="K937" t="inlineStr">
        <is>
          <t>2026-09-16</t>
        </is>
      </c>
      <c r="L937" s="2" t="inlineStr"/>
    </row>
    <row r="938">
      <c r="A938" t="inlineStr">
        <is>
          <t>E3</t>
        </is>
      </c>
      <c r="B938" t="inlineStr">
        <is>
          <t>Kubernetes</t>
        </is>
      </c>
      <c r="C938" t="inlineStr">
        <is>
          <t>Kubecost</t>
        </is>
      </c>
      <c r="D938" t="inlineStr">
        <is>
          <t>Visibilidad</t>
        </is>
      </c>
      <c r="E938" t="inlineStr">
        <is>
          <t>V1</t>
        </is>
      </c>
      <c r="F938" s="2" t="inlineStr">
        <is>
          <t>¿Desagrega costo y uso por cuenta/proyecto, servicio y período?</t>
        </is>
      </c>
      <c r="G938" t="n">
        <v>2</v>
      </c>
      <c r="H938" t="inlineStr">
        <is>
          <t>Oficial</t>
        </is>
      </c>
      <c r="I938" s="2" t="inlineStr">
        <is>
          <t>Asignación de costo en tiempo real por Service, Deployment, Namespace, label, StatefulSet, DaemonSet, Pod y contenedor ("Allocation view"), con desglose de CPU, memoria, volúmenes persistentes y red.</t>
        </is>
      </c>
      <c r="J938" t="inlineStr">
        <is>
          <t>https://kubecost.github.io/cost-analyzer/</t>
        </is>
      </c>
      <c r="K938" t="inlineStr">
        <is>
          <t>2026-09-16</t>
        </is>
      </c>
      <c r="L938" s="2" t="inlineStr"/>
    </row>
    <row r="939">
      <c r="A939" t="inlineStr">
        <is>
          <t>E3</t>
        </is>
      </c>
      <c r="B939" t="inlineStr">
        <is>
          <t>Kubernetes</t>
        </is>
      </c>
      <c r="C939" t="inlineStr">
        <is>
          <t>Kubecost</t>
        </is>
      </c>
      <c r="D939" t="inlineStr">
        <is>
          <t>Visibilidad</t>
        </is>
      </c>
      <c r="E939" t="inlineStr">
        <is>
          <t>V2</t>
        </is>
      </c>
      <c r="F939" s="2" t="inlineStr">
        <is>
          <t>¿Permite rastrear un total hasta registros o fuente de facturación?</t>
        </is>
      </c>
      <c r="G939" t="n">
        <v>1</v>
      </c>
      <c r="H939" t="inlineStr">
        <is>
          <t>Oficial</t>
        </is>
      </c>
      <c r="I939" s="2" t="inlineStr">
        <is>
          <t>Se conecta con Microsoft Cost Export y la Azure Billing Rate Card API para AKS, lo que sugiere una vía de reconciliación con la facturación real, pero no se documentó el detalle específico de esa reconciliación.</t>
        </is>
      </c>
      <c r="J939" t="inlineStr">
        <is>
          <t>https://learn.microsoft.com/en-us/azure/cloud-adoption-framework/scenarios/app-platform/aks/cost-governance-with-kubecost</t>
        </is>
      </c>
      <c r="K939" t="inlineStr">
        <is>
          <t>2026-09-16</t>
        </is>
      </c>
      <c r="L939" s="2" t="inlineStr"/>
    </row>
    <row r="940">
      <c r="A940" t="inlineStr">
        <is>
          <t>E3</t>
        </is>
      </c>
      <c r="B940" t="inlineStr">
        <is>
          <t>Kubernetes</t>
        </is>
      </c>
      <c r="C940" t="inlineStr">
        <is>
          <t>Kubecost</t>
        </is>
      </c>
      <c r="D940" t="inlineStr">
        <is>
          <t>Asignacion</t>
        </is>
      </c>
      <c r="E940" t="inlineStr">
        <is>
          <t>A1</t>
        </is>
      </c>
      <c r="F940" s="2" t="inlineStr">
        <is>
          <t>¿Calcula gasto asignado/no asignado por responsable, centro o entidad?</t>
        </is>
      </c>
      <c r="G940" t="n">
        <v>2</v>
      </c>
      <c r="H940" t="inlineStr">
        <is>
          <t>Oficial</t>
        </is>
      </c>
      <c r="I940" s="2" t="inlineStr">
        <is>
          <t>El alcance de asignación es configurable a nivel de deployment, servicio, label, pod o namespace, habilitando explícitamente showback y chargeback a los usuarios del clúster.</t>
        </is>
      </c>
      <c r="J940" t="inlineStr">
        <is>
          <t>https://learn.microsoft.com/en-us/azure/cloud-adoption-framework/scenarios/app-platform/aks/cost-governance-with-kubecost</t>
        </is>
      </c>
      <c r="K940" t="inlineStr">
        <is>
          <t>2026-09-16</t>
        </is>
      </c>
      <c r="L940" s="2" t="inlineStr"/>
    </row>
    <row r="941">
      <c r="A941" t="inlineStr">
        <is>
          <t>E3</t>
        </is>
      </c>
      <c r="B941" t="inlineStr">
        <is>
          <t>Kubernetes</t>
        </is>
      </c>
      <c r="C941" t="inlineStr">
        <is>
          <t>Kubecost</t>
        </is>
      </c>
      <c r="D941" t="inlineStr">
        <is>
          <t>Asignacion</t>
        </is>
      </c>
      <c r="E941" t="inlineStr">
        <is>
          <t>A2</t>
        </is>
      </c>
      <c r="F941" s="2" t="inlineStr">
        <is>
          <t>¿Explicita y aplica reglas para costo compartido/multi-tenant?</t>
        </is>
      </c>
      <c r="G941" t="n">
        <v>1</v>
      </c>
      <c r="H941" t="inlineStr">
        <is>
          <t>Oficial</t>
        </is>
      </c>
      <c r="I941" s="2" t="inlineStr">
        <is>
          <t>La asignación por label/namespace permite repartir costo compartido de un clúster entre equipos, pero no se documentó un mecanismo de reparto porcentual explícito para recursos compartidos entre namespaces.</t>
        </is>
      </c>
      <c r="J941" t="inlineStr">
        <is>
          <t>https://learn.microsoft.com/en-us/azure/cloud-adoption-framework/scenarios/app-platform/aks/cost-governance-with-kubecost</t>
        </is>
      </c>
      <c r="K941" t="inlineStr">
        <is>
          <t>2026-09-16</t>
        </is>
      </c>
      <c r="L941" s="2" t="inlineStr"/>
    </row>
    <row r="942">
      <c r="A942" t="inlineStr">
        <is>
          <t>E3</t>
        </is>
      </c>
      <c r="B942" t="inlineStr">
        <is>
          <t>Kubernetes</t>
        </is>
      </c>
      <c r="C942" t="inlineStr">
        <is>
          <t>Kubecost</t>
        </is>
      </c>
      <c r="D942" t="inlineStr">
        <is>
          <t>Optimizacion</t>
        </is>
      </c>
      <c r="E942" t="inlineStr">
        <is>
          <t>O1</t>
        </is>
      </c>
      <c r="F942" s="2" t="inlineStr">
        <is>
          <t>¿Detecta desperdicio, rightsizing o compromiso relevante al escenario?</t>
        </is>
      </c>
      <c r="G942" t="n">
        <v>2</v>
      </c>
      <c r="H942" t="inlineStr">
        <is>
          <t>Oficial</t>
        </is>
      </c>
      <c r="I942" s="2" t="inlineStr">
        <is>
          <t>La vista "Savings" identifica nodos/pods subutilizados, recursos abandonados y solicitudes sobreaprovisionadas ("overprovisioned requests"), con datos de precio dinámico de AWS/Azure/GCP.</t>
        </is>
      </c>
      <c r="J942" t="inlineStr">
        <is>
          <t>https://learn.microsoft.com/en-us/azure/cloud-adoption-framework/scenarios/app-platform/aks/cost-governance-with-kubecost</t>
        </is>
      </c>
      <c r="K942" t="inlineStr">
        <is>
          <t>2026-09-16</t>
        </is>
      </c>
      <c r="L942" s="2" t="inlineStr"/>
    </row>
    <row r="943">
      <c r="A943" t="inlineStr">
        <is>
          <t>E3</t>
        </is>
      </c>
      <c r="B943" t="inlineStr">
        <is>
          <t>Kubernetes</t>
        </is>
      </c>
      <c r="C943" t="inlineStr">
        <is>
          <t>Kubecost</t>
        </is>
      </c>
      <c r="D943" t="inlineStr">
        <is>
          <t>Optimizacion</t>
        </is>
      </c>
      <c r="E943" t="inlineStr">
        <is>
          <t>O2</t>
        </is>
      </c>
      <c r="F943" s="2" t="inlineStr">
        <is>
          <t>¿Explica supuesto/impacto y permite seguir una recomendación?</t>
        </is>
      </c>
      <c r="G943" t="n">
        <v>1</v>
      </c>
      <c r="H943" t="inlineStr">
        <is>
          <t>Oficial</t>
        </is>
      </c>
      <c r="I943" s="2" t="inlineStr">
        <is>
          <t>La vista de eficiencia de costo y savings muestra el hallazgo (recurso subutilizado/abandonado/sobreaprovisionado), pero la documentación revisada no describe un ciclo de seguimiento del estado de la recomendación tras aplicarla.</t>
        </is>
      </c>
      <c r="J943" t="inlineStr">
        <is>
          <t>https://learn.microsoft.com/en-us/azure/cloud-adoption-framework/scenarios/app-platform/aks/cost-governance-with-kubecost</t>
        </is>
      </c>
      <c r="K943" t="inlineStr">
        <is>
          <t>2026-09-16</t>
        </is>
      </c>
      <c r="L943" s="2" t="inlineStr"/>
    </row>
    <row r="944">
      <c r="A944" t="inlineStr">
        <is>
          <t>E3</t>
        </is>
      </c>
      <c r="B944" t="inlineStr">
        <is>
          <t>Kubernetes</t>
        </is>
      </c>
      <c r="C944" t="inlineStr">
        <is>
          <t>Kubecost</t>
        </is>
      </c>
      <c r="D944" t="inlineStr">
        <is>
          <t>Automatizacion</t>
        </is>
      </c>
      <c r="E944" t="inlineStr">
        <is>
          <t>AU1</t>
        </is>
      </c>
      <c r="F944" s="2" t="inlineStr">
        <is>
          <t>¿Ejecuta o bloquea acciones/políticas de costo con control verificable?</t>
        </is>
      </c>
      <c r="G944" t="inlineStr">
        <is>
          <t>NE</t>
        </is>
      </c>
      <c r="H944" t="inlineStr">
        <is>
          <t>Pendiente</t>
        </is>
      </c>
      <c r="I944" s="2" t="inlineStr">
        <is>
          <t>La documentación revisada describe recomendaciones de ahorro, pero no confirma ni descarta ejecución automatizada de esas recomendaciones (a diferencia de Cast AI/StormForge, que documentan explícitamente un autoscaler que actúa).</t>
        </is>
      </c>
      <c r="K944" t="inlineStr">
        <is>
          <t>2026-09-16</t>
        </is>
      </c>
      <c r="L944" s="2" t="inlineStr"/>
    </row>
    <row r="945">
      <c r="A945" t="inlineStr">
        <is>
          <t>E3</t>
        </is>
      </c>
      <c r="B945" t="inlineStr">
        <is>
          <t>Kubernetes</t>
        </is>
      </c>
      <c r="C945" t="inlineStr">
        <is>
          <t>Kubecost</t>
        </is>
      </c>
      <c r="D945" t="inlineStr">
        <is>
          <t>Automatizacion</t>
        </is>
      </c>
      <c r="E945" t="inlineStr">
        <is>
          <t>AU2</t>
        </is>
      </c>
      <c r="F945" s="2" t="inlineStr">
        <is>
          <t>¿Ofrece aprobación, reversión, registro o límites antes de actuar?</t>
        </is>
      </c>
      <c r="G945" t="inlineStr">
        <is>
          <t>NE</t>
        </is>
      </c>
      <c r="H945" t="inlineStr">
        <is>
          <t>Pendiente</t>
        </is>
      </c>
      <c r="I945" s="2" t="inlineStr">
        <is>
          <t>Mismo motivo que AU1: evidencia insuficiente sobre el mecanismo de ejecución como para evaluar sus salvaguardas.</t>
        </is>
      </c>
      <c r="K945" t="inlineStr">
        <is>
          <t>2026-09-16</t>
        </is>
      </c>
      <c r="L945" s="2" t="inlineStr"/>
    </row>
    <row r="946">
      <c r="A946" t="inlineStr">
        <is>
          <t>E3</t>
        </is>
      </c>
      <c r="B946" t="inlineStr">
        <is>
          <t>Kubernetes</t>
        </is>
      </c>
      <c r="C946" t="inlineStr">
        <is>
          <t>Kubecost</t>
        </is>
      </c>
      <c r="D946" t="inlineStr">
        <is>
          <t>Multicloud</t>
        </is>
      </c>
      <c r="E946" t="inlineStr">
        <is>
          <t>M1</t>
        </is>
      </c>
      <c r="F946" s="2" t="inlineStr">
        <is>
          <t>¿Consolida al menos dos proveedores bajo el mismo esquema declarado?</t>
        </is>
      </c>
      <c r="G946" t="n">
        <v>0</v>
      </c>
      <c r="H946" t="inlineStr">
        <is>
          <t>Oficial</t>
        </is>
      </c>
      <c r="I946" s="2" t="inlineStr">
        <is>
          <t>Kubecost mide costo dentro de clústeres de Kubernetes usando precio dinámico de AWS/Azure/GCP para valorar esos recursos; no consolida gasto de cuentas/facturación completas de múltiples proveedores fuera del clúster (esa función corresponde a la categoría Multicloud).</t>
        </is>
      </c>
      <c r="J946" t="inlineStr">
        <is>
          <t>https://kubecost.github.io/cost-analyzer/</t>
        </is>
      </c>
      <c r="K946" t="inlineStr">
        <is>
          <t>2026-09-16</t>
        </is>
      </c>
      <c r="L946" s="2" t="inlineStr"/>
    </row>
    <row r="947">
      <c r="A947" t="inlineStr">
        <is>
          <t>E3</t>
        </is>
      </c>
      <c r="B947" t="inlineStr">
        <is>
          <t>Kubernetes</t>
        </is>
      </c>
      <c r="C947" t="inlineStr">
        <is>
          <t>Kubecost</t>
        </is>
      </c>
      <c r="D947" t="inlineStr">
        <is>
          <t>Multicloud</t>
        </is>
      </c>
      <c r="E947" t="inlineStr">
        <is>
          <t>M2</t>
        </is>
      </c>
      <c r="F947" s="2" t="inlineStr">
        <is>
          <t>¿Hace visibles proveedor, cobertura y diferencias semánticas?</t>
        </is>
      </c>
      <c r="G947" t="n">
        <v>0</v>
      </c>
      <c r="H947" t="inlineStr">
        <is>
          <t>Oficial</t>
        </is>
      </c>
      <c r="I947" s="2" t="inlineStr">
        <is>
          <t>Mismo motivo que M1.</t>
        </is>
      </c>
      <c r="J947" t="inlineStr">
        <is>
          <t>https://kubecost.github.io/cost-analyzer/</t>
        </is>
      </c>
      <c r="K947" t="inlineStr">
        <is>
          <t>2026-09-16</t>
        </is>
      </c>
      <c r="L947" s="2" t="inlineStr"/>
    </row>
    <row r="948">
      <c r="A948" t="inlineStr">
        <is>
          <t>E3</t>
        </is>
      </c>
      <c r="B948" t="inlineStr">
        <is>
          <t>Kubernetes</t>
        </is>
      </c>
      <c r="C948" t="inlineStr">
        <is>
          <t>Kubecost</t>
        </is>
      </c>
      <c r="D948" t="inlineStr">
        <is>
          <t>Integracion</t>
        </is>
      </c>
      <c r="E948" t="inlineStr">
        <is>
          <t>I1</t>
        </is>
      </c>
      <c r="F948" s="2" t="inlineStr">
        <is>
          <t>¿Integra datos requeridos (facturación, uso, clúster o IaC) del escenario?</t>
        </is>
      </c>
      <c r="G948" t="n">
        <v>2</v>
      </c>
      <c r="H948" t="inlineStr">
        <is>
          <t>Oficial</t>
        </is>
      </c>
      <c r="I948" s="2" t="inlineStr">
        <is>
          <t>Precio dinámico habilitado por integraciones con las APIs de facturación de AWS, Azure y GCP, con soporte de clústeres on-premises mediante hojas de precio personalizadas, y asignación de recursos fuera del clúster (RDS, S3).</t>
        </is>
      </c>
      <c r="J948" t="inlineStr">
        <is>
          <t>https://kubecost.github.io/cost-analyzer/</t>
        </is>
      </c>
      <c r="K948" t="inlineStr">
        <is>
          <t>2026-09-16</t>
        </is>
      </c>
      <c r="L948" s="2" t="inlineStr"/>
    </row>
    <row r="949">
      <c r="A949" t="inlineStr">
        <is>
          <t>E3</t>
        </is>
      </c>
      <c r="B949" t="inlineStr">
        <is>
          <t>Kubernetes</t>
        </is>
      </c>
      <c r="C949" t="inlineStr">
        <is>
          <t>Kubecost</t>
        </is>
      </c>
      <c r="D949" t="inlineStr">
        <is>
          <t>Integracion</t>
        </is>
      </c>
      <c r="E949" t="inlineStr">
        <is>
          <t>I2</t>
        </is>
      </c>
      <c r="F949" s="2" t="inlineStr">
        <is>
          <t>¿Se integra con el flujo de trabajo relevante (alerta, ticket, CI/CD o reporte)?</t>
        </is>
      </c>
      <c r="G949" t="n">
        <v>2</v>
      </c>
      <c r="H949" t="inlineStr">
        <is>
          <t>Oficial</t>
        </is>
      </c>
      <c r="I949" s="2" t="inlineStr">
        <is>
          <t>Acceso mediante interfaz de usuario, Cost APIs, plugin de kubectl (CLI) y exportador de métricas de Prometheus.</t>
        </is>
      </c>
      <c r="J949" t="inlineStr">
        <is>
          <t>https://kubecost.github.io/cost-analyzer/</t>
        </is>
      </c>
      <c r="K949" t="inlineStr">
        <is>
          <t>2026-09-16</t>
        </is>
      </c>
      <c r="L949" s="2" t="inlineStr"/>
    </row>
    <row r="950">
      <c r="A950" t="inlineStr">
        <is>
          <t>E3</t>
        </is>
      </c>
      <c r="B950" t="inlineStr">
        <is>
          <t>Kubernetes</t>
        </is>
      </c>
      <c r="C950" t="inlineStr">
        <is>
          <t>Kubecost</t>
        </is>
      </c>
      <c r="D950" t="inlineStr">
        <is>
          <t>Adopcion</t>
        </is>
      </c>
      <c r="E950" t="inlineStr">
        <is>
          <t>AD1</t>
        </is>
      </c>
      <c r="F950" s="2" t="inlineStr">
        <is>
          <t>¿Soporta acceso/entrega para los roles del escenario?</t>
        </is>
      </c>
      <c r="G950" t="inlineStr">
        <is>
          <t>NE</t>
        </is>
      </c>
      <c r="H950" t="inlineStr">
        <is>
          <t>Pendiente</t>
        </is>
      </c>
      <c r="I950" s="2" t="inlineStr">
        <is>
          <t>No se encontró, en la documentación revisada, un modelo de roles/permisos propio del producto.</t>
        </is>
      </c>
      <c r="K950" t="inlineStr">
        <is>
          <t>2026-09-16</t>
        </is>
      </c>
      <c r="L950" s="2" t="inlineStr"/>
    </row>
    <row r="951">
      <c r="A951" t="inlineStr">
        <is>
          <t>E3</t>
        </is>
      </c>
      <c r="B951" t="inlineStr">
        <is>
          <t>Kubernetes</t>
        </is>
      </c>
      <c r="C951" t="inlineStr">
        <is>
          <t>Kubecost</t>
        </is>
      </c>
      <c r="D951" t="inlineStr">
        <is>
          <t>Adopcion</t>
        </is>
      </c>
      <c r="E951" t="inlineStr">
        <is>
          <t>AD2</t>
        </is>
      </c>
      <c r="F951" s="2" t="inlineStr">
        <is>
          <t>¿Ofrece guías, ownership o mecanismos de seguimiento para uso sostenido?</t>
        </is>
      </c>
      <c r="G951" t="inlineStr">
        <is>
          <t>NE</t>
        </is>
      </c>
      <c r="H951" t="inlineStr">
        <is>
          <t>Pendiente</t>
        </is>
      </c>
      <c r="I951" s="2" t="inlineStr">
        <is>
          <t>No se encontró, en la documentación revisada, una guía de adopción/gobernanza dedicada más allá de la documentación general del producto.</t>
        </is>
      </c>
      <c r="K951" t="inlineStr">
        <is>
          <t>2026-09-16</t>
        </is>
      </c>
      <c r="L951" s="2" t="inlineStr"/>
    </row>
    <row r="952">
      <c r="A952" t="inlineStr">
        <is>
          <t>E3</t>
        </is>
      </c>
      <c r="B952" t="inlineStr">
        <is>
          <t>Kubernetes</t>
        </is>
      </c>
      <c r="C952" t="inlineStr">
        <is>
          <t>Kubecost</t>
        </is>
      </c>
      <c r="D952" t="inlineStr">
        <is>
          <t>Precio</t>
        </is>
      </c>
      <c r="E952" t="inlineStr">
        <is>
          <t>P1</t>
        </is>
      </c>
      <c r="F952" s="2" t="inlineStr">
        <is>
          <t>¿Expone precio, moneda, región, unidad, período y supuestos relevantes?</t>
        </is>
      </c>
      <c r="G952" t="inlineStr">
        <is>
          <t>NE</t>
        </is>
      </c>
      <c r="H952" t="inlineStr">
        <is>
          <t>Pendiente</t>
        </is>
      </c>
      <c r="I952" s="2" t="inlineStr">
        <is>
          <t>Kubecost mide costo de recursos ya desplegados en el clúster; no expone transparencia de precio/supuestos de una estimación previa al despliegue.</t>
        </is>
      </c>
      <c r="J952" t="inlineStr">
        <is>
          <t>https://kubecost.github.io/cost-analyzer/</t>
        </is>
      </c>
      <c r="K952" t="inlineStr">
        <is>
          <t>2026-09-16</t>
        </is>
      </c>
      <c r="L952" s="2" t="inlineStr">
        <is>
          <t>Corrección de alcance FP-180 (2026-09-16): el valor pasa de NA a NE. La justificación NA reinterpreta P1 como estimación previa al despliegue; el indicador tiene objeto y no fue investigado. La evidencia y la fuente originales no se modifican.</t>
        </is>
      </c>
    </row>
    <row r="953">
      <c r="A953" t="inlineStr">
        <is>
          <t>E3</t>
        </is>
      </c>
      <c r="B953" t="inlineStr">
        <is>
          <t>Kubernetes</t>
        </is>
      </c>
      <c r="C953" t="inlineStr">
        <is>
          <t>Kubecost</t>
        </is>
      </c>
      <c r="D953" t="inlineStr">
        <is>
          <t>Precio</t>
        </is>
      </c>
      <c r="E953" t="inlineStr">
        <is>
          <t>P2</t>
        </is>
      </c>
      <c r="F953" s="2" t="inlineStr">
        <is>
          <t>¿Permite estimar o comparar componentes sin ocultar límites de equivalencia?</t>
        </is>
      </c>
      <c r="G953" t="inlineStr">
        <is>
          <t>NE</t>
        </is>
      </c>
      <c r="H953" t="inlineStr">
        <is>
          <t>Pendiente</t>
        </is>
      </c>
      <c r="I953" s="2" t="inlineStr">
        <is>
          <t>Mismo motivo que P1.</t>
        </is>
      </c>
      <c r="J953" t="inlineStr">
        <is>
          <t>https://kubecost.github.io/cost-analyzer/</t>
        </is>
      </c>
      <c r="K953" t="inlineStr">
        <is>
          <t>2026-09-16</t>
        </is>
      </c>
      <c r="L953" s="2" t="inlineStr">
        <is>
          <t>Corrección de alcance FP-180 (2026-09-16): el valor pasa de NA a NE. Mismo motivo que P1. La evidencia y la fuente originales no se modifican.</t>
        </is>
      </c>
    </row>
    <row r="954">
      <c r="A954" t="inlineStr">
        <is>
          <t>E3</t>
        </is>
      </c>
      <c r="B954" t="inlineStr">
        <is>
          <t>Kubernetes</t>
        </is>
      </c>
      <c r="C954" t="inlineStr">
        <is>
          <t>Kubecost</t>
        </is>
      </c>
      <c r="D954" t="inlineStr">
        <is>
          <t>Dependencia</t>
        </is>
      </c>
      <c r="E954" t="inlineStr">
        <is>
          <t>D1</t>
        </is>
      </c>
      <c r="F954" s="2" t="inlineStr">
        <is>
          <t>¿Exporta datos/resultados en formato utilizable y documentado?</t>
        </is>
      </c>
      <c r="G954" t="n">
        <v>2</v>
      </c>
      <c r="H954" t="inlineStr">
        <is>
          <t>Oficial</t>
        </is>
      </c>
      <c r="I954" s="2" t="inlineStr">
        <is>
          <t>Exportación documentada vía Cost APIs, plugin de kubectl (CLI) y exportador de métricas de Prometheus, en formatos abiertos y reproducibles.</t>
        </is>
      </c>
      <c r="J954" t="inlineStr">
        <is>
          <t>https://kubecost.github.io/cost-analyzer/</t>
        </is>
      </c>
      <c r="K954" t="inlineStr">
        <is>
          <t>2026-09-16</t>
        </is>
      </c>
      <c r="L954" s="2" t="inlineStr"/>
    </row>
    <row r="955">
      <c r="A955" t="inlineStr">
        <is>
          <t>E3</t>
        </is>
      </c>
      <c r="B955" t="inlineStr">
        <is>
          <t>Kubernetes</t>
        </is>
      </c>
      <c r="C955" t="inlineStr">
        <is>
          <t>Kubecost</t>
        </is>
      </c>
      <c r="D955" t="inlineStr">
        <is>
          <t>Dependencia</t>
        </is>
      </c>
      <c r="E955" t="inlineStr">
        <is>
          <t>D2</t>
        </is>
      </c>
      <c r="F955" s="2" t="inlineStr">
        <is>
          <t>¿Documenta dependencias propietarias y un camino de salida/configuración reversible?</t>
        </is>
      </c>
      <c r="G955" t="inlineStr">
        <is>
          <t>NE</t>
        </is>
      </c>
      <c r="H955" t="inlineStr">
        <is>
          <t>Pendiente</t>
        </is>
      </c>
      <c r="I955" s="2" t="inlineStr">
        <is>
          <t>No se encontró documentación sobre un camino de salida o reversibilidad de la configuración.</t>
        </is>
      </c>
      <c r="K955" t="inlineStr">
        <is>
          <t>2026-09-16</t>
        </is>
      </c>
      <c r="L955" s="2" t="inlineStr"/>
    </row>
    <row r="956">
      <c r="A956" t="inlineStr">
        <is>
          <t>E5</t>
        </is>
      </c>
      <c r="B956" t="inlineStr">
        <is>
          <t>Kubernetes</t>
        </is>
      </c>
      <c r="C956" t="inlineStr">
        <is>
          <t>Kubecost</t>
        </is>
      </c>
      <c r="D956" t="inlineStr">
        <is>
          <t>Visibilidad</t>
        </is>
      </c>
      <c r="E956" t="inlineStr">
        <is>
          <t>V1</t>
        </is>
      </c>
      <c r="F956" s="2" t="inlineStr">
        <is>
          <t>¿Desagrega costo y uso por cuenta/proyecto, servicio y período?</t>
        </is>
      </c>
      <c r="G956" t="inlineStr">
        <is>
          <t>NE</t>
        </is>
      </c>
      <c r="H956" t="inlineStr">
        <is>
          <t>Pendiente</t>
        </is>
      </c>
      <c r="I956" s="2" t="inlineStr">
        <is>
          <t>Asignación de costo en tiempo real por Service, Deployment, Namespace, label, StatefulSet, DaemonSet, Pod y contenedor ("Allocation view"), con desglose de CPU, memoria, volúmenes persistentes y red.</t>
        </is>
      </c>
      <c r="J956" t="inlineStr">
        <is>
          <t>https://kubecost.github.io/cost-analyzer/</t>
        </is>
      </c>
      <c r="K956" t="inlineStr">
        <is>
          <t>2026-09-16</t>
        </is>
      </c>
      <c r="L956" s="2" t="inlineStr">
        <is>
          <t>Celda heredada FP-180 (2026-09-16): el valor 2 proviene de la investigacion del escenario E3 y no cuenta con evidencia propia de E5. Segun FP-177 el indicador V1 depende del escenario, por lo que pasa a NE (no evidenciado, reduce cobertura) hasta investigarlo. La evidencia y la fuente originales se conservan como referencia del escenario de origen.</t>
        </is>
      </c>
    </row>
    <row r="957">
      <c r="A957" t="inlineStr">
        <is>
          <t>E5</t>
        </is>
      </c>
      <c r="B957" t="inlineStr">
        <is>
          <t>Kubernetes</t>
        </is>
      </c>
      <c r="C957" t="inlineStr">
        <is>
          <t>Kubecost</t>
        </is>
      </c>
      <c r="D957" t="inlineStr">
        <is>
          <t>Visibilidad</t>
        </is>
      </c>
      <c r="E957" t="inlineStr">
        <is>
          <t>V2</t>
        </is>
      </c>
      <c r="F957" s="2" t="inlineStr">
        <is>
          <t>¿Permite rastrear un total hasta registros o fuente de facturación?</t>
        </is>
      </c>
      <c r="G957" t="n">
        <v>1</v>
      </c>
      <c r="H957" t="inlineStr">
        <is>
          <t>Oficial</t>
        </is>
      </c>
      <c r="I957" s="2" t="inlineStr">
        <is>
          <t>Se conecta con Microsoft Cost Export y la Azure Billing Rate Card API para AKS, lo que sugiere una vía de reconciliación con la facturación real, pero no se documentó el detalle específico de esa reconciliación.</t>
        </is>
      </c>
      <c r="J957" t="inlineStr">
        <is>
          <t>https://learn.microsoft.com/en-us/azure/cloud-adoption-framework/scenarios/app-platform/aks/cost-governance-with-kubecost</t>
        </is>
      </c>
      <c r="K957" t="inlineStr">
        <is>
          <t>2026-09-16</t>
        </is>
      </c>
      <c r="L957" s="2" t="inlineStr"/>
    </row>
    <row r="958">
      <c r="A958" t="inlineStr">
        <is>
          <t>E5</t>
        </is>
      </c>
      <c r="B958" t="inlineStr">
        <is>
          <t>Kubernetes</t>
        </is>
      </c>
      <c r="C958" t="inlineStr">
        <is>
          <t>Kubecost</t>
        </is>
      </c>
      <c r="D958" t="inlineStr">
        <is>
          <t>Asignacion</t>
        </is>
      </c>
      <c r="E958" t="inlineStr">
        <is>
          <t>A1</t>
        </is>
      </c>
      <c r="F958" s="2" t="inlineStr">
        <is>
          <t>¿Calcula gasto asignado/no asignado por responsable, centro o entidad?</t>
        </is>
      </c>
      <c r="G958" t="inlineStr">
        <is>
          <t>NE</t>
        </is>
      </c>
      <c r="H958" t="inlineStr">
        <is>
          <t>Pendiente</t>
        </is>
      </c>
      <c r="I958" s="2" t="inlineStr">
        <is>
          <t>El alcance de asignación es configurable a nivel de deployment, servicio, label, pod o namespace, habilitando explícitamente showback y chargeback a los usuarios del clúster.</t>
        </is>
      </c>
      <c r="J958" t="inlineStr">
        <is>
          <t>https://learn.microsoft.com/en-us/azure/cloud-adoption-framework/scenarios/app-platform/aks/cost-governance-with-kubecost</t>
        </is>
      </c>
      <c r="K958" t="inlineStr">
        <is>
          <t>2026-09-16</t>
        </is>
      </c>
      <c r="L958" s="2" t="inlineStr">
        <is>
          <t>Celda heredada FP-180 (2026-09-16): el valor 2 proviene de la investigacion del escenario E3 y no cuenta con evidencia propia de E5. Segun FP-177 el indicador A1 depende del escenario, por lo que pasa a NE (no evidenciado, reduce cobertura) hasta investigarlo. La evidencia y la fuente originales se conservan como referencia del escenario de origen.</t>
        </is>
      </c>
    </row>
    <row r="959">
      <c r="A959" t="inlineStr">
        <is>
          <t>E5</t>
        </is>
      </c>
      <c r="B959" t="inlineStr">
        <is>
          <t>Kubernetes</t>
        </is>
      </c>
      <c r="C959" t="inlineStr">
        <is>
          <t>Kubecost</t>
        </is>
      </c>
      <c r="D959" t="inlineStr">
        <is>
          <t>Asignacion</t>
        </is>
      </c>
      <c r="E959" t="inlineStr">
        <is>
          <t>A2</t>
        </is>
      </c>
      <c r="F959" s="2" t="inlineStr">
        <is>
          <t>¿Explicita y aplica reglas para costo compartido/multi-tenant?</t>
        </is>
      </c>
      <c r="G959" t="inlineStr">
        <is>
          <t>NE</t>
        </is>
      </c>
      <c r="H959" t="inlineStr">
        <is>
          <t>Pendiente</t>
        </is>
      </c>
      <c r="I959" s="2" t="inlineStr">
        <is>
          <t>La asignación por label/namespace permite repartir costo compartido de un clúster entre equipos, pero no se documentó un mecanismo de reparto porcentual explícito para recursos compartidos entre namespaces.</t>
        </is>
      </c>
      <c r="J959" t="inlineStr">
        <is>
          <t>https://learn.microsoft.com/en-us/azure/cloud-adoption-framework/scenarios/app-platform/aks/cost-governance-with-kubecost</t>
        </is>
      </c>
      <c r="K959" t="inlineStr">
        <is>
          <t>2026-09-16</t>
        </is>
      </c>
      <c r="L959" s="2" t="inlineStr">
        <is>
          <t>Celda heredada FP-180 (2026-09-16): el valor 1 proviene de la investigacion del escenario E3 y no cuenta con evidencia propia de E5. Segun FP-177 el indicador A2 depende del escenario, por lo que pasa a NE (no evidenciado, reduce cobertura) hasta investigarlo. La evidencia y la fuente originales se conservan como referencia del escenario de origen.</t>
        </is>
      </c>
    </row>
    <row r="960">
      <c r="A960" t="inlineStr">
        <is>
          <t>E5</t>
        </is>
      </c>
      <c r="B960" t="inlineStr">
        <is>
          <t>Kubernetes</t>
        </is>
      </c>
      <c r="C960" t="inlineStr">
        <is>
          <t>Kubecost</t>
        </is>
      </c>
      <c r="D960" t="inlineStr">
        <is>
          <t>Optimizacion</t>
        </is>
      </c>
      <c r="E960" t="inlineStr">
        <is>
          <t>O1</t>
        </is>
      </c>
      <c r="F960" s="2" t="inlineStr">
        <is>
          <t>¿Detecta desperdicio, rightsizing o compromiso relevante al escenario?</t>
        </is>
      </c>
      <c r="G960" t="inlineStr">
        <is>
          <t>NE</t>
        </is>
      </c>
      <c r="H960" t="inlineStr">
        <is>
          <t>Pendiente</t>
        </is>
      </c>
      <c r="I960" s="2" t="inlineStr">
        <is>
          <t>La vista "Savings" identifica nodos/pods subutilizados, recursos abandonados y solicitudes sobreaprovisionadas ("overprovisioned requests"), con datos de precio dinámico de AWS/Azure/GCP.</t>
        </is>
      </c>
      <c r="J960" t="inlineStr">
        <is>
          <t>https://learn.microsoft.com/en-us/azure/cloud-adoption-framework/scenarios/app-platform/aks/cost-governance-with-kubecost</t>
        </is>
      </c>
      <c r="K960" t="inlineStr">
        <is>
          <t>2026-09-16</t>
        </is>
      </c>
      <c r="L960" s="2" t="inlineStr">
        <is>
          <t>Celda heredada FP-180 (2026-09-16): el valor 2 proviene de la investigacion del escenario E3 y no cuenta con evidencia propia de E5. Segun FP-177 el indicador O1 depende del escenario, por lo que pasa a NE (no evidenciado, reduce cobertura) hasta investigarlo. La evidencia y la fuente originales se conservan como referencia del escenario de origen.</t>
        </is>
      </c>
    </row>
    <row r="961">
      <c r="A961" t="inlineStr">
        <is>
          <t>E5</t>
        </is>
      </c>
      <c r="B961" t="inlineStr">
        <is>
          <t>Kubernetes</t>
        </is>
      </c>
      <c r="C961" t="inlineStr">
        <is>
          <t>Kubecost</t>
        </is>
      </c>
      <c r="D961" t="inlineStr">
        <is>
          <t>Optimizacion</t>
        </is>
      </c>
      <c r="E961" t="inlineStr">
        <is>
          <t>O2</t>
        </is>
      </c>
      <c r="F961" s="2" t="inlineStr">
        <is>
          <t>¿Explica supuesto/impacto y permite seguir una recomendación?</t>
        </is>
      </c>
      <c r="G961" t="n">
        <v>1</v>
      </c>
      <c r="H961" t="inlineStr">
        <is>
          <t>Oficial</t>
        </is>
      </c>
      <c r="I961" s="2" t="inlineStr">
        <is>
          <t>La vista de eficiencia de costo y savings muestra el hallazgo (recurso subutilizado/abandonado/sobreaprovisionado), pero la documentación revisada no describe un ciclo de seguimiento del estado de la recomendación tras aplicarla.</t>
        </is>
      </c>
      <c r="J961" t="inlineStr">
        <is>
          <t>https://learn.microsoft.com/en-us/azure/cloud-adoption-framework/scenarios/app-platform/aks/cost-governance-with-kubecost</t>
        </is>
      </c>
      <c r="K961" t="inlineStr">
        <is>
          <t>2026-09-16</t>
        </is>
      </c>
      <c r="L961" s="2" t="inlineStr"/>
    </row>
    <row r="962">
      <c r="A962" t="inlineStr">
        <is>
          <t>E5</t>
        </is>
      </c>
      <c r="B962" t="inlineStr">
        <is>
          <t>Kubernetes</t>
        </is>
      </c>
      <c r="C962" t="inlineStr">
        <is>
          <t>Kubecost</t>
        </is>
      </c>
      <c r="D962" t="inlineStr">
        <is>
          <t>Automatizacion</t>
        </is>
      </c>
      <c r="E962" t="inlineStr">
        <is>
          <t>AU1</t>
        </is>
      </c>
      <c r="F962" s="2" t="inlineStr">
        <is>
          <t>¿Ejecuta o bloquea acciones/políticas de costo con control verificable?</t>
        </is>
      </c>
      <c r="G962" t="inlineStr">
        <is>
          <t>NE</t>
        </is>
      </c>
      <c r="H962" t="inlineStr">
        <is>
          <t>Pendiente</t>
        </is>
      </c>
      <c r="I962" s="2" t="inlineStr">
        <is>
          <t>La documentación revisada describe recomendaciones de ahorro, pero no confirma ni descarta ejecución automatizada de esas recomendaciones (a diferencia de Cast AI/StormForge, que documentan explícitamente un autoscaler que actúa).</t>
        </is>
      </c>
      <c r="K962" t="inlineStr">
        <is>
          <t>2026-09-16</t>
        </is>
      </c>
      <c r="L962" s="2" t="inlineStr"/>
    </row>
    <row r="963">
      <c r="A963" t="inlineStr">
        <is>
          <t>E5</t>
        </is>
      </c>
      <c r="B963" t="inlineStr">
        <is>
          <t>Kubernetes</t>
        </is>
      </c>
      <c r="C963" t="inlineStr">
        <is>
          <t>Kubecost</t>
        </is>
      </c>
      <c r="D963" t="inlineStr">
        <is>
          <t>Automatizacion</t>
        </is>
      </c>
      <c r="E963" t="inlineStr">
        <is>
          <t>AU2</t>
        </is>
      </c>
      <c r="F963" s="2" t="inlineStr">
        <is>
          <t>¿Ofrece aprobación, reversión, registro o límites antes de actuar?</t>
        </is>
      </c>
      <c r="G963" t="inlineStr">
        <is>
          <t>NE</t>
        </is>
      </c>
      <c r="H963" t="inlineStr">
        <is>
          <t>Pendiente</t>
        </is>
      </c>
      <c r="I963" s="2" t="inlineStr">
        <is>
          <t>Mismo motivo que AU1: evidencia insuficiente sobre el mecanismo de ejecución como para evaluar sus salvaguardas.</t>
        </is>
      </c>
      <c r="K963" t="inlineStr">
        <is>
          <t>2026-09-16</t>
        </is>
      </c>
      <c r="L963" s="2" t="inlineStr"/>
    </row>
    <row r="964">
      <c r="A964" t="inlineStr">
        <is>
          <t>E5</t>
        </is>
      </c>
      <c r="B964" t="inlineStr">
        <is>
          <t>Kubernetes</t>
        </is>
      </c>
      <c r="C964" t="inlineStr">
        <is>
          <t>Kubecost</t>
        </is>
      </c>
      <c r="D964" t="inlineStr">
        <is>
          <t>Multicloud</t>
        </is>
      </c>
      <c r="E964" t="inlineStr">
        <is>
          <t>M1</t>
        </is>
      </c>
      <c r="F964" s="2" t="inlineStr">
        <is>
          <t>¿Consolida al menos dos proveedores bajo el mismo esquema declarado?</t>
        </is>
      </c>
      <c r="G964" t="n">
        <v>0</v>
      </c>
      <c r="H964" t="inlineStr">
        <is>
          <t>Oficial</t>
        </is>
      </c>
      <c r="I964" s="2" t="inlineStr">
        <is>
          <t>Kubecost mide costo dentro de clústeres de Kubernetes usando precio dinámico de AWS/Azure/GCP para valorar esos recursos; no consolida gasto de cuentas/facturación completas de múltiples proveedores fuera del clúster (esa función corresponde a la categoría Multicloud).</t>
        </is>
      </c>
      <c r="J964" t="inlineStr">
        <is>
          <t>https://kubecost.github.io/cost-analyzer/</t>
        </is>
      </c>
      <c r="K964" t="inlineStr">
        <is>
          <t>2026-09-16</t>
        </is>
      </c>
      <c r="L964" s="2" t="inlineStr"/>
    </row>
    <row r="965">
      <c r="A965" t="inlineStr">
        <is>
          <t>E5</t>
        </is>
      </c>
      <c r="B965" t="inlineStr">
        <is>
          <t>Kubernetes</t>
        </is>
      </c>
      <c r="C965" t="inlineStr">
        <is>
          <t>Kubecost</t>
        </is>
      </c>
      <c r="D965" t="inlineStr">
        <is>
          <t>Multicloud</t>
        </is>
      </c>
      <c r="E965" t="inlineStr">
        <is>
          <t>M2</t>
        </is>
      </c>
      <c r="F965" s="2" t="inlineStr">
        <is>
          <t>¿Hace visibles proveedor, cobertura y diferencias semánticas?</t>
        </is>
      </c>
      <c r="G965" t="n">
        <v>0</v>
      </c>
      <c r="H965" t="inlineStr">
        <is>
          <t>Oficial</t>
        </is>
      </c>
      <c r="I965" s="2" t="inlineStr">
        <is>
          <t>Mismo motivo que M1.</t>
        </is>
      </c>
      <c r="J965" t="inlineStr">
        <is>
          <t>https://kubecost.github.io/cost-analyzer/</t>
        </is>
      </c>
      <c r="K965" t="inlineStr">
        <is>
          <t>2026-09-16</t>
        </is>
      </c>
      <c r="L965" s="2" t="inlineStr"/>
    </row>
    <row r="966">
      <c r="A966" t="inlineStr">
        <is>
          <t>E5</t>
        </is>
      </c>
      <c r="B966" t="inlineStr">
        <is>
          <t>Kubernetes</t>
        </is>
      </c>
      <c r="C966" t="inlineStr">
        <is>
          <t>Kubecost</t>
        </is>
      </c>
      <c r="D966" t="inlineStr">
        <is>
          <t>Integracion</t>
        </is>
      </c>
      <c r="E966" t="inlineStr">
        <is>
          <t>I1</t>
        </is>
      </c>
      <c r="F966" s="2" t="inlineStr">
        <is>
          <t>¿Integra datos requeridos (facturación, uso, clúster o IaC) del escenario?</t>
        </is>
      </c>
      <c r="G966" t="inlineStr">
        <is>
          <t>NE</t>
        </is>
      </c>
      <c r="H966" t="inlineStr">
        <is>
          <t>Pendiente</t>
        </is>
      </c>
      <c r="I966" s="2" t="inlineStr">
        <is>
          <t>Precio dinámico habilitado por integraciones con las APIs de facturación de AWS, Azure y GCP, con soporte de clústeres on-premises mediante hojas de precio personalizadas, y asignación de recursos fuera del clúster (RDS, S3).</t>
        </is>
      </c>
      <c r="J966" t="inlineStr">
        <is>
          <t>https://kubecost.github.io/cost-analyzer/</t>
        </is>
      </c>
      <c r="K966" t="inlineStr">
        <is>
          <t>2026-09-16</t>
        </is>
      </c>
      <c r="L966" s="2" t="inlineStr">
        <is>
          <t>Celda heredada FP-180 (2026-09-16): el valor 2 proviene de la investigacion del escenario E3 y no cuenta con evidencia propia de E5. Segun FP-177 el indicador I1 depende del escenario, por lo que pasa a NE (no evidenciado, reduce cobertura) hasta investigarlo. La evidencia y la fuente originales se conservan como referencia del escenario de origen.</t>
        </is>
      </c>
    </row>
    <row r="967">
      <c r="A967" t="inlineStr">
        <is>
          <t>E5</t>
        </is>
      </c>
      <c r="B967" t="inlineStr">
        <is>
          <t>Kubernetes</t>
        </is>
      </c>
      <c r="C967" t="inlineStr">
        <is>
          <t>Kubecost</t>
        </is>
      </c>
      <c r="D967" t="inlineStr">
        <is>
          <t>Integracion</t>
        </is>
      </c>
      <c r="E967" t="inlineStr">
        <is>
          <t>I2</t>
        </is>
      </c>
      <c r="F967" s="2" t="inlineStr">
        <is>
          <t>¿Se integra con el flujo de trabajo relevante (alerta, ticket, CI/CD o reporte)?</t>
        </is>
      </c>
      <c r="G967" t="inlineStr">
        <is>
          <t>NE</t>
        </is>
      </c>
      <c r="H967" t="inlineStr">
        <is>
          <t>Pendiente</t>
        </is>
      </c>
      <c r="I967" s="2" t="inlineStr">
        <is>
          <t>Acceso mediante interfaz de usuario, Cost APIs, plugin de kubectl (CLI) y exportador de métricas de Prometheus.</t>
        </is>
      </c>
      <c r="J967" t="inlineStr">
        <is>
          <t>https://kubecost.github.io/cost-analyzer/</t>
        </is>
      </c>
      <c r="K967" t="inlineStr">
        <is>
          <t>2026-09-16</t>
        </is>
      </c>
      <c r="L967" s="2" t="inlineStr">
        <is>
          <t>Celda heredada FP-180 (2026-09-16): el valor 2 proviene de la investigacion del escenario E3 y no cuenta con evidencia propia de E5. Segun FP-177 el indicador I2 depende del escenario, por lo que pasa a NE (no evidenciado, reduce cobertura) hasta investigarlo. La evidencia y la fuente originales se conservan como referencia del escenario de origen.</t>
        </is>
      </c>
    </row>
    <row r="968">
      <c r="A968" t="inlineStr">
        <is>
          <t>E5</t>
        </is>
      </c>
      <c r="B968" t="inlineStr">
        <is>
          <t>Kubernetes</t>
        </is>
      </c>
      <c r="C968" t="inlineStr">
        <is>
          <t>Kubecost</t>
        </is>
      </c>
      <c r="D968" t="inlineStr">
        <is>
          <t>Adopcion</t>
        </is>
      </c>
      <c r="E968" t="inlineStr">
        <is>
          <t>AD1</t>
        </is>
      </c>
      <c r="F968" s="2" t="inlineStr">
        <is>
          <t>¿Soporta acceso/entrega para los roles del escenario?</t>
        </is>
      </c>
      <c r="G968" t="inlineStr">
        <is>
          <t>NE</t>
        </is>
      </c>
      <c r="H968" t="inlineStr">
        <is>
          <t>Pendiente</t>
        </is>
      </c>
      <c r="I968" s="2" t="inlineStr">
        <is>
          <t>No se encontró, en la documentación revisada, un modelo de roles/permisos propio del producto.</t>
        </is>
      </c>
      <c r="K968" t="inlineStr">
        <is>
          <t>2026-09-16</t>
        </is>
      </c>
      <c r="L968" s="2" t="inlineStr"/>
    </row>
    <row r="969">
      <c r="A969" t="inlineStr">
        <is>
          <t>E5</t>
        </is>
      </c>
      <c r="B969" t="inlineStr">
        <is>
          <t>Kubernetes</t>
        </is>
      </c>
      <c r="C969" t="inlineStr">
        <is>
          <t>Kubecost</t>
        </is>
      </c>
      <c r="D969" t="inlineStr">
        <is>
          <t>Adopcion</t>
        </is>
      </c>
      <c r="E969" t="inlineStr">
        <is>
          <t>AD2</t>
        </is>
      </c>
      <c r="F969" s="2" t="inlineStr">
        <is>
          <t>¿Ofrece guías, ownership o mecanismos de seguimiento para uso sostenido?</t>
        </is>
      </c>
      <c r="G969" t="inlineStr">
        <is>
          <t>NE</t>
        </is>
      </c>
      <c r="H969" t="inlineStr">
        <is>
          <t>Pendiente</t>
        </is>
      </c>
      <c r="I969" s="2" t="inlineStr">
        <is>
          <t>No se encontró, en la documentación revisada, una guía de adopción/gobernanza dedicada más allá de la documentación general del producto.</t>
        </is>
      </c>
      <c r="K969" t="inlineStr">
        <is>
          <t>2026-09-16</t>
        </is>
      </c>
      <c r="L969" s="2" t="inlineStr"/>
    </row>
    <row r="970">
      <c r="A970" t="inlineStr">
        <is>
          <t>E5</t>
        </is>
      </c>
      <c r="B970" t="inlineStr">
        <is>
          <t>Kubernetes</t>
        </is>
      </c>
      <c r="C970" t="inlineStr">
        <is>
          <t>Kubecost</t>
        </is>
      </c>
      <c r="D970" t="inlineStr">
        <is>
          <t>Precio</t>
        </is>
      </c>
      <c r="E970" t="inlineStr">
        <is>
          <t>P1</t>
        </is>
      </c>
      <c r="F970" s="2" t="inlineStr">
        <is>
          <t>¿Expone precio, moneda, región, unidad, período y supuestos relevantes?</t>
        </is>
      </c>
      <c r="G970" t="inlineStr">
        <is>
          <t>NE</t>
        </is>
      </c>
      <c r="H970" t="inlineStr">
        <is>
          <t>Pendiente</t>
        </is>
      </c>
      <c r="I970" s="2" t="inlineStr">
        <is>
          <t>Kubecost mide costo de recursos ya desplegados en el clúster; no expone transparencia de precio/supuestos de una estimación previa al despliegue.</t>
        </is>
      </c>
      <c r="J970" t="inlineStr">
        <is>
          <t>https://kubecost.github.io/cost-analyzer/</t>
        </is>
      </c>
      <c r="K970" t="inlineStr">
        <is>
          <t>2026-09-16</t>
        </is>
      </c>
      <c r="L970" s="2" t="inlineStr">
        <is>
          <t>Corrección de alcance FP-180 (2026-09-16): el valor pasa de NA a NE. La justificación NA reinterpreta P1 como estimación previa al despliegue; el indicador tiene objeto y no fue investigado. La evidencia y la fuente originales no se modifican.</t>
        </is>
      </c>
    </row>
    <row r="971">
      <c r="A971" t="inlineStr">
        <is>
          <t>E5</t>
        </is>
      </c>
      <c r="B971" t="inlineStr">
        <is>
          <t>Kubernetes</t>
        </is>
      </c>
      <c r="C971" t="inlineStr">
        <is>
          <t>Kubecost</t>
        </is>
      </c>
      <c r="D971" t="inlineStr">
        <is>
          <t>Precio</t>
        </is>
      </c>
      <c r="E971" t="inlineStr">
        <is>
          <t>P2</t>
        </is>
      </c>
      <c r="F971" s="2" t="inlineStr">
        <is>
          <t>¿Permite estimar o comparar componentes sin ocultar límites de equivalencia?</t>
        </is>
      </c>
      <c r="G971" t="inlineStr">
        <is>
          <t>NE</t>
        </is>
      </c>
      <c r="H971" t="inlineStr">
        <is>
          <t>Pendiente</t>
        </is>
      </c>
      <c r="I971" s="2" t="inlineStr">
        <is>
          <t>Mismo motivo que P1.</t>
        </is>
      </c>
      <c r="J971" t="inlineStr">
        <is>
          <t>https://kubecost.github.io/cost-analyzer/</t>
        </is>
      </c>
      <c r="K971" t="inlineStr">
        <is>
          <t>2026-09-16</t>
        </is>
      </c>
      <c r="L971" s="2" t="inlineStr">
        <is>
          <t>Corrección de alcance FP-180 (2026-09-16): el valor pasa de NA a NE. Mismo motivo que P1. La evidencia y la fuente originales no se modifican.</t>
        </is>
      </c>
    </row>
    <row r="972">
      <c r="A972" t="inlineStr">
        <is>
          <t>E5</t>
        </is>
      </c>
      <c r="B972" t="inlineStr">
        <is>
          <t>Kubernetes</t>
        </is>
      </c>
      <c r="C972" t="inlineStr">
        <is>
          <t>Kubecost</t>
        </is>
      </c>
      <c r="D972" t="inlineStr">
        <is>
          <t>Dependencia</t>
        </is>
      </c>
      <c r="E972" t="inlineStr">
        <is>
          <t>D1</t>
        </is>
      </c>
      <c r="F972" s="2" t="inlineStr">
        <is>
          <t>¿Exporta datos/resultados en formato utilizable y documentado?</t>
        </is>
      </c>
      <c r="G972" t="n">
        <v>2</v>
      </c>
      <c r="H972" t="inlineStr">
        <is>
          <t>Oficial</t>
        </is>
      </c>
      <c r="I972" s="2" t="inlineStr">
        <is>
          <t>Exportación documentada vía Cost APIs, plugin de kubectl (CLI) y exportador de métricas de Prometheus, en formatos abiertos y reproducibles.</t>
        </is>
      </c>
      <c r="J972" t="inlineStr">
        <is>
          <t>https://kubecost.github.io/cost-analyzer/</t>
        </is>
      </c>
      <c r="K972" t="inlineStr">
        <is>
          <t>2026-09-16</t>
        </is>
      </c>
      <c r="L972" s="2" t="inlineStr"/>
    </row>
    <row r="973">
      <c r="A973" t="inlineStr">
        <is>
          <t>E5</t>
        </is>
      </c>
      <c r="B973" t="inlineStr">
        <is>
          <t>Kubernetes</t>
        </is>
      </c>
      <c r="C973" t="inlineStr">
        <is>
          <t>Kubecost</t>
        </is>
      </c>
      <c r="D973" t="inlineStr">
        <is>
          <t>Dependencia</t>
        </is>
      </c>
      <c r="E973" t="inlineStr">
        <is>
          <t>D2</t>
        </is>
      </c>
      <c r="F973" s="2" t="inlineStr">
        <is>
          <t>¿Documenta dependencias propietarias y un camino de salida/configuración reversible?</t>
        </is>
      </c>
      <c r="G973" t="inlineStr">
        <is>
          <t>NE</t>
        </is>
      </c>
      <c r="H973" t="inlineStr">
        <is>
          <t>Pendiente</t>
        </is>
      </c>
      <c r="I973" s="2" t="inlineStr">
        <is>
          <t>No se encontró documentación sobre un camino de salida o reversibilidad de la configuración.</t>
        </is>
      </c>
      <c r="K973" t="inlineStr">
        <is>
          <t>2026-09-16</t>
        </is>
      </c>
      <c r="L973" s="2" t="inlineStr"/>
    </row>
    <row r="974">
      <c r="A974" t="inlineStr">
        <is>
          <t>E3</t>
        </is>
      </c>
      <c r="B974" t="inlineStr">
        <is>
          <t>Kubernetes</t>
        </is>
      </c>
      <c r="C974" t="inlineStr">
        <is>
          <t>Cast AI</t>
        </is>
      </c>
      <c r="D974" t="inlineStr">
        <is>
          <t>Visibilidad</t>
        </is>
      </c>
      <c r="E974" t="inlineStr">
        <is>
          <t>V1</t>
        </is>
      </c>
      <c r="F974" s="2" t="inlineStr">
        <is>
          <t>¿Desagrega costo y uso por cuenta/proyecto, servicio y período?</t>
        </is>
      </c>
      <c r="G974" t="n">
        <v>2</v>
      </c>
      <c r="H974" t="inlineStr">
        <is>
          <t>Oficial</t>
        </is>
      </c>
      <c r="I974" s="2" t="inlineStr">
        <is>
          <t>Ofrece "reportes de costo en tiempo real y de períodos más largos a nivel de clúster, namespace y workload", habilitando desglose de costo/uso multinivel.</t>
        </is>
      </c>
      <c r="J974" t="inlineStr">
        <is>
          <t>https://docs.cast.ai/docs/getting-started</t>
        </is>
      </c>
      <c r="K974" t="inlineStr">
        <is>
          <t>2026-09-16</t>
        </is>
      </c>
      <c r="L974" s="2" t="inlineStr"/>
    </row>
    <row r="975">
      <c r="A975" t="inlineStr">
        <is>
          <t>E3</t>
        </is>
      </c>
      <c r="B975" t="inlineStr">
        <is>
          <t>Kubernetes</t>
        </is>
      </c>
      <c r="C975" t="inlineStr">
        <is>
          <t>Cast AI</t>
        </is>
      </c>
      <c r="D975" t="inlineStr">
        <is>
          <t>Visibilidad</t>
        </is>
      </c>
      <c r="E975" t="inlineStr">
        <is>
          <t>V2</t>
        </is>
      </c>
      <c r="F975" s="2" t="inlineStr">
        <is>
          <t>¿Permite rastrear un total hasta registros o fuente de facturación?</t>
        </is>
      </c>
      <c r="G975" t="inlineStr">
        <is>
          <t>NE</t>
        </is>
      </c>
      <c r="H975" t="inlineStr">
        <is>
          <t>Pendiente</t>
        </is>
      </c>
      <c r="I975" s="2" t="inlineStr">
        <is>
          <t>No se encontró, en la documentación revisada, una descripción explícita de trazabilidad/reconciliación de un total hasta el registro de facturación fuente.</t>
        </is>
      </c>
      <c r="K975" t="inlineStr">
        <is>
          <t>2026-09-16</t>
        </is>
      </c>
      <c r="L975" s="2" t="inlineStr"/>
    </row>
    <row r="976">
      <c r="A976" t="inlineStr">
        <is>
          <t>E3</t>
        </is>
      </c>
      <c r="B976" t="inlineStr">
        <is>
          <t>Kubernetes</t>
        </is>
      </c>
      <c r="C976" t="inlineStr">
        <is>
          <t>Cast AI</t>
        </is>
      </c>
      <c r="D976" t="inlineStr">
        <is>
          <t>Asignacion</t>
        </is>
      </c>
      <c r="E976" t="inlineStr">
        <is>
          <t>A1</t>
        </is>
      </c>
      <c r="F976" s="2" t="inlineStr">
        <is>
          <t>¿Calcula gasto asignado/no asignado por responsable, centro o entidad?</t>
        </is>
      </c>
      <c r="G976" t="n">
        <v>1</v>
      </c>
      <c r="H976" t="inlineStr">
        <is>
          <t>Oficial</t>
        </is>
      </c>
      <c r="I976" s="2" t="inlineStr">
        <is>
          <t>Los reportes de costo a nivel de namespace/workload permiten atribuir gasto, pero no se encontró una función de asignación organizacional (por responsable/centro de costo) equivalente a la de las plataformas multicloud, ni un indicador explícito de gasto "no asignado".</t>
        </is>
      </c>
      <c r="J976" t="inlineStr">
        <is>
          <t>https://docs.cast.ai/docs/getting-started</t>
        </is>
      </c>
      <c r="K976" t="inlineStr">
        <is>
          <t>2026-09-16</t>
        </is>
      </c>
      <c r="L976" s="2" t="inlineStr"/>
    </row>
    <row r="977">
      <c r="A977" t="inlineStr">
        <is>
          <t>E3</t>
        </is>
      </c>
      <c r="B977" t="inlineStr">
        <is>
          <t>Kubernetes</t>
        </is>
      </c>
      <c r="C977" t="inlineStr">
        <is>
          <t>Cast AI</t>
        </is>
      </c>
      <c r="D977" t="inlineStr">
        <is>
          <t>Asignacion</t>
        </is>
      </c>
      <c r="E977" t="inlineStr">
        <is>
          <t>A2</t>
        </is>
      </c>
      <c r="F977" s="2" t="inlineStr">
        <is>
          <t>¿Explicita y aplica reglas para costo compartido/multi-tenant?</t>
        </is>
      </c>
      <c r="G977" t="inlineStr">
        <is>
          <t>NE</t>
        </is>
      </c>
      <c r="H977" t="inlineStr">
        <is>
          <t>Pendiente</t>
        </is>
      </c>
      <c r="I977" s="2" t="inlineStr">
        <is>
          <t>No se encontró documentación de una función dedicada de reparto de costo compartido/multi-tenant.</t>
        </is>
      </c>
      <c r="K977" t="inlineStr">
        <is>
          <t>2026-09-16</t>
        </is>
      </c>
      <c r="L977" s="2" t="inlineStr"/>
    </row>
    <row r="978">
      <c r="A978" t="inlineStr">
        <is>
          <t>E3</t>
        </is>
      </c>
      <c r="B978" t="inlineStr">
        <is>
          <t>Kubernetes</t>
        </is>
      </c>
      <c r="C978" t="inlineStr">
        <is>
          <t>Cast AI</t>
        </is>
      </c>
      <c r="D978" t="inlineStr">
        <is>
          <t>Optimizacion</t>
        </is>
      </c>
      <c r="E978" t="inlineStr">
        <is>
          <t>O1</t>
        </is>
      </c>
      <c r="F978" s="2" t="inlineStr">
        <is>
          <t>¿Detecta desperdicio, rightsizing o compromiso relevante al escenario?</t>
        </is>
      </c>
      <c r="G978" t="n">
        <v>2</v>
      </c>
      <c r="H978" t="inlineStr">
        <is>
          <t>Oficial</t>
        </is>
      </c>
      <c r="I978" s="2" t="inlineStr">
        <is>
          <t>Ejecuta rightsizing automático de nodos y contenedores basado en uso real ("right-size your containers automatically based on actual resource usage"), con recomendaciones generadas ya a los 30 minutos de observar un workload.</t>
        </is>
      </c>
      <c r="J978" t="inlineStr">
        <is>
          <t>https://docs.cast.ai/docs/rightsizing-recommendations-and-woop</t>
        </is>
      </c>
      <c r="K978" t="inlineStr">
        <is>
          <t>2026-09-16</t>
        </is>
      </c>
      <c r="L978" s="2" t="inlineStr"/>
    </row>
    <row r="979">
      <c r="A979" t="inlineStr">
        <is>
          <t>E3</t>
        </is>
      </c>
      <c r="B979" t="inlineStr">
        <is>
          <t>Kubernetes</t>
        </is>
      </c>
      <c r="C979" t="inlineStr">
        <is>
          <t>Cast AI</t>
        </is>
      </c>
      <c r="D979" t="inlineStr">
        <is>
          <t>Optimizacion</t>
        </is>
      </c>
      <c r="E979" t="inlineStr">
        <is>
          <t>O2</t>
        </is>
      </c>
      <c r="F979" s="2" t="inlineStr">
        <is>
          <t>¿Explica supuesto/impacto y permite seguir una recomendación?</t>
        </is>
      </c>
      <c r="G979" t="n">
        <v>1</v>
      </c>
      <c r="H979" t="inlineStr">
        <is>
          <t>Oficial</t>
        </is>
      </c>
      <c r="I979" s="2" t="inlineStr">
        <is>
          <t>La documentación revisada no detalla métricas de ahorro realizado ni un ciclo de seguimiento explícito del impacto de una recomendación una vez aplicada.</t>
        </is>
      </c>
      <c r="J979" t="inlineStr">
        <is>
          <t>https://docs.cast.ai/docs/rightsizing-recommendations-and-woop</t>
        </is>
      </c>
      <c r="K979" t="inlineStr">
        <is>
          <t>2026-09-16</t>
        </is>
      </c>
      <c r="L979" s="2" t="inlineStr"/>
    </row>
    <row r="980">
      <c r="A980" t="inlineStr">
        <is>
          <t>E3</t>
        </is>
      </c>
      <c r="B980" t="inlineStr">
        <is>
          <t>Kubernetes</t>
        </is>
      </c>
      <c r="C980" t="inlineStr">
        <is>
          <t>Cast AI</t>
        </is>
      </c>
      <c r="D980" t="inlineStr">
        <is>
          <t>Automatizacion</t>
        </is>
      </c>
      <c r="E980" t="inlineStr">
        <is>
          <t>AU1</t>
        </is>
      </c>
      <c r="F980" s="2" t="inlineStr">
        <is>
          <t>¿Ejecuta o bloquea acciones/políticas de costo con control verificable?</t>
        </is>
      </c>
      <c r="G980" t="n">
        <v>2</v>
      </c>
      <c r="H980" t="inlineStr">
        <is>
          <t>Oficial</t>
        </is>
      </c>
      <c r="I980" s="2" t="inlineStr">
        <is>
          <t>Ejecuta automáticamente node autoscaling, selección de instancias Spot, bin packing y "Workload Autoscaling" (ajuste de solicitudes de Pod), operando sobre EKS, GKE, AKS, OCI, Azure for Government y clústeres on-premises/híbridos ("Cast AI Anywhere").</t>
        </is>
      </c>
      <c r="J980" t="inlineStr">
        <is>
          <t>https://docs.cast.ai/docs/getting-started</t>
        </is>
      </c>
      <c r="K980" t="inlineStr">
        <is>
          <t>2026-09-16</t>
        </is>
      </c>
      <c r="L980" s="2" t="inlineStr"/>
    </row>
    <row r="981">
      <c r="A981" t="inlineStr">
        <is>
          <t>E3</t>
        </is>
      </c>
      <c r="B981" t="inlineStr">
        <is>
          <t>Kubernetes</t>
        </is>
      </c>
      <c r="C981" t="inlineStr">
        <is>
          <t>Cast AI</t>
        </is>
      </c>
      <c r="D981" t="inlineStr">
        <is>
          <t>Automatizacion</t>
        </is>
      </c>
      <c r="E981" t="inlineStr">
        <is>
          <t>AU2</t>
        </is>
      </c>
      <c r="F981" s="2" t="inlineStr">
        <is>
          <t>¿Ofrece aprobación, reversión, registro o límites antes de actuar?</t>
        </is>
      </c>
      <c r="G981" t="n">
        <v>2</v>
      </c>
      <c r="H981" t="inlineStr">
        <is>
          <t>Oficial</t>
        </is>
      </c>
      <c r="I981" s="2" t="inlineStr">
        <is>
          <t>Las "Scaling Policies" definen límites mínimo/máximo de recursos, un interruptor global de "Automatically optimize workloads" (activable por workload), exclusión de contenedores específicos y control de cuándo aplicar cambios (inmediato o en el próximo reinicio natural del pod); además, los límites de memoria se fijan en 1,5x la solicitud para evitar terminaciones por falta de memoria mientras el sistema se adapta.</t>
        </is>
      </c>
      <c r="J981" t="inlineStr">
        <is>
          <t>https://docs.cast.ai/docs/woop-scaling-policies</t>
        </is>
      </c>
      <c r="K981" t="inlineStr">
        <is>
          <t>2026-09-16</t>
        </is>
      </c>
      <c r="L981" s="2" t="inlineStr"/>
    </row>
    <row r="982">
      <c r="A982" t="inlineStr">
        <is>
          <t>E3</t>
        </is>
      </c>
      <c r="B982" t="inlineStr">
        <is>
          <t>Kubernetes</t>
        </is>
      </c>
      <c r="C982" t="inlineStr">
        <is>
          <t>Cast AI</t>
        </is>
      </c>
      <c r="D982" t="inlineStr">
        <is>
          <t>Multicloud</t>
        </is>
      </c>
      <c r="E982" t="inlineStr">
        <is>
          <t>M1</t>
        </is>
      </c>
      <c r="F982" s="2" t="inlineStr">
        <is>
          <t>¿Consolida al menos dos proveedores bajo el mismo esquema declarado?</t>
        </is>
      </c>
      <c r="G982" t="n">
        <v>0</v>
      </c>
      <c r="H982" t="inlineStr">
        <is>
          <t>Oficial</t>
        </is>
      </c>
      <c r="I982" s="2" t="inlineStr">
        <is>
          <t>Cast AI opera de forma independiente sobre cada clúster (EKS, GKE, AKS, OCI, on-premises); la documentación revisada no describe una consolidación normalizada de costo entre proveedores bajo un mismo esquema (es una plataforma de automatización de Kubernetes, no de reporting multicloud consolidado).</t>
        </is>
      </c>
      <c r="J982" t="inlineStr">
        <is>
          <t>https://docs.cast.ai/docs/getting-started</t>
        </is>
      </c>
      <c r="K982" t="inlineStr">
        <is>
          <t>2026-09-16</t>
        </is>
      </c>
      <c r="L982" s="2" t="inlineStr"/>
    </row>
    <row r="983">
      <c r="A983" t="inlineStr">
        <is>
          <t>E3</t>
        </is>
      </c>
      <c r="B983" t="inlineStr">
        <is>
          <t>Kubernetes</t>
        </is>
      </c>
      <c r="C983" t="inlineStr">
        <is>
          <t>Cast AI</t>
        </is>
      </c>
      <c r="D983" t="inlineStr">
        <is>
          <t>Multicloud</t>
        </is>
      </c>
      <c r="E983" t="inlineStr">
        <is>
          <t>M2</t>
        </is>
      </c>
      <c r="F983" s="2" t="inlineStr">
        <is>
          <t>¿Hace visibles proveedor, cobertura y diferencias semánticas?</t>
        </is>
      </c>
      <c r="G983" t="n">
        <v>1</v>
      </c>
      <c r="H983" t="inlineStr">
        <is>
          <t>Oficial</t>
        </is>
      </c>
      <c r="I983" s="2" t="inlineStr">
        <is>
          <t>Al operar clúster por clúster sobre EKS/GKE/AKS/OCI, el proveedor de cada clúster es explícito por diseño (no se ocultan diferencias), pero no se documentó un mapeo/diccionario semántico explícito entre proveedores.</t>
        </is>
      </c>
      <c r="J983" t="inlineStr">
        <is>
          <t>https://docs.cast.ai/docs/getting-started</t>
        </is>
      </c>
      <c r="K983" t="inlineStr">
        <is>
          <t>2026-09-16</t>
        </is>
      </c>
      <c r="L983" s="2" t="inlineStr"/>
    </row>
    <row r="984">
      <c r="A984" t="inlineStr">
        <is>
          <t>E3</t>
        </is>
      </c>
      <c r="B984" t="inlineStr">
        <is>
          <t>Kubernetes</t>
        </is>
      </c>
      <c r="C984" t="inlineStr">
        <is>
          <t>Cast AI</t>
        </is>
      </c>
      <c r="D984" t="inlineStr">
        <is>
          <t>Integracion</t>
        </is>
      </c>
      <c r="E984" t="inlineStr">
        <is>
          <t>I1</t>
        </is>
      </c>
      <c r="F984" s="2" t="inlineStr">
        <is>
          <t>¿Integra datos requeridos (facturación, uso, clúster o IaC) del escenario?</t>
        </is>
      </c>
      <c r="G984" t="n">
        <v>2</v>
      </c>
      <c r="H984" t="inlineStr">
        <is>
          <t>Oficial</t>
        </is>
      </c>
      <c r="I984" s="2" t="inlineStr">
        <is>
          <t>Se integra mediante un "agente de solo lectura" con controles de permisos a nivel de Kubernetes y de la nube subyacente, con soporte documentado para EKS, GKE, AKS, OCI y clústeres híbridos/on-premises.</t>
        </is>
      </c>
      <c r="J984" t="inlineStr">
        <is>
          <t>https://docs.cast.ai/docs/getting-started</t>
        </is>
      </c>
      <c r="K984" t="inlineStr">
        <is>
          <t>2026-09-16</t>
        </is>
      </c>
      <c r="L984" s="2" t="inlineStr"/>
    </row>
    <row r="985">
      <c r="A985" t="inlineStr">
        <is>
          <t>E3</t>
        </is>
      </c>
      <c r="B985" t="inlineStr">
        <is>
          <t>Kubernetes</t>
        </is>
      </c>
      <c r="C985" t="inlineStr">
        <is>
          <t>Cast AI</t>
        </is>
      </c>
      <c r="D985" t="inlineStr">
        <is>
          <t>Integracion</t>
        </is>
      </c>
      <c r="E985" t="inlineStr">
        <is>
          <t>I2</t>
        </is>
      </c>
      <c r="F985" s="2" t="inlineStr">
        <is>
          <t>¿Se integra con el flujo de trabajo relevante (alerta, ticket, CI/CD o reporte)?</t>
        </is>
      </c>
      <c r="G985" t="inlineStr">
        <is>
          <t>NE</t>
        </is>
      </c>
      <c r="H985" t="inlineStr">
        <is>
          <t>Pendiente</t>
        </is>
      </c>
      <c r="I985" s="2" t="inlineStr">
        <is>
          <t>No se encontró, en la documentación revisada, integración directa con ticketing/CI-CD o canales de alerta externos (Slack, etc.).</t>
        </is>
      </c>
      <c r="K985" t="inlineStr">
        <is>
          <t>2026-09-16</t>
        </is>
      </c>
      <c r="L985" s="2" t="inlineStr"/>
    </row>
    <row r="986">
      <c r="A986" t="inlineStr">
        <is>
          <t>E3</t>
        </is>
      </c>
      <c r="B986" t="inlineStr">
        <is>
          <t>Kubernetes</t>
        </is>
      </c>
      <c r="C986" t="inlineStr">
        <is>
          <t>Cast AI</t>
        </is>
      </c>
      <c r="D986" t="inlineStr">
        <is>
          <t>Adopcion</t>
        </is>
      </c>
      <c r="E986" t="inlineStr">
        <is>
          <t>AD1</t>
        </is>
      </c>
      <c r="F986" s="2" t="inlineStr">
        <is>
          <t>¿Soporta acceso/entrega para los roles del escenario?</t>
        </is>
      </c>
      <c r="G986" t="inlineStr">
        <is>
          <t>NE</t>
        </is>
      </c>
      <c r="H986" t="inlineStr">
        <is>
          <t>Pendiente</t>
        </is>
      </c>
      <c r="I986" s="2" t="inlineStr">
        <is>
          <t>No se encontró, en la documentación revisada, un modelo de roles/permisos propio del producto más allá de los permisos de acceso a nivel de Kubernetes/nube del agente de solo lectura.</t>
        </is>
      </c>
      <c r="K986" t="inlineStr">
        <is>
          <t>2026-09-16</t>
        </is>
      </c>
      <c r="L986" s="2" t="inlineStr"/>
    </row>
    <row r="987">
      <c r="A987" t="inlineStr">
        <is>
          <t>E3</t>
        </is>
      </c>
      <c r="B987" t="inlineStr">
        <is>
          <t>Kubernetes</t>
        </is>
      </c>
      <c r="C987" t="inlineStr">
        <is>
          <t>Cast AI</t>
        </is>
      </c>
      <c r="D987" t="inlineStr">
        <is>
          <t>Adopcion</t>
        </is>
      </c>
      <c r="E987" t="inlineStr">
        <is>
          <t>AD2</t>
        </is>
      </c>
      <c r="F987" s="2" t="inlineStr">
        <is>
          <t>¿Ofrece guías, ownership o mecanismos de seguimiento para uso sostenido?</t>
        </is>
      </c>
      <c r="G987" t="inlineStr">
        <is>
          <t>NE</t>
        </is>
      </c>
      <c r="H987" t="inlineStr">
        <is>
          <t>Pendiente</t>
        </is>
      </c>
      <c r="I987" s="2" t="inlineStr">
        <is>
          <t>No se encontró, en la documentación revisada, una guía de adopción/gobernanza dedicada más allá de la documentación general del producto.</t>
        </is>
      </c>
      <c r="K987" t="inlineStr">
        <is>
          <t>2026-09-16</t>
        </is>
      </c>
      <c r="L987"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988">
      <c r="A988" t="inlineStr">
        <is>
          <t>E3</t>
        </is>
      </c>
      <c r="B988" t="inlineStr">
        <is>
          <t>Kubernetes</t>
        </is>
      </c>
      <c r="C988" t="inlineStr">
        <is>
          <t>Cast AI</t>
        </is>
      </c>
      <c r="D988" t="inlineStr">
        <is>
          <t>Precio</t>
        </is>
      </c>
      <c r="E988" t="inlineStr">
        <is>
          <t>P1</t>
        </is>
      </c>
      <c r="F988" s="2" t="inlineStr">
        <is>
          <t>¿Expone precio, moneda, región, unidad, período y supuestos relevantes?</t>
        </is>
      </c>
      <c r="G988" t="inlineStr">
        <is>
          <t>NE</t>
        </is>
      </c>
      <c r="H988" t="inlineStr">
        <is>
          <t>Pendiente</t>
        </is>
      </c>
      <c r="I988" s="2" t="inlineStr">
        <is>
          <t>Cast AI automatiza costo de recursos ya desplegados en el clúster; no expone transparencia de precio/supuestos de una estimación previa al despliegue.</t>
        </is>
      </c>
      <c r="J988" t="inlineStr">
        <is>
          <t>https://docs.cast.ai/docs/getting-started</t>
        </is>
      </c>
      <c r="K988" t="inlineStr">
        <is>
          <t>2026-09-16</t>
        </is>
      </c>
      <c r="L988" s="2" t="inlineStr">
        <is>
          <t>Corrección de alcance FP-180 (2026-09-16): el valor pasa de NA a NE. La justificación NA reinterpreta P1 como estimación previa al despliegue; el indicador tiene objeto y no fue investigado. La evidencia y la fuente originales no se modifican.</t>
        </is>
      </c>
    </row>
    <row r="989">
      <c r="A989" t="inlineStr">
        <is>
          <t>E3</t>
        </is>
      </c>
      <c r="B989" t="inlineStr">
        <is>
          <t>Kubernetes</t>
        </is>
      </c>
      <c r="C989" t="inlineStr">
        <is>
          <t>Cast AI</t>
        </is>
      </c>
      <c r="D989" t="inlineStr">
        <is>
          <t>Precio</t>
        </is>
      </c>
      <c r="E989" t="inlineStr">
        <is>
          <t>P2</t>
        </is>
      </c>
      <c r="F989" s="2" t="inlineStr">
        <is>
          <t>¿Permite estimar o comparar componentes sin ocultar límites de equivalencia?</t>
        </is>
      </c>
      <c r="G989" t="inlineStr">
        <is>
          <t>NE</t>
        </is>
      </c>
      <c r="H989" t="inlineStr">
        <is>
          <t>Pendiente</t>
        </is>
      </c>
      <c r="I989" s="2" t="inlineStr">
        <is>
          <t>Mismo motivo que P1.</t>
        </is>
      </c>
      <c r="J989" t="inlineStr">
        <is>
          <t>https://docs.cast.ai/docs/getting-started</t>
        </is>
      </c>
      <c r="K989" t="inlineStr">
        <is>
          <t>2026-09-16</t>
        </is>
      </c>
      <c r="L989" s="2" t="inlineStr">
        <is>
          <t>Corrección de alcance FP-180 (2026-09-16): el valor pasa de NA a NE. Mismo motivo que P1. La evidencia y la fuente originales no se modifican.</t>
        </is>
      </c>
    </row>
    <row r="990">
      <c r="A990" t="inlineStr">
        <is>
          <t>E3</t>
        </is>
      </c>
      <c r="B990" t="inlineStr">
        <is>
          <t>Kubernetes</t>
        </is>
      </c>
      <c r="C990" t="inlineStr">
        <is>
          <t>Cast AI</t>
        </is>
      </c>
      <c r="D990" t="inlineStr">
        <is>
          <t>Dependencia</t>
        </is>
      </c>
      <c r="E990" t="inlineStr">
        <is>
          <t>D1</t>
        </is>
      </c>
      <c r="F990" s="2" t="inlineStr">
        <is>
          <t>¿Exporta datos/resultados en formato utilizable y documentado?</t>
        </is>
      </c>
      <c r="G990" t="inlineStr">
        <is>
          <t>NE</t>
        </is>
      </c>
      <c r="H990" t="inlineStr">
        <is>
          <t>Pendiente</t>
        </is>
      </c>
      <c r="I990" s="2" t="inlineStr">
        <is>
          <t>No se encontró, en la documentación revisada, una función explícita de exportación masiva de datos de costo (a diferencia de OpenCost/Kubecost, que documentan endpoints de Prometheus/Cost API específicos para este fin).</t>
        </is>
      </c>
      <c r="K990" t="inlineStr">
        <is>
          <t>2026-09-16</t>
        </is>
      </c>
      <c r="L990" s="2" t="inlineStr"/>
    </row>
    <row r="991">
      <c r="A991" t="inlineStr">
        <is>
          <t>E3</t>
        </is>
      </c>
      <c r="B991" t="inlineStr">
        <is>
          <t>Kubernetes</t>
        </is>
      </c>
      <c r="C991" t="inlineStr">
        <is>
          <t>Cast AI</t>
        </is>
      </c>
      <c r="D991" t="inlineStr">
        <is>
          <t>Dependencia</t>
        </is>
      </c>
      <c r="E991" t="inlineStr">
        <is>
          <t>D2</t>
        </is>
      </c>
      <c r="F991" s="2" t="inlineStr">
        <is>
          <t>¿Documenta dependencias propietarias y un camino de salida/configuración reversible?</t>
        </is>
      </c>
      <c r="G991" t="inlineStr">
        <is>
          <t>NE</t>
        </is>
      </c>
      <c r="H991" t="inlineStr">
        <is>
          <t>Pendiente</t>
        </is>
      </c>
      <c r="I991" s="2" t="inlineStr">
        <is>
          <t>No se encontró documentación sobre un camino de salida o reversibilidad de la configuración.</t>
        </is>
      </c>
      <c r="K991" t="inlineStr">
        <is>
          <t>2026-09-16</t>
        </is>
      </c>
      <c r="L991" s="2" t="inlineStr"/>
    </row>
    <row r="992">
      <c r="A992" t="inlineStr">
        <is>
          <t>E5</t>
        </is>
      </c>
      <c r="B992" t="inlineStr">
        <is>
          <t>Kubernetes</t>
        </is>
      </c>
      <c r="C992" t="inlineStr">
        <is>
          <t>Cast AI</t>
        </is>
      </c>
      <c r="D992" t="inlineStr">
        <is>
          <t>Visibilidad</t>
        </is>
      </c>
      <c r="E992" t="inlineStr">
        <is>
          <t>V1</t>
        </is>
      </c>
      <c r="F992" s="2" t="inlineStr">
        <is>
          <t>¿Desagrega costo y uso por cuenta/proyecto, servicio y período?</t>
        </is>
      </c>
      <c r="G992" t="inlineStr">
        <is>
          <t>NE</t>
        </is>
      </c>
      <c r="H992" t="inlineStr">
        <is>
          <t>Pendiente</t>
        </is>
      </c>
      <c r="I992" s="2" t="inlineStr">
        <is>
          <t>Ofrece "reportes de costo en tiempo real y de períodos más largos a nivel de clúster, namespace y workload", habilitando desglose de costo/uso multinivel.</t>
        </is>
      </c>
      <c r="J992" t="inlineStr">
        <is>
          <t>https://docs.cast.ai/docs/getting-started</t>
        </is>
      </c>
      <c r="K992" t="inlineStr">
        <is>
          <t>2026-09-16</t>
        </is>
      </c>
      <c r="L992" s="2" t="inlineStr">
        <is>
          <t>Celda heredada FP-180 (2026-09-16): el valor 2 proviene de la investigacion del escenario E3 y no cuenta con evidencia propia de E5. Segun FP-177 el indicador V1 depende del escenario, por lo que pasa a NE (no evidenciado, reduce cobertura) hasta investigarlo. La evidencia y la fuente originales se conservan como referencia del escenario de origen.</t>
        </is>
      </c>
    </row>
    <row r="993">
      <c r="A993" t="inlineStr">
        <is>
          <t>E5</t>
        </is>
      </c>
      <c r="B993" t="inlineStr">
        <is>
          <t>Kubernetes</t>
        </is>
      </c>
      <c r="C993" t="inlineStr">
        <is>
          <t>Cast AI</t>
        </is>
      </c>
      <c r="D993" t="inlineStr">
        <is>
          <t>Visibilidad</t>
        </is>
      </c>
      <c r="E993" t="inlineStr">
        <is>
          <t>V2</t>
        </is>
      </c>
      <c r="F993" s="2" t="inlineStr">
        <is>
          <t>¿Permite rastrear un total hasta registros o fuente de facturación?</t>
        </is>
      </c>
      <c r="G993" t="inlineStr">
        <is>
          <t>NE</t>
        </is>
      </c>
      <c r="H993" t="inlineStr">
        <is>
          <t>Pendiente</t>
        </is>
      </c>
      <c r="I993" s="2" t="inlineStr">
        <is>
          <t>No se encontró, en la documentación revisada, una descripción explícita de trazabilidad/reconciliación de un total hasta el registro de facturación fuente.</t>
        </is>
      </c>
      <c r="K993" t="inlineStr">
        <is>
          <t>2026-09-16</t>
        </is>
      </c>
      <c r="L993" s="2" t="inlineStr"/>
    </row>
    <row r="994">
      <c r="A994" t="inlineStr">
        <is>
          <t>E5</t>
        </is>
      </c>
      <c r="B994" t="inlineStr">
        <is>
          <t>Kubernetes</t>
        </is>
      </c>
      <c r="C994" t="inlineStr">
        <is>
          <t>Cast AI</t>
        </is>
      </c>
      <c r="D994" t="inlineStr">
        <is>
          <t>Asignacion</t>
        </is>
      </c>
      <c r="E994" t="inlineStr">
        <is>
          <t>A1</t>
        </is>
      </c>
      <c r="F994" s="2" t="inlineStr">
        <is>
          <t>¿Calcula gasto asignado/no asignado por responsable, centro o entidad?</t>
        </is>
      </c>
      <c r="G994" t="inlineStr">
        <is>
          <t>NE</t>
        </is>
      </c>
      <c r="H994" t="inlineStr">
        <is>
          <t>Pendiente</t>
        </is>
      </c>
      <c r="I994" s="2" t="inlineStr">
        <is>
          <t>Los reportes de costo a nivel de namespace/workload permiten atribuir gasto, pero no se encontró una función de asignación organizacional (por responsable/centro de costo) equivalente a la de las plataformas multicloud, ni un indicador explícito de gasto "no asignado".</t>
        </is>
      </c>
      <c r="J994" t="inlineStr">
        <is>
          <t>https://docs.cast.ai/docs/getting-started</t>
        </is>
      </c>
      <c r="K994" t="inlineStr">
        <is>
          <t>2026-09-16</t>
        </is>
      </c>
      <c r="L994" s="2" t="inlineStr">
        <is>
          <t>Celda heredada FP-180 (2026-09-16): el valor 1 proviene de la investigacion del escenario E3 y no cuenta con evidencia propia de E5. Segun FP-177 el indicador A1 depende del escenario, por lo que pasa a NE (no evidenciado, reduce cobertura) hasta investigarlo. La evidencia y la fuente originales se conservan como referencia del escenario de origen.</t>
        </is>
      </c>
    </row>
    <row r="995">
      <c r="A995" t="inlineStr">
        <is>
          <t>E5</t>
        </is>
      </c>
      <c r="B995" t="inlineStr">
        <is>
          <t>Kubernetes</t>
        </is>
      </c>
      <c r="C995" t="inlineStr">
        <is>
          <t>Cast AI</t>
        </is>
      </c>
      <c r="D995" t="inlineStr">
        <is>
          <t>Asignacion</t>
        </is>
      </c>
      <c r="E995" t="inlineStr">
        <is>
          <t>A2</t>
        </is>
      </c>
      <c r="F995" s="2" t="inlineStr">
        <is>
          <t>¿Explicita y aplica reglas para costo compartido/multi-tenant?</t>
        </is>
      </c>
      <c r="G995" t="inlineStr">
        <is>
          <t>NE</t>
        </is>
      </c>
      <c r="H995" t="inlineStr">
        <is>
          <t>Pendiente</t>
        </is>
      </c>
      <c r="I995" s="2" t="inlineStr">
        <is>
          <t>No se encontró documentación de una función dedicada de reparto de costo compartido/multi-tenant.</t>
        </is>
      </c>
      <c r="K995" t="inlineStr">
        <is>
          <t>2026-09-16</t>
        </is>
      </c>
      <c r="L995" s="2" t="inlineStr"/>
    </row>
    <row r="996">
      <c r="A996" t="inlineStr">
        <is>
          <t>E5</t>
        </is>
      </c>
      <c r="B996" t="inlineStr">
        <is>
          <t>Kubernetes</t>
        </is>
      </c>
      <c r="C996" t="inlineStr">
        <is>
          <t>Cast AI</t>
        </is>
      </c>
      <c r="D996" t="inlineStr">
        <is>
          <t>Optimizacion</t>
        </is>
      </c>
      <c r="E996" t="inlineStr">
        <is>
          <t>O1</t>
        </is>
      </c>
      <c r="F996" s="2" t="inlineStr">
        <is>
          <t>¿Detecta desperdicio, rightsizing o compromiso relevante al escenario?</t>
        </is>
      </c>
      <c r="G996" t="inlineStr">
        <is>
          <t>NE</t>
        </is>
      </c>
      <c r="H996" t="inlineStr">
        <is>
          <t>Pendiente</t>
        </is>
      </c>
      <c r="I996" s="2" t="inlineStr">
        <is>
          <t>Ejecuta rightsizing automático de nodos y contenedores basado en uso real ("right-size your containers automatically based on actual resource usage"), con recomendaciones generadas ya a los 30 minutos de observar un workload.</t>
        </is>
      </c>
      <c r="J996" t="inlineStr">
        <is>
          <t>https://docs.cast.ai/docs/rightsizing-recommendations-and-woop</t>
        </is>
      </c>
      <c r="K996" t="inlineStr">
        <is>
          <t>2026-09-16</t>
        </is>
      </c>
      <c r="L996" s="2" t="inlineStr">
        <is>
          <t>Celda heredada FP-180 (2026-09-16): el valor 2 proviene de la investigacion del escenario E3 y no cuenta con evidencia propia de E5. Segun FP-177 el indicador O1 depende del escenario, por lo que pasa a NE (no evidenciado, reduce cobertura) hasta investigarlo. La evidencia y la fuente originales se conservan como referencia del escenario de origen.</t>
        </is>
      </c>
    </row>
    <row r="997">
      <c r="A997" t="inlineStr">
        <is>
          <t>E5</t>
        </is>
      </c>
      <c r="B997" t="inlineStr">
        <is>
          <t>Kubernetes</t>
        </is>
      </c>
      <c r="C997" t="inlineStr">
        <is>
          <t>Cast AI</t>
        </is>
      </c>
      <c r="D997" t="inlineStr">
        <is>
          <t>Optimizacion</t>
        </is>
      </c>
      <c r="E997" t="inlineStr">
        <is>
          <t>O2</t>
        </is>
      </c>
      <c r="F997" s="2" t="inlineStr">
        <is>
          <t>¿Explica supuesto/impacto y permite seguir una recomendación?</t>
        </is>
      </c>
      <c r="G997" t="n">
        <v>1</v>
      </c>
      <c r="H997" t="inlineStr">
        <is>
          <t>Oficial</t>
        </is>
      </c>
      <c r="I997" s="2" t="inlineStr">
        <is>
          <t>La documentación revisada no detalla métricas de ahorro realizado ni un ciclo de seguimiento explícito del impacto de una recomendación una vez aplicada.</t>
        </is>
      </c>
      <c r="J997" t="inlineStr">
        <is>
          <t>https://docs.cast.ai/docs/rightsizing-recommendations-and-woop</t>
        </is>
      </c>
      <c r="K997" t="inlineStr">
        <is>
          <t>2026-09-16</t>
        </is>
      </c>
      <c r="L997" s="2" t="inlineStr"/>
    </row>
    <row r="998">
      <c r="A998" t="inlineStr">
        <is>
          <t>E5</t>
        </is>
      </c>
      <c r="B998" t="inlineStr">
        <is>
          <t>Kubernetes</t>
        </is>
      </c>
      <c r="C998" t="inlineStr">
        <is>
          <t>Cast AI</t>
        </is>
      </c>
      <c r="D998" t="inlineStr">
        <is>
          <t>Automatizacion</t>
        </is>
      </c>
      <c r="E998" t="inlineStr">
        <is>
          <t>AU1</t>
        </is>
      </c>
      <c r="F998" s="2" t="inlineStr">
        <is>
          <t>¿Ejecuta o bloquea acciones/políticas de costo con control verificable?</t>
        </is>
      </c>
      <c r="G998" t="inlineStr">
        <is>
          <t>NE</t>
        </is>
      </c>
      <c r="H998" t="inlineStr">
        <is>
          <t>Pendiente</t>
        </is>
      </c>
      <c r="I998" s="2" t="inlineStr">
        <is>
          <t>Ejecuta automáticamente node autoscaling, selección de instancias Spot, bin packing y "Workload Autoscaling" (ajuste de solicitudes de Pod), operando sobre EKS, GKE, AKS, OCI, Azure for Government y clústeres on-premises/híbridos ("Cast AI Anywhere").</t>
        </is>
      </c>
      <c r="J998" t="inlineStr">
        <is>
          <t>https://docs.cast.ai/docs/getting-started</t>
        </is>
      </c>
      <c r="K998" t="inlineStr">
        <is>
          <t>2026-09-16</t>
        </is>
      </c>
      <c r="L998" s="2" t="inlineStr">
        <is>
          <t>Celda heredada FP-180 (2026-09-16): el valor 2 proviene de la investigacion del escenario E3 y no cuenta con evidencia propia de E5. Segun FP-177 el indicador AU1 depende del escenario, por lo que pasa a NE (no evidenciado, reduce cobertura) hasta investigarlo. La evidencia y la fuente originales se conservan como referencia del escenario de origen.</t>
        </is>
      </c>
    </row>
    <row r="999">
      <c r="A999" t="inlineStr">
        <is>
          <t>E5</t>
        </is>
      </c>
      <c r="B999" t="inlineStr">
        <is>
          <t>Kubernetes</t>
        </is>
      </c>
      <c r="C999" t="inlineStr">
        <is>
          <t>Cast AI</t>
        </is>
      </c>
      <c r="D999" t="inlineStr">
        <is>
          <t>Automatizacion</t>
        </is>
      </c>
      <c r="E999" t="inlineStr">
        <is>
          <t>AU2</t>
        </is>
      </c>
      <c r="F999" s="2" t="inlineStr">
        <is>
          <t>¿Ofrece aprobación, reversión, registro o límites antes de actuar?</t>
        </is>
      </c>
      <c r="G999" t="n">
        <v>2</v>
      </c>
      <c r="H999" t="inlineStr">
        <is>
          <t>Oficial</t>
        </is>
      </c>
      <c r="I999" s="2" t="inlineStr">
        <is>
          <t>Las "Scaling Policies" definen límites mínimo/máximo de recursos, un interruptor global de "Automatically optimize workloads" (activable por workload), exclusión de contenedores específicos y control de cuándo aplicar cambios (inmediato o en el próximo reinicio natural del pod); además, los límites de memoria se fijan en 1,5x la solicitud para evitar terminaciones por falta de memoria mientras el sistema se adapta.</t>
        </is>
      </c>
      <c r="J999" t="inlineStr">
        <is>
          <t>https://docs.cast.ai/docs/woop-scaling-policies</t>
        </is>
      </c>
      <c r="K999" t="inlineStr">
        <is>
          <t>2026-09-16</t>
        </is>
      </c>
      <c r="L999" s="2" t="inlineStr"/>
    </row>
    <row r="1000">
      <c r="A1000" t="inlineStr">
        <is>
          <t>E5</t>
        </is>
      </c>
      <c r="B1000" t="inlineStr">
        <is>
          <t>Kubernetes</t>
        </is>
      </c>
      <c r="C1000" t="inlineStr">
        <is>
          <t>Cast AI</t>
        </is>
      </c>
      <c r="D1000" t="inlineStr">
        <is>
          <t>Multicloud</t>
        </is>
      </c>
      <c r="E1000" t="inlineStr">
        <is>
          <t>M1</t>
        </is>
      </c>
      <c r="F1000" s="2" t="inlineStr">
        <is>
          <t>¿Consolida al menos dos proveedores bajo el mismo esquema declarado?</t>
        </is>
      </c>
      <c r="G1000" t="n">
        <v>0</v>
      </c>
      <c r="H1000" t="inlineStr">
        <is>
          <t>Oficial</t>
        </is>
      </c>
      <c r="I1000" s="2" t="inlineStr">
        <is>
          <t>Cast AI opera de forma independiente sobre cada clúster (EKS, GKE, AKS, OCI, on-premises); la documentación revisada no describe una consolidación normalizada de costo entre proveedores bajo un mismo esquema (es una plataforma de automatización de Kubernetes, no de reporting multicloud consolidado).</t>
        </is>
      </c>
      <c r="J1000" t="inlineStr">
        <is>
          <t>https://docs.cast.ai/docs/getting-started</t>
        </is>
      </c>
      <c r="K1000" t="inlineStr">
        <is>
          <t>2026-09-16</t>
        </is>
      </c>
      <c r="L1000" s="2" t="inlineStr"/>
    </row>
    <row r="1001">
      <c r="A1001" t="inlineStr">
        <is>
          <t>E5</t>
        </is>
      </c>
      <c r="B1001" t="inlineStr">
        <is>
          <t>Kubernetes</t>
        </is>
      </c>
      <c r="C1001" t="inlineStr">
        <is>
          <t>Cast AI</t>
        </is>
      </c>
      <c r="D1001" t="inlineStr">
        <is>
          <t>Multicloud</t>
        </is>
      </c>
      <c r="E1001" t="inlineStr">
        <is>
          <t>M2</t>
        </is>
      </c>
      <c r="F1001" s="2" t="inlineStr">
        <is>
          <t>¿Hace visibles proveedor, cobertura y diferencias semánticas?</t>
        </is>
      </c>
      <c r="G1001" t="n">
        <v>1</v>
      </c>
      <c r="H1001" t="inlineStr">
        <is>
          <t>Oficial</t>
        </is>
      </c>
      <c r="I1001" s="2" t="inlineStr">
        <is>
          <t>Al operar clúster por clúster sobre EKS/GKE/AKS/OCI, el proveedor de cada clúster es explícito por diseño (no se ocultan diferencias), pero no se documentó un mapeo/diccionario semántico explícito entre proveedores.</t>
        </is>
      </c>
      <c r="J1001" t="inlineStr">
        <is>
          <t>https://docs.cast.ai/docs/getting-started</t>
        </is>
      </c>
      <c r="K1001" t="inlineStr">
        <is>
          <t>2026-09-16</t>
        </is>
      </c>
      <c r="L1001" s="2" t="inlineStr"/>
    </row>
    <row r="1002">
      <c r="A1002" t="inlineStr">
        <is>
          <t>E5</t>
        </is>
      </c>
      <c r="B1002" t="inlineStr">
        <is>
          <t>Kubernetes</t>
        </is>
      </c>
      <c r="C1002" t="inlineStr">
        <is>
          <t>Cast AI</t>
        </is>
      </c>
      <c r="D1002" t="inlineStr">
        <is>
          <t>Integracion</t>
        </is>
      </c>
      <c r="E1002" t="inlineStr">
        <is>
          <t>I1</t>
        </is>
      </c>
      <c r="F1002" s="2" t="inlineStr">
        <is>
          <t>¿Integra datos requeridos (facturación, uso, clúster o IaC) del escenario?</t>
        </is>
      </c>
      <c r="G1002" t="inlineStr">
        <is>
          <t>NE</t>
        </is>
      </c>
      <c r="H1002" t="inlineStr">
        <is>
          <t>Pendiente</t>
        </is>
      </c>
      <c r="I1002" s="2" t="inlineStr">
        <is>
          <t>Se integra mediante un "agente de solo lectura" con controles de permisos a nivel de Kubernetes y de la nube subyacente, con soporte documentado para EKS, GKE, AKS, OCI y clústeres híbridos/on-premises.</t>
        </is>
      </c>
      <c r="J1002" t="inlineStr">
        <is>
          <t>https://docs.cast.ai/docs/getting-started</t>
        </is>
      </c>
      <c r="K1002" t="inlineStr">
        <is>
          <t>2026-09-16</t>
        </is>
      </c>
      <c r="L1002" s="2" t="inlineStr">
        <is>
          <t>Celda heredada FP-180 (2026-09-16): el valor 2 proviene de la investigacion del escenario E3 y no cuenta con evidencia propia de E5. Segun FP-177 el indicador I1 depende del escenario, por lo que pasa a NE (no evidenciado, reduce cobertura) hasta investigarlo. La evidencia y la fuente originales se conservan como referencia del escenario de origen.</t>
        </is>
      </c>
    </row>
    <row r="1003">
      <c r="A1003" t="inlineStr">
        <is>
          <t>E5</t>
        </is>
      </c>
      <c r="B1003" t="inlineStr">
        <is>
          <t>Kubernetes</t>
        </is>
      </c>
      <c r="C1003" t="inlineStr">
        <is>
          <t>Cast AI</t>
        </is>
      </c>
      <c r="D1003" t="inlineStr">
        <is>
          <t>Integracion</t>
        </is>
      </c>
      <c r="E1003" t="inlineStr">
        <is>
          <t>I2</t>
        </is>
      </c>
      <c r="F1003" s="2" t="inlineStr">
        <is>
          <t>¿Se integra con el flujo de trabajo relevante (alerta, ticket, CI/CD o reporte)?</t>
        </is>
      </c>
      <c r="G1003" t="inlineStr">
        <is>
          <t>NE</t>
        </is>
      </c>
      <c r="H1003" t="inlineStr">
        <is>
          <t>Pendiente</t>
        </is>
      </c>
      <c r="I1003" s="2" t="inlineStr">
        <is>
          <t>No se encontró, en la documentación revisada, integración directa con ticketing/CI-CD o canales de alerta externos (Slack, etc.).</t>
        </is>
      </c>
      <c r="K1003" t="inlineStr">
        <is>
          <t>2026-09-16</t>
        </is>
      </c>
      <c r="L1003" s="2" t="inlineStr"/>
    </row>
    <row r="1004">
      <c r="A1004" t="inlineStr">
        <is>
          <t>E5</t>
        </is>
      </c>
      <c r="B1004" t="inlineStr">
        <is>
          <t>Kubernetes</t>
        </is>
      </c>
      <c r="C1004" t="inlineStr">
        <is>
          <t>Cast AI</t>
        </is>
      </c>
      <c r="D1004" t="inlineStr">
        <is>
          <t>Adopcion</t>
        </is>
      </c>
      <c r="E1004" t="inlineStr">
        <is>
          <t>AD1</t>
        </is>
      </c>
      <c r="F1004" s="2" t="inlineStr">
        <is>
          <t>¿Soporta acceso/entrega para los roles del escenario?</t>
        </is>
      </c>
      <c r="G1004" t="inlineStr">
        <is>
          <t>NE</t>
        </is>
      </c>
      <c r="H1004" t="inlineStr">
        <is>
          <t>Pendiente</t>
        </is>
      </c>
      <c r="I1004" s="2" t="inlineStr">
        <is>
          <t>No se encontró, en la documentación revisada, un modelo de roles/permisos propio del producto más allá de los permisos de acceso a nivel de Kubernetes/nube del agente de solo lectura.</t>
        </is>
      </c>
      <c r="K1004" t="inlineStr">
        <is>
          <t>2026-09-16</t>
        </is>
      </c>
      <c r="L1004" s="2" t="inlineStr"/>
    </row>
    <row r="1005">
      <c r="A1005" t="inlineStr">
        <is>
          <t>E5</t>
        </is>
      </c>
      <c r="B1005" t="inlineStr">
        <is>
          <t>Kubernetes</t>
        </is>
      </c>
      <c r="C1005" t="inlineStr">
        <is>
          <t>Cast AI</t>
        </is>
      </c>
      <c r="D1005" t="inlineStr">
        <is>
          <t>Adopcion</t>
        </is>
      </c>
      <c r="E1005" t="inlineStr">
        <is>
          <t>AD2</t>
        </is>
      </c>
      <c r="F1005" s="2" t="inlineStr">
        <is>
          <t>¿Ofrece guías, ownership o mecanismos de seguimiento para uso sostenido?</t>
        </is>
      </c>
      <c r="G1005" t="inlineStr">
        <is>
          <t>NE</t>
        </is>
      </c>
      <c r="H1005" t="inlineStr">
        <is>
          <t>Pendiente</t>
        </is>
      </c>
      <c r="I1005" s="2" t="inlineStr">
        <is>
          <t>No se encontró, en la documentación revisada, una guía de adopción/gobernanza dedicada más allá de la documentación general del producto.</t>
        </is>
      </c>
      <c r="K1005" t="inlineStr">
        <is>
          <t>2026-09-16</t>
        </is>
      </c>
      <c r="L1005"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1006">
      <c r="A1006" t="inlineStr">
        <is>
          <t>E5</t>
        </is>
      </c>
      <c r="B1006" t="inlineStr">
        <is>
          <t>Kubernetes</t>
        </is>
      </c>
      <c r="C1006" t="inlineStr">
        <is>
          <t>Cast AI</t>
        </is>
      </c>
      <c r="D1006" t="inlineStr">
        <is>
          <t>Precio</t>
        </is>
      </c>
      <c r="E1006" t="inlineStr">
        <is>
          <t>P1</t>
        </is>
      </c>
      <c r="F1006" s="2" t="inlineStr">
        <is>
          <t>¿Expone precio, moneda, región, unidad, período y supuestos relevantes?</t>
        </is>
      </c>
      <c r="G1006" t="inlineStr">
        <is>
          <t>NE</t>
        </is>
      </c>
      <c r="H1006" t="inlineStr">
        <is>
          <t>Pendiente</t>
        </is>
      </c>
      <c r="I1006" s="2" t="inlineStr">
        <is>
          <t>Cast AI automatiza costo de recursos ya desplegados en el clúster; no expone transparencia de precio/supuestos de una estimación previa al despliegue.</t>
        </is>
      </c>
      <c r="J1006" t="inlineStr">
        <is>
          <t>https://docs.cast.ai/docs/getting-started</t>
        </is>
      </c>
      <c r="K1006" t="inlineStr">
        <is>
          <t>2026-09-16</t>
        </is>
      </c>
      <c r="L1006" s="2" t="inlineStr">
        <is>
          <t>Corrección de alcance FP-180 (2026-09-16): el valor pasa de NA a NE. La justificación NA reinterpreta P1 como estimación previa al despliegue; el indicador tiene objeto y no fue investigado. La evidencia y la fuente originales no se modifican.</t>
        </is>
      </c>
    </row>
    <row r="1007">
      <c r="A1007" t="inlineStr">
        <is>
          <t>E5</t>
        </is>
      </c>
      <c r="B1007" t="inlineStr">
        <is>
          <t>Kubernetes</t>
        </is>
      </c>
      <c r="C1007" t="inlineStr">
        <is>
          <t>Cast AI</t>
        </is>
      </c>
      <c r="D1007" t="inlineStr">
        <is>
          <t>Precio</t>
        </is>
      </c>
      <c r="E1007" t="inlineStr">
        <is>
          <t>P2</t>
        </is>
      </c>
      <c r="F1007" s="2" t="inlineStr">
        <is>
          <t>¿Permite estimar o comparar componentes sin ocultar límites de equivalencia?</t>
        </is>
      </c>
      <c r="G1007" t="inlineStr">
        <is>
          <t>NE</t>
        </is>
      </c>
      <c r="H1007" t="inlineStr">
        <is>
          <t>Pendiente</t>
        </is>
      </c>
      <c r="I1007" s="2" t="inlineStr">
        <is>
          <t>Mismo motivo que P1.</t>
        </is>
      </c>
      <c r="J1007" t="inlineStr">
        <is>
          <t>https://docs.cast.ai/docs/getting-started</t>
        </is>
      </c>
      <c r="K1007" t="inlineStr">
        <is>
          <t>2026-09-16</t>
        </is>
      </c>
      <c r="L1007" s="2" t="inlineStr">
        <is>
          <t>Corrección de alcance FP-180 (2026-09-16): el valor pasa de NA a NE. Mismo motivo que P1. La evidencia y la fuente originales no se modifican.</t>
        </is>
      </c>
    </row>
    <row r="1008">
      <c r="A1008" t="inlineStr">
        <is>
          <t>E5</t>
        </is>
      </c>
      <c r="B1008" t="inlineStr">
        <is>
          <t>Kubernetes</t>
        </is>
      </c>
      <c r="C1008" t="inlineStr">
        <is>
          <t>Cast AI</t>
        </is>
      </c>
      <c r="D1008" t="inlineStr">
        <is>
          <t>Dependencia</t>
        </is>
      </c>
      <c r="E1008" t="inlineStr">
        <is>
          <t>D1</t>
        </is>
      </c>
      <c r="F1008" s="2" t="inlineStr">
        <is>
          <t>¿Exporta datos/resultados en formato utilizable y documentado?</t>
        </is>
      </c>
      <c r="G1008" t="inlineStr">
        <is>
          <t>NE</t>
        </is>
      </c>
      <c r="H1008" t="inlineStr">
        <is>
          <t>Pendiente</t>
        </is>
      </c>
      <c r="I1008" s="2" t="inlineStr">
        <is>
          <t>No se encontró, en la documentación revisada, una función explícita de exportación masiva de datos de costo (a diferencia de OpenCost/Kubecost, que documentan endpoints de Prometheus/Cost API específicos para este fin).</t>
        </is>
      </c>
      <c r="K1008" t="inlineStr">
        <is>
          <t>2026-09-16</t>
        </is>
      </c>
      <c r="L1008" s="2" t="inlineStr"/>
    </row>
    <row r="1009">
      <c r="A1009" t="inlineStr">
        <is>
          <t>E5</t>
        </is>
      </c>
      <c r="B1009" t="inlineStr">
        <is>
          <t>Kubernetes</t>
        </is>
      </c>
      <c r="C1009" t="inlineStr">
        <is>
          <t>Cast AI</t>
        </is>
      </c>
      <c r="D1009" t="inlineStr">
        <is>
          <t>Dependencia</t>
        </is>
      </c>
      <c r="E1009" t="inlineStr">
        <is>
          <t>D2</t>
        </is>
      </c>
      <c r="F1009" s="2" t="inlineStr">
        <is>
          <t>¿Documenta dependencias propietarias y un camino de salida/configuración reversible?</t>
        </is>
      </c>
      <c r="G1009" t="inlineStr">
        <is>
          <t>NE</t>
        </is>
      </c>
      <c r="H1009" t="inlineStr">
        <is>
          <t>Pendiente</t>
        </is>
      </c>
      <c r="I1009" s="2" t="inlineStr">
        <is>
          <t>No se encontró documentación sobre un camino de salida o reversibilidad de la configuración.</t>
        </is>
      </c>
      <c r="K1009" t="inlineStr">
        <is>
          <t>2026-09-16</t>
        </is>
      </c>
      <c r="L1009" s="2" t="inlineStr"/>
    </row>
    <row r="1010">
      <c r="A1010" t="inlineStr">
        <is>
          <t>E3</t>
        </is>
      </c>
      <c r="B1010" t="inlineStr">
        <is>
          <t>Kubernetes</t>
        </is>
      </c>
      <c r="C1010" t="inlineStr">
        <is>
          <t>StormForge</t>
        </is>
      </c>
      <c r="D1010" t="inlineStr">
        <is>
          <t>Visibilidad</t>
        </is>
      </c>
      <c r="E1010" t="inlineStr">
        <is>
          <t>V1</t>
        </is>
      </c>
      <c r="F1010" s="2" t="inlineStr">
        <is>
          <t>¿Desagrega costo y uso por cuenta/proyecto, servicio y período?</t>
        </is>
      </c>
      <c r="G1010" t="inlineStr">
        <is>
          <t>NE</t>
        </is>
      </c>
      <c r="H1010" t="inlineStr">
        <is>
          <t>Pendiente</t>
        </is>
      </c>
      <c r="I1010" s="2" t="inlineStr">
        <is>
          <t>StormForge Optimize Live se enfoca en generar recomendaciones de dimensionamiento por workload; la documentación revisada no describe un desglose de costo/uso por cuenta-namespace-período (esa función corresponde a OpenCost/Kubecost/Cast AI).</t>
        </is>
      </c>
      <c r="J1010" t="inlineStr">
        <is>
          <t>https://docs.stormforge.io/optimize-live/recommendations/</t>
        </is>
      </c>
      <c r="K1010" t="inlineStr">
        <is>
          <t>2026-09-16</t>
        </is>
      </c>
      <c r="L1010"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11">
      <c r="A1011" t="inlineStr">
        <is>
          <t>E3</t>
        </is>
      </c>
      <c r="B1011" t="inlineStr">
        <is>
          <t>Kubernetes</t>
        </is>
      </c>
      <c r="C1011" t="inlineStr">
        <is>
          <t>StormForge</t>
        </is>
      </c>
      <c r="D1011" t="inlineStr">
        <is>
          <t>Visibilidad</t>
        </is>
      </c>
      <c r="E1011" t="inlineStr">
        <is>
          <t>V2</t>
        </is>
      </c>
      <c r="F1011" s="2" t="inlineStr">
        <is>
          <t>¿Permite rastrear un total hasta registros o fuente de facturación?</t>
        </is>
      </c>
      <c r="G1011" t="inlineStr">
        <is>
          <t>NE</t>
        </is>
      </c>
      <c r="H1011" t="inlineStr">
        <is>
          <t>Pendiente</t>
        </is>
      </c>
      <c r="I1011" s="2" t="inlineStr">
        <is>
          <t>Mismo motivo que V1.</t>
        </is>
      </c>
      <c r="J1011" t="inlineStr">
        <is>
          <t>https://docs.stormforge.io/optimize-live/recommendations/</t>
        </is>
      </c>
      <c r="K1011" t="inlineStr">
        <is>
          <t>2026-09-16</t>
        </is>
      </c>
      <c r="L1011"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12">
      <c r="A1012" t="inlineStr">
        <is>
          <t>E3</t>
        </is>
      </c>
      <c r="B1012" t="inlineStr">
        <is>
          <t>Kubernetes</t>
        </is>
      </c>
      <c r="C1012" t="inlineStr">
        <is>
          <t>StormForge</t>
        </is>
      </c>
      <c r="D1012" t="inlineStr">
        <is>
          <t>Asignacion</t>
        </is>
      </c>
      <c r="E1012" t="inlineStr">
        <is>
          <t>A1</t>
        </is>
      </c>
      <c r="F1012" s="2" t="inlineStr">
        <is>
          <t>¿Calcula gasto asignado/no asignado por responsable, centro o entidad?</t>
        </is>
      </c>
      <c r="G1012" t="inlineStr">
        <is>
          <t>NE</t>
        </is>
      </c>
      <c r="H1012" t="inlineStr">
        <is>
          <t>Pendiente</t>
        </is>
      </c>
      <c r="I1012" s="2" t="inlineStr">
        <is>
          <t>No es una herramienta de asignación de costo organizacional.</t>
        </is>
      </c>
      <c r="J1012" t="inlineStr">
        <is>
          <t>https://docs.stormforge.io/optimize-live/recommendations/</t>
        </is>
      </c>
      <c r="K1012" t="inlineStr">
        <is>
          <t>2026-09-16</t>
        </is>
      </c>
      <c r="L1012"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13">
      <c r="A1013" t="inlineStr">
        <is>
          <t>E3</t>
        </is>
      </c>
      <c r="B1013" t="inlineStr">
        <is>
          <t>Kubernetes</t>
        </is>
      </c>
      <c r="C1013" t="inlineStr">
        <is>
          <t>StormForge</t>
        </is>
      </c>
      <c r="D1013" t="inlineStr">
        <is>
          <t>Asignacion</t>
        </is>
      </c>
      <c r="E1013" t="inlineStr">
        <is>
          <t>A2</t>
        </is>
      </c>
      <c r="F1013" s="2" t="inlineStr">
        <is>
          <t>¿Explicita y aplica reglas para costo compartido/multi-tenant?</t>
        </is>
      </c>
      <c r="G1013" t="inlineStr">
        <is>
          <t>NE</t>
        </is>
      </c>
      <c r="H1013" t="inlineStr">
        <is>
          <t>Pendiente</t>
        </is>
      </c>
      <c r="I1013" s="2" t="inlineStr">
        <is>
          <t>Mismo motivo que A1.</t>
        </is>
      </c>
      <c r="J1013" t="inlineStr">
        <is>
          <t>https://docs.stormforge.io/optimize-live/recommendations/</t>
        </is>
      </c>
      <c r="K1013" t="inlineStr">
        <is>
          <t>2026-09-16</t>
        </is>
      </c>
      <c r="L1013"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14">
      <c r="A1014" t="inlineStr">
        <is>
          <t>E3</t>
        </is>
      </c>
      <c r="B1014" t="inlineStr">
        <is>
          <t>Kubernetes</t>
        </is>
      </c>
      <c r="C1014" t="inlineStr">
        <is>
          <t>StormForge</t>
        </is>
      </c>
      <c r="D1014" t="inlineStr">
        <is>
          <t>Optimizacion</t>
        </is>
      </c>
      <c r="E1014" t="inlineStr">
        <is>
          <t>O1</t>
        </is>
      </c>
      <c r="F1014" s="2" t="inlineStr">
        <is>
          <t>¿Detecta desperdicio, rightsizing o compromiso relevante al escenario?</t>
        </is>
      </c>
      <c r="G1014" t="n">
        <v>2</v>
      </c>
      <c r="H1014" t="inlineStr">
        <is>
          <t>Oficial</t>
        </is>
      </c>
      <c r="I1014" s="2" t="inlineStr">
        <is>
          <t>Un modelo de machine learning genera recomendaciones de CPU/memoria (requests y limits), tamaño de heap de Java, afinidad de nodo y umbral objetivo de HPA, con tres variantes por objetivo (ahorro, confiabilidad, balanceado).</t>
        </is>
      </c>
      <c r="J1014" t="inlineStr">
        <is>
          <t>https://docs.stormforge.io/optimize-live/recommendations/</t>
        </is>
      </c>
      <c r="K1014" t="inlineStr">
        <is>
          <t>2026-09-16</t>
        </is>
      </c>
      <c r="L1014" s="2" t="inlineStr"/>
    </row>
    <row r="1015">
      <c r="A1015" t="inlineStr">
        <is>
          <t>E3</t>
        </is>
      </c>
      <c r="B1015" t="inlineStr">
        <is>
          <t>Kubernetes</t>
        </is>
      </c>
      <c r="C1015" t="inlineStr">
        <is>
          <t>StormForge</t>
        </is>
      </c>
      <c r="D1015" t="inlineStr">
        <is>
          <t>Optimizacion</t>
        </is>
      </c>
      <c r="E1015" t="inlineStr">
        <is>
          <t>O2</t>
        </is>
      </c>
      <c r="F1015" s="2" t="inlineStr">
        <is>
          <t>¿Explica supuesto/impacto y permite seguir una recomendación?</t>
        </is>
      </c>
      <c r="G1015" t="n">
        <v>1</v>
      </c>
      <c r="H1015" t="inlineStr">
        <is>
          <t>Oficial</t>
        </is>
      </c>
      <c r="I1015" s="2" t="inlineStr">
        <is>
          <t>La documentación revisada no menciona estimaciones de ahorro en dinero; el seguimiento se limita al estado de la recomendación (generada/aplicada), sin una métrica de impacto económico explícita.</t>
        </is>
      </c>
      <c r="J1015" t="inlineStr">
        <is>
          <t>https://docs.stormforge.io/optimize-live/recommendations/</t>
        </is>
      </c>
      <c r="K1015" t="inlineStr">
        <is>
          <t>2026-09-16</t>
        </is>
      </c>
      <c r="L1015" s="2" t="inlineStr"/>
    </row>
    <row r="1016">
      <c r="A1016" t="inlineStr">
        <is>
          <t>E3</t>
        </is>
      </c>
      <c r="B1016" t="inlineStr">
        <is>
          <t>Kubernetes</t>
        </is>
      </c>
      <c r="C1016" t="inlineStr">
        <is>
          <t>StormForge</t>
        </is>
      </c>
      <c r="D1016" t="inlineStr">
        <is>
          <t>Automatizacion</t>
        </is>
      </c>
      <c r="E1016" t="inlineStr">
        <is>
          <t>AU1</t>
        </is>
      </c>
      <c r="F1016" s="2" t="inlineStr">
        <is>
          <t>¿Ejecuta o bloquea acciones/políticas de costo con control verificable?</t>
        </is>
      </c>
      <c r="G1016" t="n">
        <v>2</v>
      </c>
      <c r="H1016" t="inlineStr">
        <is>
          <t>Oficial</t>
        </is>
      </c>
      <c r="I1016" s="2" t="inlineStr">
        <is>
          <t>El modo automático aplica nuevas recomendaciones según una programación configurada ("automatically applies new recommendations when they are generated on the configured schedule"); también admite aplicación manual bajo demanda.</t>
        </is>
      </c>
      <c r="J1016" t="inlineStr">
        <is>
          <t>https://docs.stormforge.io/optimize-live/configure/settings/apply-settings/</t>
        </is>
      </c>
      <c r="K1016" t="inlineStr">
        <is>
          <t>2026-09-16</t>
        </is>
      </c>
      <c r="L1016" s="2" t="inlineStr"/>
    </row>
    <row r="1017">
      <c r="A1017" t="inlineStr">
        <is>
          <t>E3</t>
        </is>
      </c>
      <c r="B1017" t="inlineStr">
        <is>
          <t>Kubernetes</t>
        </is>
      </c>
      <c r="C1017" t="inlineStr">
        <is>
          <t>StormForge</t>
        </is>
      </c>
      <c r="D1017" t="inlineStr">
        <is>
          <t>Automatizacion</t>
        </is>
      </c>
      <c r="E1017" t="inlineStr">
        <is>
          <t>AU2</t>
        </is>
      </c>
      <c r="F1017" s="2" t="inlineStr">
        <is>
          <t>¿Ofrece aprobación, reversión, registro o límites antes de actuar?</t>
        </is>
      </c>
      <c r="G1017" t="n">
        <v>2</v>
      </c>
      <c r="H1017" t="inlineStr">
        <is>
          <t>Oficial</t>
        </is>
      </c>
      <c r="I1017" s="2" t="inlineStr">
        <is>
          <t>Incluye un "Learning Period" (mínimo 1 día, por defecto 7) como puerta de automatización antes de permitir auto-despliegue, umbrales mínimos configurables que impiden desplegar cambios menores, y despliegue incremental (porcentaje máximo de incremento/decremento) para evitar ajustes bruscos.</t>
        </is>
      </c>
      <c r="J1017" t="inlineStr">
        <is>
          <t>https://docs.stormforge.io/optimize-live/configure/settings/apply-settings/</t>
        </is>
      </c>
      <c r="K1017" t="inlineStr">
        <is>
          <t>2026-09-16</t>
        </is>
      </c>
      <c r="L1017" s="2" t="inlineStr"/>
    </row>
    <row r="1018">
      <c r="A1018" t="inlineStr">
        <is>
          <t>E3</t>
        </is>
      </c>
      <c r="B1018" t="inlineStr">
        <is>
          <t>Kubernetes</t>
        </is>
      </c>
      <c r="C1018" t="inlineStr">
        <is>
          <t>StormForge</t>
        </is>
      </c>
      <c r="D1018" t="inlineStr">
        <is>
          <t>Multicloud</t>
        </is>
      </c>
      <c r="E1018" t="inlineStr">
        <is>
          <t>M1</t>
        </is>
      </c>
      <c r="F1018" s="2" t="inlineStr">
        <is>
          <t>¿Consolida al menos dos proveedores bajo el mismo esquema declarado?</t>
        </is>
      </c>
      <c r="G1018" t="inlineStr">
        <is>
          <t>NE</t>
        </is>
      </c>
      <c r="H1018" t="inlineStr">
        <is>
          <t>Pendiente</t>
        </is>
      </c>
      <c r="I1018" s="2" t="inlineStr">
        <is>
          <t>StormForge opera sobre workloads de Kubernetes; la documentación revisada no describe consolidación de costo entre proveedores cloud.</t>
        </is>
      </c>
      <c r="J1018" t="inlineStr">
        <is>
          <t>https://docs.stormforge.io/optimize-live/recommendations/</t>
        </is>
      </c>
      <c r="K1018" t="inlineStr">
        <is>
          <t>2026-09-16</t>
        </is>
      </c>
      <c r="L1018"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19">
      <c r="A1019" t="inlineStr">
        <is>
          <t>E3</t>
        </is>
      </c>
      <c r="B1019" t="inlineStr">
        <is>
          <t>Kubernetes</t>
        </is>
      </c>
      <c r="C1019" t="inlineStr">
        <is>
          <t>StormForge</t>
        </is>
      </c>
      <c r="D1019" t="inlineStr">
        <is>
          <t>Multicloud</t>
        </is>
      </c>
      <c r="E1019" t="inlineStr">
        <is>
          <t>M2</t>
        </is>
      </c>
      <c r="F1019" s="2" t="inlineStr">
        <is>
          <t>¿Hace visibles proveedor, cobertura y diferencias semánticas?</t>
        </is>
      </c>
      <c r="G1019" t="inlineStr">
        <is>
          <t>NE</t>
        </is>
      </c>
      <c r="H1019" t="inlineStr">
        <is>
          <t>Pendiente</t>
        </is>
      </c>
      <c r="I1019" s="2" t="inlineStr">
        <is>
          <t>Mismo motivo que M1.</t>
        </is>
      </c>
      <c r="J1019" t="inlineStr">
        <is>
          <t>https://docs.stormforge.io/optimize-live/recommendations/</t>
        </is>
      </c>
      <c r="K1019" t="inlineStr">
        <is>
          <t>2026-09-16</t>
        </is>
      </c>
      <c r="L1019"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20">
      <c r="A1020" t="inlineStr">
        <is>
          <t>E3</t>
        </is>
      </c>
      <c r="B1020" t="inlineStr">
        <is>
          <t>Kubernetes</t>
        </is>
      </c>
      <c r="C1020" t="inlineStr">
        <is>
          <t>StormForge</t>
        </is>
      </c>
      <c r="D1020" t="inlineStr">
        <is>
          <t>Integracion</t>
        </is>
      </c>
      <c r="E1020" t="inlineStr">
        <is>
          <t>I1</t>
        </is>
      </c>
      <c r="F1020" s="2" t="inlineStr">
        <is>
          <t>¿Integra datos requeridos (facturación, uso, clúster o IaC) del escenario?</t>
        </is>
      </c>
      <c r="G1020" t="n">
        <v>1</v>
      </c>
      <c r="H1020" t="inlineStr">
        <is>
          <t>Oficial</t>
        </is>
      </c>
      <c r="I1020" s="2" t="inlineStr">
        <is>
          <t>Se integra con métricas de CPU/memoria del clúster (requests y uso real) para generar recomendaciones; la documentación revisada no detalla el mecanismo de ingesta con el mismo nivel de especificidad que OpenCost/Kubecost.</t>
        </is>
      </c>
      <c r="J1020" t="inlineStr">
        <is>
          <t>https://docs.stormforge.io/optimize-live/recommendations/</t>
        </is>
      </c>
      <c r="K1020" t="inlineStr">
        <is>
          <t>2026-09-16</t>
        </is>
      </c>
      <c r="L1020" s="2" t="inlineStr"/>
    </row>
    <row r="1021">
      <c r="A1021" t="inlineStr">
        <is>
          <t>E3</t>
        </is>
      </c>
      <c r="B1021" t="inlineStr">
        <is>
          <t>Kubernetes</t>
        </is>
      </c>
      <c r="C1021" t="inlineStr">
        <is>
          <t>StormForge</t>
        </is>
      </c>
      <c r="D1021" t="inlineStr">
        <is>
          <t>Integracion</t>
        </is>
      </c>
      <c r="E1021" t="inlineStr">
        <is>
          <t>I2</t>
        </is>
      </c>
      <c r="F1021" s="2" t="inlineStr">
        <is>
          <t>¿Se integra con el flujo de trabajo relevante (alerta, ticket, CI/CD o reporte)?</t>
        </is>
      </c>
      <c r="G1021" t="n">
        <v>1</v>
      </c>
      <c r="H1021" t="inlineStr">
        <is>
          <t>Oficial</t>
        </is>
      </c>
      <c r="I1021" s="2" t="inlineStr">
        <is>
          <t>Soporta métodos de aplicación inmediatos o diferidos hasta el próximo reinicio del pod, e incluye un "add-on" de instalación para EKS y soporte de Red Hat OpenShift, pero no se documentó integración con ticketing/CI-CD externos.</t>
        </is>
      </c>
      <c r="J1021" t="inlineStr">
        <is>
          <t>https://docs.stormforge.io/optimize-live/configure/settings/apply-settings/</t>
        </is>
      </c>
      <c r="K1021" t="inlineStr">
        <is>
          <t>2026-09-16</t>
        </is>
      </c>
      <c r="L1021" s="2" t="inlineStr"/>
    </row>
    <row r="1022">
      <c r="A1022" t="inlineStr">
        <is>
          <t>E3</t>
        </is>
      </c>
      <c r="B1022" t="inlineStr">
        <is>
          <t>Kubernetes</t>
        </is>
      </c>
      <c r="C1022" t="inlineStr">
        <is>
          <t>StormForge</t>
        </is>
      </c>
      <c r="D1022" t="inlineStr">
        <is>
          <t>Adopcion</t>
        </is>
      </c>
      <c r="E1022" t="inlineStr">
        <is>
          <t>AD1</t>
        </is>
      </c>
      <c r="F1022" s="2" t="inlineStr">
        <is>
          <t>¿Soporta acceso/entrega para los roles del escenario?</t>
        </is>
      </c>
      <c r="G1022" t="inlineStr">
        <is>
          <t>NE</t>
        </is>
      </c>
      <c r="H1022" t="inlineStr">
        <is>
          <t>Pendiente</t>
        </is>
      </c>
      <c r="I1022" s="2" t="inlineStr">
        <is>
          <t>No se encontró, en la documentación revisada, un modelo de roles/permisos propio del producto.</t>
        </is>
      </c>
      <c r="K1022" t="inlineStr">
        <is>
          <t>2026-09-16</t>
        </is>
      </c>
      <c r="L1022" s="2" t="inlineStr"/>
    </row>
    <row r="1023">
      <c r="A1023" t="inlineStr">
        <is>
          <t>E3</t>
        </is>
      </c>
      <c r="B1023" t="inlineStr">
        <is>
          <t>Kubernetes</t>
        </is>
      </c>
      <c r="C1023" t="inlineStr">
        <is>
          <t>StormForge</t>
        </is>
      </c>
      <c r="D1023" t="inlineStr">
        <is>
          <t>Adopcion</t>
        </is>
      </c>
      <c r="E1023" t="inlineStr">
        <is>
          <t>AD2</t>
        </is>
      </c>
      <c r="F1023" s="2" t="inlineStr">
        <is>
          <t>¿Ofrece guías, ownership o mecanismos de seguimiento para uso sostenido?</t>
        </is>
      </c>
      <c r="G1023" t="inlineStr">
        <is>
          <t>NE</t>
        </is>
      </c>
      <c r="H1023" t="inlineStr">
        <is>
          <t>Pendiente</t>
        </is>
      </c>
      <c r="I1023" s="2" t="inlineStr">
        <is>
          <t>No se encontró, en la documentación revisada, una guía de adopción/gobernanza dedicada más allá de la documentación general del producto.</t>
        </is>
      </c>
      <c r="K1023" t="inlineStr">
        <is>
          <t>2026-09-16</t>
        </is>
      </c>
      <c r="L1023" s="2" t="inlineStr"/>
    </row>
    <row r="1024">
      <c r="A1024" t="inlineStr">
        <is>
          <t>E3</t>
        </is>
      </c>
      <c r="B1024" t="inlineStr">
        <is>
          <t>Kubernetes</t>
        </is>
      </c>
      <c r="C1024" t="inlineStr">
        <is>
          <t>StormForge</t>
        </is>
      </c>
      <c r="D1024" t="inlineStr">
        <is>
          <t>Precio</t>
        </is>
      </c>
      <c r="E1024" t="inlineStr">
        <is>
          <t>P1</t>
        </is>
      </c>
      <c r="F1024" s="2" t="inlineStr">
        <is>
          <t>¿Expone precio, moneda, región, unidad, período y supuestos relevantes?</t>
        </is>
      </c>
      <c r="G1024" t="inlineStr">
        <is>
          <t>NE</t>
        </is>
      </c>
      <c r="H1024" t="inlineStr">
        <is>
          <t>Pendiente</t>
        </is>
      </c>
      <c r="I1024" s="2" t="inlineStr">
        <is>
          <t>No expone transparencia de precio/supuestos de una estimación previa al despliegue (opera sobre workloads ya desplegados).</t>
        </is>
      </c>
      <c r="J1024" t="inlineStr">
        <is>
          <t>https://docs.stormforge.io/optimize-live/recommendations/</t>
        </is>
      </c>
      <c r="K1024" t="inlineStr">
        <is>
          <t>2026-09-16</t>
        </is>
      </c>
      <c r="L1024"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25">
      <c r="A1025" t="inlineStr">
        <is>
          <t>E3</t>
        </is>
      </c>
      <c r="B1025" t="inlineStr">
        <is>
          <t>Kubernetes</t>
        </is>
      </c>
      <c r="C1025" t="inlineStr">
        <is>
          <t>StormForge</t>
        </is>
      </c>
      <c r="D1025" t="inlineStr">
        <is>
          <t>Precio</t>
        </is>
      </c>
      <c r="E1025" t="inlineStr">
        <is>
          <t>P2</t>
        </is>
      </c>
      <c r="F1025" s="2" t="inlineStr">
        <is>
          <t>¿Permite estimar o comparar componentes sin ocultar límites de equivalencia?</t>
        </is>
      </c>
      <c r="G1025" t="inlineStr">
        <is>
          <t>NE</t>
        </is>
      </c>
      <c r="H1025" t="inlineStr">
        <is>
          <t>Pendiente</t>
        </is>
      </c>
      <c r="I1025" s="2" t="inlineStr">
        <is>
          <t>Mismo motivo que P1.</t>
        </is>
      </c>
      <c r="J1025" t="inlineStr">
        <is>
          <t>https://docs.stormforge.io/optimize-live/recommendations/</t>
        </is>
      </c>
      <c r="K1025" t="inlineStr">
        <is>
          <t>2026-09-16</t>
        </is>
      </c>
      <c r="L1025"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26">
      <c r="A1026" t="inlineStr">
        <is>
          <t>E3</t>
        </is>
      </c>
      <c r="B1026" t="inlineStr">
        <is>
          <t>Kubernetes</t>
        </is>
      </c>
      <c r="C1026" t="inlineStr">
        <is>
          <t>StormForge</t>
        </is>
      </c>
      <c r="D1026" t="inlineStr">
        <is>
          <t>Dependencia</t>
        </is>
      </c>
      <c r="E1026" t="inlineStr">
        <is>
          <t>D1</t>
        </is>
      </c>
      <c r="F1026" s="2" t="inlineStr">
        <is>
          <t>¿Exporta datos/resultados en formato utilizable y documentado?</t>
        </is>
      </c>
      <c r="G1026" t="inlineStr">
        <is>
          <t>NE</t>
        </is>
      </c>
      <c r="H1026" t="inlineStr">
        <is>
          <t>Pendiente</t>
        </is>
      </c>
      <c r="I1026" s="2" t="inlineStr">
        <is>
          <t>No se encontró, en la documentación revisada, una función explícita de exportación de datos/recomendaciones.</t>
        </is>
      </c>
      <c r="K1026" t="inlineStr">
        <is>
          <t>2026-09-16</t>
        </is>
      </c>
      <c r="L1026" s="2" t="inlineStr"/>
    </row>
    <row r="1027">
      <c r="A1027" t="inlineStr">
        <is>
          <t>E3</t>
        </is>
      </c>
      <c r="B1027" t="inlineStr">
        <is>
          <t>Kubernetes</t>
        </is>
      </c>
      <c r="C1027" t="inlineStr">
        <is>
          <t>StormForge</t>
        </is>
      </c>
      <c r="D1027" t="inlineStr">
        <is>
          <t>Dependencia</t>
        </is>
      </c>
      <c r="E1027" t="inlineStr">
        <is>
          <t>D2</t>
        </is>
      </c>
      <c r="F1027" s="2" t="inlineStr">
        <is>
          <t>¿Documenta dependencias propietarias y un camino de salida/configuración reversible?</t>
        </is>
      </c>
      <c r="G1027" t="inlineStr">
        <is>
          <t>NE</t>
        </is>
      </c>
      <c r="H1027" t="inlineStr">
        <is>
          <t>Pendiente</t>
        </is>
      </c>
      <c r="I1027" s="2" t="inlineStr">
        <is>
          <t>No se encontró documentación sobre un camino de salida o reversibilidad de la configuración.</t>
        </is>
      </c>
      <c r="K1027" t="inlineStr">
        <is>
          <t>2026-09-16</t>
        </is>
      </c>
      <c r="L1027" s="2" t="inlineStr"/>
    </row>
    <row r="1028">
      <c r="A1028" t="inlineStr">
        <is>
          <t>E5</t>
        </is>
      </c>
      <c r="B1028" t="inlineStr">
        <is>
          <t>Kubernetes</t>
        </is>
      </c>
      <c r="C1028" t="inlineStr">
        <is>
          <t>StormForge</t>
        </is>
      </c>
      <c r="D1028" t="inlineStr">
        <is>
          <t>Visibilidad</t>
        </is>
      </c>
      <c r="E1028" t="inlineStr">
        <is>
          <t>V1</t>
        </is>
      </c>
      <c r="F1028" s="2" t="inlineStr">
        <is>
          <t>¿Desagrega costo y uso por cuenta/proyecto, servicio y período?</t>
        </is>
      </c>
      <c r="G1028" t="inlineStr">
        <is>
          <t>NE</t>
        </is>
      </c>
      <c r="H1028" t="inlineStr">
        <is>
          <t>Pendiente</t>
        </is>
      </c>
      <c r="I1028" s="2" t="inlineStr">
        <is>
          <t>StormForge Optimize Live se enfoca en generar recomendaciones de dimensionamiento por workload; la documentación revisada no describe un desglose de costo/uso por cuenta-namespace-período (esa función corresponde a OpenCost/Kubecost/Cast AI).</t>
        </is>
      </c>
      <c r="J1028" t="inlineStr">
        <is>
          <t>https://docs.stormforge.io/optimize-live/recommendations/</t>
        </is>
      </c>
      <c r="K1028" t="inlineStr">
        <is>
          <t>2026-09-16</t>
        </is>
      </c>
      <c r="L1028"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29">
      <c r="A1029" t="inlineStr">
        <is>
          <t>E5</t>
        </is>
      </c>
      <c r="B1029" t="inlineStr">
        <is>
          <t>Kubernetes</t>
        </is>
      </c>
      <c r="C1029" t="inlineStr">
        <is>
          <t>StormForge</t>
        </is>
      </c>
      <c r="D1029" t="inlineStr">
        <is>
          <t>Visibilidad</t>
        </is>
      </c>
      <c r="E1029" t="inlineStr">
        <is>
          <t>V2</t>
        </is>
      </c>
      <c r="F1029" s="2" t="inlineStr">
        <is>
          <t>¿Permite rastrear un total hasta registros o fuente de facturación?</t>
        </is>
      </c>
      <c r="G1029" t="inlineStr">
        <is>
          <t>NE</t>
        </is>
      </c>
      <c r="H1029" t="inlineStr">
        <is>
          <t>Pendiente</t>
        </is>
      </c>
      <c r="I1029" s="2" t="inlineStr">
        <is>
          <t>Mismo motivo que V1.</t>
        </is>
      </c>
      <c r="J1029" t="inlineStr">
        <is>
          <t>https://docs.stormforge.io/optimize-live/recommendations/</t>
        </is>
      </c>
      <c r="K1029" t="inlineStr">
        <is>
          <t>2026-09-16</t>
        </is>
      </c>
      <c r="L1029"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30">
      <c r="A1030" t="inlineStr">
        <is>
          <t>E5</t>
        </is>
      </c>
      <c r="B1030" t="inlineStr">
        <is>
          <t>Kubernetes</t>
        </is>
      </c>
      <c r="C1030" t="inlineStr">
        <is>
          <t>StormForge</t>
        </is>
      </c>
      <c r="D1030" t="inlineStr">
        <is>
          <t>Asignacion</t>
        </is>
      </c>
      <c r="E1030" t="inlineStr">
        <is>
          <t>A1</t>
        </is>
      </c>
      <c r="F1030" s="2" t="inlineStr">
        <is>
          <t>¿Calcula gasto asignado/no asignado por responsable, centro o entidad?</t>
        </is>
      </c>
      <c r="G1030" t="inlineStr">
        <is>
          <t>NE</t>
        </is>
      </c>
      <c r="H1030" t="inlineStr">
        <is>
          <t>Pendiente</t>
        </is>
      </c>
      <c r="I1030" s="2" t="inlineStr">
        <is>
          <t>No es una herramienta de asignación de costo organizacional.</t>
        </is>
      </c>
      <c r="J1030" t="inlineStr">
        <is>
          <t>https://docs.stormforge.io/optimize-live/recommendations/</t>
        </is>
      </c>
      <c r="K1030" t="inlineStr">
        <is>
          <t>2026-09-16</t>
        </is>
      </c>
      <c r="L1030"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31">
      <c r="A1031" t="inlineStr">
        <is>
          <t>E5</t>
        </is>
      </c>
      <c r="B1031" t="inlineStr">
        <is>
          <t>Kubernetes</t>
        </is>
      </c>
      <c r="C1031" t="inlineStr">
        <is>
          <t>StormForge</t>
        </is>
      </c>
      <c r="D1031" t="inlineStr">
        <is>
          <t>Asignacion</t>
        </is>
      </c>
      <c r="E1031" t="inlineStr">
        <is>
          <t>A2</t>
        </is>
      </c>
      <c r="F1031" s="2" t="inlineStr">
        <is>
          <t>¿Explicita y aplica reglas para costo compartido/multi-tenant?</t>
        </is>
      </c>
      <c r="G1031" t="inlineStr">
        <is>
          <t>NE</t>
        </is>
      </c>
      <c r="H1031" t="inlineStr">
        <is>
          <t>Pendiente</t>
        </is>
      </c>
      <c r="I1031" s="2" t="inlineStr">
        <is>
          <t>Mismo motivo que A1.</t>
        </is>
      </c>
      <c r="J1031" t="inlineStr">
        <is>
          <t>https://docs.stormforge.io/optimize-live/recommendations/</t>
        </is>
      </c>
      <c r="K1031" t="inlineStr">
        <is>
          <t>2026-09-16</t>
        </is>
      </c>
      <c r="L1031"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32">
      <c r="A1032" t="inlineStr">
        <is>
          <t>E5</t>
        </is>
      </c>
      <c r="B1032" t="inlineStr">
        <is>
          <t>Kubernetes</t>
        </is>
      </c>
      <c r="C1032" t="inlineStr">
        <is>
          <t>StormForge</t>
        </is>
      </c>
      <c r="D1032" t="inlineStr">
        <is>
          <t>Optimizacion</t>
        </is>
      </c>
      <c r="E1032" t="inlineStr">
        <is>
          <t>O1</t>
        </is>
      </c>
      <c r="F1032" s="2" t="inlineStr">
        <is>
          <t>¿Detecta desperdicio, rightsizing o compromiso relevante al escenario?</t>
        </is>
      </c>
      <c r="G1032" t="inlineStr">
        <is>
          <t>NE</t>
        </is>
      </c>
      <c r="H1032" t="inlineStr">
        <is>
          <t>Pendiente</t>
        </is>
      </c>
      <c r="I1032" s="2" t="inlineStr">
        <is>
          <t>Un modelo de machine learning genera recomendaciones de CPU/memoria (requests y limits), tamaño de heap de Java, afinidad de nodo y umbral objetivo de HPA, con tres variantes por objetivo (ahorro, confiabilidad, balanceado).</t>
        </is>
      </c>
      <c r="J1032" t="inlineStr">
        <is>
          <t>https://docs.stormforge.io/optimize-live/recommendations/</t>
        </is>
      </c>
      <c r="K1032" t="inlineStr">
        <is>
          <t>2026-09-16</t>
        </is>
      </c>
      <c r="L1032" s="2" t="inlineStr">
        <is>
          <t>Celda heredada FP-180 (2026-09-16): el valor 2 proviene de la investigacion del escenario E3 y no cuenta con evidencia propia de E5. Segun FP-177 el indicador O1 depende del escenario, por lo que pasa a NE (no evidenciado, reduce cobertura) hasta investigarlo. La evidencia y la fuente originales se conservan como referencia del escenario de origen.</t>
        </is>
      </c>
    </row>
    <row r="1033">
      <c r="A1033" t="inlineStr">
        <is>
          <t>E5</t>
        </is>
      </c>
      <c r="B1033" t="inlineStr">
        <is>
          <t>Kubernetes</t>
        </is>
      </c>
      <c r="C1033" t="inlineStr">
        <is>
          <t>StormForge</t>
        </is>
      </c>
      <c r="D1033" t="inlineStr">
        <is>
          <t>Optimizacion</t>
        </is>
      </c>
      <c r="E1033" t="inlineStr">
        <is>
          <t>O2</t>
        </is>
      </c>
      <c r="F1033" s="2" t="inlineStr">
        <is>
          <t>¿Explica supuesto/impacto y permite seguir una recomendación?</t>
        </is>
      </c>
      <c r="G1033" t="n">
        <v>1</v>
      </c>
      <c r="H1033" t="inlineStr">
        <is>
          <t>Oficial</t>
        </is>
      </c>
      <c r="I1033" s="2" t="inlineStr">
        <is>
          <t>La documentación revisada no menciona estimaciones de ahorro en dinero; el seguimiento se limita al estado de la recomendación (generada/aplicada), sin una métrica de impacto económico explícita.</t>
        </is>
      </c>
      <c r="J1033" t="inlineStr">
        <is>
          <t>https://docs.stormforge.io/optimize-live/recommendations/</t>
        </is>
      </c>
      <c r="K1033" t="inlineStr">
        <is>
          <t>2026-09-16</t>
        </is>
      </c>
      <c r="L1033" s="2" t="inlineStr"/>
    </row>
    <row r="1034">
      <c r="A1034" t="inlineStr">
        <is>
          <t>E5</t>
        </is>
      </c>
      <c r="B1034" t="inlineStr">
        <is>
          <t>Kubernetes</t>
        </is>
      </c>
      <c r="C1034" t="inlineStr">
        <is>
          <t>StormForge</t>
        </is>
      </c>
      <c r="D1034" t="inlineStr">
        <is>
          <t>Automatizacion</t>
        </is>
      </c>
      <c r="E1034" t="inlineStr">
        <is>
          <t>AU1</t>
        </is>
      </c>
      <c r="F1034" s="2" t="inlineStr">
        <is>
          <t>¿Ejecuta o bloquea acciones/políticas de costo con control verificable?</t>
        </is>
      </c>
      <c r="G1034" t="inlineStr">
        <is>
          <t>NE</t>
        </is>
      </c>
      <c r="H1034" t="inlineStr">
        <is>
          <t>Pendiente</t>
        </is>
      </c>
      <c r="I1034" s="2" t="inlineStr">
        <is>
          <t>El modo automático aplica nuevas recomendaciones según una programación configurada ("automatically applies new recommendations when they are generated on the configured schedule"); también admite aplicación manual bajo demanda.</t>
        </is>
      </c>
      <c r="J1034" t="inlineStr">
        <is>
          <t>https://docs.stormforge.io/optimize-live/configure/settings/apply-settings/</t>
        </is>
      </c>
      <c r="K1034" t="inlineStr">
        <is>
          <t>2026-09-16</t>
        </is>
      </c>
      <c r="L1034" s="2" t="inlineStr">
        <is>
          <t>Celda heredada FP-180 (2026-09-16): el valor 2 proviene de la investigacion del escenario E3 y no cuenta con evidencia propia de E5. Segun FP-177 el indicador AU1 depende del escenario, por lo que pasa a NE (no evidenciado, reduce cobertura) hasta investigarlo. La evidencia y la fuente originales se conservan como referencia del escenario de origen.</t>
        </is>
      </c>
    </row>
    <row r="1035">
      <c r="A1035" t="inlineStr">
        <is>
          <t>E5</t>
        </is>
      </c>
      <c r="B1035" t="inlineStr">
        <is>
          <t>Kubernetes</t>
        </is>
      </c>
      <c r="C1035" t="inlineStr">
        <is>
          <t>StormForge</t>
        </is>
      </c>
      <c r="D1035" t="inlineStr">
        <is>
          <t>Automatizacion</t>
        </is>
      </c>
      <c r="E1035" t="inlineStr">
        <is>
          <t>AU2</t>
        </is>
      </c>
      <c r="F1035" s="2" t="inlineStr">
        <is>
          <t>¿Ofrece aprobación, reversión, registro o límites antes de actuar?</t>
        </is>
      </c>
      <c r="G1035" t="n">
        <v>2</v>
      </c>
      <c r="H1035" t="inlineStr">
        <is>
          <t>Oficial</t>
        </is>
      </c>
      <c r="I1035" s="2" t="inlineStr">
        <is>
          <t>Incluye un "Learning Period" (mínimo 1 día, por defecto 7) como puerta de automatización antes de permitir auto-despliegue, umbrales mínimos configurables que impiden desplegar cambios menores, y despliegue incremental (porcentaje máximo de incremento/decremento) para evitar ajustes bruscos.</t>
        </is>
      </c>
      <c r="J1035" t="inlineStr">
        <is>
          <t>https://docs.stormforge.io/optimize-live/configure/settings/apply-settings/</t>
        </is>
      </c>
      <c r="K1035" t="inlineStr">
        <is>
          <t>2026-09-16</t>
        </is>
      </c>
      <c r="L1035" s="2" t="inlineStr"/>
    </row>
    <row r="1036">
      <c r="A1036" t="inlineStr">
        <is>
          <t>E5</t>
        </is>
      </c>
      <c r="B1036" t="inlineStr">
        <is>
          <t>Kubernetes</t>
        </is>
      </c>
      <c r="C1036" t="inlineStr">
        <is>
          <t>StormForge</t>
        </is>
      </c>
      <c r="D1036" t="inlineStr">
        <is>
          <t>Multicloud</t>
        </is>
      </c>
      <c r="E1036" t="inlineStr">
        <is>
          <t>M1</t>
        </is>
      </c>
      <c r="F1036" s="2" t="inlineStr">
        <is>
          <t>¿Consolida al menos dos proveedores bajo el mismo esquema declarado?</t>
        </is>
      </c>
      <c r="G1036" t="inlineStr">
        <is>
          <t>NE</t>
        </is>
      </c>
      <c r="H1036" t="inlineStr">
        <is>
          <t>Pendiente</t>
        </is>
      </c>
      <c r="I1036" s="2" t="inlineStr">
        <is>
          <t>StormForge opera sobre workloads de Kubernetes; la documentación revisada no describe consolidación de costo entre proveedores cloud.</t>
        </is>
      </c>
      <c r="J1036" t="inlineStr">
        <is>
          <t>https://docs.stormforge.io/optimize-live/recommendations/</t>
        </is>
      </c>
      <c r="K1036" t="inlineStr">
        <is>
          <t>2026-09-16</t>
        </is>
      </c>
      <c r="L1036"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37">
      <c r="A1037" t="inlineStr">
        <is>
          <t>E5</t>
        </is>
      </c>
      <c r="B1037" t="inlineStr">
        <is>
          <t>Kubernetes</t>
        </is>
      </c>
      <c r="C1037" t="inlineStr">
        <is>
          <t>StormForge</t>
        </is>
      </c>
      <c r="D1037" t="inlineStr">
        <is>
          <t>Multicloud</t>
        </is>
      </c>
      <c r="E1037" t="inlineStr">
        <is>
          <t>M2</t>
        </is>
      </c>
      <c r="F1037" s="2" t="inlineStr">
        <is>
          <t>¿Hace visibles proveedor, cobertura y diferencias semánticas?</t>
        </is>
      </c>
      <c r="G1037" t="inlineStr">
        <is>
          <t>NE</t>
        </is>
      </c>
      <c r="H1037" t="inlineStr">
        <is>
          <t>Pendiente</t>
        </is>
      </c>
      <c r="I1037" s="2" t="inlineStr">
        <is>
          <t>Mismo motivo que M1.</t>
        </is>
      </c>
      <c r="J1037" t="inlineStr">
        <is>
          <t>https://docs.stormforge.io/optimize-live/recommendations/</t>
        </is>
      </c>
      <c r="K1037" t="inlineStr">
        <is>
          <t>2026-09-16</t>
        </is>
      </c>
      <c r="L1037"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38">
      <c r="A1038" t="inlineStr">
        <is>
          <t>E5</t>
        </is>
      </c>
      <c r="B1038" t="inlineStr">
        <is>
          <t>Kubernetes</t>
        </is>
      </c>
      <c r="C1038" t="inlineStr">
        <is>
          <t>StormForge</t>
        </is>
      </c>
      <c r="D1038" t="inlineStr">
        <is>
          <t>Integracion</t>
        </is>
      </c>
      <c r="E1038" t="inlineStr">
        <is>
          <t>I1</t>
        </is>
      </c>
      <c r="F1038" s="2" t="inlineStr">
        <is>
          <t>¿Integra datos requeridos (facturación, uso, clúster o IaC) del escenario?</t>
        </is>
      </c>
      <c r="G1038" t="inlineStr">
        <is>
          <t>NE</t>
        </is>
      </c>
      <c r="H1038" t="inlineStr">
        <is>
          <t>Pendiente</t>
        </is>
      </c>
      <c r="I1038" s="2" t="inlineStr">
        <is>
          <t>Se integra con métricas de CPU/memoria del clúster (requests y uso real) para generar recomendaciones; la documentación revisada no detalla el mecanismo de ingesta con el mismo nivel de especificidad que OpenCost/Kubecost.</t>
        </is>
      </c>
      <c r="J1038" t="inlineStr">
        <is>
          <t>https://docs.stormforge.io/optimize-live/recommendations/</t>
        </is>
      </c>
      <c r="K1038" t="inlineStr">
        <is>
          <t>2026-09-16</t>
        </is>
      </c>
      <c r="L1038" s="2" t="inlineStr">
        <is>
          <t>Celda heredada FP-180 (2026-09-16): el valor 1 proviene de la investigacion del escenario E3 y no cuenta con evidencia propia de E5. Segun FP-177 el indicador I1 depende del escenario, por lo que pasa a NE (no evidenciado, reduce cobertura) hasta investigarlo. La evidencia y la fuente originales se conservan como referencia del escenario de origen.</t>
        </is>
      </c>
    </row>
    <row r="1039">
      <c r="A1039" t="inlineStr">
        <is>
          <t>E5</t>
        </is>
      </c>
      <c r="B1039" t="inlineStr">
        <is>
          <t>Kubernetes</t>
        </is>
      </c>
      <c r="C1039" t="inlineStr">
        <is>
          <t>StormForge</t>
        </is>
      </c>
      <c r="D1039" t="inlineStr">
        <is>
          <t>Integracion</t>
        </is>
      </c>
      <c r="E1039" t="inlineStr">
        <is>
          <t>I2</t>
        </is>
      </c>
      <c r="F1039" s="2" t="inlineStr">
        <is>
          <t>¿Se integra con el flujo de trabajo relevante (alerta, ticket, CI/CD o reporte)?</t>
        </is>
      </c>
      <c r="G1039" t="inlineStr">
        <is>
          <t>NE</t>
        </is>
      </c>
      <c r="H1039" t="inlineStr">
        <is>
          <t>Pendiente</t>
        </is>
      </c>
      <c r="I1039" s="2" t="inlineStr">
        <is>
          <t>Soporta métodos de aplicación inmediatos o diferidos hasta el próximo reinicio del pod, e incluye un "add-on" de instalación para EKS y soporte de Red Hat OpenShift, pero no se documentó integración con ticketing/CI-CD externos.</t>
        </is>
      </c>
      <c r="J1039" t="inlineStr">
        <is>
          <t>https://docs.stormforge.io/optimize-live/configure/settings/apply-settings/</t>
        </is>
      </c>
      <c r="K1039" t="inlineStr">
        <is>
          <t>2026-09-16</t>
        </is>
      </c>
      <c r="L1039" s="2" t="inlineStr">
        <is>
          <t>Celda heredada FP-180 (2026-09-16): el valor 1 proviene de la investigacion del escenario E3 y no cuenta con evidencia propia de E5. Segun FP-177 el indicador I2 depende del escenario, por lo que pasa a NE (no evidenciado, reduce cobertura) hasta investigarlo. La evidencia y la fuente originales se conservan como referencia del escenario de origen.</t>
        </is>
      </c>
    </row>
    <row r="1040">
      <c r="A1040" t="inlineStr">
        <is>
          <t>E5</t>
        </is>
      </c>
      <c r="B1040" t="inlineStr">
        <is>
          <t>Kubernetes</t>
        </is>
      </c>
      <c r="C1040" t="inlineStr">
        <is>
          <t>StormForge</t>
        </is>
      </c>
      <c r="D1040" t="inlineStr">
        <is>
          <t>Adopcion</t>
        </is>
      </c>
      <c r="E1040" t="inlineStr">
        <is>
          <t>AD1</t>
        </is>
      </c>
      <c r="F1040" s="2" t="inlineStr">
        <is>
          <t>¿Soporta acceso/entrega para los roles del escenario?</t>
        </is>
      </c>
      <c r="G1040" t="inlineStr">
        <is>
          <t>NE</t>
        </is>
      </c>
      <c r="H1040" t="inlineStr">
        <is>
          <t>Pendiente</t>
        </is>
      </c>
      <c r="I1040" s="2" t="inlineStr">
        <is>
          <t>No se encontró, en la documentación revisada, un modelo de roles/permisos propio del producto.</t>
        </is>
      </c>
      <c r="K1040" t="inlineStr">
        <is>
          <t>2026-09-16</t>
        </is>
      </c>
      <c r="L1040" s="2" t="inlineStr"/>
    </row>
    <row r="1041">
      <c r="A1041" t="inlineStr">
        <is>
          <t>E5</t>
        </is>
      </c>
      <c r="B1041" t="inlineStr">
        <is>
          <t>Kubernetes</t>
        </is>
      </c>
      <c r="C1041" t="inlineStr">
        <is>
          <t>StormForge</t>
        </is>
      </c>
      <c r="D1041" t="inlineStr">
        <is>
          <t>Adopcion</t>
        </is>
      </c>
      <c r="E1041" t="inlineStr">
        <is>
          <t>AD2</t>
        </is>
      </c>
      <c r="F1041" s="2" t="inlineStr">
        <is>
          <t>¿Ofrece guías, ownership o mecanismos de seguimiento para uso sostenido?</t>
        </is>
      </c>
      <c r="G1041" t="inlineStr">
        <is>
          <t>NE</t>
        </is>
      </c>
      <c r="H1041" t="inlineStr">
        <is>
          <t>Pendiente</t>
        </is>
      </c>
      <c r="I1041" s="2" t="inlineStr">
        <is>
          <t>No se encontró, en la documentación revisada, una guía de adopción/gobernanza dedicada más allá de la documentación general del producto.</t>
        </is>
      </c>
      <c r="K1041" t="inlineStr">
        <is>
          <t>2026-09-16</t>
        </is>
      </c>
      <c r="L1041" s="2" t="inlineStr"/>
    </row>
    <row r="1042">
      <c r="A1042" t="inlineStr">
        <is>
          <t>E5</t>
        </is>
      </c>
      <c r="B1042" t="inlineStr">
        <is>
          <t>Kubernetes</t>
        </is>
      </c>
      <c r="C1042" t="inlineStr">
        <is>
          <t>StormForge</t>
        </is>
      </c>
      <c r="D1042" t="inlineStr">
        <is>
          <t>Precio</t>
        </is>
      </c>
      <c r="E1042" t="inlineStr">
        <is>
          <t>P1</t>
        </is>
      </c>
      <c r="F1042" s="2" t="inlineStr">
        <is>
          <t>¿Expone precio, moneda, región, unidad, período y supuestos relevantes?</t>
        </is>
      </c>
      <c r="G1042" t="inlineStr">
        <is>
          <t>NE</t>
        </is>
      </c>
      <c r="H1042" t="inlineStr">
        <is>
          <t>Pendiente</t>
        </is>
      </c>
      <c r="I1042" s="2" t="inlineStr">
        <is>
          <t>No expone transparencia de precio/supuestos de una estimación previa al despliegue (opera sobre workloads ya desplegados).</t>
        </is>
      </c>
      <c r="J1042" t="inlineStr">
        <is>
          <t>https://docs.stormforge.io/optimize-live/recommendations/</t>
        </is>
      </c>
      <c r="K1042" t="inlineStr">
        <is>
          <t>2026-09-16</t>
        </is>
      </c>
      <c r="L1042"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43">
      <c r="A1043" t="inlineStr">
        <is>
          <t>E5</t>
        </is>
      </c>
      <c r="B1043" t="inlineStr">
        <is>
          <t>Kubernetes</t>
        </is>
      </c>
      <c r="C1043" t="inlineStr">
        <is>
          <t>StormForge</t>
        </is>
      </c>
      <c r="D1043" t="inlineStr">
        <is>
          <t>Precio</t>
        </is>
      </c>
      <c r="E1043" t="inlineStr">
        <is>
          <t>P2</t>
        </is>
      </c>
      <c r="F1043" s="2" t="inlineStr">
        <is>
          <t>¿Permite estimar o comparar componentes sin ocultar límites de equivalencia?</t>
        </is>
      </c>
      <c r="G1043" t="inlineStr">
        <is>
          <t>NE</t>
        </is>
      </c>
      <c r="H1043" t="inlineStr">
        <is>
          <t>Pendiente</t>
        </is>
      </c>
      <c r="I1043" s="2" t="inlineStr">
        <is>
          <t>Mismo motivo que P1.</t>
        </is>
      </c>
      <c r="J1043" t="inlineStr">
        <is>
          <t>https://docs.stormforge.io/optimize-live/recommendations/</t>
        </is>
      </c>
      <c r="K1043" t="inlineStr">
        <is>
          <t>2026-09-16</t>
        </is>
      </c>
      <c r="L1043" s="2" t="inlineStr">
        <is>
          <t>Corrección de alcance FP-180 (2026-09-16): el valor pasa de NA a NE. La justificación registrada indica que la documentación revisada no describe la función o que no se investigó: en FP-177 eso corresponde a NE (reduce cobertura), no a NA (renormaliza pesos). La evidencia y la fuente originales no se modifican.</t>
        </is>
      </c>
    </row>
    <row r="1044">
      <c r="A1044" t="inlineStr">
        <is>
          <t>E5</t>
        </is>
      </c>
      <c r="B1044" t="inlineStr">
        <is>
          <t>Kubernetes</t>
        </is>
      </c>
      <c r="C1044" t="inlineStr">
        <is>
          <t>StormForge</t>
        </is>
      </c>
      <c r="D1044" t="inlineStr">
        <is>
          <t>Dependencia</t>
        </is>
      </c>
      <c r="E1044" t="inlineStr">
        <is>
          <t>D1</t>
        </is>
      </c>
      <c r="F1044" s="2" t="inlineStr">
        <is>
          <t>¿Exporta datos/resultados en formato utilizable y documentado?</t>
        </is>
      </c>
      <c r="G1044" t="inlineStr">
        <is>
          <t>NE</t>
        </is>
      </c>
      <c r="H1044" t="inlineStr">
        <is>
          <t>Pendiente</t>
        </is>
      </c>
      <c r="I1044" s="2" t="inlineStr">
        <is>
          <t>No se encontró, en la documentación revisada, una función explícita de exportación de datos/recomendaciones.</t>
        </is>
      </c>
      <c r="K1044" t="inlineStr">
        <is>
          <t>2026-09-16</t>
        </is>
      </c>
      <c r="L1044" s="2" t="inlineStr"/>
    </row>
    <row r="1045">
      <c r="A1045" t="inlineStr">
        <is>
          <t>E5</t>
        </is>
      </c>
      <c r="B1045" t="inlineStr">
        <is>
          <t>Kubernetes</t>
        </is>
      </c>
      <c r="C1045" t="inlineStr">
        <is>
          <t>StormForge</t>
        </is>
      </c>
      <c r="D1045" t="inlineStr">
        <is>
          <t>Dependencia</t>
        </is>
      </c>
      <c r="E1045" t="inlineStr">
        <is>
          <t>D2</t>
        </is>
      </c>
      <c r="F1045" s="2" t="inlineStr">
        <is>
          <t>¿Documenta dependencias propietarias y un camino de salida/configuración reversible?</t>
        </is>
      </c>
      <c r="G1045" t="inlineStr">
        <is>
          <t>NE</t>
        </is>
      </c>
      <c r="H1045" t="inlineStr">
        <is>
          <t>Pendiente</t>
        </is>
      </c>
      <c r="I1045" s="2" t="inlineStr">
        <is>
          <t>No se encontró documentación sobre un camino de salida o reversibilidad de la configuración.</t>
        </is>
      </c>
      <c r="K1045" t="inlineStr">
        <is>
          <t>2026-09-16</t>
        </is>
      </c>
      <c r="L1045" s="2" t="inlineStr"/>
    </row>
    <row r="1046">
      <c r="A1046" t="inlineStr">
        <is>
          <t>E4</t>
        </is>
      </c>
      <c r="B1046" t="inlineStr">
        <is>
          <t>Estimacion temprana</t>
        </is>
      </c>
      <c r="C1046" t="inlineStr">
        <is>
          <t>Infracost</t>
        </is>
      </c>
      <c r="D1046" t="inlineStr">
        <is>
          <t>Visibilidad</t>
        </is>
      </c>
      <c r="E1046" t="inlineStr">
        <is>
          <t>V1</t>
        </is>
      </c>
      <c r="F1046" s="2" t="inlineStr">
        <is>
          <t>¿Desagrega costo y uso por cuenta/proyecto, servicio y período?</t>
        </is>
      </c>
      <c r="G1046" t="n">
        <v>2</v>
      </c>
      <c r="H1046" t="inlineStr">
        <is>
          <t>Oficial</t>
        </is>
      </c>
      <c r="I1046" s="2" t="inlineStr">
        <is>
          <t>Calcula el costo estimado localmente a partir de definiciones de infraestructura como código (Terraform, CloudFormation, AWS CDK) para AWS, Azure y Google Cloud, con desglose detallado por recurso.</t>
        </is>
      </c>
      <c r="J1046" t="inlineStr">
        <is>
          <t>https://www.infracost.io/docs/</t>
        </is>
      </c>
      <c r="K1046" t="inlineStr">
        <is>
          <t>2026-09-16</t>
        </is>
      </c>
      <c r="L1046" s="2" t="inlineStr"/>
    </row>
    <row r="1047">
      <c r="A1047" t="inlineStr">
        <is>
          <t>E4</t>
        </is>
      </c>
      <c r="B1047" t="inlineStr">
        <is>
          <t>Estimacion temprana</t>
        </is>
      </c>
      <c r="C1047" t="inlineStr">
        <is>
          <t>Infracost</t>
        </is>
      </c>
      <c r="D1047" t="inlineStr">
        <is>
          <t>Visibilidad</t>
        </is>
      </c>
      <c r="E1047" t="inlineStr">
        <is>
          <t>V2</t>
        </is>
      </c>
      <c r="F1047" s="2" t="inlineStr">
        <is>
          <t>¿Permite rastrear un total hasta registros o fuente de facturación?</t>
        </is>
      </c>
      <c r="G1047" t="inlineStr">
        <is>
          <t>NA</t>
        </is>
      </c>
      <c r="H1047" t="inlineStr">
        <is>
          <t>Justificación de alcance</t>
        </is>
      </c>
      <c r="I1047" s="2" t="inlineStr">
        <is>
          <t>Infracost estima costo antes del despliegue a partir de definiciones de IaC; no rastrea ni reconcilia con la facturación real de una cuenta ya desplegada (esa función corresponde a las herramientas de visibilidad de costo).</t>
        </is>
      </c>
      <c r="J1047" t="inlineStr">
        <is>
          <t>https://www.infracost.io/docs/</t>
        </is>
      </c>
      <c r="K1047" t="inlineStr">
        <is>
          <t>2026-09-16</t>
        </is>
      </c>
      <c r="L1047" s="2" t="inlineStr"/>
    </row>
    <row r="1048">
      <c r="A1048" t="inlineStr">
        <is>
          <t>E4</t>
        </is>
      </c>
      <c r="B1048" t="inlineStr">
        <is>
          <t>Estimacion temprana</t>
        </is>
      </c>
      <c r="C1048" t="inlineStr">
        <is>
          <t>Infracost</t>
        </is>
      </c>
      <c r="D1048" t="inlineStr">
        <is>
          <t>Asignacion</t>
        </is>
      </c>
      <c r="E1048" t="inlineStr">
        <is>
          <t>A1</t>
        </is>
      </c>
      <c r="F1048" s="2" t="inlineStr">
        <is>
          <t>¿Calcula gasto asignado/no asignado por responsable, centro o entidad?</t>
        </is>
      </c>
      <c r="G1048" t="inlineStr">
        <is>
          <t>NA</t>
        </is>
      </c>
      <c r="H1048" t="inlineStr">
        <is>
          <t>Justificación de alcance</t>
        </is>
      </c>
      <c r="I1048" s="2" t="inlineStr">
        <is>
          <t>No es una herramienta de asignación de gasto organizacional; entrega una estimación de costo por definición de infraestructura, no un cálculo de gasto asignado/no asignado por responsable o centro de costo.</t>
        </is>
      </c>
      <c r="J1048" t="inlineStr">
        <is>
          <t>https://www.infracost.io/docs/</t>
        </is>
      </c>
      <c r="K1048" t="inlineStr">
        <is>
          <t>2026-09-16</t>
        </is>
      </c>
      <c r="L1048" s="2" t="inlineStr"/>
    </row>
    <row r="1049">
      <c r="A1049" t="inlineStr">
        <is>
          <t>E4</t>
        </is>
      </c>
      <c r="B1049" t="inlineStr">
        <is>
          <t>Estimacion temprana</t>
        </is>
      </c>
      <c r="C1049" t="inlineStr">
        <is>
          <t>Infracost</t>
        </is>
      </c>
      <c r="D1049" t="inlineStr">
        <is>
          <t>Asignacion</t>
        </is>
      </c>
      <c r="E1049" t="inlineStr">
        <is>
          <t>A2</t>
        </is>
      </c>
      <c r="F1049" s="2" t="inlineStr">
        <is>
          <t>¿Explicita y aplica reglas para costo compartido/multi-tenant?</t>
        </is>
      </c>
      <c r="G1049" t="inlineStr">
        <is>
          <t>NA</t>
        </is>
      </c>
      <c r="H1049" t="inlineStr">
        <is>
          <t>Justificación de alcance</t>
        </is>
      </c>
      <c r="I1049" s="2" t="inlineStr">
        <is>
          <t>Mismo motivo que A1.</t>
        </is>
      </c>
      <c r="J1049" t="inlineStr">
        <is>
          <t>https://www.infracost.io/docs/</t>
        </is>
      </c>
      <c r="K1049" t="inlineStr">
        <is>
          <t>2026-09-16</t>
        </is>
      </c>
      <c r="L1049" s="2" t="inlineStr"/>
    </row>
    <row r="1050">
      <c r="A1050" t="inlineStr">
        <is>
          <t>E4</t>
        </is>
      </c>
      <c r="B1050" t="inlineStr">
        <is>
          <t>Estimacion temprana</t>
        </is>
      </c>
      <c r="C1050" t="inlineStr">
        <is>
          <t>Infracost</t>
        </is>
      </c>
      <c r="D1050" t="inlineStr">
        <is>
          <t>Optimizacion</t>
        </is>
      </c>
      <c r="E1050" t="inlineStr">
        <is>
          <t>O1</t>
        </is>
      </c>
      <c r="F1050" s="2" t="inlineStr">
        <is>
          <t>¿Detecta desperdicio, rightsizing o compromiso relevante al escenario?</t>
        </is>
      </c>
      <c r="G1050" t="n">
        <v>2</v>
      </c>
      <c r="H1050" t="inlineStr">
        <is>
          <t>Oficial</t>
        </is>
      </c>
      <c r="I1050" s="2" t="inlineStr">
        <is>
          <t>Las "FinOps policies" y "policy violations flagging" detectan configuraciones costosas o no conformes directamente en el pull request o el editor, antes de que el cambio se despliegue.</t>
        </is>
      </c>
      <c r="J1050" t="inlineStr">
        <is>
          <t>https://www.infracost.io/docs/</t>
        </is>
      </c>
      <c r="K1050" t="inlineStr">
        <is>
          <t>2026-09-16</t>
        </is>
      </c>
      <c r="L1050" s="2" t="inlineStr"/>
    </row>
    <row r="1051">
      <c r="A1051" t="inlineStr">
        <is>
          <t>E4</t>
        </is>
      </c>
      <c r="B1051" t="inlineStr">
        <is>
          <t>Estimacion temprana</t>
        </is>
      </c>
      <c r="C1051" t="inlineStr">
        <is>
          <t>Infracost</t>
        </is>
      </c>
      <c r="D1051" t="inlineStr">
        <is>
          <t>Optimizacion</t>
        </is>
      </c>
      <c r="E1051" t="inlineStr">
        <is>
          <t>O2</t>
        </is>
      </c>
      <c r="F1051" s="2" t="inlineStr">
        <is>
          <t>¿Explica supuesto/impacto y permite seguir una recomendación?</t>
        </is>
      </c>
      <c r="G1051" t="n">
        <v>1</v>
      </c>
      <c r="H1051" t="inlineStr">
        <is>
          <t>Oficial</t>
        </is>
      </c>
      <c r="I1051" s="2" t="inlineStr">
        <is>
          <t>Infracost resalta las diferencias de costo entre la configuración propuesta y la actual y señala los "recursos más caros", pero la documentación revisada no describe un ciclo de seguimiento de estado posterior a la fusión del cambio.</t>
        </is>
      </c>
      <c r="J1051" t="inlineStr">
        <is>
          <t>https://www.infracost.io/docs/</t>
        </is>
      </c>
      <c r="K1051" t="inlineStr">
        <is>
          <t>2026-09-16</t>
        </is>
      </c>
      <c r="L1051" s="2" t="inlineStr"/>
    </row>
    <row r="1052">
      <c r="A1052" t="inlineStr">
        <is>
          <t>E4</t>
        </is>
      </c>
      <c r="B1052" t="inlineStr">
        <is>
          <t>Estimacion temprana</t>
        </is>
      </c>
      <c r="C1052" t="inlineStr">
        <is>
          <t>Infracost</t>
        </is>
      </c>
      <c r="D1052" t="inlineStr">
        <is>
          <t>Automatizacion</t>
        </is>
      </c>
      <c r="E1052" t="inlineStr">
        <is>
          <t>AU1</t>
        </is>
      </c>
      <c r="F1052" s="2" t="inlineStr">
        <is>
          <t>¿Ejecuta o bloquea acciones/políticas de costo con control verificable?</t>
        </is>
      </c>
      <c r="G1052" t="n">
        <v>0</v>
      </c>
      <c r="H1052" t="inlineStr">
        <is>
          <t>Oficial (ausencia verificada)</t>
        </is>
      </c>
      <c r="I1052" s="2" t="inlineStr">
        <is>
          <t>Infracost anota el impacto de costo dentro del flujo de revisión (PR/IDE); no ejecuta ni bloquea el despliegue por sí mismo (esa decisión queda en manos del pipeline de CI/CD del equipo).</t>
        </is>
      </c>
      <c r="J1052" t="inlineStr">
        <is>
          <t>https://www.infracost.io/docs/</t>
        </is>
      </c>
      <c r="K1052" t="inlineStr">
        <is>
          <t>2026-09-16</t>
        </is>
      </c>
      <c r="L1052"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53">
      <c r="A1053" t="inlineStr">
        <is>
          <t>E4</t>
        </is>
      </c>
      <c r="B1053" t="inlineStr">
        <is>
          <t>Estimacion temprana</t>
        </is>
      </c>
      <c r="C1053" t="inlineStr">
        <is>
          <t>Infracost</t>
        </is>
      </c>
      <c r="D1053" t="inlineStr">
        <is>
          <t>Automatizacion</t>
        </is>
      </c>
      <c r="E1053" t="inlineStr">
        <is>
          <t>AU2</t>
        </is>
      </c>
      <c r="F1053" s="2" t="inlineStr">
        <is>
          <t>¿Ofrece aprobación, reversión, registro o límites antes de actuar?</t>
        </is>
      </c>
      <c r="G1053" t="inlineStr">
        <is>
          <t>NA</t>
        </is>
      </c>
      <c r="H1053" t="inlineStr">
        <is>
          <t>Justificación de alcance</t>
        </is>
      </c>
      <c r="I1053" s="2" t="inlineStr">
        <is>
          <t>Mismo motivo que AU1.</t>
        </is>
      </c>
      <c r="J1053" t="inlineStr">
        <is>
          <t>https://www.infracost.io/docs/</t>
        </is>
      </c>
      <c r="K1053" t="inlineStr">
        <is>
          <t>2026-09-16</t>
        </is>
      </c>
      <c r="L1053" s="2" t="inlineStr"/>
    </row>
    <row r="1054">
      <c r="A1054" t="inlineStr">
        <is>
          <t>E4</t>
        </is>
      </c>
      <c r="B1054" t="inlineStr">
        <is>
          <t>Estimacion temprana</t>
        </is>
      </c>
      <c r="C1054" t="inlineStr">
        <is>
          <t>Infracost</t>
        </is>
      </c>
      <c r="D1054" t="inlineStr">
        <is>
          <t>Multicloud</t>
        </is>
      </c>
      <c r="E1054" t="inlineStr">
        <is>
          <t>M1</t>
        </is>
      </c>
      <c r="F1054" s="2" t="inlineStr">
        <is>
          <t>¿Consolida al menos dos proveedores bajo el mismo esquema declarado?</t>
        </is>
      </c>
      <c r="G1054" t="n">
        <v>1</v>
      </c>
      <c r="H1054" t="inlineStr">
        <is>
          <t>Oficial</t>
        </is>
      </c>
      <c r="I1054" s="2" t="inlineStr">
        <is>
          <t>Soporta AWS, Azure y Google Cloud dentro de la misma herramienta, pero cada estimación es por ejecución/módulo de IaC, no una consolidación normalizada y continua de gasto multicloud ya facturado.</t>
        </is>
      </c>
      <c r="J1054" t="inlineStr">
        <is>
          <t>https://www.infracost.io/docs/</t>
        </is>
      </c>
      <c r="K1054" t="inlineStr">
        <is>
          <t>2026-09-16</t>
        </is>
      </c>
      <c r="L1054" s="2" t="inlineStr"/>
    </row>
    <row r="1055">
      <c r="A1055" t="inlineStr">
        <is>
          <t>E4</t>
        </is>
      </c>
      <c r="B1055" t="inlineStr">
        <is>
          <t>Estimacion temprana</t>
        </is>
      </c>
      <c r="C1055" t="inlineStr">
        <is>
          <t>Infracost</t>
        </is>
      </c>
      <c r="D1055" t="inlineStr">
        <is>
          <t>Multicloud</t>
        </is>
      </c>
      <c r="E1055" t="inlineStr">
        <is>
          <t>M2</t>
        </is>
      </c>
      <c r="F1055" s="2" t="inlineStr">
        <is>
          <t>¿Hace visibles proveedor, cobertura y diferencias semánticas?</t>
        </is>
      </c>
      <c r="G1055" t="n">
        <v>1</v>
      </c>
      <c r="H1055" t="inlineStr">
        <is>
          <t>Oficial</t>
        </is>
      </c>
      <c r="I1055" s="2" t="inlineStr">
        <is>
          <t>El desglose por recurso/proveedor hace visible el origen de cada costo estimado, pero no se documentó un diccionario/mapeo explícito de diferencias semánticas entre proveedores.</t>
        </is>
      </c>
      <c r="J1055" t="inlineStr">
        <is>
          <t>https://www.infracost.io/docs/</t>
        </is>
      </c>
      <c r="K1055" t="inlineStr">
        <is>
          <t>2026-09-16</t>
        </is>
      </c>
      <c r="L1055" s="2" t="inlineStr"/>
    </row>
    <row r="1056">
      <c r="A1056" t="inlineStr">
        <is>
          <t>E4</t>
        </is>
      </c>
      <c r="B1056" t="inlineStr">
        <is>
          <t>Estimacion temprana</t>
        </is>
      </c>
      <c r="C1056" t="inlineStr">
        <is>
          <t>Infracost</t>
        </is>
      </c>
      <c r="D1056" t="inlineStr">
        <is>
          <t>Integracion</t>
        </is>
      </c>
      <c r="E1056" t="inlineStr">
        <is>
          <t>I1</t>
        </is>
      </c>
      <c r="F1056" s="2" t="inlineStr">
        <is>
          <t>¿Integra datos requeridos (facturación, uso, clúster o IaC) del escenario?</t>
        </is>
      </c>
      <c r="G1056" t="n">
        <v>2</v>
      </c>
      <c r="H1056" t="inlineStr">
        <is>
          <t>Oficial</t>
        </is>
      </c>
      <c r="I1056" s="2" t="inlineStr">
        <is>
          <t>Analiza directamente definiciones de Terraform, CloudFormation y AWS CDK ("infracost scan"), con caché de resultados consultable ("infracost inspect").</t>
        </is>
      </c>
      <c r="J1056" t="inlineStr">
        <is>
          <t>https://www.infracost.io/docs/</t>
        </is>
      </c>
      <c r="K1056" t="inlineStr">
        <is>
          <t>2026-09-16</t>
        </is>
      </c>
      <c r="L1056" s="2" t="inlineStr"/>
    </row>
    <row r="1057">
      <c r="A1057" t="inlineStr">
        <is>
          <t>E4</t>
        </is>
      </c>
      <c r="B1057" t="inlineStr">
        <is>
          <t>Estimacion temprana</t>
        </is>
      </c>
      <c r="C1057" t="inlineStr">
        <is>
          <t>Infracost</t>
        </is>
      </c>
      <c r="D1057" t="inlineStr">
        <is>
          <t>Integracion</t>
        </is>
      </c>
      <c r="E1057" t="inlineStr">
        <is>
          <t>I2</t>
        </is>
      </c>
      <c r="F1057" s="2" t="inlineStr">
        <is>
          <t>¿Se integra con el flujo de trabajo relevante (alerta, ticket, CI/CD o reporte)?</t>
        </is>
      </c>
      <c r="G1057" t="n">
        <v>2</v>
      </c>
      <c r="H1057" t="inlineStr">
        <is>
          <t>Oficial</t>
        </is>
      </c>
      <c r="I1057" s="2" t="inlineStr">
        <is>
          <t>Comenta automáticamente el impacto de costo en los pull requests ("so cost impact gets discussed alongside the code review") y en editores de IDE, integrándose al flujo de revisión de código.</t>
        </is>
      </c>
      <c r="J1057" t="inlineStr">
        <is>
          <t>https://www.infracost.io/docs/</t>
        </is>
      </c>
      <c r="K1057" t="inlineStr">
        <is>
          <t>2026-09-16</t>
        </is>
      </c>
      <c r="L1057" s="2" t="inlineStr"/>
    </row>
    <row r="1058">
      <c r="A1058" t="inlineStr">
        <is>
          <t>E4</t>
        </is>
      </c>
      <c r="B1058" t="inlineStr">
        <is>
          <t>Estimacion temprana</t>
        </is>
      </c>
      <c r="C1058" t="inlineStr">
        <is>
          <t>Infracost</t>
        </is>
      </c>
      <c r="D1058" t="inlineStr">
        <is>
          <t>Adopcion</t>
        </is>
      </c>
      <c r="E1058" t="inlineStr">
        <is>
          <t>AD1</t>
        </is>
      </c>
      <c r="F1058" s="2" t="inlineStr">
        <is>
          <t>¿Soporta acceso/entrega para los roles del escenario?</t>
        </is>
      </c>
      <c r="G1058" t="inlineStr">
        <is>
          <t>NE</t>
        </is>
      </c>
      <c r="H1058" t="inlineStr">
        <is>
          <t>Pendiente</t>
        </is>
      </c>
      <c r="I1058" s="2" t="inlineStr">
        <is>
          <t>No se encontró, en la documentación revisada, un modelo de roles/permisos propio del producto.</t>
        </is>
      </c>
      <c r="K1058" t="inlineStr">
        <is>
          <t>2026-09-16</t>
        </is>
      </c>
      <c r="L1058" s="2" t="inlineStr"/>
    </row>
    <row r="1059">
      <c r="A1059" t="inlineStr">
        <is>
          <t>E4</t>
        </is>
      </c>
      <c r="B1059" t="inlineStr">
        <is>
          <t>Estimacion temprana</t>
        </is>
      </c>
      <c r="C1059" t="inlineStr">
        <is>
          <t>Infracost</t>
        </is>
      </c>
      <c r="D1059" t="inlineStr">
        <is>
          <t>Adopcion</t>
        </is>
      </c>
      <c r="E1059" t="inlineStr">
        <is>
          <t>AD2</t>
        </is>
      </c>
      <c r="F1059" s="2" t="inlineStr">
        <is>
          <t>¿Ofrece guías, ownership o mecanismos de seguimiento para uso sostenido?</t>
        </is>
      </c>
      <c r="G1059" t="n">
        <v>2</v>
      </c>
      <c r="H1059" t="inlineStr">
        <is>
          <t>Oficial</t>
        </is>
      </c>
      <c r="I1059" s="2" t="inlineStr">
        <is>
          <t>Las "FinOps policies" y "tagging policies" son mecanismos de gobernanza definidos para exigir estándares organizacionales de forma sostenida en cada cambio de infraestructura.</t>
        </is>
      </c>
      <c r="J1059" t="inlineStr">
        <is>
          <t>https://www.infracost.io/docs/</t>
        </is>
      </c>
      <c r="K1059" t="inlineStr">
        <is>
          <t>2026-09-16</t>
        </is>
      </c>
      <c r="L1059" s="2" t="inlineStr">
        <is>
          <t>Contexto académico (no usado para puntuar): Manurung y Aji (2025) entrevistaron a 6 organizaciones que usan explícitamente esta herramienta ("We use AWS Cost Explorer, cast.ai, and infracost.", P2) y encontraron que el 100% (6/6) carece de showback/chargeback pese a ello ("[Gap] Cost ownership is centralized, no showback/chargeback", Tabla 4). Es evidencia de brecha organizacional, no de una limitación verificada del producto; se deja como insumo para el análisis de sensibilidad/limitaciones de FP-181, no como ajuste de este puntaje.</t>
        </is>
      </c>
    </row>
    <row r="1060">
      <c r="A1060" t="inlineStr">
        <is>
          <t>E4</t>
        </is>
      </c>
      <c r="B1060" t="inlineStr">
        <is>
          <t>Estimacion temprana</t>
        </is>
      </c>
      <c r="C1060" t="inlineStr">
        <is>
          <t>Infracost</t>
        </is>
      </c>
      <c r="D1060" t="inlineStr">
        <is>
          <t>Precio</t>
        </is>
      </c>
      <c r="E1060" t="inlineStr">
        <is>
          <t>P1</t>
        </is>
      </c>
      <c r="F1060" s="2" t="inlineStr">
        <is>
          <t>¿Expone precio, moneda, región, unidad, período y supuestos relevantes?</t>
        </is>
      </c>
      <c r="G1060" t="n">
        <v>2</v>
      </c>
      <c r="H1060" t="inlineStr">
        <is>
          <t>Oficial</t>
        </is>
      </c>
      <c r="I1060" s="2" t="inlineStr">
        <is>
          <t>Expone el desglose de costo por recurso individual, con soporte de múltiples monedas y regiones configurables y supuestos propios de cada patrón de infraestructura.</t>
        </is>
      </c>
      <c r="J1060" t="inlineStr">
        <is>
          <t>https://www.infracost.io/docs/</t>
        </is>
      </c>
      <c r="K1060" t="inlineStr">
        <is>
          <t>2026-09-16</t>
        </is>
      </c>
      <c r="L1060" s="2" t="inlineStr"/>
    </row>
    <row r="1061">
      <c r="A1061" t="inlineStr">
        <is>
          <t>E4</t>
        </is>
      </c>
      <c r="B1061" t="inlineStr">
        <is>
          <t>Estimacion temprana</t>
        </is>
      </c>
      <c r="C1061" t="inlineStr">
        <is>
          <t>Infracost</t>
        </is>
      </c>
      <c r="D1061" t="inlineStr">
        <is>
          <t>Precio</t>
        </is>
      </c>
      <c r="E1061" t="inlineStr">
        <is>
          <t>P2</t>
        </is>
      </c>
      <c r="F1061" s="2" t="inlineStr">
        <is>
          <t>¿Permite estimar o comparar componentes sin ocultar límites de equivalencia?</t>
        </is>
      </c>
      <c r="G1061" t="n">
        <v>2</v>
      </c>
      <c r="H1061" t="inlineStr">
        <is>
          <t>Oficial</t>
        </is>
      </c>
      <c r="I1061" s="2" t="inlineStr">
        <is>
          <t>Compara explícitamente el costo entre la configuración propuesta y la actual, identificando los recursos más caros y el impacto neto del cambio, con límites de la comparación documentados (supuestos por patrón de infraestructura).</t>
        </is>
      </c>
      <c r="J1061" t="inlineStr">
        <is>
          <t>https://www.infracost.io/docs/</t>
        </is>
      </c>
      <c r="K1061" t="inlineStr">
        <is>
          <t>2026-09-16</t>
        </is>
      </c>
      <c r="L1061" s="2" t="inlineStr"/>
    </row>
    <row r="1062">
      <c r="A1062" t="inlineStr">
        <is>
          <t>E4</t>
        </is>
      </c>
      <c r="B1062" t="inlineStr">
        <is>
          <t>Estimacion temprana</t>
        </is>
      </c>
      <c r="C1062" t="inlineStr">
        <is>
          <t>Infracost</t>
        </is>
      </c>
      <c r="D1062" t="inlineStr">
        <is>
          <t>Dependencia</t>
        </is>
      </c>
      <c r="E1062" t="inlineStr">
        <is>
          <t>D1</t>
        </is>
      </c>
      <c r="F1062" s="2" t="inlineStr">
        <is>
          <t>¿Exporta datos/resultados en formato utilizable y documentado?</t>
        </is>
      </c>
      <c r="G1062" t="n">
        <v>2</v>
      </c>
      <c r="H1062" t="inlineStr">
        <is>
          <t>Oficial</t>
        </is>
      </c>
      <c r="I1062" s="2" t="inlineStr">
        <is>
          <t>El comando admite salida en JSON ("--json") y un formato compacto orientado a LLM ("--llm"), además de la tabla legible por humanos por defecto.</t>
        </is>
      </c>
      <c r="J1062" t="inlineStr">
        <is>
          <t>https://www.infracost.io/docs/features/cli_commands/</t>
        </is>
      </c>
      <c r="K1062" t="inlineStr">
        <is>
          <t>2026-09-16</t>
        </is>
      </c>
      <c r="L1062" s="2" t="inlineStr"/>
    </row>
    <row r="1063">
      <c r="A1063" t="inlineStr">
        <is>
          <t>E4</t>
        </is>
      </c>
      <c r="B1063" t="inlineStr">
        <is>
          <t>Estimacion temprana</t>
        </is>
      </c>
      <c r="C1063" t="inlineStr">
        <is>
          <t>Infracost</t>
        </is>
      </c>
      <c r="D1063" t="inlineStr">
        <is>
          <t>Dependencia</t>
        </is>
      </c>
      <c r="E1063" t="inlineStr">
        <is>
          <t>D2</t>
        </is>
      </c>
      <c r="F1063" s="2" t="inlineStr">
        <is>
          <t>¿Documenta dependencias propietarias y un camino de salida/configuración reversible?</t>
        </is>
      </c>
      <c r="G1063" t="inlineStr">
        <is>
          <t>NE</t>
        </is>
      </c>
      <c r="H1063" t="inlineStr">
        <is>
          <t>Pendiente</t>
        </is>
      </c>
      <c r="I1063" s="2" t="inlineStr">
        <is>
          <t>No se encontró documentación sobre un camino de salida o reversibilidad de la configuración (es una herramienta de estimación, no de gestión continua de una cuenta cloud).</t>
        </is>
      </c>
      <c r="K1063" t="inlineStr">
        <is>
          <t>2026-09-16</t>
        </is>
      </c>
      <c r="L1063" s="2" t="inlineStr"/>
    </row>
    <row r="1064">
      <c r="A1064" t="inlineStr">
        <is>
          <t>E4</t>
        </is>
      </c>
      <c r="B1064" t="inlineStr">
        <is>
          <t>Estimacion temprana</t>
        </is>
      </c>
      <c r="C1064" t="inlineStr">
        <is>
          <t>Cloud Custodian</t>
        </is>
      </c>
      <c r="D1064" t="inlineStr">
        <is>
          <t>Visibilidad</t>
        </is>
      </c>
      <c r="E1064" t="inlineStr">
        <is>
          <t>V1</t>
        </is>
      </c>
      <c r="F1064" s="2" t="inlineStr">
        <is>
          <t>¿Desagrega costo y uso por cuenta/proyecto, servicio y período?</t>
        </is>
      </c>
      <c r="G1064" t="n">
        <v>0</v>
      </c>
      <c r="H1064" t="inlineStr">
        <is>
          <t>Oficial (ausencia verificada)</t>
        </is>
      </c>
      <c r="I1064" s="2" t="inlineStr">
        <is>
          <t>Cloud Custodian es un motor de políticas para gobernanza y remediación de recursos ya desplegados (filtra y actúa vía las APIs del proveedor cloud); no expone un desglose de costo/uso por cuenta-servicio-período como los productos de visibilidad de costo.</t>
        </is>
      </c>
      <c r="J1064" t="inlineStr">
        <is>
          <t>https://cloudcustodian.io/docs/overview.html</t>
        </is>
      </c>
      <c r="K1064" t="inlineStr">
        <is>
          <t>2026-09-16</t>
        </is>
      </c>
      <c r="L1064"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65">
      <c r="A1065" t="inlineStr">
        <is>
          <t>E4</t>
        </is>
      </c>
      <c r="B1065" t="inlineStr">
        <is>
          <t>Estimacion temprana</t>
        </is>
      </c>
      <c r="C1065" t="inlineStr">
        <is>
          <t>Cloud Custodian</t>
        </is>
      </c>
      <c r="D1065" t="inlineStr">
        <is>
          <t>Visibilidad</t>
        </is>
      </c>
      <c r="E1065" t="inlineStr">
        <is>
          <t>V2</t>
        </is>
      </c>
      <c r="F1065" s="2" t="inlineStr">
        <is>
          <t>¿Permite rastrear un total hasta registros o fuente de facturación?</t>
        </is>
      </c>
      <c r="G1065" t="n">
        <v>0</v>
      </c>
      <c r="H1065" t="inlineStr">
        <is>
          <t>Oficial (ausencia verificada)</t>
        </is>
      </c>
      <c r="I1065" s="2" t="inlineStr">
        <is>
          <t>Mismo motivo que V1.</t>
        </is>
      </c>
      <c r="J1065" t="inlineStr">
        <is>
          <t>https://cloudcustodian.io/docs/overview.html</t>
        </is>
      </c>
      <c r="K1065" t="inlineStr">
        <is>
          <t>2026-09-16</t>
        </is>
      </c>
      <c r="L1065"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66">
      <c r="A1066" t="inlineStr">
        <is>
          <t>E4</t>
        </is>
      </c>
      <c r="B1066" t="inlineStr">
        <is>
          <t>Estimacion temprana</t>
        </is>
      </c>
      <c r="C1066" t="inlineStr">
        <is>
          <t>Cloud Custodian</t>
        </is>
      </c>
      <c r="D1066" t="inlineStr">
        <is>
          <t>Asignacion</t>
        </is>
      </c>
      <c r="E1066" t="inlineStr">
        <is>
          <t>A1</t>
        </is>
      </c>
      <c r="F1066" s="2" t="inlineStr">
        <is>
          <t>¿Calcula gasto asignado/no asignado por responsable, centro o entidad?</t>
        </is>
      </c>
      <c r="G1066" t="n">
        <v>0</v>
      </c>
      <c r="H1066" t="inlineStr">
        <is>
          <t>Oficial (ausencia verificada)</t>
        </is>
      </c>
      <c r="I1066" s="2" t="inlineStr">
        <is>
          <t>No calcula asignación de gasto por responsable/centro de costo; es un motor de políticas de recursos, no de asignación financiera.</t>
        </is>
      </c>
      <c r="J1066" t="inlineStr">
        <is>
          <t>https://cloudcustodian.io/docs/overview.html</t>
        </is>
      </c>
      <c r="K1066" t="inlineStr">
        <is>
          <t>2026-09-16</t>
        </is>
      </c>
      <c r="L1066"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67">
      <c r="A1067" t="inlineStr">
        <is>
          <t>E4</t>
        </is>
      </c>
      <c r="B1067" t="inlineStr">
        <is>
          <t>Estimacion temprana</t>
        </is>
      </c>
      <c r="C1067" t="inlineStr">
        <is>
          <t>Cloud Custodian</t>
        </is>
      </c>
      <c r="D1067" t="inlineStr">
        <is>
          <t>Asignacion</t>
        </is>
      </c>
      <c r="E1067" t="inlineStr">
        <is>
          <t>A2</t>
        </is>
      </c>
      <c r="F1067" s="2" t="inlineStr">
        <is>
          <t>¿Explicita y aplica reglas para costo compartido/multi-tenant?</t>
        </is>
      </c>
      <c r="G1067" t="n">
        <v>0</v>
      </c>
      <c r="H1067" t="inlineStr">
        <is>
          <t>Oficial (ausencia verificada)</t>
        </is>
      </c>
      <c r="I1067" s="2" t="inlineStr">
        <is>
          <t>Mismo motivo que A1.</t>
        </is>
      </c>
      <c r="J1067" t="inlineStr">
        <is>
          <t>https://cloudcustodian.io/docs/overview.html</t>
        </is>
      </c>
      <c r="K1067" t="inlineStr">
        <is>
          <t>2026-09-16</t>
        </is>
      </c>
      <c r="L1067"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68">
      <c r="A1068" t="inlineStr">
        <is>
          <t>E4</t>
        </is>
      </c>
      <c r="B1068" t="inlineStr">
        <is>
          <t>Estimacion temprana</t>
        </is>
      </c>
      <c r="C1068" t="inlineStr">
        <is>
          <t>Cloud Custodian</t>
        </is>
      </c>
      <c r="D1068" t="inlineStr">
        <is>
          <t>Optimizacion</t>
        </is>
      </c>
      <c r="E1068" t="inlineStr">
        <is>
          <t>O1</t>
        </is>
      </c>
      <c r="F1068" s="2" t="inlineStr">
        <is>
          <t>¿Detecta desperdicio, rightsizing o compromiso relevante al escenario?</t>
        </is>
      </c>
      <c r="G1068" t="n">
        <v>1</v>
      </c>
      <c r="H1068" t="inlineStr">
        <is>
          <t>Oficial</t>
        </is>
      </c>
      <c r="I1068" s="2" t="inlineStr">
        <is>
          <t>Las políticas pueden filtrar recursos ociosos, huérfanos o no conformes con reglas de costo (p. ej. volúmenes no adjuntos, instancias detenidas), pero es un motor de filtrado/gobernanza general, no un módulo dedicado de recomendaciones de optimización de costo.</t>
        </is>
      </c>
      <c r="J1068" t="inlineStr">
        <is>
          <t>https://cloudcustodian.io/docs/overview.html</t>
        </is>
      </c>
      <c r="K1068" t="inlineStr">
        <is>
          <t>2026-09-16</t>
        </is>
      </c>
      <c r="L1068" s="2" t="inlineStr"/>
    </row>
    <row r="1069">
      <c r="A1069" t="inlineStr">
        <is>
          <t>E4</t>
        </is>
      </c>
      <c r="B1069" t="inlineStr">
        <is>
          <t>Estimacion temprana</t>
        </is>
      </c>
      <c r="C1069" t="inlineStr">
        <is>
          <t>Cloud Custodian</t>
        </is>
      </c>
      <c r="D1069" t="inlineStr">
        <is>
          <t>Optimizacion</t>
        </is>
      </c>
      <c r="E1069" t="inlineStr">
        <is>
          <t>O2</t>
        </is>
      </c>
      <c r="F1069" s="2" t="inlineStr">
        <is>
          <t>¿Explica supuesto/impacto y permite seguir una recomendación?</t>
        </is>
      </c>
      <c r="G1069" t="n">
        <v>0</v>
      </c>
      <c r="H1069" t="inlineStr">
        <is>
          <t>Oficial (ausencia verificada)</t>
        </is>
      </c>
      <c r="I1069" s="2" t="inlineStr">
        <is>
          <t>No ofrece un ciclo dedicado de explicación de impacto/ahorro y seguimiento de una recomendación de optimización (es una acción de política de gobernanza, no una recomendación con seguimiento propio).</t>
        </is>
      </c>
      <c r="J1069" t="inlineStr">
        <is>
          <t>https://cloudcustodian.io/docs/overview.html</t>
        </is>
      </c>
      <c r="K1069" t="inlineStr">
        <is>
          <t>2026-09-16</t>
        </is>
      </c>
      <c r="L106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70">
      <c r="A1070" t="inlineStr">
        <is>
          <t>E4</t>
        </is>
      </c>
      <c r="B1070" t="inlineStr">
        <is>
          <t>Estimacion temprana</t>
        </is>
      </c>
      <c r="C1070" t="inlineStr">
        <is>
          <t>Cloud Custodian</t>
        </is>
      </c>
      <c r="D1070" t="inlineStr">
        <is>
          <t>Automatizacion</t>
        </is>
      </c>
      <c r="E1070" t="inlineStr">
        <is>
          <t>AU1</t>
        </is>
      </c>
      <c r="F1070" s="2" t="inlineStr">
        <is>
          <t>¿Ejecuta o bloquea acciones/políticas de costo con control verificable?</t>
        </is>
      </c>
      <c r="G1070" t="n">
        <v>2</v>
      </c>
      <c r="H1070" t="inlineStr">
        <is>
          <t>Oficial</t>
        </is>
      </c>
      <c r="I1070" s="2" t="inlineStr">
        <is>
          <t>Ejecuta acciones automáticas directamente sobre los recursos que cumplen los filtros de una política: detener/terminar/eliminar recursos, gestionar tags, modificar grupos de seguridad, invocar webhooks o funciones Lambda.</t>
        </is>
      </c>
      <c r="J1070" t="inlineStr">
        <is>
          <t>https://cloudcustodian.io/docs/overview.html</t>
        </is>
      </c>
      <c r="K1070" t="inlineStr">
        <is>
          <t>2026-09-16</t>
        </is>
      </c>
      <c r="L1070" s="2" t="inlineStr"/>
    </row>
    <row r="1071">
      <c r="A1071" t="inlineStr">
        <is>
          <t>E4</t>
        </is>
      </c>
      <c r="B1071" t="inlineStr">
        <is>
          <t>Estimacion temprana</t>
        </is>
      </c>
      <c r="C1071" t="inlineStr">
        <is>
          <t>Cloud Custodian</t>
        </is>
      </c>
      <c r="D1071" t="inlineStr">
        <is>
          <t>Automatizacion</t>
        </is>
      </c>
      <c r="E1071" t="inlineStr">
        <is>
          <t>AU2</t>
        </is>
      </c>
      <c r="F1071" s="2" t="inlineStr">
        <is>
          <t>¿Ofrece aprobación, reversión, registro o límites antes de actuar?</t>
        </is>
      </c>
      <c r="G1071" t="n">
        <v>2</v>
      </c>
      <c r="H1071" t="inlineStr">
        <is>
          <t>Oficial</t>
        </is>
      </c>
      <c r="I1071" s="2" t="inlineStr">
        <is>
          <t>Incluye el flag "--dryrun" para previsualizar qué recursos se verían afectados antes de ejecutar la política, además de métricas de CloudWatch por política, logging en tiempo real y archivo de registros/resultados estructurados en S3 para auditoría.</t>
        </is>
      </c>
      <c r="J1071" t="inlineStr">
        <is>
          <t>https://cloudcustodian.io/docs/quickstart/usage.html</t>
        </is>
      </c>
      <c r="K1071" t="inlineStr">
        <is>
          <t>2026-09-16</t>
        </is>
      </c>
      <c r="L1071" s="2" t="inlineStr"/>
    </row>
    <row r="1072">
      <c r="A1072" t="inlineStr">
        <is>
          <t>E4</t>
        </is>
      </c>
      <c r="B1072" t="inlineStr">
        <is>
          <t>Estimacion temprana</t>
        </is>
      </c>
      <c r="C1072" t="inlineStr">
        <is>
          <t>Cloud Custodian</t>
        </is>
      </c>
      <c r="D1072" t="inlineStr">
        <is>
          <t>Multicloud</t>
        </is>
      </c>
      <c r="E1072" t="inlineStr">
        <is>
          <t>M1</t>
        </is>
      </c>
      <c r="F1072" s="2" t="inlineStr">
        <is>
          <t>¿Consolida al menos dos proveedores bajo el mismo esquema declarado?</t>
        </is>
      </c>
      <c r="G1072" t="n">
        <v>0</v>
      </c>
      <c r="H1072" t="inlineStr">
        <is>
          <t>Oficial</t>
        </is>
      </c>
      <c r="I1072" s="2" t="inlineStr">
        <is>
          <t>La documentación revisada muestra soporte de AWS (el más extenso) y referencias a Azure y GCP, pero cada política/policy-set opera contra un proveedor a la vez; no se documentó una consolidación normalizada de costo entre proveedores.</t>
        </is>
      </c>
      <c r="J1072" t="inlineStr">
        <is>
          <t>https://cloudcustodian.io/docs/overview.html</t>
        </is>
      </c>
      <c r="K1072" t="inlineStr">
        <is>
          <t>2026-09-16</t>
        </is>
      </c>
      <c r="L1072" s="2" t="inlineStr"/>
    </row>
    <row r="1073">
      <c r="A1073" t="inlineStr">
        <is>
          <t>E4</t>
        </is>
      </c>
      <c r="B1073" t="inlineStr">
        <is>
          <t>Estimacion temprana</t>
        </is>
      </c>
      <c r="C1073" t="inlineStr">
        <is>
          <t>Cloud Custodian</t>
        </is>
      </c>
      <c r="D1073" t="inlineStr">
        <is>
          <t>Multicloud</t>
        </is>
      </c>
      <c r="E1073" t="inlineStr">
        <is>
          <t>M2</t>
        </is>
      </c>
      <c r="F1073" s="2" t="inlineStr">
        <is>
          <t>¿Hace visibles proveedor, cobertura y diferencias semánticas?</t>
        </is>
      </c>
      <c r="G1073" t="n">
        <v>0</v>
      </c>
      <c r="H1073" t="inlineStr">
        <is>
          <t>Oficial</t>
        </is>
      </c>
      <c r="I1073" s="2" t="inlineStr">
        <is>
          <t>Mismo motivo que M1.</t>
        </is>
      </c>
      <c r="J1073" t="inlineStr">
        <is>
          <t>https://cloudcustodian.io/docs/overview.html</t>
        </is>
      </c>
      <c r="K1073" t="inlineStr">
        <is>
          <t>2026-09-16</t>
        </is>
      </c>
      <c r="L1073" s="2" t="inlineStr"/>
    </row>
    <row r="1074">
      <c r="A1074" t="inlineStr">
        <is>
          <t>E4</t>
        </is>
      </c>
      <c r="B1074" t="inlineStr">
        <is>
          <t>Estimacion temprana</t>
        </is>
      </c>
      <c r="C1074" t="inlineStr">
        <is>
          <t>Cloud Custodian</t>
        </is>
      </c>
      <c r="D1074" t="inlineStr">
        <is>
          <t>Integracion</t>
        </is>
      </c>
      <c r="E1074" t="inlineStr">
        <is>
          <t>I1</t>
        </is>
      </c>
      <c r="F1074" s="2" t="inlineStr">
        <is>
          <t>¿Integra datos requeridos (facturación, uso, clúster o IaC) del escenario?</t>
        </is>
      </c>
      <c r="G1074" t="n">
        <v>1</v>
      </c>
      <c r="H1074" t="inlineStr">
        <is>
          <t>Oficial</t>
        </is>
      </c>
      <c r="I1074" s="2" t="inlineStr">
        <is>
          <t>Se integra con los recursos ya desplegados vía las APIs del proveedor cloud (principalmente AWS, con soporte de Azure/GCP); no ingiere datos de facturación/uso agregados como las herramientas de visibilidad de costo.</t>
        </is>
      </c>
      <c r="J1074" t="inlineStr">
        <is>
          <t>https://cloudcustodian.io/docs/overview.html</t>
        </is>
      </c>
      <c r="K1074" t="inlineStr">
        <is>
          <t>2026-09-16</t>
        </is>
      </c>
      <c r="L1074" s="2" t="inlineStr"/>
    </row>
    <row r="1075">
      <c r="A1075" t="inlineStr">
        <is>
          <t>E4</t>
        </is>
      </c>
      <c r="B1075" t="inlineStr">
        <is>
          <t>Estimacion temprana</t>
        </is>
      </c>
      <c r="C1075" t="inlineStr">
        <is>
          <t>Cloud Custodian</t>
        </is>
      </c>
      <c r="D1075" t="inlineStr">
        <is>
          <t>Integracion</t>
        </is>
      </c>
      <c r="E1075" t="inlineStr">
        <is>
          <t>I2</t>
        </is>
      </c>
      <c r="F1075" s="2" t="inlineStr">
        <is>
          <t>¿Se integra con el flujo de trabajo relevante (alerta, ticket, CI/CD o reporte)?</t>
        </is>
      </c>
      <c r="G1075" t="n">
        <v>2</v>
      </c>
      <c r="H1075" t="inlineStr">
        <is>
          <t>Oficial</t>
        </is>
      </c>
      <c r="I1075" s="2" t="inlineStr">
        <is>
          <t>La acción "notify" envía alertas (correo y otros canales) antes o durante la remediación, y los registros se pueden enviar a CloudWatch/S3 para integrarse a un flujo operativo de auditoría.</t>
        </is>
      </c>
      <c r="J1075" t="inlineStr">
        <is>
          <t>https://cloudcustodian.io/docs/quickstart/usage.html</t>
        </is>
      </c>
      <c r="K1075" t="inlineStr">
        <is>
          <t>2026-09-16</t>
        </is>
      </c>
      <c r="L1075" s="2" t="inlineStr"/>
    </row>
    <row r="1076">
      <c r="A1076" t="inlineStr">
        <is>
          <t>E4</t>
        </is>
      </c>
      <c r="B1076" t="inlineStr">
        <is>
          <t>Estimacion temprana</t>
        </is>
      </c>
      <c r="C1076" t="inlineStr">
        <is>
          <t>Cloud Custodian</t>
        </is>
      </c>
      <c r="D1076" t="inlineStr">
        <is>
          <t>Adopcion</t>
        </is>
      </c>
      <c r="E1076" t="inlineStr">
        <is>
          <t>AD1</t>
        </is>
      </c>
      <c r="F1076" s="2" t="inlineStr">
        <is>
          <t>¿Soporta acceso/entrega para los roles del escenario?</t>
        </is>
      </c>
      <c r="G1076" t="inlineStr">
        <is>
          <t>NE</t>
        </is>
      </c>
      <c r="H1076" t="inlineStr">
        <is>
          <t>Pendiente</t>
        </is>
      </c>
      <c r="I1076" s="2" t="inlineStr">
        <is>
          <t>No se encontró, en la documentación revisada, un modelo de roles/permisos propio del proyecto (el control de acceso depende de los permisos IAM/RBAC del proveedor cloud subyacente).</t>
        </is>
      </c>
      <c r="K1076" t="inlineStr">
        <is>
          <t>2026-09-16</t>
        </is>
      </c>
      <c r="L1076" s="2" t="inlineStr"/>
    </row>
    <row r="1077">
      <c r="A1077" t="inlineStr">
        <is>
          <t>E4</t>
        </is>
      </c>
      <c r="B1077" t="inlineStr">
        <is>
          <t>Estimacion temprana</t>
        </is>
      </c>
      <c r="C1077" t="inlineStr">
        <is>
          <t>Cloud Custodian</t>
        </is>
      </c>
      <c r="D1077" t="inlineStr">
        <is>
          <t>Adopcion</t>
        </is>
      </c>
      <c r="E1077" t="inlineStr">
        <is>
          <t>AD2</t>
        </is>
      </c>
      <c r="F1077" s="2" t="inlineStr">
        <is>
          <t>¿Ofrece guías, ownership o mecanismos de seguimiento para uso sostenido?</t>
        </is>
      </c>
      <c r="G1077" t="inlineStr">
        <is>
          <t>NE</t>
        </is>
      </c>
      <c r="H1077" t="inlineStr">
        <is>
          <t>Pendiente</t>
        </is>
      </c>
      <c r="I1077" s="2" t="inlineStr">
        <is>
          <t>No se encontró, en la documentación revisada, una guía de adopción/gobernanza dedicada más allá de la documentación general del proyecto.</t>
        </is>
      </c>
      <c r="K1077" t="inlineStr">
        <is>
          <t>2026-09-16</t>
        </is>
      </c>
      <c r="L1077" s="2" t="inlineStr"/>
    </row>
    <row r="1078">
      <c r="A1078" t="inlineStr">
        <is>
          <t>E4</t>
        </is>
      </c>
      <c r="B1078" t="inlineStr">
        <is>
          <t>Estimacion temprana</t>
        </is>
      </c>
      <c r="C1078" t="inlineStr">
        <is>
          <t>Cloud Custodian</t>
        </is>
      </c>
      <c r="D1078" t="inlineStr">
        <is>
          <t>Precio</t>
        </is>
      </c>
      <c r="E1078" t="inlineStr">
        <is>
          <t>P1</t>
        </is>
      </c>
      <c r="F1078" s="2" t="inlineStr">
        <is>
          <t>¿Expone precio, moneda, región, unidad, período y supuestos relevantes?</t>
        </is>
      </c>
      <c r="G1078" t="n">
        <v>0</v>
      </c>
      <c r="H1078" t="inlineStr">
        <is>
          <t>Oficial (ausencia verificada)</t>
        </is>
      </c>
      <c r="I1078" s="2" t="inlineStr">
        <is>
          <t>Cloud Custodian no expone transparencia de precio/supuestos de una estimación previa al despliegue; actúa como motor de políticas sobre recursos ya desplegados. Nota de alcance para el equipo: a diferencia de Infracost, no se encontró evidencia de que Cloud Custodian analice planes de IaC antes del despliegue, pese a estar incluido en la categoría "Estimación temprana" de la población de FP-51/FP-179; se recomienda que el equipo revise si corresponde reclasificarlo como herramienta de gobernanza/política en tiempo de ejecución.</t>
        </is>
      </c>
      <c r="J1078" t="inlineStr">
        <is>
          <t>https://cloudcustodian.io/docs/overview.html</t>
        </is>
      </c>
      <c r="K1078" t="inlineStr">
        <is>
          <t>2026-09-16</t>
        </is>
      </c>
      <c r="L1078"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79">
      <c r="A1079" t="inlineStr">
        <is>
          <t>E4</t>
        </is>
      </c>
      <c r="B1079" t="inlineStr">
        <is>
          <t>Estimacion temprana</t>
        </is>
      </c>
      <c r="C1079" t="inlineStr">
        <is>
          <t>Cloud Custodian</t>
        </is>
      </c>
      <c r="D1079" t="inlineStr">
        <is>
          <t>Precio</t>
        </is>
      </c>
      <c r="E1079" t="inlineStr">
        <is>
          <t>P2</t>
        </is>
      </c>
      <c r="F1079" s="2" t="inlineStr">
        <is>
          <t>¿Permite estimar o comparar componentes sin ocultar límites de equivalencia?</t>
        </is>
      </c>
      <c r="G1079" t="n">
        <v>0</v>
      </c>
      <c r="H1079" t="inlineStr">
        <is>
          <t>Oficial (ausencia verificada)</t>
        </is>
      </c>
      <c r="I1079" s="2" t="inlineStr">
        <is>
          <t>Mismo motivo que P1.</t>
        </is>
      </c>
      <c r="J1079" t="inlineStr">
        <is>
          <t>https://cloudcustodian.io/docs/overview.html</t>
        </is>
      </c>
      <c r="K1079" t="inlineStr">
        <is>
          <t>2026-09-16</t>
        </is>
      </c>
      <c r="L1079" s="2" t="inlineStr">
        <is>
          <t>Corrección de alcance FP-180 (2026-09-16): el valor pasa de NA a 0. La justificación registrada afirma una ausencia verificada contra documentación oficial, no una inaplicabilidad: en FP-177 eso corresponde al valor 0, no a NA. La evidencia y la fuente originales no se modifican.</t>
        </is>
      </c>
    </row>
    <row r="1080">
      <c r="A1080" t="inlineStr">
        <is>
          <t>E4</t>
        </is>
      </c>
      <c r="B1080" t="inlineStr">
        <is>
          <t>Estimacion temprana</t>
        </is>
      </c>
      <c r="C1080" t="inlineStr">
        <is>
          <t>Cloud Custodian</t>
        </is>
      </c>
      <c r="D1080" t="inlineStr">
        <is>
          <t>Dependencia</t>
        </is>
      </c>
      <c r="E1080" t="inlineStr">
        <is>
          <t>D1</t>
        </is>
      </c>
      <c r="F1080" s="2" t="inlineStr">
        <is>
          <t>¿Exporta datos/resultados en formato utilizable y documentado?</t>
        </is>
      </c>
      <c r="G1080" t="n">
        <v>1</v>
      </c>
      <c r="H1080" t="inlineStr">
        <is>
          <t>Oficial</t>
        </is>
      </c>
      <c r="I1080" s="2" t="inlineStr">
        <is>
          <t>Los resultados de cada política se pueden exportar como registros estructurados en formato JSON hacia S3, pero no se documentó una función de exportación de datos orientada al usuario final más allá de ese archivo técnico.</t>
        </is>
      </c>
      <c r="J1080" t="inlineStr">
        <is>
          <t>https://cloudcustodian.io/docs/quickstart/usage.html</t>
        </is>
      </c>
      <c r="K1080" t="inlineStr">
        <is>
          <t>2026-09-16</t>
        </is>
      </c>
      <c r="L1080" s="2" t="inlineStr"/>
    </row>
    <row r="1081">
      <c r="A1081" t="inlineStr">
        <is>
          <t>E4</t>
        </is>
      </c>
      <c r="B1081" t="inlineStr">
        <is>
          <t>Estimacion temprana</t>
        </is>
      </c>
      <c r="C1081" t="inlineStr">
        <is>
          <t>Cloud Custodian</t>
        </is>
      </c>
      <c r="D1081" t="inlineStr">
        <is>
          <t>Dependencia</t>
        </is>
      </c>
      <c r="E1081" t="inlineStr">
        <is>
          <t>D2</t>
        </is>
      </c>
      <c r="F1081" s="2" t="inlineStr">
        <is>
          <t>¿Documenta dependencias propietarias y un camino de salida/configuración reversible?</t>
        </is>
      </c>
      <c r="G1081" t="inlineStr">
        <is>
          <t>NE</t>
        </is>
      </c>
      <c r="H1081" t="inlineStr">
        <is>
          <t>Pendiente</t>
        </is>
      </c>
      <c r="I1081" s="2" t="inlineStr">
        <is>
          <t>No se encontró documentación sobre un camino de salida o reversibilidad de la configuración.</t>
        </is>
      </c>
      <c r="K1081" t="inlineStr">
        <is>
          <t>2026-09-16</t>
        </is>
      </c>
      <c r="L1081" s="2" t="inlineStr"/>
    </row>
    <row r="1082">
      <c r="A1082" t="inlineStr">
        <is>
          <t>VALIDACION</t>
        </is>
      </c>
      <c r="B1082" t="inlineStr">
        <is>
          <t>Ejemplo sintético FP-177</t>
        </is>
      </c>
      <c r="C1082" t="inlineStr">
        <is>
          <t>Herramienta Aurora (no es un producto real)</t>
        </is>
      </c>
      <c r="D1082" t="inlineStr">
        <is>
          <t>Visibilidad</t>
        </is>
      </c>
      <c r="E1082" t="inlineStr">
        <is>
          <t>V1</t>
        </is>
      </c>
      <c r="F1082" s="2" t="inlineStr">
        <is>
          <t>¿Desagrega costo y uso por cuenta/proyecto, servicio y período?</t>
        </is>
      </c>
      <c r="G1082" t="n">
        <v>3</v>
      </c>
      <c r="H1082" t="inlineStr">
        <is>
          <t>Sintético</t>
        </is>
      </c>
      <c r="I1082" s="2" t="inlineStr">
        <is>
          <t>Fixture de validación del motor de cálculo (sección 6 de metodologia-comparativa-borrador.md).</t>
        </is>
      </c>
      <c r="J1082" t="inlineStr">
        <is>
          <t>docs/fp-177/metodologia-comparativa-borrador.md</t>
        </is>
      </c>
      <c r="K1082" t="inlineStr">
        <is>
          <t>2026-09-16</t>
        </is>
      </c>
      <c r="L1082" s="2" t="inlineStr">
        <is>
          <t>Ambos indicadores del criterio se fijan al mismo valor de C_c del ejemplo; no representa evidencia real de ningún proveedor.</t>
        </is>
      </c>
    </row>
    <row r="1083">
      <c r="A1083" t="inlineStr">
        <is>
          <t>VALIDACION</t>
        </is>
      </c>
      <c r="B1083" t="inlineStr">
        <is>
          <t>Ejemplo sintético FP-177</t>
        </is>
      </c>
      <c r="C1083" t="inlineStr">
        <is>
          <t>Herramienta Aurora (no es un producto real)</t>
        </is>
      </c>
      <c r="D1083" t="inlineStr">
        <is>
          <t>Visibilidad</t>
        </is>
      </c>
      <c r="E1083" t="inlineStr">
        <is>
          <t>V2</t>
        </is>
      </c>
      <c r="F1083" s="2" t="inlineStr">
        <is>
          <t>¿Permite rastrear un total hasta registros o fuente de facturación?</t>
        </is>
      </c>
      <c r="G1083" t="n">
        <v>3</v>
      </c>
      <c r="H1083" t="inlineStr">
        <is>
          <t>Sintético</t>
        </is>
      </c>
      <c r="I1083" s="2" t="inlineStr">
        <is>
          <t>Fixture de validación del motor de cálculo (sección 6 de metodologia-comparativa-borrador.md).</t>
        </is>
      </c>
      <c r="J1083" t="inlineStr">
        <is>
          <t>docs/fp-177/metodologia-comparativa-borrador.md</t>
        </is>
      </c>
      <c r="K1083" t="inlineStr">
        <is>
          <t>2026-09-16</t>
        </is>
      </c>
      <c r="L1083" s="2" t="inlineStr">
        <is>
          <t>Ambos indicadores del criterio se fijan al mismo valor de C_c del ejemplo; no representa evidencia real de ningún proveedor.</t>
        </is>
      </c>
    </row>
    <row r="1084">
      <c r="A1084" t="inlineStr">
        <is>
          <t>VALIDACION</t>
        </is>
      </c>
      <c r="B1084" t="inlineStr">
        <is>
          <t>Ejemplo sintético FP-177</t>
        </is>
      </c>
      <c r="C1084" t="inlineStr">
        <is>
          <t>Herramienta Aurora (no es un producto real)</t>
        </is>
      </c>
      <c r="D1084" t="inlineStr">
        <is>
          <t>Asignacion</t>
        </is>
      </c>
      <c r="E1084" t="inlineStr">
        <is>
          <t>A1</t>
        </is>
      </c>
      <c r="F1084" s="2" t="inlineStr">
        <is>
          <t>¿Calcula gasto asignado/no asignado por responsable, centro o entidad?</t>
        </is>
      </c>
      <c r="G1084" t="n">
        <v>2</v>
      </c>
      <c r="H1084" t="inlineStr">
        <is>
          <t>Sintético</t>
        </is>
      </c>
      <c r="I1084" s="2" t="inlineStr">
        <is>
          <t>Fixture de validación del motor de cálculo (sección 6 de metodologia-comparativa-borrador.md).</t>
        </is>
      </c>
      <c r="J1084" t="inlineStr">
        <is>
          <t>docs/fp-177/metodologia-comparativa-borrador.md</t>
        </is>
      </c>
      <c r="K1084" t="inlineStr">
        <is>
          <t>2026-09-16</t>
        </is>
      </c>
      <c r="L1084" s="2" t="inlineStr">
        <is>
          <t>Ambos indicadores del criterio se fijan al mismo valor de C_c del ejemplo; no representa evidencia real de ningún proveedor.</t>
        </is>
      </c>
    </row>
    <row r="1085">
      <c r="A1085" t="inlineStr">
        <is>
          <t>VALIDACION</t>
        </is>
      </c>
      <c r="B1085" t="inlineStr">
        <is>
          <t>Ejemplo sintético FP-177</t>
        </is>
      </c>
      <c r="C1085" t="inlineStr">
        <is>
          <t>Herramienta Aurora (no es un producto real)</t>
        </is>
      </c>
      <c r="D1085" t="inlineStr">
        <is>
          <t>Asignacion</t>
        </is>
      </c>
      <c r="E1085" t="inlineStr">
        <is>
          <t>A2</t>
        </is>
      </c>
      <c r="F1085" s="2" t="inlineStr">
        <is>
          <t>¿Explicita y aplica reglas para costo compartido/multi-tenant?</t>
        </is>
      </c>
      <c r="G1085" t="n">
        <v>2</v>
      </c>
      <c r="H1085" t="inlineStr">
        <is>
          <t>Sintético</t>
        </is>
      </c>
      <c r="I1085" s="2" t="inlineStr">
        <is>
          <t>Fixture de validación del motor de cálculo (sección 6 de metodologia-comparativa-borrador.md).</t>
        </is>
      </c>
      <c r="J1085" t="inlineStr">
        <is>
          <t>docs/fp-177/metodologia-comparativa-borrador.md</t>
        </is>
      </c>
      <c r="K1085" t="inlineStr">
        <is>
          <t>2026-09-16</t>
        </is>
      </c>
      <c r="L1085" s="2" t="inlineStr">
        <is>
          <t>Ambos indicadores del criterio se fijan al mismo valor de C_c del ejemplo; no representa evidencia real de ningún proveedor.</t>
        </is>
      </c>
    </row>
    <row r="1086">
      <c r="A1086" t="inlineStr">
        <is>
          <t>VALIDACION</t>
        </is>
      </c>
      <c r="B1086" t="inlineStr">
        <is>
          <t>Ejemplo sintético FP-177</t>
        </is>
      </c>
      <c r="C1086" t="inlineStr">
        <is>
          <t>Herramienta Aurora (no es un producto real)</t>
        </is>
      </c>
      <c r="D1086" t="inlineStr">
        <is>
          <t>Optimizacion</t>
        </is>
      </c>
      <c r="E1086" t="inlineStr">
        <is>
          <t>O1</t>
        </is>
      </c>
      <c r="F1086" s="2" t="inlineStr">
        <is>
          <t>¿Detecta desperdicio, rightsizing o compromiso relevante al escenario?</t>
        </is>
      </c>
      <c r="G1086" t="n">
        <v>1</v>
      </c>
      <c r="H1086" t="inlineStr">
        <is>
          <t>Sintético</t>
        </is>
      </c>
      <c r="I1086" s="2" t="inlineStr">
        <is>
          <t>Fixture de validación del motor de cálculo (sección 6 de metodologia-comparativa-borrador.md).</t>
        </is>
      </c>
      <c r="J1086" t="inlineStr">
        <is>
          <t>docs/fp-177/metodologia-comparativa-borrador.md</t>
        </is>
      </c>
      <c r="K1086" t="inlineStr">
        <is>
          <t>2026-09-16</t>
        </is>
      </c>
      <c r="L1086" s="2" t="inlineStr">
        <is>
          <t>Ambos indicadores del criterio se fijan al mismo valor de C_c del ejemplo; no representa evidencia real de ningún proveedor.</t>
        </is>
      </c>
    </row>
    <row r="1087">
      <c r="A1087" t="inlineStr">
        <is>
          <t>VALIDACION</t>
        </is>
      </c>
      <c r="B1087" t="inlineStr">
        <is>
          <t>Ejemplo sintético FP-177</t>
        </is>
      </c>
      <c r="C1087" t="inlineStr">
        <is>
          <t>Herramienta Aurora (no es un producto real)</t>
        </is>
      </c>
      <c r="D1087" t="inlineStr">
        <is>
          <t>Optimizacion</t>
        </is>
      </c>
      <c r="E1087" t="inlineStr">
        <is>
          <t>O2</t>
        </is>
      </c>
      <c r="F1087" s="2" t="inlineStr">
        <is>
          <t>¿Explica supuesto/impacto y permite seguir una recomendación?</t>
        </is>
      </c>
      <c r="G1087" t="n">
        <v>1</v>
      </c>
      <c r="H1087" t="inlineStr">
        <is>
          <t>Sintético</t>
        </is>
      </c>
      <c r="I1087" s="2" t="inlineStr">
        <is>
          <t>Fixture de validación del motor de cálculo (sección 6 de metodologia-comparativa-borrador.md).</t>
        </is>
      </c>
      <c r="J1087" t="inlineStr">
        <is>
          <t>docs/fp-177/metodologia-comparativa-borrador.md</t>
        </is>
      </c>
      <c r="K1087" t="inlineStr">
        <is>
          <t>2026-09-16</t>
        </is>
      </c>
      <c r="L1087" s="2" t="inlineStr">
        <is>
          <t>Ambos indicadores del criterio se fijan al mismo valor de C_c del ejemplo; no representa evidencia real de ningún proveedor.</t>
        </is>
      </c>
    </row>
    <row r="1088">
      <c r="A1088" t="inlineStr">
        <is>
          <t>VALIDACION</t>
        </is>
      </c>
      <c r="B1088" t="inlineStr">
        <is>
          <t>Ejemplo sintético FP-177</t>
        </is>
      </c>
      <c r="C1088" t="inlineStr">
        <is>
          <t>Herramienta Aurora (no es un producto real)</t>
        </is>
      </c>
      <c r="D1088" t="inlineStr">
        <is>
          <t>Automatizacion</t>
        </is>
      </c>
      <c r="E1088" t="inlineStr">
        <is>
          <t>AU1</t>
        </is>
      </c>
      <c r="F1088" s="2" t="inlineStr">
        <is>
          <t>¿Ejecuta o bloquea acciones/políticas de costo con control verificable?</t>
        </is>
      </c>
      <c r="G1088" t="n">
        <v>1</v>
      </c>
      <c r="H1088" t="inlineStr">
        <is>
          <t>Sintético</t>
        </is>
      </c>
      <c r="I1088" s="2" t="inlineStr">
        <is>
          <t>Fixture de validación del motor de cálculo (sección 6 de metodologia-comparativa-borrador.md).</t>
        </is>
      </c>
      <c r="J1088" t="inlineStr">
        <is>
          <t>docs/fp-177/metodologia-comparativa-borrador.md</t>
        </is>
      </c>
      <c r="K1088" t="inlineStr">
        <is>
          <t>2026-09-16</t>
        </is>
      </c>
      <c r="L1088" s="2" t="inlineStr">
        <is>
          <t>Ambos indicadores del criterio se fijan al mismo valor de C_c del ejemplo; no representa evidencia real de ningún proveedor.</t>
        </is>
      </c>
    </row>
    <row r="1089">
      <c r="A1089" t="inlineStr">
        <is>
          <t>VALIDACION</t>
        </is>
      </c>
      <c r="B1089" t="inlineStr">
        <is>
          <t>Ejemplo sintético FP-177</t>
        </is>
      </c>
      <c r="C1089" t="inlineStr">
        <is>
          <t>Herramienta Aurora (no es un producto real)</t>
        </is>
      </c>
      <c r="D1089" t="inlineStr">
        <is>
          <t>Automatizacion</t>
        </is>
      </c>
      <c r="E1089" t="inlineStr">
        <is>
          <t>AU2</t>
        </is>
      </c>
      <c r="F1089" s="2" t="inlineStr">
        <is>
          <t>¿Ofrece aprobación, reversión, registro o límites antes de actuar?</t>
        </is>
      </c>
      <c r="G1089" t="n">
        <v>1</v>
      </c>
      <c r="H1089" t="inlineStr">
        <is>
          <t>Sintético</t>
        </is>
      </c>
      <c r="I1089" s="2" t="inlineStr">
        <is>
          <t>Fixture de validación del motor de cálculo (sección 6 de metodologia-comparativa-borrador.md).</t>
        </is>
      </c>
      <c r="J1089" t="inlineStr">
        <is>
          <t>docs/fp-177/metodologia-comparativa-borrador.md</t>
        </is>
      </c>
      <c r="K1089" t="inlineStr">
        <is>
          <t>2026-09-16</t>
        </is>
      </c>
      <c r="L1089" s="2" t="inlineStr">
        <is>
          <t>Ambos indicadores del criterio se fijan al mismo valor de C_c del ejemplo; no representa evidencia real de ningún proveedor.</t>
        </is>
      </c>
    </row>
    <row r="1090">
      <c r="A1090" t="inlineStr">
        <is>
          <t>VALIDACION</t>
        </is>
      </c>
      <c r="B1090" t="inlineStr">
        <is>
          <t>Ejemplo sintético FP-177</t>
        </is>
      </c>
      <c r="C1090" t="inlineStr">
        <is>
          <t>Herramienta Aurora (no es un producto real)</t>
        </is>
      </c>
      <c r="D1090" t="inlineStr">
        <is>
          <t>Multicloud</t>
        </is>
      </c>
      <c r="E1090" t="inlineStr">
        <is>
          <t>M1</t>
        </is>
      </c>
      <c r="F1090" s="2" t="inlineStr">
        <is>
          <t>¿Consolida al menos dos proveedores bajo el mismo esquema declarado?</t>
        </is>
      </c>
      <c r="G1090" t="n">
        <v>0</v>
      </c>
      <c r="H1090" t="inlineStr">
        <is>
          <t>Sintético</t>
        </is>
      </c>
      <c r="I1090" s="2" t="inlineStr">
        <is>
          <t>Fixture de validación del motor de cálculo (sección 6 de metodologia-comparativa-borrador.md).</t>
        </is>
      </c>
      <c r="J1090" t="inlineStr">
        <is>
          <t>docs/fp-177/metodologia-comparativa-borrador.md</t>
        </is>
      </c>
      <c r="K1090" t="inlineStr">
        <is>
          <t>2026-09-16</t>
        </is>
      </c>
      <c r="L1090" s="2" t="inlineStr">
        <is>
          <t>Ambos indicadores del criterio se fijan al mismo valor de C_c del ejemplo; no representa evidencia real de ningún proveedor.</t>
        </is>
      </c>
    </row>
    <row r="1091">
      <c r="A1091" t="inlineStr">
        <is>
          <t>VALIDACION</t>
        </is>
      </c>
      <c r="B1091" t="inlineStr">
        <is>
          <t>Ejemplo sintético FP-177</t>
        </is>
      </c>
      <c r="C1091" t="inlineStr">
        <is>
          <t>Herramienta Aurora (no es un producto real)</t>
        </is>
      </c>
      <c r="D1091" t="inlineStr">
        <is>
          <t>Multicloud</t>
        </is>
      </c>
      <c r="E1091" t="inlineStr">
        <is>
          <t>M2</t>
        </is>
      </c>
      <c r="F1091" s="2" t="inlineStr">
        <is>
          <t>¿Hace visibles proveedor, cobertura y diferencias semánticas?</t>
        </is>
      </c>
      <c r="G1091" t="n">
        <v>0</v>
      </c>
      <c r="H1091" t="inlineStr">
        <is>
          <t>Sintético</t>
        </is>
      </c>
      <c r="I1091" s="2" t="inlineStr">
        <is>
          <t>Fixture de validación del motor de cálculo (sección 6 de metodologia-comparativa-borrador.md).</t>
        </is>
      </c>
      <c r="J1091" t="inlineStr">
        <is>
          <t>docs/fp-177/metodologia-comparativa-borrador.md</t>
        </is>
      </c>
      <c r="K1091" t="inlineStr">
        <is>
          <t>2026-09-16</t>
        </is>
      </c>
      <c r="L1091" s="2" t="inlineStr">
        <is>
          <t>Ambos indicadores del criterio se fijan al mismo valor de C_c del ejemplo; no representa evidencia real de ningún proveedor.</t>
        </is>
      </c>
    </row>
    <row r="1092">
      <c r="A1092" t="inlineStr">
        <is>
          <t>VALIDACION</t>
        </is>
      </c>
      <c r="B1092" t="inlineStr">
        <is>
          <t>Ejemplo sintético FP-177</t>
        </is>
      </c>
      <c r="C1092" t="inlineStr">
        <is>
          <t>Herramienta Aurora (no es un producto real)</t>
        </is>
      </c>
      <c r="D1092" t="inlineStr">
        <is>
          <t>Integracion</t>
        </is>
      </c>
      <c r="E1092" t="inlineStr">
        <is>
          <t>I1</t>
        </is>
      </c>
      <c r="F1092" s="2" t="inlineStr">
        <is>
          <t>¿Integra datos requeridos (facturación, uso, clúster o IaC) del escenario?</t>
        </is>
      </c>
      <c r="G1092" t="n">
        <v>2</v>
      </c>
      <c r="H1092" t="inlineStr">
        <is>
          <t>Sintético</t>
        </is>
      </c>
      <c r="I1092" s="2" t="inlineStr">
        <is>
          <t>Fixture de validación del motor de cálculo (sección 6 de metodologia-comparativa-borrador.md).</t>
        </is>
      </c>
      <c r="J1092" t="inlineStr">
        <is>
          <t>docs/fp-177/metodologia-comparativa-borrador.md</t>
        </is>
      </c>
      <c r="K1092" t="inlineStr">
        <is>
          <t>2026-09-16</t>
        </is>
      </c>
      <c r="L1092" s="2" t="inlineStr">
        <is>
          <t>Ambos indicadores del criterio se fijan al mismo valor de C_c del ejemplo; no representa evidencia real de ningún proveedor.</t>
        </is>
      </c>
    </row>
    <row r="1093">
      <c r="A1093" t="inlineStr">
        <is>
          <t>VALIDACION</t>
        </is>
      </c>
      <c r="B1093" t="inlineStr">
        <is>
          <t>Ejemplo sintético FP-177</t>
        </is>
      </c>
      <c r="C1093" t="inlineStr">
        <is>
          <t>Herramienta Aurora (no es un producto real)</t>
        </is>
      </c>
      <c r="D1093" t="inlineStr">
        <is>
          <t>Integracion</t>
        </is>
      </c>
      <c r="E1093" t="inlineStr">
        <is>
          <t>I2</t>
        </is>
      </c>
      <c r="F1093" s="2" t="inlineStr">
        <is>
          <t>¿Se integra con el flujo de trabajo relevante (alerta, ticket, CI/CD o reporte)?</t>
        </is>
      </c>
      <c r="G1093" t="n">
        <v>2</v>
      </c>
      <c r="H1093" t="inlineStr">
        <is>
          <t>Sintético</t>
        </is>
      </c>
      <c r="I1093" s="2" t="inlineStr">
        <is>
          <t>Fixture de validación del motor de cálculo (sección 6 de metodologia-comparativa-borrador.md).</t>
        </is>
      </c>
      <c r="J1093" t="inlineStr">
        <is>
          <t>docs/fp-177/metodologia-comparativa-borrador.md</t>
        </is>
      </c>
      <c r="K1093" t="inlineStr">
        <is>
          <t>2026-09-16</t>
        </is>
      </c>
      <c r="L1093" s="2" t="inlineStr">
        <is>
          <t>Ambos indicadores del criterio se fijan al mismo valor de C_c del ejemplo; no representa evidencia real de ningún proveedor.</t>
        </is>
      </c>
    </row>
    <row r="1094">
      <c r="A1094" t="inlineStr">
        <is>
          <t>VALIDACION</t>
        </is>
      </c>
      <c r="B1094" t="inlineStr">
        <is>
          <t>Ejemplo sintético FP-177</t>
        </is>
      </c>
      <c r="C1094" t="inlineStr">
        <is>
          <t>Herramienta Aurora (no es un producto real)</t>
        </is>
      </c>
      <c r="D1094" t="inlineStr">
        <is>
          <t>Adopcion</t>
        </is>
      </c>
      <c r="E1094" t="inlineStr">
        <is>
          <t>AD1</t>
        </is>
      </c>
      <c r="F1094" s="2" t="inlineStr">
        <is>
          <t>¿Soporta acceso/entrega para los roles del escenario?</t>
        </is>
      </c>
      <c r="G1094" t="n">
        <v>2</v>
      </c>
      <c r="H1094" t="inlineStr">
        <is>
          <t>Sintético</t>
        </is>
      </c>
      <c r="I1094" s="2" t="inlineStr">
        <is>
          <t>Fixture de validación del motor de cálculo (sección 6 de metodologia-comparativa-borrador.md).</t>
        </is>
      </c>
      <c r="J1094" t="inlineStr">
        <is>
          <t>docs/fp-177/metodologia-comparativa-borrador.md</t>
        </is>
      </c>
      <c r="K1094" t="inlineStr">
        <is>
          <t>2026-09-16</t>
        </is>
      </c>
      <c r="L1094" s="2" t="inlineStr">
        <is>
          <t>Ambos indicadores del criterio se fijan al mismo valor de C_c del ejemplo; no representa evidencia real de ningún proveedor.</t>
        </is>
      </c>
    </row>
    <row r="1095">
      <c r="A1095" t="inlineStr">
        <is>
          <t>VALIDACION</t>
        </is>
      </c>
      <c r="B1095" t="inlineStr">
        <is>
          <t>Ejemplo sintético FP-177</t>
        </is>
      </c>
      <c r="C1095" t="inlineStr">
        <is>
          <t>Herramienta Aurora (no es un producto real)</t>
        </is>
      </c>
      <c r="D1095" t="inlineStr">
        <is>
          <t>Adopcion</t>
        </is>
      </c>
      <c r="E1095" t="inlineStr">
        <is>
          <t>AD2</t>
        </is>
      </c>
      <c r="F1095" s="2" t="inlineStr">
        <is>
          <t>¿Ofrece guías, ownership o mecanismos de seguimiento para uso sostenido?</t>
        </is>
      </c>
      <c r="G1095" t="n">
        <v>2</v>
      </c>
      <c r="H1095" t="inlineStr">
        <is>
          <t>Sintético</t>
        </is>
      </c>
      <c r="I1095" s="2" t="inlineStr">
        <is>
          <t>Fixture de validación del motor de cálculo (sección 6 de metodologia-comparativa-borrador.md).</t>
        </is>
      </c>
      <c r="J1095" t="inlineStr">
        <is>
          <t>docs/fp-177/metodologia-comparativa-borrador.md</t>
        </is>
      </c>
      <c r="K1095" t="inlineStr">
        <is>
          <t>2026-09-16</t>
        </is>
      </c>
      <c r="L1095" s="2" t="inlineStr">
        <is>
          <t>Ambos indicadores del criterio se fijan al mismo valor de C_c del ejemplo; no representa evidencia real de ningún proveedor.</t>
        </is>
      </c>
    </row>
    <row r="1096">
      <c r="A1096" t="inlineStr">
        <is>
          <t>VALIDACION</t>
        </is>
      </c>
      <c r="B1096" t="inlineStr">
        <is>
          <t>Ejemplo sintético FP-177</t>
        </is>
      </c>
      <c r="C1096" t="inlineStr">
        <is>
          <t>Herramienta Aurora (no es un producto real)</t>
        </is>
      </c>
      <c r="D1096" t="inlineStr">
        <is>
          <t>Precio</t>
        </is>
      </c>
      <c r="E1096" t="inlineStr">
        <is>
          <t>P1</t>
        </is>
      </c>
      <c r="F1096" s="2" t="inlineStr">
        <is>
          <t>¿Expone precio, moneda, región, unidad, período y supuestos relevantes?</t>
        </is>
      </c>
      <c r="G1096" t="n">
        <v>1</v>
      </c>
      <c r="H1096" t="inlineStr">
        <is>
          <t>Sintético</t>
        </is>
      </c>
      <c r="I1096" s="2" t="inlineStr">
        <is>
          <t>Fixture de validación del motor de cálculo (sección 6 de metodologia-comparativa-borrador.md).</t>
        </is>
      </c>
      <c r="J1096" t="inlineStr">
        <is>
          <t>docs/fp-177/metodologia-comparativa-borrador.md</t>
        </is>
      </c>
      <c r="K1096" t="inlineStr">
        <is>
          <t>2026-09-16</t>
        </is>
      </c>
      <c r="L1096" s="2" t="inlineStr">
        <is>
          <t>Ambos indicadores del criterio se fijan al mismo valor de C_c del ejemplo; no representa evidencia real de ningún proveedor.</t>
        </is>
      </c>
    </row>
    <row r="1097">
      <c r="A1097" t="inlineStr">
        <is>
          <t>VALIDACION</t>
        </is>
      </c>
      <c r="B1097" t="inlineStr">
        <is>
          <t>Ejemplo sintético FP-177</t>
        </is>
      </c>
      <c r="C1097" t="inlineStr">
        <is>
          <t>Herramienta Aurora (no es un producto real)</t>
        </is>
      </c>
      <c r="D1097" t="inlineStr">
        <is>
          <t>Precio</t>
        </is>
      </c>
      <c r="E1097" t="inlineStr">
        <is>
          <t>P2</t>
        </is>
      </c>
      <c r="F1097" s="2" t="inlineStr">
        <is>
          <t>¿Permite estimar o comparar componentes sin ocultar límites de equivalencia?</t>
        </is>
      </c>
      <c r="G1097" t="n">
        <v>1</v>
      </c>
      <c r="H1097" t="inlineStr">
        <is>
          <t>Sintético</t>
        </is>
      </c>
      <c r="I1097" s="2" t="inlineStr">
        <is>
          <t>Fixture de validación del motor de cálculo (sección 6 de metodologia-comparativa-borrador.md).</t>
        </is>
      </c>
      <c r="J1097" t="inlineStr">
        <is>
          <t>docs/fp-177/metodologia-comparativa-borrador.md</t>
        </is>
      </c>
      <c r="K1097" t="inlineStr">
        <is>
          <t>2026-09-16</t>
        </is>
      </c>
      <c r="L1097" s="2" t="inlineStr">
        <is>
          <t>Ambos indicadores del criterio se fijan al mismo valor de C_c del ejemplo; no representa evidencia real de ningún proveedor.</t>
        </is>
      </c>
    </row>
    <row r="1098">
      <c r="A1098" t="inlineStr">
        <is>
          <t>VALIDACION</t>
        </is>
      </c>
      <c r="B1098" t="inlineStr">
        <is>
          <t>Ejemplo sintético FP-177</t>
        </is>
      </c>
      <c r="C1098" t="inlineStr">
        <is>
          <t>Herramienta Aurora (no es un producto real)</t>
        </is>
      </c>
      <c r="D1098" t="inlineStr">
        <is>
          <t>Dependencia</t>
        </is>
      </c>
      <c r="E1098" t="inlineStr">
        <is>
          <t>D1</t>
        </is>
      </c>
      <c r="F1098" s="2" t="inlineStr">
        <is>
          <t>¿Exporta datos/resultados en formato utilizable y documentado?</t>
        </is>
      </c>
      <c r="G1098" t="n">
        <v>2</v>
      </c>
      <c r="H1098" t="inlineStr">
        <is>
          <t>Sintético</t>
        </is>
      </c>
      <c r="I1098" s="2" t="inlineStr">
        <is>
          <t>Fixture de validación del motor de cálculo (sección 6 de metodologia-comparativa-borrador.md).</t>
        </is>
      </c>
      <c r="J1098" t="inlineStr">
        <is>
          <t>docs/fp-177/metodologia-comparativa-borrador.md</t>
        </is>
      </c>
      <c r="K1098" t="inlineStr">
        <is>
          <t>2026-09-16</t>
        </is>
      </c>
      <c r="L1098" s="2" t="inlineStr">
        <is>
          <t>Ambos indicadores del criterio se fijan al mismo valor de C_c del ejemplo; no representa evidencia real de ningún proveedor.</t>
        </is>
      </c>
    </row>
    <row r="1099">
      <c r="A1099" t="inlineStr">
        <is>
          <t>VALIDACION</t>
        </is>
      </c>
      <c r="B1099" t="inlineStr">
        <is>
          <t>Ejemplo sintético FP-177</t>
        </is>
      </c>
      <c r="C1099" t="inlineStr">
        <is>
          <t>Herramienta Aurora (no es un producto real)</t>
        </is>
      </c>
      <c r="D1099" t="inlineStr">
        <is>
          <t>Dependencia</t>
        </is>
      </c>
      <c r="E1099" t="inlineStr">
        <is>
          <t>D2</t>
        </is>
      </c>
      <c r="F1099" s="2" t="inlineStr">
        <is>
          <t>¿Documenta dependencias propietarias y un camino de salida/configuración reversible?</t>
        </is>
      </c>
      <c r="G1099" t="n">
        <v>2</v>
      </c>
      <c r="H1099" t="inlineStr">
        <is>
          <t>Sintético</t>
        </is>
      </c>
      <c r="I1099" s="2" t="inlineStr">
        <is>
          <t>Fixture de validación del motor de cálculo (sección 6 de metodologia-comparativa-borrador.md).</t>
        </is>
      </c>
      <c r="J1099" t="inlineStr">
        <is>
          <t>docs/fp-177/metodologia-comparativa-borrador.md</t>
        </is>
      </c>
      <c r="K1099" t="inlineStr">
        <is>
          <t>2026-09-16</t>
        </is>
      </c>
      <c r="L1099" s="2" t="inlineStr">
        <is>
          <t>Ambos indicadores del criterio se fijan al mismo valor de C_c del ejemplo; no representa evidencia real de ningún proveedor.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6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3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40" customWidth="1" min="37" max="37"/>
  </cols>
  <sheetData>
    <row r="1">
      <c r="A1" s="3" t="inlineStr">
        <is>
          <t>Escenario</t>
        </is>
      </c>
      <c r="B1" s="3" t="inlineStr">
        <is>
          <t>Categoria</t>
        </is>
      </c>
      <c r="C1" s="3" t="inlineStr">
        <is>
          <t>Producto</t>
        </is>
      </c>
      <c r="D1" s="3" t="inlineStr">
        <is>
          <t>Visibilidad - Aplicable</t>
        </is>
      </c>
      <c r="E1" s="3" t="inlineStr">
        <is>
          <t>Visibilidad - Evidenciado</t>
        </is>
      </c>
      <c r="F1" s="3" t="inlineStr">
        <is>
          <t>Visibilidad - C_c</t>
        </is>
      </c>
      <c r="G1" s="3" t="inlineStr">
        <is>
          <t>Asignación - Aplicable</t>
        </is>
      </c>
      <c r="H1" s="3" t="inlineStr">
        <is>
          <t>Asignación - Evidenciado</t>
        </is>
      </c>
      <c r="I1" s="3" t="inlineStr">
        <is>
          <t>Asignación - C_c</t>
        </is>
      </c>
      <c r="J1" s="3" t="inlineStr">
        <is>
          <t>Optimización - Aplicable</t>
        </is>
      </c>
      <c r="K1" s="3" t="inlineStr">
        <is>
          <t>Optimización - Evidenciado</t>
        </is>
      </c>
      <c r="L1" s="3" t="inlineStr">
        <is>
          <t>Optimización - C_c</t>
        </is>
      </c>
      <c r="M1" s="3" t="inlineStr">
        <is>
          <t>Automatización - Aplicable</t>
        </is>
      </c>
      <c r="N1" s="3" t="inlineStr">
        <is>
          <t>Automatización - Evidenciado</t>
        </is>
      </c>
      <c r="O1" s="3" t="inlineStr">
        <is>
          <t>Automatización - C_c</t>
        </is>
      </c>
      <c r="P1" s="3" t="inlineStr">
        <is>
          <t>Multicloud - Aplicable</t>
        </is>
      </c>
      <c r="Q1" s="3" t="inlineStr">
        <is>
          <t>Multicloud - Evidenciado</t>
        </is>
      </c>
      <c r="R1" s="3" t="inlineStr">
        <is>
          <t>Multicloud - C_c</t>
        </is>
      </c>
      <c r="S1" s="3" t="inlineStr">
        <is>
          <t>Integración - Aplicable</t>
        </is>
      </c>
      <c r="T1" s="3" t="inlineStr">
        <is>
          <t>Integración - Evidenciado</t>
        </is>
      </c>
      <c r="U1" s="3" t="inlineStr">
        <is>
          <t>Integración - C_c</t>
        </is>
      </c>
      <c r="V1" s="3" t="inlineStr">
        <is>
          <t>Adopción - Aplicable</t>
        </is>
      </c>
      <c r="W1" s="3" t="inlineStr">
        <is>
          <t>Adopción - Evidenciado</t>
        </is>
      </c>
      <c r="X1" s="3" t="inlineStr">
        <is>
          <t>Adopción - C_c</t>
        </is>
      </c>
      <c r="Y1" s="3" t="inlineStr">
        <is>
          <t>Precio - Aplicable</t>
        </is>
      </c>
      <c r="Z1" s="3" t="inlineStr">
        <is>
          <t>Precio - Evidenciado</t>
        </is>
      </c>
      <c r="AA1" s="3" t="inlineStr">
        <is>
          <t>Precio - C_c</t>
        </is>
      </c>
      <c r="AB1" s="3" t="inlineStr">
        <is>
          <t>Dependencia - Aplicable</t>
        </is>
      </c>
      <c r="AC1" s="3" t="inlineStr">
        <is>
          <t>Dependencia - Evidenciado</t>
        </is>
      </c>
      <c r="AD1" s="3" t="inlineStr">
        <is>
          <t>Dependencia - C_c</t>
        </is>
      </c>
      <c r="AE1" s="3" t="inlineStr">
        <is>
          <t>Cobertura base (%)</t>
        </is>
      </c>
      <c r="AF1" s="3" t="inlineStr">
        <is>
          <t>Cobertura sensibilidad (%)</t>
        </is>
      </c>
      <c r="AG1" s="3" t="inlineStr">
        <is>
          <t>S linea base (0-100)</t>
        </is>
      </c>
      <c r="AH1" s="3" t="inlineStr">
        <is>
          <t>S sensibilidad (0-100)</t>
        </is>
      </c>
      <c r="AI1" s="3" t="inlineStr">
        <is>
          <t>Banda linea base</t>
        </is>
      </c>
      <c r="AJ1" s="3" t="inlineStr">
        <is>
          <t>Banda sensibilidad</t>
        </is>
      </c>
      <c r="AK1" s="3" t="inlineStr">
        <is>
          <t>Criterios criticos incumplidos (C_c&lt;1)</t>
        </is>
      </c>
    </row>
    <row r="2">
      <c r="A2" t="inlineStr">
        <is>
          <t>E1</t>
        </is>
      </c>
      <c r="B2" t="inlineStr">
        <is>
          <t>Cloud nativa</t>
        </is>
      </c>
      <c r="C2" t="inlineStr">
        <is>
          <t>AWS Cost Explorer</t>
        </is>
      </c>
      <c r="D2">
        <f>IF(COUNTIFS(Puntuacion!$A:$A,$A2,Puntuacion!$C:$C,$C2,Puntuacion!$D:$D,"Visibilidad",Puntuacion!$G:$G,"&lt;&gt;NA")&gt;0,1,0)</f>
        <v/>
      </c>
      <c r="E2">
        <f>IF(AND(D2=1,COUNTIFS(Puntuacion!$A:$A,$A2,Puntuacion!$C:$C,$C2,Puntuacion!$D:$D,"Visibilidad",Puntuacion!$G:$G,"NE")=0),1,0)</f>
        <v/>
      </c>
      <c r="F2" s="5">
        <f>IF(D2=0,"NA",IF(E2=0,"NE",AVERAGEIFS(Puntuacion!$G:$G,Puntuacion!$A:$A,$A2,Puntuacion!$C:$C,$C2,Puntuacion!$D:$D,"Visibilidad",Puntuacion!$G:$G,"&lt;&gt;NA",Puntuacion!$G:$G,"&lt;&gt;NE")))</f>
        <v/>
      </c>
      <c r="G2">
        <f>IF(COUNTIFS(Puntuacion!$A:$A,$A2,Puntuacion!$C:$C,$C2,Puntuacion!$D:$D,"Asignacion",Puntuacion!$G:$G,"&lt;&gt;NA")&gt;0,1,0)</f>
        <v/>
      </c>
      <c r="H2">
        <f>IF(AND(G2=1,COUNTIFS(Puntuacion!$A:$A,$A2,Puntuacion!$C:$C,$C2,Puntuacion!$D:$D,"Asignacion",Puntuacion!$G:$G,"NE")=0),1,0)</f>
        <v/>
      </c>
      <c r="I2" s="5">
        <f>IF(G2=0,"NA",IF(H2=0,"NE",AVERAGEIFS(Puntuacion!$G:$G,Puntuacion!$A:$A,$A2,Puntuacion!$C:$C,$C2,Puntuacion!$D:$D,"Asignacion",Puntuacion!$G:$G,"&lt;&gt;NA",Puntuacion!$G:$G,"&lt;&gt;NE")))</f>
        <v/>
      </c>
      <c r="J2">
        <f>IF(COUNTIFS(Puntuacion!$A:$A,$A2,Puntuacion!$C:$C,$C2,Puntuacion!$D:$D,"Optimizacion",Puntuacion!$G:$G,"&lt;&gt;NA")&gt;0,1,0)</f>
        <v/>
      </c>
      <c r="K2">
        <f>IF(AND(J2=1,COUNTIFS(Puntuacion!$A:$A,$A2,Puntuacion!$C:$C,$C2,Puntuacion!$D:$D,"Optimizacion",Puntuacion!$G:$G,"NE")=0),1,0)</f>
        <v/>
      </c>
      <c r="L2" s="5">
        <f>IF(J2=0,"NA",IF(K2=0,"NE",AVERAGEIFS(Puntuacion!$G:$G,Puntuacion!$A:$A,$A2,Puntuacion!$C:$C,$C2,Puntuacion!$D:$D,"Optimizacion",Puntuacion!$G:$G,"&lt;&gt;NA",Puntuacion!$G:$G,"&lt;&gt;NE")))</f>
        <v/>
      </c>
      <c r="M2">
        <f>IF(COUNTIFS(Puntuacion!$A:$A,$A2,Puntuacion!$C:$C,$C2,Puntuacion!$D:$D,"Automatizacion",Puntuacion!$G:$G,"&lt;&gt;NA")&gt;0,1,0)</f>
        <v/>
      </c>
      <c r="N2">
        <f>IF(AND(M2=1,COUNTIFS(Puntuacion!$A:$A,$A2,Puntuacion!$C:$C,$C2,Puntuacion!$D:$D,"Automatizacion",Puntuacion!$G:$G,"NE")=0),1,0)</f>
        <v/>
      </c>
      <c r="O2" s="5">
        <f>IF(M2=0,"NA",IF(N2=0,"NE",AVERAGEIFS(Puntuacion!$G:$G,Puntuacion!$A:$A,$A2,Puntuacion!$C:$C,$C2,Puntuacion!$D:$D,"Automatizacion",Puntuacion!$G:$G,"&lt;&gt;NA",Puntuacion!$G:$G,"&lt;&gt;NE")))</f>
        <v/>
      </c>
      <c r="P2">
        <f>IF(COUNTIFS(Puntuacion!$A:$A,$A2,Puntuacion!$C:$C,$C2,Puntuacion!$D:$D,"Multicloud",Puntuacion!$G:$G,"&lt;&gt;NA")&gt;0,1,0)</f>
        <v/>
      </c>
      <c r="Q2">
        <f>IF(AND(P2=1,COUNTIFS(Puntuacion!$A:$A,$A2,Puntuacion!$C:$C,$C2,Puntuacion!$D:$D,"Multicloud",Puntuacion!$G:$G,"NE")=0),1,0)</f>
        <v/>
      </c>
      <c r="R2" s="5">
        <f>IF(P2=0,"NA",IF(Q2=0,"NE",AVERAGEIFS(Puntuacion!$G:$G,Puntuacion!$A:$A,$A2,Puntuacion!$C:$C,$C2,Puntuacion!$D:$D,"Multicloud",Puntuacion!$G:$G,"&lt;&gt;NA",Puntuacion!$G:$G,"&lt;&gt;NE")))</f>
        <v/>
      </c>
      <c r="S2">
        <f>IF(COUNTIFS(Puntuacion!$A:$A,$A2,Puntuacion!$C:$C,$C2,Puntuacion!$D:$D,"Integracion",Puntuacion!$G:$G,"&lt;&gt;NA")&gt;0,1,0)</f>
        <v/>
      </c>
      <c r="T2">
        <f>IF(AND(S2=1,COUNTIFS(Puntuacion!$A:$A,$A2,Puntuacion!$C:$C,$C2,Puntuacion!$D:$D,"Integracion",Puntuacion!$G:$G,"NE")=0),1,0)</f>
        <v/>
      </c>
      <c r="U2" s="5">
        <f>IF(S2=0,"NA",IF(T2=0,"NE",AVERAGEIFS(Puntuacion!$G:$G,Puntuacion!$A:$A,$A2,Puntuacion!$C:$C,$C2,Puntuacion!$D:$D,"Integracion",Puntuacion!$G:$G,"&lt;&gt;NA",Puntuacion!$G:$G,"&lt;&gt;NE")))</f>
        <v/>
      </c>
      <c r="V2">
        <f>IF(COUNTIFS(Puntuacion!$A:$A,$A2,Puntuacion!$C:$C,$C2,Puntuacion!$D:$D,"Adopcion",Puntuacion!$G:$G,"&lt;&gt;NA")&gt;0,1,0)</f>
        <v/>
      </c>
      <c r="W2">
        <f>IF(AND(V2=1,COUNTIFS(Puntuacion!$A:$A,$A2,Puntuacion!$C:$C,$C2,Puntuacion!$D:$D,"Adopcion",Puntuacion!$G:$G,"NE")=0),1,0)</f>
        <v/>
      </c>
      <c r="X2" s="5">
        <f>IF(V2=0,"NA",IF(W2=0,"NE",AVERAGEIFS(Puntuacion!$G:$G,Puntuacion!$A:$A,$A2,Puntuacion!$C:$C,$C2,Puntuacion!$D:$D,"Adopcion",Puntuacion!$G:$G,"&lt;&gt;NA",Puntuacion!$G:$G,"&lt;&gt;NE")))</f>
        <v/>
      </c>
      <c r="Y2">
        <f>IF(COUNTIFS(Puntuacion!$A:$A,$A2,Puntuacion!$C:$C,$C2,Puntuacion!$D:$D,"Precio",Puntuacion!$G:$G,"&lt;&gt;NA")&gt;0,1,0)</f>
        <v/>
      </c>
      <c r="Z2">
        <f>IF(AND(Y2=1,COUNTIFS(Puntuacion!$A:$A,$A2,Puntuacion!$C:$C,$C2,Puntuacion!$D:$D,"Precio",Puntuacion!$G:$G,"NE")=0),1,0)</f>
        <v/>
      </c>
      <c r="AA2" s="5">
        <f>IF(Y2=0,"NA",IF(Z2=0,"NE",AVERAGEIFS(Puntuacion!$G:$G,Puntuacion!$A:$A,$A2,Puntuacion!$C:$C,$C2,Puntuacion!$D:$D,"Precio",Puntuacion!$G:$G,"&lt;&gt;NA",Puntuacion!$G:$G,"&lt;&gt;NE")))</f>
        <v/>
      </c>
      <c r="AB2">
        <f>IF(COUNTIFS(Puntuacion!$A:$A,$A2,Puntuacion!$C:$C,$C2,Puntuacion!$D:$D,"Dependencia",Puntuacion!$G:$G,"&lt;&gt;NA")&gt;0,1,0)</f>
        <v/>
      </c>
      <c r="AC2">
        <f>IF(AND(AB2=1,COUNTIFS(Puntuacion!$A:$A,$A2,Puntuacion!$C:$C,$C2,Puntuacion!$D:$D,"Dependencia",Puntuacion!$G:$G,"NE")=0),1,0)</f>
        <v/>
      </c>
      <c r="AD2" s="5">
        <f>IF(AB2=0,"NA",IF(AC2=0,"NE",AVERAGEIFS(Puntuacion!$G:$G,Puntuacion!$A:$A,$A2,Puntuacion!$C:$C,$C2,Puntuacion!$D:$D,"Dependencia",Puntuacion!$G:$G,"&lt;&gt;NA",Puntuacion!$G:$G,"&lt;&gt;NE")))</f>
        <v/>
      </c>
      <c r="AE2" s="5">
        <f>IFERROR(100*(E2*Pesos!$B$2+H2*Pesos!$B$3+K2*Pesos!$B$4+N2*Pesos!$B$5+Q2*Pesos!$B$6+T2*Pesos!$B$7+W2*Pesos!$B$8+Z2*Pesos!$B$9+AC2*Pesos!$B$10)/(D2*Pesos!$B$2+G2*Pesos!$B$3+J2*Pesos!$B$4+M2*Pesos!$B$5+P2*Pesos!$B$6+S2*Pesos!$B$7+V2*Pesos!$B$8+Y2*Pesos!$B$9+AB2*Pesos!$B$10),"Sin criterios aplicables")</f>
        <v/>
      </c>
      <c r="AF2" s="5">
        <f>IFERROR(100*(E2*Pesos!$C$2+H2*Pesos!$C$3+K2*Pesos!$C$4+N2*Pesos!$C$5+Q2*Pesos!$C$6+T2*Pesos!$C$7+W2*Pesos!$C$8+Z2*Pesos!$C$9+AC2*Pesos!$C$10)/(D2*Pesos!$C$2+G2*Pesos!$C$3+J2*Pesos!$C$4+M2*Pesos!$C$5+P2*Pesos!$C$6+S2*Pesos!$C$7+V2*Pesos!$C$8+Y2*Pesos!$C$9+AB2*Pesos!$C$10),"Sin criterios aplicables")</f>
        <v/>
      </c>
      <c r="AG2" s="5">
        <f>IF(OR(AE2="Sin criterios aplicables",AE2&lt;70),"Insufficient evidence",100*(Pesos!$B$2*IF(E2=1,F2,0)+Pesos!$B$3*IF(H2=1,I2,0)+Pesos!$B$4*IF(K2=1,L2,0)+Pesos!$B$5*IF(N2=1,O2,0)+Pesos!$B$6*IF(Q2=1,R2,0)+Pesos!$B$7*IF(T2=1,U2,0)+Pesos!$B$8*IF(W2=1,X2,0)+Pesos!$B$9*IF(Z2=1,AA2,0)+Pesos!$B$10*IF(AC2=1,AD2,0))/(3*(Pesos!$B$2*E2+Pesos!$B$3*H2+Pesos!$B$4*K2+Pesos!$B$5*N2+Pesos!$B$6*Q2+Pesos!$B$7*T2+Pesos!$B$8*W2+Pesos!$B$9*Z2+Pesos!$B$10*AC2)))</f>
        <v/>
      </c>
      <c r="AH2" s="5">
        <f>IF(OR(AF2="Sin criterios aplicables",AF2&lt;70),"Insufficient evidence",100*(Pesos!$C$2*IF(E2=1,F2,0)+Pesos!$C$3*IF(H2=1,I2,0)+Pesos!$C$4*IF(K2=1,L2,0)+Pesos!$C$5*IF(N2=1,O2,0)+Pesos!$C$6*IF(Q2=1,R2,0)+Pesos!$C$7*IF(T2=1,U2,0)+Pesos!$C$8*IF(W2=1,X2,0)+Pesos!$C$9*IF(Z2=1,AA2,0)+Pesos!$C$10*IF(AC2=1,AD2,0))/(3*(Pesos!$C$2*E2+Pesos!$C$3*H2+Pesos!$C$4*K2+Pesos!$C$5*N2+Pesos!$C$6*Q2+Pesos!$C$7*T2+Pesos!$C$8*W2+Pesos!$C$9*Z2+Pesos!$C$10*AC2)))</f>
        <v/>
      </c>
      <c r="AI2">
        <f>IF(AG2="Insufficient evidence","Insufficient evidence (cobertura&lt;70%)",IF(AG2&lt;50/3,"Insufficient",IF(AG2&lt;50,"Basic",IF(AG2&lt;250/3,"Solid","Advanced"))))</f>
        <v/>
      </c>
      <c r="AJ2">
        <f>IF(AH2="Insufficient evidence","Insufficient evidence (cobertura&lt;70%)",IF(AH2&lt;50/3,"Insufficient",IF(AH2&lt;50,"Basic",IF(AH2&lt;250/3,"Solid","Advanced"))))</f>
        <v/>
      </c>
      <c r="AK2">
        <f>IF(TRIM(IF(AND(ISNUMBER(F2),F2&lt;1),"Visibilidad","") &amp; " " &amp; IF(AND(ISNUMBER(I2),I2&lt;1),"Asignación",""))="","Ninguno",TRIM(IF(AND(ISNUMBER(F2),F2&lt;1),"Visibilidad","") &amp; " " &amp; IF(AND(ISNUMBER(I2),I2&lt;1),"Asignación","")))</f>
        <v/>
      </c>
    </row>
    <row r="3">
      <c r="A3" t="inlineStr">
        <is>
          <t>E1</t>
        </is>
      </c>
      <c r="B3" t="inlineStr">
        <is>
          <t>Cloud nativa</t>
        </is>
      </c>
      <c r="C3" t="inlineStr">
        <is>
          <t>AWS Cost Optimization Hub</t>
        </is>
      </c>
      <c r="D3">
        <f>IF(COUNTIFS(Puntuacion!$A:$A,$A3,Puntuacion!$C:$C,$C3,Puntuacion!$D:$D,"Visibilidad",Puntuacion!$G:$G,"&lt;&gt;NA")&gt;0,1,0)</f>
        <v/>
      </c>
      <c r="E3">
        <f>IF(AND(D3=1,COUNTIFS(Puntuacion!$A:$A,$A3,Puntuacion!$C:$C,$C3,Puntuacion!$D:$D,"Visibilidad",Puntuacion!$G:$G,"NE")=0),1,0)</f>
        <v/>
      </c>
      <c r="F3" s="5">
        <f>IF(D3=0,"NA",IF(E3=0,"NE",AVERAGEIFS(Puntuacion!$G:$G,Puntuacion!$A:$A,$A3,Puntuacion!$C:$C,$C3,Puntuacion!$D:$D,"Visibilidad",Puntuacion!$G:$G,"&lt;&gt;NA",Puntuacion!$G:$G,"&lt;&gt;NE")))</f>
        <v/>
      </c>
      <c r="G3">
        <f>IF(COUNTIFS(Puntuacion!$A:$A,$A3,Puntuacion!$C:$C,$C3,Puntuacion!$D:$D,"Asignacion",Puntuacion!$G:$G,"&lt;&gt;NA")&gt;0,1,0)</f>
        <v/>
      </c>
      <c r="H3">
        <f>IF(AND(G3=1,COUNTIFS(Puntuacion!$A:$A,$A3,Puntuacion!$C:$C,$C3,Puntuacion!$D:$D,"Asignacion",Puntuacion!$G:$G,"NE")=0),1,0)</f>
        <v/>
      </c>
      <c r="I3" s="5">
        <f>IF(G3=0,"NA",IF(H3=0,"NE",AVERAGEIFS(Puntuacion!$G:$G,Puntuacion!$A:$A,$A3,Puntuacion!$C:$C,$C3,Puntuacion!$D:$D,"Asignacion",Puntuacion!$G:$G,"&lt;&gt;NA",Puntuacion!$G:$G,"&lt;&gt;NE")))</f>
        <v/>
      </c>
      <c r="J3">
        <f>IF(COUNTIFS(Puntuacion!$A:$A,$A3,Puntuacion!$C:$C,$C3,Puntuacion!$D:$D,"Optimizacion",Puntuacion!$G:$G,"&lt;&gt;NA")&gt;0,1,0)</f>
        <v/>
      </c>
      <c r="K3">
        <f>IF(AND(J3=1,COUNTIFS(Puntuacion!$A:$A,$A3,Puntuacion!$C:$C,$C3,Puntuacion!$D:$D,"Optimizacion",Puntuacion!$G:$G,"NE")=0),1,0)</f>
        <v/>
      </c>
      <c r="L3" s="5">
        <f>IF(J3=0,"NA",IF(K3=0,"NE",AVERAGEIFS(Puntuacion!$G:$G,Puntuacion!$A:$A,$A3,Puntuacion!$C:$C,$C3,Puntuacion!$D:$D,"Optimizacion",Puntuacion!$G:$G,"&lt;&gt;NA",Puntuacion!$G:$G,"&lt;&gt;NE")))</f>
        <v/>
      </c>
      <c r="M3">
        <f>IF(COUNTIFS(Puntuacion!$A:$A,$A3,Puntuacion!$C:$C,$C3,Puntuacion!$D:$D,"Automatizacion",Puntuacion!$G:$G,"&lt;&gt;NA")&gt;0,1,0)</f>
        <v/>
      </c>
      <c r="N3">
        <f>IF(AND(M3=1,COUNTIFS(Puntuacion!$A:$A,$A3,Puntuacion!$C:$C,$C3,Puntuacion!$D:$D,"Automatizacion",Puntuacion!$G:$G,"NE")=0),1,0)</f>
        <v/>
      </c>
      <c r="O3" s="5">
        <f>IF(M3=0,"NA",IF(N3=0,"NE",AVERAGEIFS(Puntuacion!$G:$G,Puntuacion!$A:$A,$A3,Puntuacion!$C:$C,$C3,Puntuacion!$D:$D,"Automatizacion",Puntuacion!$G:$G,"&lt;&gt;NA",Puntuacion!$G:$G,"&lt;&gt;NE")))</f>
        <v/>
      </c>
      <c r="P3">
        <f>IF(COUNTIFS(Puntuacion!$A:$A,$A3,Puntuacion!$C:$C,$C3,Puntuacion!$D:$D,"Multicloud",Puntuacion!$G:$G,"&lt;&gt;NA")&gt;0,1,0)</f>
        <v/>
      </c>
      <c r="Q3">
        <f>IF(AND(P3=1,COUNTIFS(Puntuacion!$A:$A,$A3,Puntuacion!$C:$C,$C3,Puntuacion!$D:$D,"Multicloud",Puntuacion!$G:$G,"NE")=0),1,0)</f>
        <v/>
      </c>
      <c r="R3" s="5">
        <f>IF(P3=0,"NA",IF(Q3=0,"NE",AVERAGEIFS(Puntuacion!$G:$G,Puntuacion!$A:$A,$A3,Puntuacion!$C:$C,$C3,Puntuacion!$D:$D,"Multicloud",Puntuacion!$G:$G,"&lt;&gt;NA",Puntuacion!$G:$G,"&lt;&gt;NE")))</f>
        <v/>
      </c>
      <c r="S3">
        <f>IF(COUNTIFS(Puntuacion!$A:$A,$A3,Puntuacion!$C:$C,$C3,Puntuacion!$D:$D,"Integracion",Puntuacion!$G:$G,"&lt;&gt;NA")&gt;0,1,0)</f>
        <v/>
      </c>
      <c r="T3">
        <f>IF(AND(S3=1,COUNTIFS(Puntuacion!$A:$A,$A3,Puntuacion!$C:$C,$C3,Puntuacion!$D:$D,"Integracion",Puntuacion!$G:$G,"NE")=0),1,0)</f>
        <v/>
      </c>
      <c r="U3" s="5">
        <f>IF(S3=0,"NA",IF(T3=0,"NE",AVERAGEIFS(Puntuacion!$G:$G,Puntuacion!$A:$A,$A3,Puntuacion!$C:$C,$C3,Puntuacion!$D:$D,"Integracion",Puntuacion!$G:$G,"&lt;&gt;NA",Puntuacion!$G:$G,"&lt;&gt;NE")))</f>
        <v/>
      </c>
      <c r="V3">
        <f>IF(COUNTIFS(Puntuacion!$A:$A,$A3,Puntuacion!$C:$C,$C3,Puntuacion!$D:$D,"Adopcion",Puntuacion!$G:$G,"&lt;&gt;NA")&gt;0,1,0)</f>
        <v/>
      </c>
      <c r="W3">
        <f>IF(AND(V3=1,COUNTIFS(Puntuacion!$A:$A,$A3,Puntuacion!$C:$C,$C3,Puntuacion!$D:$D,"Adopcion",Puntuacion!$G:$G,"NE")=0),1,0)</f>
        <v/>
      </c>
      <c r="X3" s="5">
        <f>IF(V3=0,"NA",IF(W3=0,"NE",AVERAGEIFS(Puntuacion!$G:$G,Puntuacion!$A:$A,$A3,Puntuacion!$C:$C,$C3,Puntuacion!$D:$D,"Adopcion",Puntuacion!$G:$G,"&lt;&gt;NA",Puntuacion!$G:$G,"&lt;&gt;NE")))</f>
        <v/>
      </c>
      <c r="Y3">
        <f>IF(COUNTIFS(Puntuacion!$A:$A,$A3,Puntuacion!$C:$C,$C3,Puntuacion!$D:$D,"Precio",Puntuacion!$G:$G,"&lt;&gt;NA")&gt;0,1,0)</f>
        <v/>
      </c>
      <c r="Z3">
        <f>IF(AND(Y3=1,COUNTIFS(Puntuacion!$A:$A,$A3,Puntuacion!$C:$C,$C3,Puntuacion!$D:$D,"Precio",Puntuacion!$G:$G,"NE")=0),1,0)</f>
        <v/>
      </c>
      <c r="AA3" s="5">
        <f>IF(Y3=0,"NA",IF(Z3=0,"NE",AVERAGEIFS(Puntuacion!$G:$G,Puntuacion!$A:$A,$A3,Puntuacion!$C:$C,$C3,Puntuacion!$D:$D,"Precio",Puntuacion!$G:$G,"&lt;&gt;NA",Puntuacion!$G:$G,"&lt;&gt;NE")))</f>
        <v/>
      </c>
      <c r="AB3">
        <f>IF(COUNTIFS(Puntuacion!$A:$A,$A3,Puntuacion!$C:$C,$C3,Puntuacion!$D:$D,"Dependencia",Puntuacion!$G:$G,"&lt;&gt;NA")&gt;0,1,0)</f>
        <v/>
      </c>
      <c r="AC3">
        <f>IF(AND(AB3=1,COUNTIFS(Puntuacion!$A:$A,$A3,Puntuacion!$C:$C,$C3,Puntuacion!$D:$D,"Dependencia",Puntuacion!$G:$G,"NE")=0),1,0)</f>
        <v/>
      </c>
      <c r="AD3" s="5">
        <f>IF(AB3=0,"NA",IF(AC3=0,"NE",AVERAGEIFS(Puntuacion!$G:$G,Puntuacion!$A:$A,$A3,Puntuacion!$C:$C,$C3,Puntuacion!$D:$D,"Dependencia",Puntuacion!$G:$G,"&lt;&gt;NA",Puntuacion!$G:$G,"&lt;&gt;NE")))</f>
        <v/>
      </c>
      <c r="AE3" s="5">
        <f>IFERROR(100*(E3*Pesos!$B$2+H3*Pesos!$B$3+K3*Pesos!$B$4+N3*Pesos!$B$5+Q3*Pesos!$B$6+T3*Pesos!$B$7+W3*Pesos!$B$8+Z3*Pesos!$B$9+AC3*Pesos!$B$10)/(D3*Pesos!$B$2+G3*Pesos!$B$3+J3*Pesos!$B$4+M3*Pesos!$B$5+P3*Pesos!$B$6+S3*Pesos!$B$7+V3*Pesos!$B$8+Y3*Pesos!$B$9+AB3*Pesos!$B$10),"Sin criterios aplicables")</f>
        <v/>
      </c>
      <c r="AF3" s="5">
        <f>IFERROR(100*(E3*Pesos!$C$2+H3*Pesos!$C$3+K3*Pesos!$C$4+N3*Pesos!$C$5+Q3*Pesos!$C$6+T3*Pesos!$C$7+W3*Pesos!$C$8+Z3*Pesos!$C$9+AC3*Pesos!$C$10)/(D3*Pesos!$C$2+G3*Pesos!$C$3+J3*Pesos!$C$4+M3*Pesos!$C$5+P3*Pesos!$C$6+S3*Pesos!$C$7+V3*Pesos!$C$8+Y3*Pesos!$C$9+AB3*Pesos!$C$10),"Sin criterios aplicables")</f>
        <v/>
      </c>
      <c r="AG3" s="5">
        <f>IF(OR(AE3="Sin criterios aplicables",AE3&lt;70),"Insufficient evidence",100*(Pesos!$B$2*IF(E3=1,F3,0)+Pesos!$B$3*IF(H3=1,I3,0)+Pesos!$B$4*IF(K3=1,L3,0)+Pesos!$B$5*IF(N3=1,O3,0)+Pesos!$B$6*IF(Q3=1,R3,0)+Pesos!$B$7*IF(T3=1,U3,0)+Pesos!$B$8*IF(W3=1,X3,0)+Pesos!$B$9*IF(Z3=1,AA3,0)+Pesos!$B$10*IF(AC3=1,AD3,0))/(3*(Pesos!$B$2*E3+Pesos!$B$3*H3+Pesos!$B$4*K3+Pesos!$B$5*N3+Pesos!$B$6*Q3+Pesos!$B$7*T3+Pesos!$B$8*W3+Pesos!$B$9*Z3+Pesos!$B$10*AC3)))</f>
        <v/>
      </c>
      <c r="AH3" s="5">
        <f>IF(OR(AF3="Sin criterios aplicables",AF3&lt;70),"Insufficient evidence",100*(Pesos!$C$2*IF(E3=1,F3,0)+Pesos!$C$3*IF(H3=1,I3,0)+Pesos!$C$4*IF(K3=1,L3,0)+Pesos!$C$5*IF(N3=1,O3,0)+Pesos!$C$6*IF(Q3=1,R3,0)+Pesos!$C$7*IF(T3=1,U3,0)+Pesos!$C$8*IF(W3=1,X3,0)+Pesos!$C$9*IF(Z3=1,AA3,0)+Pesos!$C$10*IF(AC3=1,AD3,0))/(3*(Pesos!$C$2*E3+Pesos!$C$3*H3+Pesos!$C$4*K3+Pesos!$C$5*N3+Pesos!$C$6*Q3+Pesos!$C$7*T3+Pesos!$C$8*W3+Pesos!$C$9*Z3+Pesos!$C$10*AC3)))</f>
        <v/>
      </c>
      <c r="AI3">
        <f>IF(AG3="Insufficient evidence","Insufficient evidence (cobertura&lt;70%)",IF(AG3&lt;50/3,"Insufficient",IF(AG3&lt;50,"Basic",IF(AG3&lt;250/3,"Solid","Advanced"))))</f>
        <v/>
      </c>
      <c r="AJ3">
        <f>IF(AH3="Insufficient evidence","Insufficient evidence (cobertura&lt;70%)",IF(AH3&lt;50/3,"Insufficient",IF(AH3&lt;50,"Basic",IF(AH3&lt;250/3,"Solid","Advanced"))))</f>
        <v/>
      </c>
      <c r="AK3">
        <f>IF(TRIM(IF(AND(ISNUMBER(F3),F3&lt;1),"Visibilidad","") &amp; " " &amp; IF(AND(ISNUMBER(I3),I3&lt;1),"Asignación",""))="","Ninguno",TRIM(IF(AND(ISNUMBER(F3),F3&lt;1),"Visibilidad","") &amp; " " &amp; IF(AND(ISNUMBER(I3),I3&lt;1),"Asignación","")))</f>
        <v/>
      </c>
    </row>
    <row r="4">
      <c r="A4" t="inlineStr">
        <is>
          <t>E1</t>
        </is>
      </c>
      <c r="B4" t="inlineStr">
        <is>
          <t>Cloud nativa</t>
        </is>
      </c>
      <c r="C4" t="inlineStr">
        <is>
          <t>Azure Cost Management</t>
        </is>
      </c>
      <c r="D4">
        <f>IF(COUNTIFS(Puntuacion!$A:$A,$A4,Puntuacion!$C:$C,$C4,Puntuacion!$D:$D,"Visibilidad",Puntuacion!$G:$G,"&lt;&gt;NA")&gt;0,1,0)</f>
        <v/>
      </c>
      <c r="E4">
        <f>IF(AND(D4=1,COUNTIFS(Puntuacion!$A:$A,$A4,Puntuacion!$C:$C,$C4,Puntuacion!$D:$D,"Visibilidad",Puntuacion!$G:$G,"NE")=0),1,0)</f>
        <v/>
      </c>
      <c r="F4" s="5">
        <f>IF(D4=0,"NA",IF(E4=0,"NE",AVERAGEIFS(Puntuacion!$G:$G,Puntuacion!$A:$A,$A4,Puntuacion!$C:$C,$C4,Puntuacion!$D:$D,"Visibilidad",Puntuacion!$G:$G,"&lt;&gt;NA",Puntuacion!$G:$G,"&lt;&gt;NE")))</f>
        <v/>
      </c>
      <c r="G4">
        <f>IF(COUNTIFS(Puntuacion!$A:$A,$A4,Puntuacion!$C:$C,$C4,Puntuacion!$D:$D,"Asignacion",Puntuacion!$G:$G,"&lt;&gt;NA")&gt;0,1,0)</f>
        <v/>
      </c>
      <c r="H4">
        <f>IF(AND(G4=1,COUNTIFS(Puntuacion!$A:$A,$A4,Puntuacion!$C:$C,$C4,Puntuacion!$D:$D,"Asignacion",Puntuacion!$G:$G,"NE")=0),1,0)</f>
        <v/>
      </c>
      <c r="I4" s="5">
        <f>IF(G4=0,"NA",IF(H4=0,"NE",AVERAGEIFS(Puntuacion!$G:$G,Puntuacion!$A:$A,$A4,Puntuacion!$C:$C,$C4,Puntuacion!$D:$D,"Asignacion",Puntuacion!$G:$G,"&lt;&gt;NA",Puntuacion!$G:$G,"&lt;&gt;NE")))</f>
        <v/>
      </c>
      <c r="J4">
        <f>IF(COUNTIFS(Puntuacion!$A:$A,$A4,Puntuacion!$C:$C,$C4,Puntuacion!$D:$D,"Optimizacion",Puntuacion!$G:$G,"&lt;&gt;NA")&gt;0,1,0)</f>
        <v/>
      </c>
      <c r="K4">
        <f>IF(AND(J4=1,COUNTIFS(Puntuacion!$A:$A,$A4,Puntuacion!$C:$C,$C4,Puntuacion!$D:$D,"Optimizacion",Puntuacion!$G:$G,"NE")=0),1,0)</f>
        <v/>
      </c>
      <c r="L4" s="5">
        <f>IF(J4=0,"NA",IF(K4=0,"NE",AVERAGEIFS(Puntuacion!$G:$G,Puntuacion!$A:$A,$A4,Puntuacion!$C:$C,$C4,Puntuacion!$D:$D,"Optimizacion",Puntuacion!$G:$G,"&lt;&gt;NA",Puntuacion!$G:$G,"&lt;&gt;NE")))</f>
        <v/>
      </c>
      <c r="M4">
        <f>IF(COUNTIFS(Puntuacion!$A:$A,$A4,Puntuacion!$C:$C,$C4,Puntuacion!$D:$D,"Automatizacion",Puntuacion!$G:$G,"&lt;&gt;NA")&gt;0,1,0)</f>
        <v/>
      </c>
      <c r="N4">
        <f>IF(AND(M4=1,COUNTIFS(Puntuacion!$A:$A,$A4,Puntuacion!$C:$C,$C4,Puntuacion!$D:$D,"Automatizacion",Puntuacion!$G:$G,"NE")=0),1,0)</f>
        <v/>
      </c>
      <c r="O4" s="5">
        <f>IF(M4=0,"NA",IF(N4=0,"NE",AVERAGEIFS(Puntuacion!$G:$G,Puntuacion!$A:$A,$A4,Puntuacion!$C:$C,$C4,Puntuacion!$D:$D,"Automatizacion",Puntuacion!$G:$G,"&lt;&gt;NA",Puntuacion!$G:$G,"&lt;&gt;NE")))</f>
        <v/>
      </c>
      <c r="P4">
        <f>IF(COUNTIFS(Puntuacion!$A:$A,$A4,Puntuacion!$C:$C,$C4,Puntuacion!$D:$D,"Multicloud",Puntuacion!$G:$G,"&lt;&gt;NA")&gt;0,1,0)</f>
        <v/>
      </c>
      <c r="Q4">
        <f>IF(AND(P4=1,COUNTIFS(Puntuacion!$A:$A,$A4,Puntuacion!$C:$C,$C4,Puntuacion!$D:$D,"Multicloud",Puntuacion!$G:$G,"NE")=0),1,0)</f>
        <v/>
      </c>
      <c r="R4" s="5">
        <f>IF(P4=0,"NA",IF(Q4=0,"NE",AVERAGEIFS(Puntuacion!$G:$G,Puntuacion!$A:$A,$A4,Puntuacion!$C:$C,$C4,Puntuacion!$D:$D,"Multicloud",Puntuacion!$G:$G,"&lt;&gt;NA",Puntuacion!$G:$G,"&lt;&gt;NE")))</f>
        <v/>
      </c>
      <c r="S4">
        <f>IF(COUNTIFS(Puntuacion!$A:$A,$A4,Puntuacion!$C:$C,$C4,Puntuacion!$D:$D,"Integracion",Puntuacion!$G:$G,"&lt;&gt;NA")&gt;0,1,0)</f>
        <v/>
      </c>
      <c r="T4">
        <f>IF(AND(S4=1,COUNTIFS(Puntuacion!$A:$A,$A4,Puntuacion!$C:$C,$C4,Puntuacion!$D:$D,"Integracion",Puntuacion!$G:$G,"NE")=0),1,0)</f>
        <v/>
      </c>
      <c r="U4" s="5">
        <f>IF(S4=0,"NA",IF(T4=0,"NE",AVERAGEIFS(Puntuacion!$G:$G,Puntuacion!$A:$A,$A4,Puntuacion!$C:$C,$C4,Puntuacion!$D:$D,"Integracion",Puntuacion!$G:$G,"&lt;&gt;NA",Puntuacion!$G:$G,"&lt;&gt;NE")))</f>
        <v/>
      </c>
      <c r="V4">
        <f>IF(COUNTIFS(Puntuacion!$A:$A,$A4,Puntuacion!$C:$C,$C4,Puntuacion!$D:$D,"Adopcion",Puntuacion!$G:$G,"&lt;&gt;NA")&gt;0,1,0)</f>
        <v/>
      </c>
      <c r="W4">
        <f>IF(AND(V4=1,COUNTIFS(Puntuacion!$A:$A,$A4,Puntuacion!$C:$C,$C4,Puntuacion!$D:$D,"Adopcion",Puntuacion!$G:$G,"NE")=0),1,0)</f>
        <v/>
      </c>
      <c r="X4" s="5">
        <f>IF(V4=0,"NA",IF(W4=0,"NE",AVERAGEIFS(Puntuacion!$G:$G,Puntuacion!$A:$A,$A4,Puntuacion!$C:$C,$C4,Puntuacion!$D:$D,"Adopcion",Puntuacion!$G:$G,"&lt;&gt;NA",Puntuacion!$G:$G,"&lt;&gt;NE")))</f>
        <v/>
      </c>
      <c r="Y4">
        <f>IF(COUNTIFS(Puntuacion!$A:$A,$A4,Puntuacion!$C:$C,$C4,Puntuacion!$D:$D,"Precio",Puntuacion!$G:$G,"&lt;&gt;NA")&gt;0,1,0)</f>
        <v/>
      </c>
      <c r="Z4">
        <f>IF(AND(Y4=1,COUNTIFS(Puntuacion!$A:$A,$A4,Puntuacion!$C:$C,$C4,Puntuacion!$D:$D,"Precio",Puntuacion!$G:$G,"NE")=0),1,0)</f>
        <v/>
      </c>
      <c r="AA4" s="5">
        <f>IF(Y4=0,"NA",IF(Z4=0,"NE",AVERAGEIFS(Puntuacion!$G:$G,Puntuacion!$A:$A,$A4,Puntuacion!$C:$C,$C4,Puntuacion!$D:$D,"Precio",Puntuacion!$G:$G,"&lt;&gt;NA",Puntuacion!$G:$G,"&lt;&gt;NE")))</f>
        <v/>
      </c>
      <c r="AB4">
        <f>IF(COUNTIFS(Puntuacion!$A:$A,$A4,Puntuacion!$C:$C,$C4,Puntuacion!$D:$D,"Dependencia",Puntuacion!$G:$G,"&lt;&gt;NA")&gt;0,1,0)</f>
        <v/>
      </c>
      <c r="AC4">
        <f>IF(AND(AB4=1,COUNTIFS(Puntuacion!$A:$A,$A4,Puntuacion!$C:$C,$C4,Puntuacion!$D:$D,"Dependencia",Puntuacion!$G:$G,"NE")=0),1,0)</f>
        <v/>
      </c>
      <c r="AD4" s="5">
        <f>IF(AB4=0,"NA",IF(AC4=0,"NE",AVERAGEIFS(Puntuacion!$G:$G,Puntuacion!$A:$A,$A4,Puntuacion!$C:$C,$C4,Puntuacion!$D:$D,"Dependencia",Puntuacion!$G:$G,"&lt;&gt;NA",Puntuacion!$G:$G,"&lt;&gt;NE")))</f>
        <v/>
      </c>
      <c r="AE4" s="5">
        <f>IFERROR(100*(E4*Pesos!$B$2+H4*Pesos!$B$3+K4*Pesos!$B$4+N4*Pesos!$B$5+Q4*Pesos!$B$6+T4*Pesos!$B$7+W4*Pesos!$B$8+Z4*Pesos!$B$9+AC4*Pesos!$B$10)/(D4*Pesos!$B$2+G4*Pesos!$B$3+J4*Pesos!$B$4+M4*Pesos!$B$5+P4*Pesos!$B$6+S4*Pesos!$B$7+V4*Pesos!$B$8+Y4*Pesos!$B$9+AB4*Pesos!$B$10),"Sin criterios aplicables")</f>
        <v/>
      </c>
      <c r="AF4" s="5">
        <f>IFERROR(100*(E4*Pesos!$C$2+H4*Pesos!$C$3+K4*Pesos!$C$4+N4*Pesos!$C$5+Q4*Pesos!$C$6+T4*Pesos!$C$7+W4*Pesos!$C$8+Z4*Pesos!$C$9+AC4*Pesos!$C$10)/(D4*Pesos!$C$2+G4*Pesos!$C$3+J4*Pesos!$C$4+M4*Pesos!$C$5+P4*Pesos!$C$6+S4*Pesos!$C$7+V4*Pesos!$C$8+Y4*Pesos!$C$9+AB4*Pesos!$C$10),"Sin criterios aplicables")</f>
        <v/>
      </c>
      <c r="AG4" s="5">
        <f>IF(OR(AE4="Sin criterios aplicables",AE4&lt;70),"Insufficient evidence",100*(Pesos!$B$2*IF(E4=1,F4,0)+Pesos!$B$3*IF(H4=1,I4,0)+Pesos!$B$4*IF(K4=1,L4,0)+Pesos!$B$5*IF(N4=1,O4,0)+Pesos!$B$6*IF(Q4=1,R4,0)+Pesos!$B$7*IF(T4=1,U4,0)+Pesos!$B$8*IF(W4=1,X4,0)+Pesos!$B$9*IF(Z4=1,AA4,0)+Pesos!$B$10*IF(AC4=1,AD4,0))/(3*(Pesos!$B$2*E4+Pesos!$B$3*H4+Pesos!$B$4*K4+Pesos!$B$5*N4+Pesos!$B$6*Q4+Pesos!$B$7*T4+Pesos!$B$8*W4+Pesos!$B$9*Z4+Pesos!$B$10*AC4)))</f>
        <v/>
      </c>
      <c r="AH4" s="5">
        <f>IF(OR(AF4="Sin criterios aplicables",AF4&lt;70),"Insufficient evidence",100*(Pesos!$C$2*IF(E4=1,F4,0)+Pesos!$C$3*IF(H4=1,I4,0)+Pesos!$C$4*IF(K4=1,L4,0)+Pesos!$C$5*IF(N4=1,O4,0)+Pesos!$C$6*IF(Q4=1,R4,0)+Pesos!$C$7*IF(T4=1,U4,0)+Pesos!$C$8*IF(W4=1,X4,0)+Pesos!$C$9*IF(Z4=1,AA4,0)+Pesos!$C$10*IF(AC4=1,AD4,0))/(3*(Pesos!$C$2*E4+Pesos!$C$3*H4+Pesos!$C$4*K4+Pesos!$C$5*N4+Pesos!$C$6*Q4+Pesos!$C$7*T4+Pesos!$C$8*W4+Pesos!$C$9*Z4+Pesos!$C$10*AC4)))</f>
        <v/>
      </c>
      <c r="AI4">
        <f>IF(AG4="Insufficient evidence","Insufficient evidence (cobertura&lt;70%)",IF(AG4&lt;50/3,"Insufficient",IF(AG4&lt;50,"Basic",IF(AG4&lt;250/3,"Solid","Advanced"))))</f>
        <v/>
      </c>
      <c r="AJ4">
        <f>IF(AH4="Insufficient evidence","Insufficient evidence (cobertura&lt;70%)",IF(AH4&lt;50/3,"Insufficient",IF(AH4&lt;50,"Basic",IF(AH4&lt;250/3,"Solid","Advanced"))))</f>
        <v/>
      </c>
      <c r="AK4">
        <f>IF(TRIM(IF(AND(ISNUMBER(F4),F4&lt;1),"Visibilidad","") &amp; " " &amp; IF(AND(ISNUMBER(I4),I4&lt;1),"Asignación",""))="","Ninguno",TRIM(IF(AND(ISNUMBER(F4),F4&lt;1),"Visibilidad","") &amp; " " &amp; IF(AND(ISNUMBER(I4),I4&lt;1),"Asignación","")))</f>
        <v/>
      </c>
    </row>
    <row r="5">
      <c r="A5" t="inlineStr">
        <is>
          <t>E1</t>
        </is>
      </c>
      <c r="B5" t="inlineStr">
        <is>
          <t>Cloud nativa</t>
        </is>
      </c>
      <c r="C5" t="inlineStr">
        <is>
          <t>Google Cloud Billing</t>
        </is>
      </c>
      <c r="D5">
        <f>IF(COUNTIFS(Puntuacion!$A:$A,$A5,Puntuacion!$C:$C,$C5,Puntuacion!$D:$D,"Visibilidad",Puntuacion!$G:$G,"&lt;&gt;NA")&gt;0,1,0)</f>
        <v/>
      </c>
      <c r="E5">
        <f>IF(AND(D5=1,COUNTIFS(Puntuacion!$A:$A,$A5,Puntuacion!$C:$C,$C5,Puntuacion!$D:$D,"Visibilidad",Puntuacion!$G:$G,"NE")=0),1,0)</f>
        <v/>
      </c>
      <c r="F5" s="5">
        <f>IF(D5=0,"NA",IF(E5=0,"NE",AVERAGEIFS(Puntuacion!$G:$G,Puntuacion!$A:$A,$A5,Puntuacion!$C:$C,$C5,Puntuacion!$D:$D,"Visibilidad",Puntuacion!$G:$G,"&lt;&gt;NA",Puntuacion!$G:$G,"&lt;&gt;NE")))</f>
        <v/>
      </c>
      <c r="G5">
        <f>IF(COUNTIFS(Puntuacion!$A:$A,$A5,Puntuacion!$C:$C,$C5,Puntuacion!$D:$D,"Asignacion",Puntuacion!$G:$G,"&lt;&gt;NA")&gt;0,1,0)</f>
        <v/>
      </c>
      <c r="H5">
        <f>IF(AND(G5=1,COUNTIFS(Puntuacion!$A:$A,$A5,Puntuacion!$C:$C,$C5,Puntuacion!$D:$D,"Asignacion",Puntuacion!$G:$G,"NE")=0),1,0)</f>
        <v/>
      </c>
      <c r="I5" s="5">
        <f>IF(G5=0,"NA",IF(H5=0,"NE",AVERAGEIFS(Puntuacion!$G:$G,Puntuacion!$A:$A,$A5,Puntuacion!$C:$C,$C5,Puntuacion!$D:$D,"Asignacion",Puntuacion!$G:$G,"&lt;&gt;NA",Puntuacion!$G:$G,"&lt;&gt;NE")))</f>
        <v/>
      </c>
      <c r="J5">
        <f>IF(COUNTIFS(Puntuacion!$A:$A,$A5,Puntuacion!$C:$C,$C5,Puntuacion!$D:$D,"Optimizacion",Puntuacion!$G:$G,"&lt;&gt;NA")&gt;0,1,0)</f>
        <v/>
      </c>
      <c r="K5">
        <f>IF(AND(J5=1,COUNTIFS(Puntuacion!$A:$A,$A5,Puntuacion!$C:$C,$C5,Puntuacion!$D:$D,"Optimizacion",Puntuacion!$G:$G,"NE")=0),1,0)</f>
        <v/>
      </c>
      <c r="L5" s="5">
        <f>IF(J5=0,"NA",IF(K5=0,"NE",AVERAGEIFS(Puntuacion!$G:$G,Puntuacion!$A:$A,$A5,Puntuacion!$C:$C,$C5,Puntuacion!$D:$D,"Optimizacion",Puntuacion!$G:$G,"&lt;&gt;NA",Puntuacion!$G:$G,"&lt;&gt;NE")))</f>
        <v/>
      </c>
      <c r="M5">
        <f>IF(COUNTIFS(Puntuacion!$A:$A,$A5,Puntuacion!$C:$C,$C5,Puntuacion!$D:$D,"Automatizacion",Puntuacion!$G:$G,"&lt;&gt;NA")&gt;0,1,0)</f>
        <v/>
      </c>
      <c r="N5">
        <f>IF(AND(M5=1,COUNTIFS(Puntuacion!$A:$A,$A5,Puntuacion!$C:$C,$C5,Puntuacion!$D:$D,"Automatizacion",Puntuacion!$G:$G,"NE")=0),1,0)</f>
        <v/>
      </c>
      <c r="O5" s="5">
        <f>IF(M5=0,"NA",IF(N5=0,"NE",AVERAGEIFS(Puntuacion!$G:$G,Puntuacion!$A:$A,$A5,Puntuacion!$C:$C,$C5,Puntuacion!$D:$D,"Automatizacion",Puntuacion!$G:$G,"&lt;&gt;NA",Puntuacion!$G:$G,"&lt;&gt;NE")))</f>
        <v/>
      </c>
      <c r="P5">
        <f>IF(COUNTIFS(Puntuacion!$A:$A,$A5,Puntuacion!$C:$C,$C5,Puntuacion!$D:$D,"Multicloud",Puntuacion!$G:$G,"&lt;&gt;NA")&gt;0,1,0)</f>
        <v/>
      </c>
      <c r="Q5">
        <f>IF(AND(P5=1,COUNTIFS(Puntuacion!$A:$A,$A5,Puntuacion!$C:$C,$C5,Puntuacion!$D:$D,"Multicloud",Puntuacion!$G:$G,"NE")=0),1,0)</f>
        <v/>
      </c>
      <c r="R5" s="5">
        <f>IF(P5=0,"NA",IF(Q5=0,"NE",AVERAGEIFS(Puntuacion!$G:$G,Puntuacion!$A:$A,$A5,Puntuacion!$C:$C,$C5,Puntuacion!$D:$D,"Multicloud",Puntuacion!$G:$G,"&lt;&gt;NA",Puntuacion!$G:$G,"&lt;&gt;NE")))</f>
        <v/>
      </c>
      <c r="S5">
        <f>IF(COUNTIFS(Puntuacion!$A:$A,$A5,Puntuacion!$C:$C,$C5,Puntuacion!$D:$D,"Integracion",Puntuacion!$G:$G,"&lt;&gt;NA")&gt;0,1,0)</f>
        <v/>
      </c>
      <c r="T5">
        <f>IF(AND(S5=1,COUNTIFS(Puntuacion!$A:$A,$A5,Puntuacion!$C:$C,$C5,Puntuacion!$D:$D,"Integracion",Puntuacion!$G:$G,"NE")=0),1,0)</f>
        <v/>
      </c>
      <c r="U5" s="5">
        <f>IF(S5=0,"NA",IF(T5=0,"NE",AVERAGEIFS(Puntuacion!$G:$G,Puntuacion!$A:$A,$A5,Puntuacion!$C:$C,$C5,Puntuacion!$D:$D,"Integracion",Puntuacion!$G:$G,"&lt;&gt;NA",Puntuacion!$G:$G,"&lt;&gt;NE")))</f>
        <v/>
      </c>
      <c r="V5">
        <f>IF(COUNTIFS(Puntuacion!$A:$A,$A5,Puntuacion!$C:$C,$C5,Puntuacion!$D:$D,"Adopcion",Puntuacion!$G:$G,"&lt;&gt;NA")&gt;0,1,0)</f>
        <v/>
      </c>
      <c r="W5">
        <f>IF(AND(V5=1,COUNTIFS(Puntuacion!$A:$A,$A5,Puntuacion!$C:$C,$C5,Puntuacion!$D:$D,"Adopcion",Puntuacion!$G:$G,"NE")=0),1,0)</f>
        <v/>
      </c>
      <c r="X5" s="5">
        <f>IF(V5=0,"NA",IF(W5=0,"NE",AVERAGEIFS(Puntuacion!$G:$G,Puntuacion!$A:$A,$A5,Puntuacion!$C:$C,$C5,Puntuacion!$D:$D,"Adopcion",Puntuacion!$G:$G,"&lt;&gt;NA",Puntuacion!$G:$G,"&lt;&gt;NE")))</f>
        <v/>
      </c>
      <c r="Y5">
        <f>IF(COUNTIFS(Puntuacion!$A:$A,$A5,Puntuacion!$C:$C,$C5,Puntuacion!$D:$D,"Precio",Puntuacion!$G:$G,"&lt;&gt;NA")&gt;0,1,0)</f>
        <v/>
      </c>
      <c r="Z5">
        <f>IF(AND(Y5=1,COUNTIFS(Puntuacion!$A:$A,$A5,Puntuacion!$C:$C,$C5,Puntuacion!$D:$D,"Precio",Puntuacion!$G:$G,"NE")=0),1,0)</f>
        <v/>
      </c>
      <c r="AA5" s="5">
        <f>IF(Y5=0,"NA",IF(Z5=0,"NE",AVERAGEIFS(Puntuacion!$G:$G,Puntuacion!$A:$A,$A5,Puntuacion!$C:$C,$C5,Puntuacion!$D:$D,"Precio",Puntuacion!$G:$G,"&lt;&gt;NA",Puntuacion!$G:$G,"&lt;&gt;NE")))</f>
        <v/>
      </c>
      <c r="AB5">
        <f>IF(COUNTIFS(Puntuacion!$A:$A,$A5,Puntuacion!$C:$C,$C5,Puntuacion!$D:$D,"Dependencia",Puntuacion!$G:$G,"&lt;&gt;NA")&gt;0,1,0)</f>
        <v/>
      </c>
      <c r="AC5">
        <f>IF(AND(AB5=1,COUNTIFS(Puntuacion!$A:$A,$A5,Puntuacion!$C:$C,$C5,Puntuacion!$D:$D,"Dependencia",Puntuacion!$G:$G,"NE")=0),1,0)</f>
        <v/>
      </c>
      <c r="AD5" s="5">
        <f>IF(AB5=0,"NA",IF(AC5=0,"NE",AVERAGEIFS(Puntuacion!$G:$G,Puntuacion!$A:$A,$A5,Puntuacion!$C:$C,$C5,Puntuacion!$D:$D,"Dependencia",Puntuacion!$G:$G,"&lt;&gt;NA",Puntuacion!$G:$G,"&lt;&gt;NE")))</f>
        <v/>
      </c>
      <c r="AE5" s="5">
        <f>IFERROR(100*(E5*Pesos!$B$2+H5*Pesos!$B$3+K5*Pesos!$B$4+N5*Pesos!$B$5+Q5*Pesos!$B$6+T5*Pesos!$B$7+W5*Pesos!$B$8+Z5*Pesos!$B$9+AC5*Pesos!$B$10)/(D5*Pesos!$B$2+G5*Pesos!$B$3+J5*Pesos!$B$4+M5*Pesos!$B$5+P5*Pesos!$B$6+S5*Pesos!$B$7+V5*Pesos!$B$8+Y5*Pesos!$B$9+AB5*Pesos!$B$10),"Sin criterios aplicables")</f>
        <v/>
      </c>
      <c r="AF5" s="5">
        <f>IFERROR(100*(E5*Pesos!$C$2+H5*Pesos!$C$3+K5*Pesos!$C$4+N5*Pesos!$C$5+Q5*Pesos!$C$6+T5*Pesos!$C$7+W5*Pesos!$C$8+Z5*Pesos!$C$9+AC5*Pesos!$C$10)/(D5*Pesos!$C$2+G5*Pesos!$C$3+J5*Pesos!$C$4+M5*Pesos!$C$5+P5*Pesos!$C$6+S5*Pesos!$C$7+V5*Pesos!$C$8+Y5*Pesos!$C$9+AB5*Pesos!$C$10),"Sin criterios aplicables")</f>
        <v/>
      </c>
      <c r="AG5" s="5">
        <f>IF(OR(AE5="Sin criterios aplicables",AE5&lt;70),"Insufficient evidence",100*(Pesos!$B$2*IF(E5=1,F5,0)+Pesos!$B$3*IF(H5=1,I5,0)+Pesos!$B$4*IF(K5=1,L5,0)+Pesos!$B$5*IF(N5=1,O5,0)+Pesos!$B$6*IF(Q5=1,R5,0)+Pesos!$B$7*IF(T5=1,U5,0)+Pesos!$B$8*IF(W5=1,X5,0)+Pesos!$B$9*IF(Z5=1,AA5,0)+Pesos!$B$10*IF(AC5=1,AD5,0))/(3*(Pesos!$B$2*E5+Pesos!$B$3*H5+Pesos!$B$4*K5+Pesos!$B$5*N5+Pesos!$B$6*Q5+Pesos!$B$7*T5+Pesos!$B$8*W5+Pesos!$B$9*Z5+Pesos!$B$10*AC5)))</f>
        <v/>
      </c>
      <c r="AH5" s="5">
        <f>IF(OR(AF5="Sin criterios aplicables",AF5&lt;70),"Insufficient evidence",100*(Pesos!$C$2*IF(E5=1,F5,0)+Pesos!$C$3*IF(H5=1,I5,0)+Pesos!$C$4*IF(K5=1,L5,0)+Pesos!$C$5*IF(N5=1,O5,0)+Pesos!$C$6*IF(Q5=1,R5,0)+Pesos!$C$7*IF(T5=1,U5,0)+Pesos!$C$8*IF(W5=1,X5,0)+Pesos!$C$9*IF(Z5=1,AA5,0)+Pesos!$C$10*IF(AC5=1,AD5,0))/(3*(Pesos!$C$2*E5+Pesos!$C$3*H5+Pesos!$C$4*K5+Pesos!$C$5*N5+Pesos!$C$6*Q5+Pesos!$C$7*T5+Pesos!$C$8*W5+Pesos!$C$9*Z5+Pesos!$C$10*AC5)))</f>
        <v/>
      </c>
      <c r="AI5">
        <f>IF(AG5="Insufficient evidence","Insufficient evidence (cobertura&lt;70%)",IF(AG5&lt;50/3,"Insufficient",IF(AG5&lt;50,"Basic",IF(AG5&lt;250/3,"Solid","Advanced"))))</f>
        <v/>
      </c>
      <c r="AJ5">
        <f>IF(AH5="Insufficient evidence","Insufficient evidence (cobertura&lt;70%)",IF(AH5&lt;50/3,"Insufficient",IF(AH5&lt;50,"Basic",IF(AH5&lt;250/3,"Solid","Advanced"))))</f>
        <v/>
      </c>
      <c r="AK5">
        <f>IF(TRIM(IF(AND(ISNUMBER(F5),F5&lt;1),"Visibilidad","") &amp; " " &amp; IF(AND(ISNUMBER(I5),I5&lt;1),"Asignación",""))="","Ninguno",TRIM(IF(AND(ISNUMBER(F5),F5&lt;1),"Visibilidad","") &amp; " " &amp; IF(AND(ISNUMBER(I5),I5&lt;1),"Asignación","")))</f>
        <v/>
      </c>
    </row>
    <row r="6">
      <c r="A6" t="inlineStr">
        <is>
          <t>E1</t>
        </is>
      </c>
      <c r="B6" t="inlineStr">
        <is>
          <t>Cloud nativa</t>
        </is>
      </c>
      <c r="C6" t="inlineStr">
        <is>
          <t>Google Cloud FinOps Hub</t>
        </is>
      </c>
      <c r="D6">
        <f>IF(COUNTIFS(Puntuacion!$A:$A,$A6,Puntuacion!$C:$C,$C6,Puntuacion!$D:$D,"Visibilidad",Puntuacion!$G:$G,"&lt;&gt;NA")&gt;0,1,0)</f>
        <v/>
      </c>
      <c r="E6">
        <f>IF(AND(D6=1,COUNTIFS(Puntuacion!$A:$A,$A6,Puntuacion!$C:$C,$C6,Puntuacion!$D:$D,"Visibilidad",Puntuacion!$G:$G,"NE")=0),1,0)</f>
        <v/>
      </c>
      <c r="F6" s="5">
        <f>IF(D6=0,"NA",IF(E6=0,"NE",AVERAGEIFS(Puntuacion!$G:$G,Puntuacion!$A:$A,$A6,Puntuacion!$C:$C,$C6,Puntuacion!$D:$D,"Visibilidad",Puntuacion!$G:$G,"&lt;&gt;NA",Puntuacion!$G:$G,"&lt;&gt;NE")))</f>
        <v/>
      </c>
      <c r="G6">
        <f>IF(COUNTIFS(Puntuacion!$A:$A,$A6,Puntuacion!$C:$C,$C6,Puntuacion!$D:$D,"Asignacion",Puntuacion!$G:$G,"&lt;&gt;NA")&gt;0,1,0)</f>
        <v/>
      </c>
      <c r="H6">
        <f>IF(AND(G6=1,COUNTIFS(Puntuacion!$A:$A,$A6,Puntuacion!$C:$C,$C6,Puntuacion!$D:$D,"Asignacion",Puntuacion!$G:$G,"NE")=0),1,0)</f>
        <v/>
      </c>
      <c r="I6" s="5">
        <f>IF(G6=0,"NA",IF(H6=0,"NE",AVERAGEIFS(Puntuacion!$G:$G,Puntuacion!$A:$A,$A6,Puntuacion!$C:$C,$C6,Puntuacion!$D:$D,"Asignacion",Puntuacion!$G:$G,"&lt;&gt;NA",Puntuacion!$G:$G,"&lt;&gt;NE")))</f>
        <v/>
      </c>
      <c r="J6">
        <f>IF(COUNTIFS(Puntuacion!$A:$A,$A6,Puntuacion!$C:$C,$C6,Puntuacion!$D:$D,"Optimizacion",Puntuacion!$G:$G,"&lt;&gt;NA")&gt;0,1,0)</f>
        <v/>
      </c>
      <c r="K6">
        <f>IF(AND(J6=1,COUNTIFS(Puntuacion!$A:$A,$A6,Puntuacion!$C:$C,$C6,Puntuacion!$D:$D,"Optimizacion",Puntuacion!$G:$G,"NE")=0),1,0)</f>
        <v/>
      </c>
      <c r="L6" s="5">
        <f>IF(J6=0,"NA",IF(K6=0,"NE",AVERAGEIFS(Puntuacion!$G:$G,Puntuacion!$A:$A,$A6,Puntuacion!$C:$C,$C6,Puntuacion!$D:$D,"Optimizacion",Puntuacion!$G:$G,"&lt;&gt;NA",Puntuacion!$G:$G,"&lt;&gt;NE")))</f>
        <v/>
      </c>
      <c r="M6">
        <f>IF(COUNTIFS(Puntuacion!$A:$A,$A6,Puntuacion!$C:$C,$C6,Puntuacion!$D:$D,"Automatizacion",Puntuacion!$G:$G,"&lt;&gt;NA")&gt;0,1,0)</f>
        <v/>
      </c>
      <c r="N6">
        <f>IF(AND(M6=1,COUNTIFS(Puntuacion!$A:$A,$A6,Puntuacion!$C:$C,$C6,Puntuacion!$D:$D,"Automatizacion",Puntuacion!$G:$G,"NE")=0),1,0)</f>
        <v/>
      </c>
      <c r="O6" s="5">
        <f>IF(M6=0,"NA",IF(N6=0,"NE",AVERAGEIFS(Puntuacion!$G:$G,Puntuacion!$A:$A,$A6,Puntuacion!$C:$C,$C6,Puntuacion!$D:$D,"Automatizacion",Puntuacion!$G:$G,"&lt;&gt;NA",Puntuacion!$G:$G,"&lt;&gt;NE")))</f>
        <v/>
      </c>
      <c r="P6">
        <f>IF(COUNTIFS(Puntuacion!$A:$A,$A6,Puntuacion!$C:$C,$C6,Puntuacion!$D:$D,"Multicloud",Puntuacion!$G:$G,"&lt;&gt;NA")&gt;0,1,0)</f>
        <v/>
      </c>
      <c r="Q6">
        <f>IF(AND(P6=1,COUNTIFS(Puntuacion!$A:$A,$A6,Puntuacion!$C:$C,$C6,Puntuacion!$D:$D,"Multicloud",Puntuacion!$G:$G,"NE")=0),1,0)</f>
        <v/>
      </c>
      <c r="R6" s="5">
        <f>IF(P6=0,"NA",IF(Q6=0,"NE",AVERAGEIFS(Puntuacion!$G:$G,Puntuacion!$A:$A,$A6,Puntuacion!$C:$C,$C6,Puntuacion!$D:$D,"Multicloud",Puntuacion!$G:$G,"&lt;&gt;NA",Puntuacion!$G:$G,"&lt;&gt;NE")))</f>
        <v/>
      </c>
      <c r="S6">
        <f>IF(COUNTIFS(Puntuacion!$A:$A,$A6,Puntuacion!$C:$C,$C6,Puntuacion!$D:$D,"Integracion",Puntuacion!$G:$G,"&lt;&gt;NA")&gt;0,1,0)</f>
        <v/>
      </c>
      <c r="T6">
        <f>IF(AND(S6=1,COUNTIFS(Puntuacion!$A:$A,$A6,Puntuacion!$C:$C,$C6,Puntuacion!$D:$D,"Integracion",Puntuacion!$G:$G,"NE")=0),1,0)</f>
        <v/>
      </c>
      <c r="U6" s="5">
        <f>IF(S6=0,"NA",IF(T6=0,"NE",AVERAGEIFS(Puntuacion!$G:$G,Puntuacion!$A:$A,$A6,Puntuacion!$C:$C,$C6,Puntuacion!$D:$D,"Integracion",Puntuacion!$G:$G,"&lt;&gt;NA",Puntuacion!$G:$G,"&lt;&gt;NE")))</f>
        <v/>
      </c>
      <c r="V6">
        <f>IF(COUNTIFS(Puntuacion!$A:$A,$A6,Puntuacion!$C:$C,$C6,Puntuacion!$D:$D,"Adopcion",Puntuacion!$G:$G,"&lt;&gt;NA")&gt;0,1,0)</f>
        <v/>
      </c>
      <c r="W6">
        <f>IF(AND(V6=1,COUNTIFS(Puntuacion!$A:$A,$A6,Puntuacion!$C:$C,$C6,Puntuacion!$D:$D,"Adopcion",Puntuacion!$G:$G,"NE")=0),1,0)</f>
        <v/>
      </c>
      <c r="X6" s="5">
        <f>IF(V6=0,"NA",IF(W6=0,"NE",AVERAGEIFS(Puntuacion!$G:$G,Puntuacion!$A:$A,$A6,Puntuacion!$C:$C,$C6,Puntuacion!$D:$D,"Adopcion",Puntuacion!$G:$G,"&lt;&gt;NA",Puntuacion!$G:$G,"&lt;&gt;NE")))</f>
        <v/>
      </c>
      <c r="Y6">
        <f>IF(COUNTIFS(Puntuacion!$A:$A,$A6,Puntuacion!$C:$C,$C6,Puntuacion!$D:$D,"Precio",Puntuacion!$G:$G,"&lt;&gt;NA")&gt;0,1,0)</f>
        <v/>
      </c>
      <c r="Z6">
        <f>IF(AND(Y6=1,COUNTIFS(Puntuacion!$A:$A,$A6,Puntuacion!$C:$C,$C6,Puntuacion!$D:$D,"Precio",Puntuacion!$G:$G,"NE")=0),1,0)</f>
        <v/>
      </c>
      <c r="AA6" s="5">
        <f>IF(Y6=0,"NA",IF(Z6=0,"NE",AVERAGEIFS(Puntuacion!$G:$G,Puntuacion!$A:$A,$A6,Puntuacion!$C:$C,$C6,Puntuacion!$D:$D,"Precio",Puntuacion!$G:$G,"&lt;&gt;NA",Puntuacion!$G:$G,"&lt;&gt;NE")))</f>
        <v/>
      </c>
      <c r="AB6">
        <f>IF(COUNTIFS(Puntuacion!$A:$A,$A6,Puntuacion!$C:$C,$C6,Puntuacion!$D:$D,"Dependencia",Puntuacion!$G:$G,"&lt;&gt;NA")&gt;0,1,0)</f>
        <v/>
      </c>
      <c r="AC6">
        <f>IF(AND(AB6=1,COUNTIFS(Puntuacion!$A:$A,$A6,Puntuacion!$C:$C,$C6,Puntuacion!$D:$D,"Dependencia",Puntuacion!$G:$G,"NE")=0),1,0)</f>
        <v/>
      </c>
      <c r="AD6" s="5">
        <f>IF(AB6=0,"NA",IF(AC6=0,"NE",AVERAGEIFS(Puntuacion!$G:$G,Puntuacion!$A:$A,$A6,Puntuacion!$C:$C,$C6,Puntuacion!$D:$D,"Dependencia",Puntuacion!$G:$G,"&lt;&gt;NA",Puntuacion!$G:$G,"&lt;&gt;NE")))</f>
        <v/>
      </c>
      <c r="AE6" s="5">
        <f>IFERROR(100*(E6*Pesos!$B$2+H6*Pesos!$B$3+K6*Pesos!$B$4+N6*Pesos!$B$5+Q6*Pesos!$B$6+T6*Pesos!$B$7+W6*Pesos!$B$8+Z6*Pesos!$B$9+AC6*Pesos!$B$10)/(D6*Pesos!$B$2+G6*Pesos!$B$3+J6*Pesos!$B$4+M6*Pesos!$B$5+P6*Pesos!$B$6+S6*Pesos!$B$7+V6*Pesos!$B$8+Y6*Pesos!$B$9+AB6*Pesos!$B$10),"Sin criterios aplicables")</f>
        <v/>
      </c>
      <c r="AF6" s="5">
        <f>IFERROR(100*(E6*Pesos!$C$2+H6*Pesos!$C$3+K6*Pesos!$C$4+N6*Pesos!$C$5+Q6*Pesos!$C$6+T6*Pesos!$C$7+W6*Pesos!$C$8+Z6*Pesos!$C$9+AC6*Pesos!$C$10)/(D6*Pesos!$C$2+G6*Pesos!$C$3+J6*Pesos!$C$4+M6*Pesos!$C$5+P6*Pesos!$C$6+S6*Pesos!$C$7+V6*Pesos!$C$8+Y6*Pesos!$C$9+AB6*Pesos!$C$10),"Sin criterios aplicables")</f>
        <v/>
      </c>
      <c r="AG6" s="5">
        <f>IF(OR(AE6="Sin criterios aplicables",AE6&lt;70),"Insufficient evidence",100*(Pesos!$B$2*IF(E6=1,F6,0)+Pesos!$B$3*IF(H6=1,I6,0)+Pesos!$B$4*IF(K6=1,L6,0)+Pesos!$B$5*IF(N6=1,O6,0)+Pesos!$B$6*IF(Q6=1,R6,0)+Pesos!$B$7*IF(T6=1,U6,0)+Pesos!$B$8*IF(W6=1,X6,0)+Pesos!$B$9*IF(Z6=1,AA6,0)+Pesos!$B$10*IF(AC6=1,AD6,0))/(3*(Pesos!$B$2*E6+Pesos!$B$3*H6+Pesos!$B$4*K6+Pesos!$B$5*N6+Pesos!$B$6*Q6+Pesos!$B$7*T6+Pesos!$B$8*W6+Pesos!$B$9*Z6+Pesos!$B$10*AC6)))</f>
        <v/>
      </c>
      <c r="AH6" s="5">
        <f>IF(OR(AF6="Sin criterios aplicables",AF6&lt;70),"Insufficient evidence",100*(Pesos!$C$2*IF(E6=1,F6,0)+Pesos!$C$3*IF(H6=1,I6,0)+Pesos!$C$4*IF(K6=1,L6,0)+Pesos!$C$5*IF(N6=1,O6,0)+Pesos!$C$6*IF(Q6=1,R6,0)+Pesos!$C$7*IF(T6=1,U6,0)+Pesos!$C$8*IF(W6=1,X6,0)+Pesos!$C$9*IF(Z6=1,AA6,0)+Pesos!$C$10*IF(AC6=1,AD6,0))/(3*(Pesos!$C$2*E6+Pesos!$C$3*H6+Pesos!$C$4*K6+Pesos!$C$5*N6+Pesos!$C$6*Q6+Pesos!$C$7*T6+Pesos!$C$8*W6+Pesos!$C$9*Z6+Pesos!$C$10*AC6)))</f>
        <v/>
      </c>
      <c r="AI6">
        <f>IF(AG6="Insufficient evidence","Insufficient evidence (cobertura&lt;70%)",IF(AG6&lt;50/3,"Insufficient",IF(AG6&lt;50,"Basic",IF(AG6&lt;250/3,"Solid","Advanced"))))</f>
        <v/>
      </c>
      <c r="AJ6">
        <f>IF(AH6="Insufficient evidence","Insufficient evidence (cobertura&lt;70%)",IF(AH6&lt;50/3,"Insufficient",IF(AH6&lt;50,"Basic",IF(AH6&lt;250/3,"Solid","Advanced"))))</f>
        <v/>
      </c>
      <c r="AK6">
        <f>IF(TRIM(IF(AND(ISNUMBER(F6),F6&lt;1),"Visibilidad","") &amp; " " &amp; IF(AND(ISNUMBER(I6),I6&lt;1),"Asignación",""))="","Ninguno",TRIM(IF(AND(ISNUMBER(F6),F6&lt;1),"Visibilidad","") &amp; " " &amp; IF(AND(ISNUMBER(I6),I6&lt;1),"Asignación","")))</f>
        <v/>
      </c>
    </row>
    <row r="7">
      <c r="A7" t="inlineStr">
        <is>
          <t>E1</t>
        </is>
      </c>
      <c r="B7" t="inlineStr">
        <is>
          <t>Multicloud</t>
        </is>
      </c>
      <c r="C7" t="inlineStr">
        <is>
          <t>CloudHealth</t>
        </is>
      </c>
      <c r="D7">
        <f>IF(COUNTIFS(Puntuacion!$A:$A,$A7,Puntuacion!$C:$C,$C7,Puntuacion!$D:$D,"Visibilidad",Puntuacion!$G:$G,"&lt;&gt;NA")&gt;0,1,0)</f>
        <v/>
      </c>
      <c r="E7">
        <f>IF(AND(D7=1,COUNTIFS(Puntuacion!$A:$A,$A7,Puntuacion!$C:$C,$C7,Puntuacion!$D:$D,"Visibilidad",Puntuacion!$G:$G,"NE")=0),1,0)</f>
        <v/>
      </c>
      <c r="F7" s="5">
        <f>IF(D7=0,"NA",IF(E7=0,"NE",AVERAGEIFS(Puntuacion!$G:$G,Puntuacion!$A:$A,$A7,Puntuacion!$C:$C,$C7,Puntuacion!$D:$D,"Visibilidad",Puntuacion!$G:$G,"&lt;&gt;NA",Puntuacion!$G:$G,"&lt;&gt;NE")))</f>
        <v/>
      </c>
      <c r="G7">
        <f>IF(COUNTIFS(Puntuacion!$A:$A,$A7,Puntuacion!$C:$C,$C7,Puntuacion!$D:$D,"Asignacion",Puntuacion!$G:$G,"&lt;&gt;NA")&gt;0,1,0)</f>
        <v/>
      </c>
      <c r="H7">
        <f>IF(AND(G7=1,COUNTIFS(Puntuacion!$A:$A,$A7,Puntuacion!$C:$C,$C7,Puntuacion!$D:$D,"Asignacion",Puntuacion!$G:$G,"NE")=0),1,0)</f>
        <v/>
      </c>
      <c r="I7" s="5">
        <f>IF(G7=0,"NA",IF(H7=0,"NE",AVERAGEIFS(Puntuacion!$G:$G,Puntuacion!$A:$A,$A7,Puntuacion!$C:$C,$C7,Puntuacion!$D:$D,"Asignacion",Puntuacion!$G:$G,"&lt;&gt;NA",Puntuacion!$G:$G,"&lt;&gt;NE")))</f>
        <v/>
      </c>
      <c r="J7">
        <f>IF(COUNTIFS(Puntuacion!$A:$A,$A7,Puntuacion!$C:$C,$C7,Puntuacion!$D:$D,"Optimizacion",Puntuacion!$G:$G,"&lt;&gt;NA")&gt;0,1,0)</f>
        <v/>
      </c>
      <c r="K7">
        <f>IF(AND(J7=1,COUNTIFS(Puntuacion!$A:$A,$A7,Puntuacion!$C:$C,$C7,Puntuacion!$D:$D,"Optimizacion",Puntuacion!$G:$G,"NE")=0),1,0)</f>
        <v/>
      </c>
      <c r="L7" s="5">
        <f>IF(J7=0,"NA",IF(K7=0,"NE",AVERAGEIFS(Puntuacion!$G:$G,Puntuacion!$A:$A,$A7,Puntuacion!$C:$C,$C7,Puntuacion!$D:$D,"Optimizacion",Puntuacion!$G:$G,"&lt;&gt;NA",Puntuacion!$G:$G,"&lt;&gt;NE")))</f>
        <v/>
      </c>
      <c r="M7">
        <f>IF(COUNTIFS(Puntuacion!$A:$A,$A7,Puntuacion!$C:$C,$C7,Puntuacion!$D:$D,"Automatizacion",Puntuacion!$G:$G,"&lt;&gt;NA")&gt;0,1,0)</f>
        <v/>
      </c>
      <c r="N7">
        <f>IF(AND(M7=1,COUNTIFS(Puntuacion!$A:$A,$A7,Puntuacion!$C:$C,$C7,Puntuacion!$D:$D,"Automatizacion",Puntuacion!$G:$G,"NE")=0),1,0)</f>
        <v/>
      </c>
      <c r="O7" s="5">
        <f>IF(M7=0,"NA",IF(N7=0,"NE",AVERAGEIFS(Puntuacion!$G:$G,Puntuacion!$A:$A,$A7,Puntuacion!$C:$C,$C7,Puntuacion!$D:$D,"Automatizacion",Puntuacion!$G:$G,"&lt;&gt;NA",Puntuacion!$G:$G,"&lt;&gt;NE")))</f>
        <v/>
      </c>
      <c r="P7">
        <f>IF(COUNTIFS(Puntuacion!$A:$A,$A7,Puntuacion!$C:$C,$C7,Puntuacion!$D:$D,"Multicloud",Puntuacion!$G:$G,"&lt;&gt;NA")&gt;0,1,0)</f>
        <v/>
      </c>
      <c r="Q7">
        <f>IF(AND(P7=1,COUNTIFS(Puntuacion!$A:$A,$A7,Puntuacion!$C:$C,$C7,Puntuacion!$D:$D,"Multicloud",Puntuacion!$G:$G,"NE")=0),1,0)</f>
        <v/>
      </c>
      <c r="R7" s="5">
        <f>IF(P7=0,"NA",IF(Q7=0,"NE",AVERAGEIFS(Puntuacion!$G:$G,Puntuacion!$A:$A,$A7,Puntuacion!$C:$C,$C7,Puntuacion!$D:$D,"Multicloud",Puntuacion!$G:$G,"&lt;&gt;NA",Puntuacion!$G:$G,"&lt;&gt;NE")))</f>
        <v/>
      </c>
      <c r="S7">
        <f>IF(COUNTIFS(Puntuacion!$A:$A,$A7,Puntuacion!$C:$C,$C7,Puntuacion!$D:$D,"Integracion",Puntuacion!$G:$G,"&lt;&gt;NA")&gt;0,1,0)</f>
        <v/>
      </c>
      <c r="T7">
        <f>IF(AND(S7=1,COUNTIFS(Puntuacion!$A:$A,$A7,Puntuacion!$C:$C,$C7,Puntuacion!$D:$D,"Integracion",Puntuacion!$G:$G,"NE")=0),1,0)</f>
        <v/>
      </c>
      <c r="U7" s="5">
        <f>IF(S7=0,"NA",IF(T7=0,"NE",AVERAGEIFS(Puntuacion!$G:$G,Puntuacion!$A:$A,$A7,Puntuacion!$C:$C,$C7,Puntuacion!$D:$D,"Integracion",Puntuacion!$G:$G,"&lt;&gt;NA",Puntuacion!$G:$G,"&lt;&gt;NE")))</f>
        <v/>
      </c>
      <c r="V7">
        <f>IF(COUNTIFS(Puntuacion!$A:$A,$A7,Puntuacion!$C:$C,$C7,Puntuacion!$D:$D,"Adopcion",Puntuacion!$G:$G,"&lt;&gt;NA")&gt;0,1,0)</f>
        <v/>
      </c>
      <c r="W7">
        <f>IF(AND(V7=1,COUNTIFS(Puntuacion!$A:$A,$A7,Puntuacion!$C:$C,$C7,Puntuacion!$D:$D,"Adopcion",Puntuacion!$G:$G,"NE")=0),1,0)</f>
        <v/>
      </c>
      <c r="X7" s="5">
        <f>IF(V7=0,"NA",IF(W7=0,"NE",AVERAGEIFS(Puntuacion!$G:$G,Puntuacion!$A:$A,$A7,Puntuacion!$C:$C,$C7,Puntuacion!$D:$D,"Adopcion",Puntuacion!$G:$G,"&lt;&gt;NA",Puntuacion!$G:$G,"&lt;&gt;NE")))</f>
        <v/>
      </c>
      <c r="Y7">
        <f>IF(COUNTIFS(Puntuacion!$A:$A,$A7,Puntuacion!$C:$C,$C7,Puntuacion!$D:$D,"Precio",Puntuacion!$G:$G,"&lt;&gt;NA")&gt;0,1,0)</f>
        <v/>
      </c>
      <c r="Z7">
        <f>IF(AND(Y7=1,COUNTIFS(Puntuacion!$A:$A,$A7,Puntuacion!$C:$C,$C7,Puntuacion!$D:$D,"Precio",Puntuacion!$G:$G,"NE")=0),1,0)</f>
        <v/>
      </c>
      <c r="AA7" s="5">
        <f>IF(Y7=0,"NA",IF(Z7=0,"NE",AVERAGEIFS(Puntuacion!$G:$G,Puntuacion!$A:$A,$A7,Puntuacion!$C:$C,$C7,Puntuacion!$D:$D,"Precio",Puntuacion!$G:$G,"&lt;&gt;NA",Puntuacion!$G:$G,"&lt;&gt;NE")))</f>
        <v/>
      </c>
      <c r="AB7">
        <f>IF(COUNTIFS(Puntuacion!$A:$A,$A7,Puntuacion!$C:$C,$C7,Puntuacion!$D:$D,"Dependencia",Puntuacion!$G:$G,"&lt;&gt;NA")&gt;0,1,0)</f>
        <v/>
      </c>
      <c r="AC7">
        <f>IF(AND(AB7=1,COUNTIFS(Puntuacion!$A:$A,$A7,Puntuacion!$C:$C,$C7,Puntuacion!$D:$D,"Dependencia",Puntuacion!$G:$G,"NE")=0),1,0)</f>
        <v/>
      </c>
      <c r="AD7" s="5">
        <f>IF(AB7=0,"NA",IF(AC7=0,"NE",AVERAGEIFS(Puntuacion!$G:$G,Puntuacion!$A:$A,$A7,Puntuacion!$C:$C,$C7,Puntuacion!$D:$D,"Dependencia",Puntuacion!$G:$G,"&lt;&gt;NA",Puntuacion!$G:$G,"&lt;&gt;NE")))</f>
        <v/>
      </c>
      <c r="AE7" s="5">
        <f>IFERROR(100*(E7*Pesos!$B$2+H7*Pesos!$B$3+K7*Pesos!$B$4+N7*Pesos!$B$5+Q7*Pesos!$B$6+T7*Pesos!$B$7+W7*Pesos!$B$8+Z7*Pesos!$B$9+AC7*Pesos!$B$10)/(D7*Pesos!$B$2+G7*Pesos!$B$3+J7*Pesos!$B$4+M7*Pesos!$B$5+P7*Pesos!$B$6+S7*Pesos!$B$7+V7*Pesos!$B$8+Y7*Pesos!$B$9+AB7*Pesos!$B$10),"Sin criterios aplicables")</f>
        <v/>
      </c>
      <c r="AF7" s="5">
        <f>IFERROR(100*(E7*Pesos!$C$2+H7*Pesos!$C$3+K7*Pesos!$C$4+N7*Pesos!$C$5+Q7*Pesos!$C$6+T7*Pesos!$C$7+W7*Pesos!$C$8+Z7*Pesos!$C$9+AC7*Pesos!$C$10)/(D7*Pesos!$C$2+G7*Pesos!$C$3+J7*Pesos!$C$4+M7*Pesos!$C$5+P7*Pesos!$C$6+S7*Pesos!$C$7+V7*Pesos!$C$8+Y7*Pesos!$C$9+AB7*Pesos!$C$10),"Sin criterios aplicables")</f>
        <v/>
      </c>
      <c r="AG7" s="5">
        <f>IF(OR(AE7="Sin criterios aplicables",AE7&lt;70),"Insufficient evidence",100*(Pesos!$B$2*IF(E7=1,F7,0)+Pesos!$B$3*IF(H7=1,I7,0)+Pesos!$B$4*IF(K7=1,L7,0)+Pesos!$B$5*IF(N7=1,O7,0)+Pesos!$B$6*IF(Q7=1,R7,0)+Pesos!$B$7*IF(T7=1,U7,0)+Pesos!$B$8*IF(W7=1,X7,0)+Pesos!$B$9*IF(Z7=1,AA7,0)+Pesos!$B$10*IF(AC7=1,AD7,0))/(3*(Pesos!$B$2*E7+Pesos!$B$3*H7+Pesos!$B$4*K7+Pesos!$B$5*N7+Pesos!$B$6*Q7+Pesos!$B$7*T7+Pesos!$B$8*W7+Pesos!$B$9*Z7+Pesos!$B$10*AC7)))</f>
        <v/>
      </c>
      <c r="AH7" s="5">
        <f>IF(OR(AF7="Sin criterios aplicables",AF7&lt;70),"Insufficient evidence",100*(Pesos!$C$2*IF(E7=1,F7,0)+Pesos!$C$3*IF(H7=1,I7,0)+Pesos!$C$4*IF(K7=1,L7,0)+Pesos!$C$5*IF(N7=1,O7,0)+Pesos!$C$6*IF(Q7=1,R7,0)+Pesos!$C$7*IF(T7=1,U7,0)+Pesos!$C$8*IF(W7=1,X7,0)+Pesos!$C$9*IF(Z7=1,AA7,0)+Pesos!$C$10*IF(AC7=1,AD7,0))/(3*(Pesos!$C$2*E7+Pesos!$C$3*H7+Pesos!$C$4*K7+Pesos!$C$5*N7+Pesos!$C$6*Q7+Pesos!$C$7*T7+Pesos!$C$8*W7+Pesos!$C$9*Z7+Pesos!$C$10*AC7)))</f>
        <v/>
      </c>
      <c r="AI7">
        <f>IF(AG7="Insufficient evidence","Insufficient evidence (cobertura&lt;70%)",IF(AG7&lt;50/3,"Insufficient",IF(AG7&lt;50,"Basic",IF(AG7&lt;250/3,"Solid","Advanced"))))</f>
        <v/>
      </c>
      <c r="AJ7">
        <f>IF(AH7="Insufficient evidence","Insufficient evidence (cobertura&lt;70%)",IF(AH7&lt;50/3,"Insufficient",IF(AH7&lt;50,"Basic",IF(AH7&lt;250/3,"Solid","Advanced"))))</f>
        <v/>
      </c>
      <c r="AK7">
        <f>IF(TRIM(IF(AND(ISNUMBER(F7),F7&lt;1),"Visibilidad","") &amp; " " &amp; IF(AND(ISNUMBER(I7),I7&lt;1),"Asignación",""))="","Ninguno",TRIM(IF(AND(ISNUMBER(F7),F7&lt;1),"Visibilidad","") &amp; " " &amp; IF(AND(ISNUMBER(I7),I7&lt;1),"Asignación","")))</f>
        <v/>
      </c>
    </row>
    <row r="8">
      <c r="A8" t="inlineStr">
        <is>
          <t>E1</t>
        </is>
      </c>
      <c r="B8" t="inlineStr">
        <is>
          <t>Multicloud</t>
        </is>
      </c>
      <c r="C8" t="inlineStr">
        <is>
          <t>CloudZero</t>
        </is>
      </c>
      <c r="D8">
        <f>IF(COUNTIFS(Puntuacion!$A:$A,$A8,Puntuacion!$C:$C,$C8,Puntuacion!$D:$D,"Visibilidad",Puntuacion!$G:$G,"&lt;&gt;NA")&gt;0,1,0)</f>
        <v/>
      </c>
      <c r="E8">
        <f>IF(AND(D8=1,COUNTIFS(Puntuacion!$A:$A,$A8,Puntuacion!$C:$C,$C8,Puntuacion!$D:$D,"Visibilidad",Puntuacion!$G:$G,"NE")=0),1,0)</f>
        <v/>
      </c>
      <c r="F8" s="5">
        <f>IF(D8=0,"NA",IF(E8=0,"NE",AVERAGEIFS(Puntuacion!$G:$G,Puntuacion!$A:$A,$A8,Puntuacion!$C:$C,$C8,Puntuacion!$D:$D,"Visibilidad",Puntuacion!$G:$G,"&lt;&gt;NA",Puntuacion!$G:$G,"&lt;&gt;NE")))</f>
        <v/>
      </c>
      <c r="G8">
        <f>IF(COUNTIFS(Puntuacion!$A:$A,$A8,Puntuacion!$C:$C,$C8,Puntuacion!$D:$D,"Asignacion",Puntuacion!$G:$G,"&lt;&gt;NA")&gt;0,1,0)</f>
        <v/>
      </c>
      <c r="H8">
        <f>IF(AND(G8=1,COUNTIFS(Puntuacion!$A:$A,$A8,Puntuacion!$C:$C,$C8,Puntuacion!$D:$D,"Asignacion",Puntuacion!$G:$G,"NE")=0),1,0)</f>
        <v/>
      </c>
      <c r="I8" s="5">
        <f>IF(G8=0,"NA",IF(H8=0,"NE",AVERAGEIFS(Puntuacion!$G:$G,Puntuacion!$A:$A,$A8,Puntuacion!$C:$C,$C8,Puntuacion!$D:$D,"Asignacion",Puntuacion!$G:$G,"&lt;&gt;NA",Puntuacion!$G:$G,"&lt;&gt;NE")))</f>
        <v/>
      </c>
      <c r="J8">
        <f>IF(COUNTIFS(Puntuacion!$A:$A,$A8,Puntuacion!$C:$C,$C8,Puntuacion!$D:$D,"Optimizacion",Puntuacion!$G:$G,"&lt;&gt;NA")&gt;0,1,0)</f>
        <v/>
      </c>
      <c r="K8">
        <f>IF(AND(J8=1,COUNTIFS(Puntuacion!$A:$A,$A8,Puntuacion!$C:$C,$C8,Puntuacion!$D:$D,"Optimizacion",Puntuacion!$G:$G,"NE")=0),1,0)</f>
        <v/>
      </c>
      <c r="L8" s="5">
        <f>IF(J8=0,"NA",IF(K8=0,"NE",AVERAGEIFS(Puntuacion!$G:$G,Puntuacion!$A:$A,$A8,Puntuacion!$C:$C,$C8,Puntuacion!$D:$D,"Optimizacion",Puntuacion!$G:$G,"&lt;&gt;NA",Puntuacion!$G:$G,"&lt;&gt;NE")))</f>
        <v/>
      </c>
      <c r="M8">
        <f>IF(COUNTIFS(Puntuacion!$A:$A,$A8,Puntuacion!$C:$C,$C8,Puntuacion!$D:$D,"Automatizacion",Puntuacion!$G:$G,"&lt;&gt;NA")&gt;0,1,0)</f>
        <v/>
      </c>
      <c r="N8">
        <f>IF(AND(M8=1,COUNTIFS(Puntuacion!$A:$A,$A8,Puntuacion!$C:$C,$C8,Puntuacion!$D:$D,"Automatizacion",Puntuacion!$G:$G,"NE")=0),1,0)</f>
        <v/>
      </c>
      <c r="O8" s="5">
        <f>IF(M8=0,"NA",IF(N8=0,"NE",AVERAGEIFS(Puntuacion!$G:$G,Puntuacion!$A:$A,$A8,Puntuacion!$C:$C,$C8,Puntuacion!$D:$D,"Automatizacion",Puntuacion!$G:$G,"&lt;&gt;NA",Puntuacion!$G:$G,"&lt;&gt;NE")))</f>
        <v/>
      </c>
      <c r="P8">
        <f>IF(COUNTIFS(Puntuacion!$A:$A,$A8,Puntuacion!$C:$C,$C8,Puntuacion!$D:$D,"Multicloud",Puntuacion!$G:$G,"&lt;&gt;NA")&gt;0,1,0)</f>
        <v/>
      </c>
      <c r="Q8">
        <f>IF(AND(P8=1,COUNTIFS(Puntuacion!$A:$A,$A8,Puntuacion!$C:$C,$C8,Puntuacion!$D:$D,"Multicloud",Puntuacion!$G:$G,"NE")=0),1,0)</f>
        <v/>
      </c>
      <c r="R8" s="5">
        <f>IF(P8=0,"NA",IF(Q8=0,"NE",AVERAGEIFS(Puntuacion!$G:$G,Puntuacion!$A:$A,$A8,Puntuacion!$C:$C,$C8,Puntuacion!$D:$D,"Multicloud",Puntuacion!$G:$G,"&lt;&gt;NA",Puntuacion!$G:$G,"&lt;&gt;NE")))</f>
        <v/>
      </c>
      <c r="S8">
        <f>IF(COUNTIFS(Puntuacion!$A:$A,$A8,Puntuacion!$C:$C,$C8,Puntuacion!$D:$D,"Integracion",Puntuacion!$G:$G,"&lt;&gt;NA")&gt;0,1,0)</f>
        <v/>
      </c>
      <c r="T8">
        <f>IF(AND(S8=1,COUNTIFS(Puntuacion!$A:$A,$A8,Puntuacion!$C:$C,$C8,Puntuacion!$D:$D,"Integracion",Puntuacion!$G:$G,"NE")=0),1,0)</f>
        <v/>
      </c>
      <c r="U8" s="5">
        <f>IF(S8=0,"NA",IF(T8=0,"NE",AVERAGEIFS(Puntuacion!$G:$G,Puntuacion!$A:$A,$A8,Puntuacion!$C:$C,$C8,Puntuacion!$D:$D,"Integracion",Puntuacion!$G:$G,"&lt;&gt;NA",Puntuacion!$G:$G,"&lt;&gt;NE")))</f>
        <v/>
      </c>
      <c r="V8">
        <f>IF(COUNTIFS(Puntuacion!$A:$A,$A8,Puntuacion!$C:$C,$C8,Puntuacion!$D:$D,"Adopcion",Puntuacion!$G:$G,"&lt;&gt;NA")&gt;0,1,0)</f>
        <v/>
      </c>
      <c r="W8">
        <f>IF(AND(V8=1,COUNTIFS(Puntuacion!$A:$A,$A8,Puntuacion!$C:$C,$C8,Puntuacion!$D:$D,"Adopcion",Puntuacion!$G:$G,"NE")=0),1,0)</f>
        <v/>
      </c>
      <c r="X8" s="5">
        <f>IF(V8=0,"NA",IF(W8=0,"NE",AVERAGEIFS(Puntuacion!$G:$G,Puntuacion!$A:$A,$A8,Puntuacion!$C:$C,$C8,Puntuacion!$D:$D,"Adopcion",Puntuacion!$G:$G,"&lt;&gt;NA",Puntuacion!$G:$G,"&lt;&gt;NE")))</f>
        <v/>
      </c>
      <c r="Y8">
        <f>IF(COUNTIFS(Puntuacion!$A:$A,$A8,Puntuacion!$C:$C,$C8,Puntuacion!$D:$D,"Precio",Puntuacion!$G:$G,"&lt;&gt;NA")&gt;0,1,0)</f>
        <v/>
      </c>
      <c r="Z8">
        <f>IF(AND(Y8=1,COUNTIFS(Puntuacion!$A:$A,$A8,Puntuacion!$C:$C,$C8,Puntuacion!$D:$D,"Precio",Puntuacion!$G:$G,"NE")=0),1,0)</f>
        <v/>
      </c>
      <c r="AA8" s="5">
        <f>IF(Y8=0,"NA",IF(Z8=0,"NE",AVERAGEIFS(Puntuacion!$G:$G,Puntuacion!$A:$A,$A8,Puntuacion!$C:$C,$C8,Puntuacion!$D:$D,"Precio",Puntuacion!$G:$G,"&lt;&gt;NA",Puntuacion!$G:$G,"&lt;&gt;NE")))</f>
        <v/>
      </c>
      <c r="AB8">
        <f>IF(COUNTIFS(Puntuacion!$A:$A,$A8,Puntuacion!$C:$C,$C8,Puntuacion!$D:$D,"Dependencia",Puntuacion!$G:$G,"&lt;&gt;NA")&gt;0,1,0)</f>
        <v/>
      </c>
      <c r="AC8">
        <f>IF(AND(AB8=1,COUNTIFS(Puntuacion!$A:$A,$A8,Puntuacion!$C:$C,$C8,Puntuacion!$D:$D,"Dependencia",Puntuacion!$G:$G,"NE")=0),1,0)</f>
        <v/>
      </c>
      <c r="AD8" s="5">
        <f>IF(AB8=0,"NA",IF(AC8=0,"NE",AVERAGEIFS(Puntuacion!$G:$G,Puntuacion!$A:$A,$A8,Puntuacion!$C:$C,$C8,Puntuacion!$D:$D,"Dependencia",Puntuacion!$G:$G,"&lt;&gt;NA",Puntuacion!$G:$G,"&lt;&gt;NE")))</f>
        <v/>
      </c>
      <c r="AE8" s="5">
        <f>IFERROR(100*(E8*Pesos!$B$2+H8*Pesos!$B$3+K8*Pesos!$B$4+N8*Pesos!$B$5+Q8*Pesos!$B$6+T8*Pesos!$B$7+W8*Pesos!$B$8+Z8*Pesos!$B$9+AC8*Pesos!$B$10)/(D8*Pesos!$B$2+G8*Pesos!$B$3+J8*Pesos!$B$4+M8*Pesos!$B$5+P8*Pesos!$B$6+S8*Pesos!$B$7+V8*Pesos!$B$8+Y8*Pesos!$B$9+AB8*Pesos!$B$10),"Sin criterios aplicables")</f>
        <v/>
      </c>
      <c r="AF8" s="5">
        <f>IFERROR(100*(E8*Pesos!$C$2+H8*Pesos!$C$3+K8*Pesos!$C$4+N8*Pesos!$C$5+Q8*Pesos!$C$6+T8*Pesos!$C$7+W8*Pesos!$C$8+Z8*Pesos!$C$9+AC8*Pesos!$C$10)/(D8*Pesos!$C$2+G8*Pesos!$C$3+J8*Pesos!$C$4+M8*Pesos!$C$5+P8*Pesos!$C$6+S8*Pesos!$C$7+V8*Pesos!$C$8+Y8*Pesos!$C$9+AB8*Pesos!$C$10),"Sin criterios aplicables")</f>
        <v/>
      </c>
      <c r="AG8" s="5">
        <f>IF(OR(AE8="Sin criterios aplicables",AE8&lt;70),"Insufficient evidence",100*(Pesos!$B$2*IF(E8=1,F8,0)+Pesos!$B$3*IF(H8=1,I8,0)+Pesos!$B$4*IF(K8=1,L8,0)+Pesos!$B$5*IF(N8=1,O8,0)+Pesos!$B$6*IF(Q8=1,R8,0)+Pesos!$B$7*IF(T8=1,U8,0)+Pesos!$B$8*IF(W8=1,X8,0)+Pesos!$B$9*IF(Z8=1,AA8,0)+Pesos!$B$10*IF(AC8=1,AD8,0))/(3*(Pesos!$B$2*E8+Pesos!$B$3*H8+Pesos!$B$4*K8+Pesos!$B$5*N8+Pesos!$B$6*Q8+Pesos!$B$7*T8+Pesos!$B$8*W8+Pesos!$B$9*Z8+Pesos!$B$10*AC8)))</f>
        <v/>
      </c>
      <c r="AH8" s="5">
        <f>IF(OR(AF8="Sin criterios aplicables",AF8&lt;70),"Insufficient evidence",100*(Pesos!$C$2*IF(E8=1,F8,0)+Pesos!$C$3*IF(H8=1,I8,0)+Pesos!$C$4*IF(K8=1,L8,0)+Pesos!$C$5*IF(N8=1,O8,0)+Pesos!$C$6*IF(Q8=1,R8,0)+Pesos!$C$7*IF(T8=1,U8,0)+Pesos!$C$8*IF(W8=1,X8,0)+Pesos!$C$9*IF(Z8=1,AA8,0)+Pesos!$C$10*IF(AC8=1,AD8,0))/(3*(Pesos!$C$2*E8+Pesos!$C$3*H8+Pesos!$C$4*K8+Pesos!$C$5*N8+Pesos!$C$6*Q8+Pesos!$C$7*T8+Pesos!$C$8*W8+Pesos!$C$9*Z8+Pesos!$C$10*AC8)))</f>
        <v/>
      </c>
      <c r="AI8">
        <f>IF(AG8="Insufficient evidence","Insufficient evidence (cobertura&lt;70%)",IF(AG8&lt;50/3,"Insufficient",IF(AG8&lt;50,"Basic",IF(AG8&lt;250/3,"Solid","Advanced"))))</f>
        <v/>
      </c>
      <c r="AJ8">
        <f>IF(AH8="Insufficient evidence","Insufficient evidence (cobertura&lt;70%)",IF(AH8&lt;50/3,"Insufficient",IF(AH8&lt;50,"Basic",IF(AH8&lt;250/3,"Solid","Advanced"))))</f>
        <v/>
      </c>
      <c r="AK8">
        <f>IF(TRIM(IF(AND(ISNUMBER(F8),F8&lt;1),"Visibilidad","") &amp; " " &amp; IF(AND(ISNUMBER(I8),I8&lt;1),"Asignación",""))="","Ninguno",TRIM(IF(AND(ISNUMBER(F8),F8&lt;1),"Visibilidad","") &amp; " " &amp; IF(AND(ISNUMBER(I8),I8&lt;1),"Asignación","")))</f>
        <v/>
      </c>
    </row>
    <row r="9">
      <c r="A9" t="inlineStr">
        <is>
          <t>E1</t>
        </is>
      </c>
      <c r="B9" t="inlineStr">
        <is>
          <t>Multicloud</t>
        </is>
      </c>
      <c r="C9" t="inlineStr">
        <is>
          <t>Cloudability</t>
        </is>
      </c>
      <c r="D9">
        <f>IF(COUNTIFS(Puntuacion!$A:$A,$A9,Puntuacion!$C:$C,$C9,Puntuacion!$D:$D,"Visibilidad",Puntuacion!$G:$G,"&lt;&gt;NA")&gt;0,1,0)</f>
        <v/>
      </c>
      <c r="E9">
        <f>IF(AND(D9=1,COUNTIFS(Puntuacion!$A:$A,$A9,Puntuacion!$C:$C,$C9,Puntuacion!$D:$D,"Visibilidad",Puntuacion!$G:$G,"NE")=0),1,0)</f>
        <v/>
      </c>
      <c r="F9" s="5">
        <f>IF(D9=0,"NA",IF(E9=0,"NE",AVERAGEIFS(Puntuacion!$G:$G,Puntuacion!$A:$A,$A9,Puntuacion!$C:$C,$C9,Puntuacion!$D:$D,"Visibilidad",Puntuacion!$G:$G,"&lt;&gt;NA",Puntuacion!$G:$G,"&lt;&gt;NE")))</f>
        <v/>
      </c>
      <c r="G9">
        <f>IF(COUNTIFS(Puntuacion!$A:$A,$A9,Puntuacion!$C:$C,$C9,Puntuacion!$D:$D,"Asignacion",Puntuacion!$G:$G,"&lt;&gt;NA")&gt;0,1,0)</f>
        <v/>
      </c>
      <c r="H9">
        <f>IF(AND(G9=1,COUNTIFS(Puntuacion!$A:$A,$A9,Puntuacion!$C:$C,$C9,Puntuacion!$D:$D,"Asignacion",Puntuacion!$G:$G,"NE")=0),1,0)</f>
        <v/>
      </c>
      <c r="I9" s="5">
        <f>IF(G9=0,"NA",IF(H9=0,"NE",AVERAGEIFS(Puntuacion!$G:$G,Puntuacion!$A:$A,$A9,Puntuacion!$C:$C,$C9,Puntuacion!$D:$D,"Asignacion",Puntuacion!$G:$G,"&lt;&gt;NA",Puntuacion!$G:$G,"&lt;&gt;NE")))</f>
        <v/>
      </c>
      <c r="J9">
        <f>IF(COUNTIFS(Puntuacion!$A:$A,$A9,Puntuacion!$C:$C,$C9,Puntuacion!$D:$D,"Optimizacion",Puntuacion!$G:$G,"&lt;&gt;NA")&gt;0,1,0)</f>
        <v/>
      </c>
      <c r="K9">
        <f>IF(AND(J9=1,COUNTIFS(Puntuacion!$A:$A,$A9,Puntuacion!$C:$C,$C9,Puntuacion!$D:$D,"Optimizacion",Puntuacion!$G:$G,"NE")=0),1,0)</f>
        <v/>
      </c>
      <c r="L9" s="5">
        <f>IF(J9=0,"NA",IF(K9=0,"NE",AVERAGEIFS(Puntuacion!$G:$G,Puntuacion!$A:$A,$A9,Puntuacion!$C:$C,$C9,Puntuacion!$D:$D,"Optimizacion",Puntuacion!$G:$G,"&lt;&gt;NA",Puntuacion!$G:$G,"&lt;&gt;NE")))</f>
        <v/>
      </c>
      <c r="M9">
        <f>IF(COUNTIFS(Puntuacion!$A:$A,$A9,Puntuacion!$C:$C,$C9,Puntuacion!$D:$D,"Automatizacion",Puntuacion!$G:$G,"&lt;&gt;NA")&gt;0,1,0)</f>
        <v/>
      </c>
      <c r="N9">
        <f>IF(AND(M9=1,COUNTIFS(Puntuacion!$A:$A,$A9,Puntuacion!$C:$C,$C9,Puntuacion!$D:$D,"Automatizacion",Puntuacion!$G:$G,"NE")=0),1,0)</f>
        <v/>
      </c>
      <c r="O9" s="5">
        <f>IF(M9=0,"NA",IF(N9=0,"NE",AVERAGEIFS(Puntuacion!$G:$G,Puntuacion!$A:$A,$A9,Puntuacion!$C:$C,$C9,Puntuacion!$D:$D,"Automatizacion",Puntuacion!$G:$G,"&lt;&gt;NA",Puntuacion!$G:$G,"&lt;&gt;NE")))</f>
        <v/>
      </c>
      <c r="P9">
        <f>IF(COUNTIFS(Puntuacion!$A:$A,$A9,Puntuacion!$C:$C,$C9,Puntuacion!$D:$D,"Multicloud",Puntuacion!$G:$G,"&lt;&gt;NA")&gt;0,1,0)</f>
        <v/>
      </c>
      <c r="Q9">
        <f>IF(AND(P9=1,COUNTIFS(Puntuacion!$A:$A,$A9,Puntuacion!$C:$C,$C9,Puntuacion!$D:$D,"Multicloud",Puntuacion!$G:$G,"NE")=0),1,0)</f>
        <v/>
      </c>
      <c r="R9" s="5">
        <f>IF(P9=0,"NA",IF(Q9=0,"NE",AVERAGEIFS(Puntuacion!$G:$G,Puntuacion!$A:$A,$A9,Puntuacion!$C:$C,$C9,Puntuacion!$D:$D,"Multicloud",Puntuacion!$G:$G,"&lt;&gt;NA",Puntuacion!$G:$G,"&lt;&gt;NE")))</f>
        <v/>
      </c>
      <c r="S9">
        <f>IF(COUNTIFS(Puntuacion!$A:$A,$A9,Puntuacion!$C:$C,$C9,Puntuacion!$D:$D,"Integracion",Puntuacion!$G:$G,"&lt;&gt;NA")&gt;0,1,0)</f>
        <v/>
      </c>
      <c r="T9">
        <f>IF(AND(S9=1,COUNTIFS(Puntuacion!$A:$A,$A9,Puntuacion!$C:$C,$C9,Puntuacion!$D:$D,"Integracion",Puntuacion!$G:$G,"NE")=0),1,0)</f>
        <v/>
      </c>
      <c r="U9" s="5">
        <f>IF(S9=0,"NA",IF(T9=0,"NE",AVERAGEIFS(Puntuacion!$G:$G,Puntuacion!$A:$A,$A9,Puntuacion!$C:$C,$C9,Puntuacion!$D:$D,"Integracion",Puntuacion!$G:$G,"&lt;&gt;NA",Puntuacion!$G:$G,"&lt;&gt;NE")))</f>
        <v/>
      </c>
      <c r="V9">
        <f>IF(COUNTIFS(Puntuacion!$A:$A,$A9,Puntuacion!$C:$C,$C9,Puntuacion!$D:$D,"Adopcion",Puntuacion!$G:$G,"&lt;&gt;NA")&gt;0,1,0)</f>
        <v/>
      </c>
      <c r="W9">
        <f>IF(AND(V9=1,COUNTIFS(Puntuacion!$A:$A,$A9,Puntuacion!$C:$C,$C9,Puntuacion!$D:$D,"Adopcion",Puntuacion!$G:$G,"NE")=0),1,0)</f>
        <v/>
      </c>
      <c r="X9" s="5">
        <f>IF(V9=0,"NA",IF(W9=0,"NE",AVERAGEIFS(Puntuacion!$G:$G,Puntuacion!$A:$A,$A9,Puntuacion!$C:$C,$C9,Puntuacion!$D:$D,"Adopcion",Puntuacion!$G:$G,"&lt;&gt;NA",Puntuacion!$G:$G,"&lt;&gt;NE")))</f>
        <v/>
      </c>
      <c r="Y9">
        <f>IF(COUNTIFS(Puntuacion!$A:$A,$A9,Puntuacion!$C:$C,$C9,Puntuacion!$D:$D,"Precio",Puntuacion!$G:$G,"&lt;&gt;NA")&gt;0,1,0)</f>
        <v/>
      </c>
      <c r="Z9">
        <f>IF(AND(Y9=1,COUNTIFS(Puntuacion!$A:$A,$A9,Puntuacion!$C:$C,$C9,Puntuacion!$D:$D,"Precio",Puntuacion!$G:$G,"NE")=0),1,0)</f>
        <v/>
      </c>
      <c r="AA9" s="5">
        <f>IF(Y9=0,"NA",IF(Z9=0,"NE",AVERAGEIFS(Puntuacion!$G:$G,Puntuacion!$A:$A,$A9,Puntuacion!$C:$C,$C9,Puntuacion!$D:$D,"Precio",Puntuacion!$G:$G,"&lt;&gt;NA",Puntuacion!$G:$G,"&lt;&gt;NE")))</f>
        <v/>
      </c>
      <c r="AB9">
        <f>IF(COUNTIFS(Puntuacion!$A:$A,$A9,Puntuacion!$C:$C,$C9,Puntuacion!$D:$D,"Dependencia",Puntuacion!$G:$G,"&lt;&gt;NA")&gt;0,1,0)</f>
        <v/>
      </c>
      <c r="AC9">
        <f>IF(AND(AB9=1,COUNTIFS(Puntuacion!$A:$A,$A9,Puntuacion!$C:$C,$C9,Puntuacion!$D:$D,"Dependencia",Puntuacion!$G:$G,"NE")=0),1,0)</f>
        <v/>
      </c>
      <c r="AD9" s="5">
        <f>IF(AB9=0,"NA",IF(AC9=0,"NE",AVERAGEIFS(Puntuacion!$G:$G,Puntuacion!$A:$A,$A9,Puntuacion!$C:$C,$C9,Puntuacion!$D:$D,"Dependencia",Puntuacion!$G:$G,"&lt;&gt;NA",Puntuacion!$G:$G,"&lt;&gt;NE")))</f>
        <v/>
      </c>
      <c r="AE9" s="5">
        <f>IFERROR(100*(E9*Pesos!$B$2+H9*Pesos!$B$3+K9*Pesos!$B$4+N9*Pesos!$B$5+Q9*Pesos!$B$6+T9*Pesos!$B$7+W9*Pesos!$B$8+Z9*Pesos!$B$9+AC9*Pesos!$B$10)/(D9*Pesos!$B$2+G9*Pesos!$B$3+J9*Pesos!$B$4+M9*Pesos!$B$5+P9*Pesos!$B$6+S9*Pesos!$B$7+V9*Pesos!$B$8+Y9*Pesos!$B$9+AB9*Pesos!$B$10),"Sin criterios aplicables")</f>
        <v/>
      </c>
      <c r="AF9" s="5">
        <f>IFERROR(100*(E9*Pesos!$C$2+H9*Pesos!$C$3+K9*Pesos!$C$4+N9*Pesos!$C$5+Q9*Pesos!$C$6+T9*Pesos!$C$7+W9*Pesos!$C$8+Z9*Pesos!$C$9+AC9*Pesos!$C$10)/(D9*Pesos!$C$2+G9*Pesos!$C$3+J9*Pesos!$C$4+M9*Pesos!$C$5+P9*Pesos!$C$6+S9*Pesos!$C$7+V9*Pesos!$C$8+Y9*Pesos!$C$9+AB9*Pesos!$C$10),"Sin criterios aplicables")</f>
        <v/>
      </c>
      <c r="AG9" s="5">
        <f>IF(OR(AE9="Sin criterios aplicables",AE9&lt;70),"Insufficient evidence",100*(Pesos!$B$2*IF(E9=1,F9,0)+Pesos!$B$3*IF(H9=1,I9,0)+Pesos!$B$4*IF(K9=1,L9,0)+Pesos!$B$5*IF(N9=1,O9,0)+Pesos!$B$6*IF(Q9=1,R9,0)+Pesos!$B$7*IF(T9=1,U9,0)+Pesos!$B$8*IF(W9=1,X9,0)+Pesos!$B$9*IF(Z9=1,AA9,0)+Pesos!$B$10*IF(AC9=1,AD9,0))/(3*(Pesos!$B$2*E9+Pesos!$B$3*H9+Pesos!$B$4*K9+Pesos!$B$5*N9+Pesos!$B$6*Q9+Pesos!$B$7*T9+Pesos!$B$8*W9+Pesos!$B$9*Z9+Pesos!$B$10*AC9)))</f>
        <v/>
      </c>
      <c r="AH9" s="5">
        <f>IF(OR(AF9="Sin criterios aplicables",AF9&lt;70),"Insufficient evidence",100*(Pesos!$C$2*IF(E9=1,F9,0)+Pesos!$C$3*IF(H9=1,I9,0)+Pesos!$C$4*IF(K9=1,L9,0)+Pesos!$C$5*IF(N9=1,O9,0)+Pesos!$C$6*IF(Q9=1,R9,0)+Pesos!$C$7*IF(T9=1,U9,0)+Pesos!$C$8*IF(W9=1,X9,0)+Pesos!$C$9*IF(Z9=1,AA9,0)+Pesos!$C$10*IF(AC9=1,AD9,0))/(3*(Pesos!$C$2*E9+Pesos!$C$3*H9+Pesos!$C$4*K9+Pesos!$C$5*N9+Pesos!$C$6*Q9+Pesos!$C$7*T9+Pesos!$C$8*W9+Pesos!$C$9*Z9+Pesos!$C$10*AC9)))</f>
        <v/>
      </c>
      <c r="AI9">
        <f>IF(AG9="Insufficient evidence","Insufficient evidence (cobertura&lt;70%)",IF(AG9&lt;50/3,"Insufficient",IF(AG9&lt;50,"Basic",IF(AG9&lt;250/3,"Solid","Advanced"))))</f>
        <v/>
      </c>
      <c r="AJ9">
        <f>IF(AH9="Insufficient evidence","Insufficient evidence (cobertura&lt;70%)",IF(AH9&lt;50/3,"Insufficient",IF(AH9&lt;50,"Basic",IF(AH9&lt;250/3,"Solid","Advanced"))))</f>
        <v/>
      </c>
      <c r="AK9">
        <f>IF(TRIM(IF(AND(ISNUMBER(F9),F9&lt;1),"Visibilidad","") &amp; " " &amp; IF(AND(ISNUMBER(I9),I9&lt;1),"Asignación",""))="","Ninguno",TRIM(IF(AND(ISNUMBER(F9),F9&lt;1),"Visibilidad","") &amp; " " &amp; IF(AND(ISNUMBER(I9),I9&lt;1),"Asignación","")))</f>
        <v/>
      </c>
    </row>
    <row r="10">
      <c r="A10" t="inlineStr">
        <is>
          <t>E1</t>
        </is>
      </c>
      <c r="B10" t="inlineStr">
        <is>
          <t>Multicloud</t>
        </is>
      </c>
      <c r="C10" t="inlineStr">
        <is>
          <t>Finout</t>
        </is>
      </c>
      <c r="D10">
        <f>IF(COUNTIFS(Puntuacion!$A:$A,$A10,Puntuacion!$C:$C,$C10,Puntuacion!$D:$D,"Visibilidad",Puntuacion!$G:$G,"&lt;&gt;NA")&gt;0,1,0)</f>
        <v/>
      </c>
      <c r="E10">
        <f>IF(AND(D10=1,COUNTIFS(Puntuacion!$A:$A,$A10,Puntuacion!$C:$C,$C10,Puntuacion!$D:$D,"Visibilidad",Puntuacion!$G:$G,"NE")=0),1,0)</f>
        <v/>
      </c>
      <c r="F10" s="5">
        <f>IF(D10=0,"NA",IF(E10=0,"NE",AVERAGEIFS(Puntuacion!$G:$G,Puntuacion!$A:$A,$A10,Puntuacion!$C:$C,$C10,Puntuacion!$D:$D,"Visibilidad",Puntuacion!$G:$G,"&lt;&gt;NA",Puntuacion!$G:$G,"&lt;&gt;NE")))</f>
        <v/>
      </c>
      <c r="G10">
        <f>IF(COUNTIFS(Puntuacion!$A:$A,$A10,Puntuacion!$C:$C,$C10,Puntuacion!$D:$D,"Asignacion",Puntuacion!$G:$G,"&lt;&gt;NA")&gt;0,1,0)</f>
        <v/>
      </c>
      <c r="H10">
        <f>IF(AND(G10=1,COUNTIFS(Puntuacion!$A:$A,$A10,Puntuacion!$C:$C,$C10,Puntuacion!$D:$D,"Asignacion",Puntuacion!$G:$G,"NE")=0),1,0)</f>
        <v/>
      </c>
      <c r="I10" s="5">
        <f>IF(G10=0,"NA",IF(H10=0,"NE",AVERAGEIFS(Puntuacion!$G:$G,Puntuacion!$A:$A,$A10,Puntuacion!$C:$C,$C10,Puntuacion!$D:$D,"Asignacion",Puntuacion!$G:$G,"&lt;&gt;NA",Puntuacion!$G:$G,"&lt;&gt;NE")))</f>
        <v/>
      </c>
      <c r="J10">
        <f>IF(COUNTIFS(Puntuacion!$A:$A,$A10,Puntuacion!$C:$C,$C10,Puntuacion!$D:$D,"Optimizacion",Puntuacion!$G:$G,"&lt;&gt;NA")&gt;0,1,0)</f>
        <v/>
      </c>
      <c r="K10">
        <f>IF(AND(J10=1,COUNTIFS(Puntuacion!$A:$A,$A10,Puntuacion!$C:$C,$C10,Puntuacion!$D:$D,"Optimizacion",Puntuacion!$G:$G,"NE")=0),1,0)</f>
        <v/>
      </c>
      <c r="L10" s="5">
        <f>IF(J10=0,"NA",IF(K10=0,"NE",AVERAGEIFS(Puntuacion!$G:$G,Puntuacion!$A:$A,$A10,Puntuacion!$C:$C,$C10,Puntuacion!$D:$D,"Optimizacion",Puntuacion!$G:$G,"&lt;&gt;NA",Puntuacion!$G:$G,"&lt;&gt;NE")))</f>
        <v/>
      </c>
      <c r="M10">
        <f>IF(COUNTIFS(Puntuacion!$A:$A,$A10,Puntuacion!$C:$C,$C10,Puntuacion!$D:$D,"Automatizacion",Puntuacion!$G:$G,"&lt;&gt;NA")&gt;0,1,0)</f>
        <v/>
      </c>
      <c r="N10">
        <f>IF(AND(M10=1,COUNTIFS(Puntuacion!$A:$A,$A10,Puntuacion!$C:$C,$C10,Puntuacion!$D:$D,"Automatizacion",Puntuacion!$G:$G,"NE")=0),1,0)</f>
        <v/>
      </c>
      <c r="O10" s="5">
        <f>IF(M10=0,"NA",IF(N10=0,"NE",AVERAGEIFS(Puntuacion!$G:$G,Puntuacion!$A:$A,$A10,Puntuacion!$C:$C,$C10,Puntuacion!$D:$D,"Automatizacion",Puntuacion!$G:$G,"&lt;&gt;NA",Puntuacion!$G:$G,"&lt;&gt;NE")))</f>
        <v/>
      </c>
      <c r="P10">
        <f>IF(COUNTIFS(Puntuacion!$A:$A,$A10,Puntuacion!$C:$C,$C10,Puntuacion!$D:$D,"Multicloud",Puntuacion!$G:$G,"&lt;&gt;NA")&gt;0,1,0)</f>
        <v/>
      </c>
      <c r="Q10">
        <f>IF(AND(P10=1,COUNTIFS(Puntuacion!$A:$A,$A10,Puntuacion!$C:$C,$C10,Puntuacion!$D:$D,"Multicloud",Puntuacion!$G:$G,"NE")=0),1,0)</f>
        <v/>
      </c>
      <c r="R10" s="5">
        <f>IF(P10=0,"NA",IF(Q10=0,"NE",AVERAGEIFS(Puntuacion!$G:$G,Puntuacion!$A:$A,$A10,Puntuacion!$C:$C,$C10,Puntuacion!$D:$D,"Multicloud",Puntuacion!$G:$G,"&lt;&gt;NA",Puntuacion!$G:$G,"&lt;&gt;NE")))</f>
        <v/>
      </c>
      <c r="S10">
        <f>IF(COUNTIFS(Puntuacion!$A:$A,$A10,Puntuacion!$C:$C,$C10,Puntuacion!$D:$D,"Integracion",Puntuacion!$G:$G,"&lt;&gt;NA")&gt;0,1,0)</f>
        <v/>
      </c>
      <c r="T10">
        <f>IF(AND(S10=1,COUNTIFS(Puntuacion!$A:$A,$A10,Puntuacion!$C:$C,$C10,Puntuacion!$D:$D,"Integracion",Puntuacion!$G:$G,"NE")=0),1,0)</f>
        <v/>
      </c>
      <c r="U10" s="5">
        <f>IF(S10=0,"NA",IF(T10=0,"NE",AVERAGEIFS(Puntuacion!$G:$G,Puntuacion!$A:$A,$A10,Puntuacion!$C:$C,$C10,Puntuacion!$D:$D,"Integracion",Puntuacion!$G:$G,"&lt;&gt;NA",Puntuacion!$G:$G,"&lt;&gt;NE")))</f>
        <v/>
      </c>
      <c r="V10">
        <f>IF(COUNTIFS(Puntuacion!$A:$A,$A10,Puntuacion!$C:$C,$C10,Puntuacion!$D:$D,"Adopcion",Puntuacion!$G:$G,"&lt;&gt;NA")&gt;0,1,0)</f>
        <v/>
      </c>
      <c r="W10">
        <f>IF(AND(V10=1,COUNTIFS(Puntuacion!$A:$A,$A10,Puntuacion!$C:$C,$C10,Puntuacion!$D:$D,"Adopcion",Puntuacion!$G:$G,"NE")=0),1,0)</f>
        <v/>
      </c>
      <c r="X10" s="5">
        <f>IF(V10=0,"NA",IF(W10=0,"NE",AVERAGEIFS(Puntuacion!$G:$G,Puntuacion!$A:$A,$A10,Puntuacion!$C:$C,$C10,Puntuacion!$D:$D,"Adopcion",Puntuacion!$G:$G,"&lt;&gt;NA",Puntuacion!$G:$G,"&lt;&gt;NE")))</f>
        <v/>
      </c>
      <c r="Y10">
        <f>IF(COUNTIFS(Puntuacion!$A:$A,$A10,Puntuacion!$C:$C,$C10,Puntuacion!$D:$D,"Precio",Puntuacion!$G:$G,"&lt;&gt;NA")&gt;0,1,0)</f>
        <v/>
      </c>
      <c r="Z10">
        <f>IF(AND(Y10=1,COUNTIFS(Puntuacion!$A:$A,$A10,Puntuacion!$C:$C,$C10,Puntuacion!$D:$D,"Precio",Puntuacion!$G:$G,"NE")=0),1,0)</f>
        <v/>
      </c>
      <c r="AA10" s="5">
        <f>IF(Y10=0,"NA",IF(Z10=0,"NE",AVERAGEIFS(Puntuacion!$G:$G,Puntuacion!$A:$A,$A10,Puntuacion!$C:$C,$C10,Puntuacion!$D:$D,"Precio",Puntuacion!$G:$G,"&lt;&gt;NA",Puntuacion!$G:$G,"&lt;&gt;NE")))</f>
        <v/>
      </c>
      <c r="AB10">
        <f>IF(COUNTIFS(Puntuacion!$A:$A,$A10,Puntuacion!$C:$C,$C10,Puntuacion!$D:$D,"Dependencia",Puntuacion!$G:$G,"&lt;&gt;NA")&gt;0,1,0)</f>
        <v/>
      </c>
      <c r="AC10">
        <f>IF(AND(AB10=1,COUNTIFS(Puntuacion!$A:$A,$A10,Puntuacion!$C:$C,$C10,Puntuacion!$D:$D,"Dependencia",Puntuacion!$G:$G,"NE")=0),1,0)</f>
        <v/>
      </c>
      <c r="AD10" s="5">
        <f>IF(AB10=0,"NA",IF(AC10=0,"NE",AVERAGEIFS(Puntuacion!$G:$G,Puntuacion!$A:$A,$A10,Puntuacion!$C:$C,$C10,Puntuacion!$D:$D,"Dependencia",Puntuacion!$G:$G,"&lt;&gt;NA",Puntuacion!$G:$G,"&lt;&gt;NE")))</f>
        <v/>
      </c>
      <c r="AE10" s="5">
        <f>IFERROR(100*(E10*Pesos!$B$2+H10*Pesos!$B$3+K10*Pesos!$B$4+N10*Pesos!$B$5+Q10*Pesos!$B$6+T10*Pesos!$B$7+W10*Pesos!$B$8+Z10*Pesos!$B$9+AC10*Pesos!$B$10)/(D10*Pesos!$B$2+G10*Pesos!$B$3+J10*Pesos!$B$4+M10*Pesos!$B$5+P10*Pesos!$B$6+S10*Pesos!$B$7+V10*Pesos!$B$8+Y10*Pesos!$B$9+AB10*Pesos!$B$10),"Sin criterios aplicables")</f>
        <v/>
      </c>
      <c r="AF10" s="5">
        <f>IFERROR(100*(E10*Pesos!$C$2+H10*Pesos!$C$3+K10*Pesos!$C$4+N10*Pesos!$C$5+Q10*Pesos!$C$6+T10*Pesos!$C$7+W10*Pesos!$C$8+Z10*Pesos!$C$9+AC10*Pesos!$C$10)/(D10*Pesos!$C$2+G10*Pesos!$C$3+J10*Pesos!$C$4+M10*Pesos!$C$5+P10*Pesos!$C$6+S10*Pesos!$C$7+V10*Pesos!$C$8+Y10*Pesos!$C$9+AB10*Pesos!$C$10),"Sin criterios aplicables")</f>
        <v/>
      </c>
      <c r="AG10" s="5">
        <f>IF(OR(AE10="Sin criterios aplicables",AE10&lt;70),"Insufficient evidence",100*(Pesos!$B$2*IF(E10=1,F10,0)+Pesos!$B$3*IF(H10=1,I10,0)+Pesos!$B$4*IF(K10=1,L10,0)+Pesos!$B$5*IF(N10=1,O10,0)+Pesos!$B$6*IF(Q10=1,R10,0)+Pesos!$B$7*IF(T10=1,U10,0)+Pesos!$B$8*IF(W10=1,X10,0)+Pesos!$B$9*IF(Z10=1,AA10,0)+Pesos!$B$10*IF(AC10=1,AD10,0))/(3*(Pesos!$B$2*E10+Pesos!$B$3*H10+Pesos!$B$4*K10+Pesos!$B$5*N10+Pesos!$B$6*Q10+Pesos!$B$7*T10+Pesos!$B$8*W10+Pesos!$B$9*Z10+Pesos!$B$10*AC10)))</f>
        <v/>
      </c>
      <c r="AH10" s="5">
        <f>IF(OR(AF10="Sin criterios aplicables",AF10&lt;70),"Insufficient evidence",100*(Pesos!$C$2*IF(E10=1,F10,0)+Pesos!$C$3*IF(H10=1,I10,0)+Pesos!$C$4*IF(K10=1,L10,0)+Pesos!$C$5*IF(N10=1,O10,0)+Pesos!$C$6*IF(Q10=1,R10,0)+Pesos!$C$7*IF(T10=1,U10,0)+Pesos!$C$8*IF(W10=1,X10,0)+Pesos!$C$9*IF(Z10=1,AA10,0)+Pesos!$C$10*IF(AC10=1,AD10,0))/(3*(Pesos!$C$2*E10+Pesos!$C$3*H10+Pesos!$C$4*K10+Pesos!$C$5*N10+Pesos!$C$6*Q10+Pesos!$C$7*T10+Pesos!$C$8*W10+Pesos!$C$9*Z10+Pesos!$C$10*AC10)))</f>
        <v/>
      </c>
      <c r="AI10">
        <f>IF(AG10="Insufficient evidence","Insufficient evidence (cobertura&lt;70%)",IF(AG10&lt;50/3,"Insufficient",IF(AG10&lt;50,"Basic",IF(AG10&lt;250/3,"Solid","Advanced"))))</f>
        <v/>
      </c>
      <c r="AJ10">
        <f>IF(AH10="Insufficient evidence","Insufficient evidence (cobertura&lt;70%)",IF(AH10&lt;50/3,"Insufficient",IF(AH10&lt;50,"Basic",IF(AH10&lt;250/3,"Solid","Advanced"))))</f>
        <v/>
      </c>
      <c r="AK10">
        <f>IF(TRIM(IF(AND(ISNUMBER(F10),F10&lt;1),"Visibilidad","") &amp; " " &amp; IF(AND(ISNUMBER(I10),I10&lt;1),"Asignación",""))="","Ninguno",TRIM(IF(AND(ISNUMBER(F10),F10&lt;1),"Visibilidad","") &amp; " " &amp; IF(AND(ISNUMBER(I10),I10&lt;1),"Asignación","")))</f>
        <v/>
      </c>
    </row>
    <row r="11">
      <c r="A11" t="inlineStr">
        <is>
          <t>E1</t>
        </is>
      </c>
      <c r="B11" t="inlineStr">
        <is>
          <t>Multicloud</t>
        </is>
      </c>
      <c r="C11" t="inlineStr">
        <is>
          <t>Vantage</t>
        </is>
      </c>
      <c r="D11">
        <f>IF(COUNTIFS(Puntuacion!$A:$A,$A11,Puntuacion!$C:$C,$C11,Puntuacion!$D:$D,"Visibilidad",Puntuacion!$G:$G,"&lt;&gt;NA")&gt;0,1,0)</f>
        <v/>
      </c>
      <c r="E11">
        <f>IF(AND(D11=1,COUNTIFS(Puntuacion!$A:$A,$A11,Puntuacion!$C:$C,$C11,Puntuacion!$D:$D,"Visibilidad",Puntuacion!$G:$G,"NE")=0),1,0)</f>
        <v/>
      </c>
      <c r="F11" s="5">
        <f>IF(D11=0,"NA",IF(E11=0,"NE",AVERAGEIFS(Puntuacion!$G:$G,Puntuacion!$A:$A,$A11,Puntuacion!$C:$C,$C11,Puntuacion!$D:$D,"Visibilidad",Puntuacion!$G:$G,"&lt;&gt;NA",Puntuacion!$G:$G,"&lt;&gt;NE")))</f>
        <v/>
      </c>
      <c r="G11">
        <f>IF(COUNTIFS(Puntuacion!$A:$A,$A11,Puntuacion!$C:$C,$C11,Puntuacion!$D:$D,"Asignacion",Puntuacion!$G:$G,"&lt;&gt;NA")&gt;0,1,0)</f>
        <v/>
      </c>
      <c r="H11">
        <f>IF(AND(G11=1,COUNTIFS(Puntuacion!$A:$A,$A11,Puntuacion!$C:$C,$C11,Puntuacion!$D:$D,"Asignacion",Puntuacion!$G:$G,"NE")=0),1,0)</f>
        <v/>
      </c>
      <c r="I11" s="5">
        <f>IF(G11=0,"NA",IF(H11=0,"NE",AVERAGEIFS(Puntuacion!$G:$G,Puntuacion!$A:$A,$A11,Puntuacion!$C:$C,$C11,Puntuacion!$D:$D,"Asignacion",Puntuacion!$G:$G,"&lt;&gt;NA",Puntuacion!$G:$G,"&lt;&gt;NE")))</f>
        <v/>
      </c>
      <c r="J11">
        <f>IF(COUNTIFS(Puntuacion!$A:$A,$A11,Puntuacion!$C:$C,$C11,Puntuacion!$D:$D,"Optimizacion",Puntuacion!$G:$G,"&lt;&gt;NA")&gt;0,1,0)</f>
        <v/>
      </c>
      <c r="K11">
        <f>IF(AND(J11=1,COUNTIFS(Puntuacion!$A:$A,$A11,Puntuacion!$C:$C,$C11,Puntuacion!$D:$D,"Optimizacion",Puntuacion!$G:$G,"NE")=0),1,0)</f>
        <v/>
      </c>
      <c r="L11" s="5">
        <f>IF(J11=0,"NA",IF(K11=0,"NE",AVERAGEIFS(Puntuacion!$G:$G,Puntuacion!$A:$A,$A11,Puntuacion!$C:$C,$C11,Puntuacion!$D:$D,"Optimizacion",Puntuacion!$G:$G,"&lt;&gt;NA",Puntuacion!$G:$G,"&lt;&gt;NE")))</f>
        <v/>
      </c>
      <c r="M11">
        <f>IF(COUNTIFS(Puntuacion!$A:$A,$A11,Puntuacion!$C:$C,$C11,Puntuacion!$D:$D,"Automatizacion",Puntuacion!$G:$G,"&lt;&gt;NA")&gt;0,1,0)</f>
        <v/>
      </c>
      <c r="N11">
        <f>IF(AND(M11=1,COUNTIFS(Puntuacion!$A:$A,$A11,Puntuacion!$C:$C,$C11,Puntuacion!$D:$D,"Automatizacion",Puntuacion!$G:$G,"NE")=0),1,0)</f>
        <v/>
      </c>
      <c r="O11" s="5">
        <f>IF(M11=0,"NA",IF(N11=0,"NE",AVERAGEIFS(Puntuacion!$G:$G,Puntuacion!$A:$A,$A11,Puntuacion!$C:$C,$C11,Puntuacion!$D:$D,"Automatizacion",Puntuacion!$G:$G,"&lt;&gt;NA",Puntuacion!$G:$G,"&lt;&gt;NE")))</f>
        <v/>
      </c>
      <c r="P11">
        <f>IF(COUNTIFS(Puntuacion!$A:$A,$A11,Puntuacion!$C:$C,$C11,Puntuacion!$D:$D,"Multicloud",Puntuacion!$G:$G,"&lt;&gt;NA")&gt;0,1,0)</f>
        <v/>
      </c>
      <c r="Q11">
        <f>IF(AND(P11=1,COUNTIFS(Puntuacion!$A:$A,$A11,Puntuacion!$C:$C,$C11,Puntuacion!$D:$D,"Multicloud",Puntuacion!$G:$G,"NE")=0),1,0)</f>
        <v/>
      </c>
      <c r="R11" s="5">
        <f>IF(P11=0,"NA",IF(Q11=0,"NE",AVERAGEIFS(Puntuacion!$G:$G,Puntuacion!$A:$A,$A11,Puntuacion!$C:$C,$C11,Puntuacion!$D:$D,"Multicloud",Puntuacion!$G:$G,"&lt;&gt;NA",Puntuacion!$G:$G,"&lt;&gt;NE")))</f>
        <v/>
      </c>
      <c r="S11">
        <f>IF(COUNTIFS(Puntuacion!$A:$A,$A11,Puntuacion!$C:$C,$C11,Puntuacion!$D:$D,"Integracion",Puntuacion!$G:$G,"&lt;&gt;NA")&gt;0,1,0)</f>
        <v/>
      </c>
      <c r="T11">
        <f>IF(AND(S11=1,COUNTIFS(Puntuacion!$A:$A,$A11,Puntuacion!$C:$C,$C11,Puntuacion!$D:$D,"Integracion",Puntuacion!$G:$G,"NE")=0),1,0)</f>
        <v/>
      </c>
      <c r="U11" s="5">
        <f>IF(S11=0,"NA",IF(T11=0,"NE",AVERAGEIFS(Puntuacion!$G:$G,Puntuacion!$A:$A,$A11,Puntuacion!$C:$C,$C11,Puntuacion!$D:$D,"Integracion",Puntuacion!$G:$G,"&lt;&gt;NA",Puntuacion!$G:$G,"&lt;&gt;NE")))</f>
        <v/>
      </c>
      <c r="V11">
        <f>IF(COUNTIFS(Puntuacion!$A:$A,$A11,Puntuacion!$C:$C,$C11,Puntuacion!$D:$D,"Adopcion",Puntuacion!$G:$G,"&lt;&gt;NA")&gt;0,1,0)</f>
        <v/>
      </c>
      <c r="W11">
        <f>IF(AND(V11=1,COUNTIFS(Puntuacion!$A:$A,$A11,Puntuacion!$C:$C,$C11,Puntuacion!$D:$D,"Adopcion",Puntuacion!$G:$G,"NE")=0),1,0)</f>
        <v/>
      </c>
      <c r="X11" s="5">
        <f>IF(V11=0,"NA",IF(W11=0,"NE",AVERAGEIFS(Puntuacion!$G:$G,Puntuacion!$A:$A,$A11,Puntuacion!$C:$C,$C11,Puntuacion!$D:$D,"Adopcion",Puntuacion!$G:$G,"&lt;&gt;NA",Puntuacion!$G:$G,"&lt;&gt;NE")))</f>
        <v/>
      </c>
      <c r="Y11">
        <f>IF(COUNTIFS(Puntuacion!$A:$A,$A11,Puntuacion!$C:$C,$C11,Puntuacion!$D:$D,"Precio",Puntuacion!$G:$G,"&lt;&gt;NA")&gt;0,1,0)</f>
        <v/>
      </c>
      <c r="Z11">
        <f>IF(AND(Y11=1,COUNTIFS(Puntuacion!$A:$A,$A11,Puntuacion!$C:$C,$C11,Puntuacion!$D:$D,"Precio",Puntuacion!$G:$G,"NE")=0),1,0)</f>
        <v/>
      </c>
      <c r="AA11" s="5">
        <f>IF(Y11=0,"NA",IF(Z11=0,"NE",AVERAGEIFS(Puntuacion!$G:$G,Puntuacion!$A:$A,$A11,Puntuacion!$C:$C,$C11,Puntuacion!$D:$D,"Precio",Puntuacion!$G:$G,"&lt;&gt;NA",Puntuacion!$G:$G,"&lt;&gt;NE")))</f>
        <v/>
      </c>
      <c r="AB11">
        <f>IF(COUNTIFS(Puntuacion!$A:$A,$A11,Puntuacion!$C:$C,$C11,Puntuacion!$D:$D,"Dependencia",Puntuacion!$G:$G,"&lt;&gt;NA")&gt;0,1,0)</f>
        <v/>
      </c>
      <c r="AC11">
        <f>IF(AND(AB11=1,COUNTIFS(Puntuacion!$A:$A,$A11,Puntuacion!$C:$C,$C11,Puntuacion!$D:$D,"Dependencia",Puntuacion!$G:$G,"NE")=0),1,0)</f>
        <v/>
      </c>
      <c r="AD11" s="5">
        <f>IF(AB11=0,"NA",IF(AC11=0,"NE",AVERAGEIFS(Puntuacion!$G:$G,Puntuacion!$A:$A,$A11,Puntuacion!$C:$C,$C11,Puntuacion!$D:$D,"Dependencia",Puntuacion!$G:$G,"&lt;&gt;NA",Puntuacion!$G:$G,"&lt;&gt;NE")))</f>
        <v/>
      </c>
      <c r="AE11" s="5">
        <f>IFERROR(100*(E11*Pesos!$B$2+H11*Pesos!$B$3+K11*Pesos!$B$4+N11*Pesos!$B$5+Q11*Pesos!$B$6+T11*Pesos!$B$7+W11*Pesos!$B$8+Z11*Pesos!$B$9+AC11*Pesos!$B$10)/(D11*Pesos!$B$2+G11*Pesos!$B$3+J11*Pesos!$B$4+M11*Pesos!$B$5+P11*Pesos!$B$6+S11*Pesos!$B$7+V11*Pesos!$B$8+Y11*Pesos!$B$9+AB11*Pesos!$B$10),"Sin criterios aplicables")</f>
        <v/>
      </c>
      <c r="AF11" s="5">
        <f>IFERROR(100*(E11*Pesos!$C$2+H11*Pesos!$C$3+K11*Pesos!$C$4+N11*Pesos!$C$5+Q11*Pesos!$C$6+T11*Pesos!$C$7+W11*Pesos!$C$8+Z11*Pesos!$C$9+AC11*Pesos!$C$10)/(D11*Pesos!$C$2+G11*Pesos!$C$3+J11*Pesos!$C$4+M11*Pesos!$C$5+P11*Pesos!$C$6+S11*Pesos!$C$7+V11*Pesos!$C$8+Y11*Pesos!$C$9+AB11*Pesos!$C$10),"Sin criterios aplicables")</f>
        <v/>
      </c>
      <c r="AG11" s="5">
        <f>IF(OR(AE11="Sin criterios aplicables",AE11&lt;70),"Insufficient evidence",100*(Pesos!$B$2*IF(E11=1,F11,0)+Pesos!$B$3*IF(H11=1,I11,0)+Pesos!$B$4*IF(K11=1,L11,0)+Pesos!$B$5*IF(N11=1,O11,0)+Pesos!$B$6*IF(Q11=1,R11,0)+Pesos!$B$7*IF(T11=1,U11,0)+Pesos!$B$8*IF(W11=1,X11,0)+Pesos!$B$9*IF(Z11=1,AA11,0)+Pesos!$B$10*IF(AC11=1,AD11,0))/(3*(Pesos!$B$2*E11+Pesos!$B$3*H11+Pesos!$B$4*K11+Pesos!$B$5*N11+Pesos!$B$6*Q11+Pesos!$B$7*T11+Pesos!$B$8*W11+Pesos!$B$9*Z11+Pesos!$B$10*AC11)))</f>
        <v/>
      </c>
      <c r="AH11" s="5">
        <f>IF(OR(AF11="Sin criterios aplicables",AF11&lt;70),"Insufficient evidence",100*(Pesos!$C$2*IF(E11=1,F11,0)+Pesos!$C$3*IF(H11=1,I11,0)+Pesos!$C$4*IF(K11=1,L11,0)+Pesos!$C$5*IF(N11=1,O11,0)+Pesos!$C$6*IF(Q11=1,R11,0)+Pesos!$C$7*IF(T11=1,U11,0)+Pesos!$C$8*IF(W11=1,X11,0)+Pesos!$C$9*IF(Z11=1,AA11,0)+Pesos!$C$10*IF(AC11=1,AD11,0))/(3*(Pesos!$C$2*E11+Pesos!$C$3*H11+Pesos!$C$4*K11+Pesos!$C$5*N11+Pesos!$C$6*Q11+Pesos!$C$7*T11+Pesos!$C$8*W11+Pesos!$C$9*Z11+Pesos!$C$10*AC11)))</f>
        <v/>
      </c>
      <c r="AI11">
        <f>IF(AG11="Insufficient evidence","Insufficient evidence (cobertura&lt;70%)",IF(AG11&lt;50/3,"Insufficient",IF(AG11&lt;50,"Basic",IF(AG11&lt;250/3,"Solid","Advanced"))))</f>
        <v/>
      </c>
      <c r="AJ11">
        <f>IF(AH11="Insufficient evidence","Insufficient evidence (cobertura&lt;70%)",IF(AH11&lt;50/3,"Insufficient",IF(AH11&lt;50,"Basic",IF(AH11&lt;250/3,"Solid","Advanced"))))</f>
        <v/>
      </c>
      <c r="AK11">
        <f>IF(TRIM(IF(AND(ISNUMBER(F11),F11&lt;1),"Visibilidad","") &amp; " " &amp; IF(AND(ISNUMBER(I11),I11&lt;1),"Asignación",""))="","Ninguno",TRIM(IF(AND(ISNUMBER(F11),F11&lt;1),"Visibilidad","") &amp; " " &amp; IF(AND(ISNUMBER(I11),I11&lt;1),"Asignación","")))</f>
        <v/>
      </c>
    </row>
    <row r="12">
      <c r="A12" t="inlineStr">
        <is>
          <t>E1</t>
        </is>
      </c>
      <c r="B12" t="inlineStr">
        <is>
          <t>Multicloud</t>
        </is>
      </c>
      <c r="C12" t="inlineStr">
        <is>
          <t>nOps</t>
        </is>
      </c>
      <c r="D12">
        <f>IF(COUNTIFS(Puntuacion!$A:$A,$A12,Puntuacion!$C:$C,$C12,Puntuacion!$D:$D,"Visibilidad",Puntuacion!$G:$G,"&lt;&gt;NA")&gt;0,1,0)</f>
        <v/>
      </c>
      <c r="E12">
        <f>IF(AND(D12=1,COUNTIFS(Puntuacion!$A:$A,$A12,Puntuacion!$C:$C,$C12,Puntuacion!$D:$D,"Visibilidad",Puntuacion!$G:$G,"NE")=0),1,0)</f>
        <v/>
      </c>
      <c r="F12" s="5">
        <f>IF(D12=0,"NA",IF(E12=0,"NE",AVERAGEIFS(Puntuacion!$G:$G,Puntuacion!$A:$A,$A12,Puntuacion!$C:$C,$C12,Puntuacion!$D:$D,"Visibilidad",Puntuacion!$G:$G,"&lt;&gt;NA",Puntuacion!$G:$G,"&lt;&gt;NE")))</f>
        <v/>
      </c>
      <c r="G12">
        <f>IF(COUNTIFS(Puntuacion!$A:$A,$A12,Puntuacion!$C:$C,$C12,Puntuacion!$D:$D,"Asignacion",Puntuacion!$G:$G,"&lt;&gt;NA")&gt;0,1,0)</f>
        <v/>
      </c>
      <c r="H12">
        <f>IF(AND(G12=1,COUNTIFS(Puntuacion!$A:$A,$A12,Puntuacion!$C:$C,$C12,Puntuacion!$D:$D,"Asignacion",Puntuacion!$G:$G,"NE")=0),1,0)</f>
        <v/>
      </c>
      <c r="I12" s="5">
        <f>IF(G12=0,"NA",IF(H12=0,"NE",AVERAGEIFS(Puntuacion!$G:$G,Puntuacion!$A:$A,$A12,Puntuacion!$C:$C,$C12,Puntuacion!$D:$D,"Asignacion",Puntuacion!$G:$G,"&lt;&gt;NA",Puntuacion!$G:$G,"&lt;&gt;NE")))</f>
        <v/>
      </c>
      <c r="J12">
        <f>IF(COUNTIFS(Puntuacion!$A:$A,$A12,Puntuacion!$C:$C,$C12,Puntuacion!$D:$D,"Optimizacion",Puntuacion!$G:$G,"&lt;&gt;NA")&gt;0,1,0)</f>
        <v/>
      </c>
      <c r="K12">
        <f>IF(AND(J12=1,COUNTIFS(Puntuacion!$A:$A,$A12,Puntuacion!$C:$C,$C12,Puntuacion!$D:$D,"Optimizacion",Puntuacion!$G:$G,"NE")=0),1,0)</f>
        <v/>
      </c>
      <c r="L12" s="5">
        <f>IF(J12=0,"NA",IF(K12=0,"NE",AVERAGEIFS(Puntuacion!$G:$G,Puntuacion!$A:$A,$A12,Puntuacion!$C:$C,$C12,Puntuacion!$D:$D,"Optimizacion",Puntuacion!$G:$G,"&lt;&gt;NA",Puntuacion!$G:$G,"&lt;&gt;NE")))</f>
        <v/>
      </c>
      <c r="M12">
        <f>IF(COUNTIFS(Puntuacion!$A:$A,$A12,Puntuacion!$C:$C,$C12,Puntuacion!$D:$D,"Automatizacion",Puntuacion!$G:$G,"&lt;&gt;NA")&gt;0,1,0)</f>
        <v/>
      </c>
      <c r="N12">
        <f>IF(AND(M12=1,COUNTIFS(Puntuacion!$A:$A,$A12,Puntuacion!$C:$C,$C12,Puntuacion!$D:$D,"Automatizacion",Puntuacion!$G:$G,"NE")=0),1,0)</f>
        <v/>
      </c>
      <c r="O12" s="5">
        <f>IF(M12=0,"NA",IF(N12=0,"NE",AVERAGEIFS(Puntuacion!$G:$G,Puntuacion!$A:$A,$A12,Puntuacion!$C:$C,$C12,Puntuacion!$D:$D,"Automatizacion",Puntuacion!$G:$G,"&lt;&gt;NA",Puntuacion!$G:$G,"&lt;&gt;NE")))</f>
        <v/>
      </c>
      <c r="P12">
        <f>IF(COUNTIFS(Puntuacion!$A:$A,$A12,Puntuacion!$C:$C,$C12,Puntuacion!$D:$D,"Multicloud",Puntuacion!$G:$G,"&lt;&gt;NA")&gt;0,1,0)</f>
        <v/>
      </c>
      <c r="Q12">
        <f>IF(AND(P12=1,COUNTIFS(Puntuacion!$A:$A,$A12,Puntuacion!$C:$C,$C12,Puntuacion!$D:$D,"Multicloud",Puntuacion!$G:$G,"NE")=0),1,0)</f>
        <v/>
      </c>
      <c r="R12" s="5">
        <f>IF(P12=0,"NA",IF(Q12=0,"NE",AVERAGEIFS(Puntuacion!$G:$G,Puntuacion!$A:$A,$A12,Puntuacion!$C:$C,$C12,Puntuacion!$D:$D,"Multicloud",Puntuacion!$G:$G,"&lt;&gt;NA",Puntuacion!$G:$G,"&lt;&gt;NE")))</f>
        <v/>
      </c>
      <c r="S12">
        <f>IF(COUNTIFS(Puntuacion!$A:$A,$A12,Puntuacion!$C:$C,$C12,Puntuacion!$D:$D,"Integracion",Puntuacion!$G:$G,"&lt;&gt;NA")&gt;0,1,0)</f>
        <v/>
      </c>
      <c r="T12">
        <f>IF(AND(S12=1,COUNTIFS(Puntuacion!$A:$A,$A12,Puntuacion!$C:$C,$C12,Puntuacion!$D:$D,"Integracion",Puntuacion!$G:$G,"NE")=0),1,0)</f>
        <v/>
      </c>
      <c r="U12" s="5">
        <f>IF(S12=0,"NA",IF(T12=0,"NE",AVERAGEIFS(Puntuacion!$G:$G,Puntuacion!$A:$A,$A12,Puntuacion!$C:$C,$C12,Puntuacion!$D:$D,"Integracion",Puntuacion!$G:$G,"&lt;&gt;NA",Puntuacion!$G:$G,"&lt;&gt;NE")))</f>
        <v/>
      </c>
      <c r="V12">
        <f>IF(COUNTIFS(Puntuacion!$A:$A,$A12,Puntuacion!$C:$C,$C12,Puntuacion!$D:$D,"Adopcion",Puntuacion!$G:$G,"&lt;&gt;NA")&gt;0,1,0)</f>
        <v/>
      </c>
      <c r="W12">
        <f>IF(AND(V12=1,COUNTIFS(Puntuacion!$A:$A,$A12,Puntuacion!$C:$C,$C12,Puntuacion!$D:$D,"Adopcion",Puntuacion!$G:$G,"NE")=0),1,0)</f>
        <v/>
      </c>
      <c r="X12" s="5">
        <f>IF(V12=0,"NA",IF(W12=0,"NE",AVERAGEIFS(Puntuacion!$G:$G,Puntuacion!$A:$A,$A12,Puntuacion!$C:$C,$C12,Puntuacion!$D:$D,"Adopcion",Puntuacion!$G:$G,"&lt;&gt;NA",Puntuacion!$G:$G,"&lt;&gt;NE")))</f>
        <v/>
      </c>
      <c r="Y12">
        <f>IF(COUNTIFS(Puntuacion!$A:$A,$A12,Puntuacion!$C:$C,$C12,Puntuacion!$D:$D,"Precio",Puntuacion!$G:$G,"&lt;&gt;NA")&gt;0,1,0)</f>
        <v/>
      </c>
      <c r="Z12">
        <f>IF(AND(Y12=1,COUNTIFS(Puntuacion!$A:$A,$A12,Puntuacion!$C:$C,$C12,Puntuacion!$D:$D,"Precio",Puntuacion!$G:$G,"NE")=0),1,0)</f>
        <v/>
      </c>
      <c r="AA12" s="5">
        <f>IF(Y12=0,"NA",IF(Z12=0,"NE",AVERAGEIFS(Puntuacion!$G:$G,Puntuacion!$A:$A,$A12,Puntuacion!$C:$C,$C12,Puntuacion!$D:$D,"Precio",Puntuacion!$G:$G,"&lt;&gt;NA",Puntuacion!$G:$G,"&lt;&gt;NE")))</f>
        <v/>
      </c>
      <c r="AB12">
        <f>IF(COUNTIFS(Puntuacion!$A:$A,$A12,Puntuacion!$C:$C,$C12,Puntuacion!$D:$D,"Dependencia",Puntuacion!$G:$G,"&lt;&gt;NA")&gt;0,1,0)</f>
        <v/>
      </c>
      <c r="AC12">
        <f>IF(AND(AB12=1,COUNTIFS(Puntuacion!$A:$A,$A12,Puntuacion!$C:$C,$C12,Puntuacion!$D:$D,"Dependencia",Puntuacion!$G:$G,"NE")=0),1,0)</f>
        <v/>
      </c>
      <c r="AD12" s="5">
        <f>IF(AB12=0,"NA",IF(AC12=0,"NE",AVERAGEIFS(Puntuacion!$G:$G,Puntuacion!$A:$A,$A12,Puntuacion!$C:$C,$C12,Puntuacion!$D:$D,"Dependencia",Puntuacion!$G:$G,"&lt;&gt;NA",Puntuacion!$G:$G,"&lt;&gt;NE")))</f>
        <v/>
      </c>
      <c r="AE12" s="5">
        <f>IFERROR(100*(E12*Pesos!$B$2+H12*Pesos!$B$3+K12*Pesos!$B$4+N12*Pesos!$B$5+Q12*Pesos!$B$6+T12*Pesos!$B$7+W12*Pesos!$B$8+Z12*Pesos!$B$9+AC12*Pesos!$B$10)/(D12*Pesos!$B$2+G12*Pesos!$B$3+J12*Pesos!$B$4+M12*Pesos!$B$5+P12*Pesos!$B$6+S12*Pesos!$B$7+V12*Pesos!$B$8+Y12*Pesos!$B$9+AB12*Pesos!$B$10),"Sin criterios aplicables")</f>
        <v/>
      </c>
      <c r="AF12" s="5">
        <f>IFERROR(100*(E12*Pesos!$C$2+H12*Pesos!$C$3+K12*Pesos!$C$4+N12*Pesos!$C$5+Q12*Pesos!$C$6+T12*Pesos!$C$7+W12*Pesos!$C$8+Z12*Pesos!$C$9+AC12*Pesos!$C$10)/(D12*Pesos!$C$2+G12*Pesos!$C$3+J12*Pesos!$C$4+M12*Pesos!$C$5+P12*Pesos!$C$6+S12*Pesos!$C$7+V12*Pesos!$C$8+Y12*Pesos!$C$9+AB12*Pesos!$C$10),"Sin criterios aplicables")</f>
        <v/>
      </c>
      <c r="AG12" s="5">
        <f>IF(OR(AE12="Sin criterios aplicables",AE12&lt;70),"Insufficient evidence",100*(Pesos!$B$2*IF(E12=1,F12,0)+Pesos!$B$3*IF(H12=1,I12,0)+Pesos!$B$4*IF(K12=1,L12,0)+Pesos!$B$5*IF(N12=1,O12,0)+Pesos!$B$6*IF(Q12=1,R12,0)+Pesos!$B$7*IF(T12=1,U12,0)+Pesos!$B$8*IF(W12=1,X12,0)+Pesos!$B$9*IF(Z12=1,AA12,0)+Pesos!$B$10*IF(AC12=1,AD12,0))/(3*(Pesos!$B$2*E12+Pesos!$B$3*H12+Pesos!$B$4*K12+Pesos!$B$5*N12+Pesos!$B$6*Q12+Pesos!$B$7*T12+Pesos!$B$8*W12+Pesos!$B$9*Z12+Pesos!$B$10*AC12)))</f>
        <v/>
      </c>
      <c r="AH12" s="5">
        <f>IF(OR(AF12="Sin criterios aplicables",AF12&lt;70),"Insufficient evidence",100*(Pesos!$C$2*IF(E12=1,F12,0)+Pesos!$C$3*IF(H12=1,I12,0)+Pesos!$C$4*IF(K12=1,L12,0)+Pesos!$C$5*IF(N12=1,O12,0)+Pesos!$C$6*IF(Q12=1,R12,0)+Pesos!$C$7*IF(T12=1,U12,0)+Pesos!$C$8*IF(W12=1,X12,0)+Pesos!$C$9*IF(Z12=1,AA12,0)+Pesos!$C$10*IF(AC12=1,AD12,0))/(3*(Pesos!$C$2*E12+Pesos!$C$3*H12+Pesos!$C$4*K12+Pesos!$C$5*N12+Pesos!$C$6*Q12+Pesos!$C$7*T12+Pesos!$C$8*W12+Pesos!$C$9*Z12+Pesos!$C$10*AC12)))</f>
        <v/>
      </c>
      <c r="AI12">
        <f>IF(AG12="Insufficient evidence","Insufficient evidence (cobertura&lt;70%)",IF(AG12&lt;50/3,"Insufficient",IF(AG12&lt;50,"Basic",IF(AG12&lt;250/3,"Solid","Advanced"))))</f>
        <v/>
      </c>
      <c r="AJ12">
        <f>IF(AH12="Insufficient evidence","Insufficient evidence (cobertura&lt;70%)",IF(AH12&lt;50/3,"Insufficient",IF(AH12&lt;50,"Basic",IF(AH12&lt;250/3,"Solid","Advanced"))))</f>
        <v/>
      </c>
      <c r="AK12">
        <f>IF(TRIM(IF(AND(ISNUMBER(F12),F12&lt;1),"Visibilidad","") &amp; " " &amp; IF(AND(ISNUMBER(I12),I12&lt;1),"Asignación",""))="","Ninguno",TRIM(IF(AND(ISNUMBER(F12),F12&lt;1),"Visibilidad","") &amp; " " &amp; IF(AND(ISNUMBER(I12),I12&lt;1),"Asignación","")))</f>
        <v/>
      </c>
    </row>
    <row r="13">
      <c r="A13" t="inlineStr">
        <is>
          <t>E2</t>
        </is>
      </c>
      <c r="B13" t="inlineStr">
        <is>
          <t>Cloud nativa</t>
        </is>
      </c>
      <c r="C13" t="inlineStr">
        <is>
          <t>AWS Cost Explorer</t>
        </is>
      </c>
      <c r="D13">
        <f>IF(COUNTIFS(Puntuacion!$A:$A,$A13,Puntuacion!$C:$C,$C13,Puntuacion!$D:$D,"Visibilidad",Puntuacion!$G:$G,"&lt;&gt;NA")&gt;0,1,0)</f>
        <v/>
      </c>
      <c r="E13">
        <f>IF(AND(D13=1,COUNTIFS(Puntuacion!$A:$A,$A13,Puntuacion!$C:$C,$C13,Puntuacion!$D:$D,"Visibilidad",Puntuacion!$G:$G,"NE")=0),1,0)</f>
        <v/>
      </c>
      <c r="F13" s="5">
        <f>IF(D13=0,"NA",IF(E13=0,"NE",AVERAGEIFS(Puntuacion!$G:$G,Puntuacion!$A:$A,$A13,Puntuacion!$C:$C,$C13,Puntuacion!$D:$D,"Visibilidad",Puntuacion!$G:$G,"&lt;&gt;NA",Puntuacion!$G:$G,"&lt;&gt;NE")))</f>
        <v/>
      </c>
      <c r="G13">
        <f>IF(COUNTIFS(Puntuacion!$A:$A,$A13,Puntuacion!$C:$C,$C13,Puntuacion!$D:$D,"Asignacion",Puntuacion!$G:$G,"&lt;&gt;NA")&gt;0,1,0)</f>
        <v/>
      </c>
      <c r="H13">
        <f>IF(AND(G13=1,COUNTIFS(Puntuacion!$A:$A,$A13,Puntuacion!$C:$C,$C13,Puntuacion!$D:$D,"Asignacion",Puntuacion!$G:$G,"NE")=0),1,0)</f>
        <v/>
      </c>
      <c r="I13" s="5">
        <f>IF(G13=0,"NA",IF(H13=0,"NE",AVERAGEIFS(Puntuacion!$G:$G,Puntuacion!$A:$A,$A13,Puntuacion!$C:$C,$C13,Puntuacion!$D:$D,"Asignacion",Puntuacion!$G:$G,"&lt;&gt;NA",Puntuacion!$G:$G,"&lt;&gt;NE")))</f>
        <v/>
      </c>
      <c r="J13">
        <f>IF(COUNTIFS(Puntuacion!$A:$A,$A13,Puntuacion!$C:$C,$C13,Puntuacion!$D:$D,"Optimizacion",Puntuacion!$G:$G,"&lt;&gt;NA")&gt;0,1,0)</f>
        <v/>
      </c>
      <c r="K13">
        <f>IF(AND(J13=1,COUNTIFS(Puntuacion!$A:$A,$A13,Puntuacion!$C:$C,$C13,Puntuacion!$D:$D,"Optimizacion",Puntuacion!$G:$G,"NE")=0),1,0)</f>
        <v/>
      </c>
      <c r="L13" s="5">
        <f>IF(J13=0,"NA",IF(K13=0,"NE",AVERAGEIFS(Puntuacion!$G:$G,Puntuacion!$A:$A,$A13,Puntuacion!$C:$C,$C13,Puntuacion!$D:$D,"Optimizacion",Puntuacion!$G:$G,"&lt;&gt;NA",Puntuacion!$G:$G,"&lt;&gt;NE")))</f>
        <v/>
      </c>
      <c r="M13">
        <f>IF(COUNTIFS(Puntuacion!$A:$A,$A13,Puntuacion!$C:$C,$C13,Puntuacion!$D:$D,"Automatizacion",Puntuacion!$G:$G,"&lt;&gt;NA")&gt;0,1,0)</f>
        <v/>
      </c>
      <c r="N13">
        <f>IF(AND(M13=1,COUNTIFS(Puntuacion!$A:$A,$A13,Puntuacion!$C:$C,$C13,Puntuacion!$D:$D,"Automatizacion",Puntuacion!$G:$G,"NE")=0),1,0)</f>
        <v/>
      </c>
      <c r="O13" s="5">
        <f>IF(M13=0,"NA",IF(N13=0,"NE",AVERAGEIFS(Puntuacion!$G:$G,Puntuacion!$A:$A,$A13,Puntuacion!$C:$C,$C13,Puntuacion!$D:$D,"Automatizacion",Puntuacion!$G:$G,"&lt;&gt;NA",Puntuacion!$G:$G,"&lt;&gt;NE")))</f>
        <v/>
      </c>
      <c r="P13">
        <f>IF(COUNTIFS(Puntuacion!$A:$A,$A13,Puntuacion!$C:$C,$C13,Puntuacion!$D:$D,"Multicloud",Puntuacion!$G:$G,"&lt;&gt;NA")&gt;0,1,0)</f>
        <v/>
      </c>
      <c r="Q13">
        <f>IF(AND(P13=1,COUNTIFS(Puntuacion!$A:$A,$A13,Puntuacion!$C:$C,$C13,Puntuacion!$D:$D,"Multicloud",Puntuacion!$G:$G,"NE")=0),1,0)</f>
        <v/>
      </c>
      <c r="R13" s="5">
        <f>IF(P13=0,"NA",IF(Q13=0,"NE",AVERAGEIFS(Puntuacion!$G:$G,Puntuacion!$A:$A,$A13,Puntuacion!$C:$C,$C13,Puntuacion!$D:$D,"Multicloud",Puntuacion!$G:$G,"&lt;&gt;NA",Puntuacion!$G:$G,"&lt;&gt;NE")))</f>
        <v/>
      </c>
      <c r="S13">
        <f>IF(COUNTIFS(Puntuacion!$A:$A,$A13,Puntuacion!$C:$C,$C13,Puntuacion!$D:$D,"Integracion",Puntuacion!$G:$G,"&lt;&gt;NA")&gt;0,1,0)</f>
        <v/>
      </c>
      <c r="T13">
        <f>IF(AND(S13=1,COUNTIFS(Puntuacion!$A:$A,$A13,Puntuacion!$C:$C,$C13,Puntuacion!$D:$D,"Integracion",Puntuacion!$G:$G,"NE")=0),1,0)</f>
        <v/>
      </c>
      <c r="U13" s="5">
        <f>IF(S13=0,"NA",IF(T13=0,"NE",AVERAGEIFS(Puntuacion!$G:$G,Puntuacion!$A:$A,$A13,Puntuacion!$C:$C,$C13,Puntuacion!$D:$D,"Integracion",Puntuacion!$G:$G,"&lt;&gt;NA",Puntuacion!$G:$G,"&lt;&gt;NE")))</f>
        <v/>
      </c>
      <c r="V13">
        <f>IF(COUNTIFS(Puntuacion!$A:$A,$A13,Puntuacion!$C:$C,$C13,Puntuacion!$D:$D,"Adopcion",Puntuacion!$G:$G,"&lt;&gt;NA")&gt;0,1,0)</f>
        <v/>
      </c>
      <c r="W13">
        <f>IF(AND(V13=1,COUNTIFS(Puntuacion!$A:$A,$A13,Puntuacion!$C:$C,$C13,Puntuacion!$D:$D,"Adopcion",Puntuacion!$G:$G,"NE")=0),1,0)</f>
        <v/>
      </c>
      <c r="X13" s="5">
        <f>IF(V13=0,"NA",IF(W13=0,"NE",AVERAGEIFS(Puntuacion!$G:$G,Puntuacion!$A:$A,$A13,Puntuacion!$C:$C,$C13,Puntuacion!$D:$D,"Adopcion",Puntuacion!$G:$G,"&lt;&gt;NA",Puntuacion!$G:$G,"&lt;&gt;NE")))</f>
        <v/>
      </c>
      <c r="Y13">
        <f>IF(COUNTIFS(Puntuacion!$A:$A,$A13,Puntuacion!$C:$C,$C13,Puntuacion!$D:$D,"Precio",Puntuacion!$G:$G,"&lt;&gt;NA")&gt;0,1,0)</f>
        <v/>
      </c>
      <c r="Z13">
        <f>IF(AND(Y13=1,COUNTIFS(Puntuacion!$A:$A,$A13,Puntuacion!$C:$C,$C13,Puntuacion!$D:$D,"Precio",Puntuacion!$G:$G,"NE")=0),1,0)</f>
        <v/>
      </c>
      <c r="AA13" s="5">
        <f>IF(Y13=0,"NA",IF(Z13=0,"NE",AVERAGEIFS(Puntuacion!$G:$G,Puntuacion!$A:$A,$A13,Puntuacion!$C:$C,$C13,Puntuacion!$D:$D,"Precio",Puntuacion!$G:$G,"&lt;&gt;NA",Puntuacion!$G:$G,"&lt;&gt;NE")))</f>
        <v/>
      </c>
      <c r="AB13">
        <f>IF(COUNTIFS(Puntuacion!$A:$A,$A13,Puntuacion!$C:$C,$C13,Puntuacion!$D:$D,"Dependencia",Puntuacion!$G:$G,"&lt;&gt;NA")&gt;0,1,0)</f>
        <v/>
      </c>
      <c r="AC13">
        <f>IF(AND(AB13=1,COUNTIFS(Puntuacion!$A:$A,$A13,Puntuacion!$C:$C,$C13,Puntuacion!$D:$D,"Dependencia",Puntuacion!$G:$G,"NE")=0),1,0)</f>
        <v/>
      </c>
      <c r="AD13" s="5">
        <f>IF(AB13=0,"NA",IF(AC13=0,"NE",AVERAGEIFS(Puntuacion!$G:$G,Puntuacion!$A:$A,$A13,Puntuacion!$C:$C,$C13,Puntuacion!$D:$D,"Dependencia",Puntuacion!$G:$G,"&lt;&gt;NA",Puntuacion!$G:$G,"&lt;&gt;NE")))</f>
        <v/>
      </c>
      <c r="AE13" s="5">
        <f>IFERROR(100*(E13*Pesos!$B$2+H13*Pesos!$B$3+K13*Pesos!$B$4+N13*Pesos!$B$5+Q13*Pesos!$B$6+T13*Pesos!$B$7+W13*Pesos!$B$8+Z13*Pesos!$B$9+AC13*Pesos!$B$10)/(D13*Pesos!$B$2+G13*Pesos!$B$3+J13*Pesos!$B$4+M13*Pesos!$B$5+P13*Pesos!$B$6+S13*Pesos!$B$7+V13*Pesos!$B$8+Y13*Pesos!$B$9+AB13*Pesos!$B$10),"Sin criterios aplicables")</f>
        <v/>
      </c>
      <c r="AF13" s="5">
        <f>IFERROR(100*(E13*Pesos!$C$2+H13*Pesos!$C$3+K13*Pesos!$C$4+N13*Pesos!$C$5+Q13*Pesos!$C$6+T13*Pesos!$C$7+W13*Pesos!$C$8+Z13*Pesos!$C$9+AC13*Pesos!$C$10)/(D13*Pesos!$C$2+G13*Pesos!$C$3+J13*Pesos!$C$4+M13*Pesos!$C$5+P13*Pesos!$C$6+S13*Pesos!$C$7+V13*Pesos!$C$8+Y13*Pesos!$C$9+AB13*Pesos!$C$10),"Sin criterios aplicables")</f>
        <v/>
      </c>
      <c r="AG13" s="5">
        <f>IF(OR(AE13="Sin criterios aplicables",AE13&lt;70),"Insufficient evidence",100*(Pesos!$B$2*IF(E13=1,F13,0)+Pesos!$B$3*IF(H13=1,I13,0)+Pesos!$B$4*IF(K13=1,L13,0)+Pesos!$B$5*IF(N13=1,O13,0)+Pesos!$B$6*IF(Q13=1,R13,0)+Pesos!$B$7*IF(T13=1,U13,0)+Pesos!$B$8*IF(W13=1,X13,0)+Pesos!$B$9*IF(Z13=1,AA13,0)+Pesos!$B$10*IF(AC13=1,AD13,0))/(3*(Pesos!$B$2*E13+Pesos!$B$3*H13+Pesos!$B$4*K13+Pesos!$B$5*N13+Pesos!$B$6*Q13+Pesos!$B$7*T13+Pesos!$B$8*W13+Pesos!$B$9*Z13+Pesos!$B$10*AC13)))</f>
        <v/>
      </c>
      <c r="AH13" s="5">
        <f>IF(OR(AF13="Sin criterios aplicables",AF13&lt;70),"Insufficient evidence",100*(Pesos!$C$2*IF(E13=1,F13,0)+Pesos!$C$3*IF(H13=1,I13,0)+Pesos!$C$4*IF(K13=1,L13,0)+Pesos!$C$5*IF(N13=1,O13,0)+Pesos!$C$6*IF(Q13=1,R13,0)+Pesos!$C$7*IF(T13=1,U13,0)+Pesos!$C$8*IF(W13=1,X13,0)+Pesos!$C$9*IF(Z13=1,AA13,0)+Pesos!$C$10*IF(AC13=1,AD13,0))/(3*(Pesos!$C$2*E13+Pesos!$C$3*H13+Pesos!$C$4*K13+Pesos!$C$5*N13+Pesos!$C$6*Q13+Pesos!$C$7*T13+Pesos!$C$8*W13+Pesos!$C$9*Z13+Pesos!$C$10*AC13)))</f>
        <v/>
      </c>
      <c r="AI13">
        <f>IF(AG13="Insufficient evidence","Insufficient evidence (cobertura&lt;70%)",IF(AG13&lt;50/3,"Insufficient",IF(AG13&lt;50,"Basic",IF(AG13&lt;250/3,"Solid","Advanced"))))</f>
        <v/>
      </c>
      <c r="AJ13">
        <f>IF(AH13="Insufficient evidence","Insufficient evidence (cobertura&lt;70%)",IF(AH13&lt;50/3,"Insufficient",IF(AH13&lt;50,"Basic",IF(AH13&lt;250/3,"Solid","Advanced"))))</f>
        <v/>
      </c>
      <c r="AK13">
        <f>IF(TRIM(IF(AND(ISNUMBER(R13),R13&lt;1),"Multicloud","") &amp; " " &amp; IF(AND(ISNUMBER(AA13),AA13&lt;1),"Precio",""))="","Ninguno",TRIM(IF(AND(ISNUMBER(R13),R13&lt;1),"Multicloud","") &amp; " " &amp; IF(AND(ISNUMBER(AA13),AA13&lt;1),"Precio","")))</f>
        <v/>
      </c>
    </row>
    <row r="14">
      <c r="A14" t="inlineStr">
        <is>
          <t>E2</t>
        </is>
      </c>
      <c r="B14" t="inlineStr">
        <is>
          <t>Cloud nativa</t>
        </is>
      </c>
      <c r="C14" t="inlineStr">
        <is>
          <t>AWS Cost Optimization Hub</t>
        </is>
      </c>
      <c r="D14">
        <f>IF(COUNTIFS(Puntuacion!$A:$A,$A14,Puntuacion!$C:$C,$C14,Puntuacion!$D:$D,"Visibilidad",Puntuacion!$G:$G,"&lt;&gt;NA")&gt;0,1,0)</f>
        <v/>
      </c>
      <c r="E14">
        <f>IF(AND(D14=1,COUNTIFS(Puntuacion!$A:$A,$A14,Puntuacion!$C:$C,$C14,Puntuacion!$D:$D,"Visibilidad",Puntuacion!$G:$G,"NE")=0),1,0)</f>
        <v/>
      </c>
      <c r="F14" s="5">
        <f>IF(D14=0,"NA",IF(E14=0,"NE",AVERAGEIFS(Puntuacion!$G:$G,Puntuacion!$A:$A,$A14,Puntuacion!$C:$C,$C14,Puntuacion!$D:$D,"Visibilidad",Puntuacion!$G:$G,"&lt;&gt;NA",Puntuacion!$G:$G,"&lt;&gt;NE")))</f>
        <v/>
      </c>
      <c r="G14">
        <f>IF(COUNTIFS(Puntuacion!$A:$A,$A14,Puntuacion!$C:$C,$C14,Puntuacion!$D:$D,"Asignacion",Puntuacion!$G:$G,"&lt;&gt;NA")&gt;0,1,0)</f>
        <v/>
      </c>
      <c r="H14">
        <f>IF(AND(G14=1,COUNTIFS(Puntuacion!$A:$A,$A14,Puntuacion!$C:$C,$C14,Puntuacion!$D:$D,"Asignacion",Puntuacion!$G:$G,"NE")=0),1,0)</f>
        <v/>
      </c>
      <c r="I14" s="5">
        <f>IF(G14=0,"NA",IF(H14=0,"NE",AVERAGEIFS(Puntuacion!$G:$G,Puntuacion!$A:$A,$A14,Puntuacion!$C:$C,$C14,Puntuacion!$D:$D,"Asignacion",Puntuacion!$G:$G,"&lt;&gt;NA",Puntuacion!$G:$G,"&lt;&gt;NE")))</f>
        <v/>
      </c>
      <c r="J14">
        <f>IF(COUNTIFS(Puntuacion!$A:$A,$A14,Puntuacion!$C:$C,$C14,Puntuacion!$D:$D,"Optimizacion",Puntuacion!$G:$G,"&lt;&gt;NA")&gt;0,1,0)</f>
        <v/>
      </c>
      <c r="K14">
        <f>IF(AND(J14=1,COUNTIFS(Puntuacion!$A:$A,$A14,Puntuacion!$C:$C,$C14,Puntuacion!$D:$D,"Optimizacion",Puntuacion!$G:$G,"NE")=0),1,0)</f>
        <v/>
      </c>
      <c r="L14" s="5">
        <f>IF(J14=0,"NA",IF(K14=0,"NE",AVERAGEIFS(Puntuacion!$G:$G,Puntuacion!$A:$A,$A14,Puntuacion!$C:$C,$C14,Puntuacion!$D:$D,"Optimizacion",Puntuacion!$G:$G,"&lt;&gt;NA",Puntuacion!$G:$G,"&lt;&gt;NE")))</f>
        <v/>
      </c>
      <c r="M14">
        <f>IF(COUNTIFS(Puntuacion!$A:$A,$A14,Puntuacion!$C:$C,$C14,Puntuacion!$D:$D,"Automatizacion",Puntuacion!$G:$G,"&lt;&gt;NA")&gt;0,1,0)</f>
        <v/>
      </c>
      <c r="N14">
        <f>IF(AND(M14=1,COUNTIFS(Puntuacion!$A:$A,$A14,Puntuacion!$C:$C,$C14,Puntuacion!$D:$D,"Automatizacion",Puntuacion!$G:$G,"NE")=0),1,0)</f>
        <v/>
      </c>
      <c r="O14" s="5">
        <f>IF(M14=0,"NA",IF(N14=0,"NE",AVERAGEIFS(Puntuacion!$G:$G,Puntuacion!$A:$A,$A14,Puntuacion!$C:$C,$C14,Puntuacion!$D:$D,"Automatizacion",Puntuacion!$G:$G,"&lt;&gt;NA",Puntuacion!$G:$G,"&lt;&gt;NE")))</f>
        <v/>
      </c>
      <c r="P14">
        <f>IF(COUNTIFS(Puntuacion!$A:$A,$A14,Puntuacion!$C:$C,$C14,Puntuacion!$D:$D,"Multicloud",Puntuacion!$G:$G,"&lt;&gt;NA")&gt;0,1,0)</f>
        <v/>
      </c>
      <c r="Q14">
        <f>IF(AND(P14=1,COUNTIFS(Puntuacion!$A:$A,$A14,Puntuacion!$C:$C,$C14,Puntuacion!$D:$D,"Multicloud",Puntuacion!$G:$G,"NE")=0),1,0)</f>
        <v/>
      </c>
      <c r="R14" s="5">
        <f>IF(P14=0,"NA",IF(Q14=0,"NE",AVERAGEIFS(Puntuacion!$G:$G,Puntuacion!$A:$A,$A14,Puntuacion!$C:$C,$C14,Puntuacion!$D:$D,"Multicloud",Puntuacion!$G:$G,"&lt;&gt;NA",Puntuacion!$G:$G,"&lt;&gt;NE")))</f>
        <v/>
      </c>
      <c r="S14">
        <f>IF(COUNTIFS(Puntuacion!$A:$A,$A14,Puntuacion!$C:$C,$C14,Puntuacion!$D:$D,"Integracion",Puntuacion!$G:$G,"&lt;&gt;NA")&gt;0,1,0)</f>
        <v/>
      </c>
      <c r="T14">
        <f>IF(AND(S14=1,COUNTIFS(Puntuacion!$A:$A,$A14,Puntuacion!$C:$C,$C14,Puntuacion!$D:$D,"Integracion",Puntuacion!$G:$G,"NE")=0),1,0)</f>
        <v/>
      </c>
      <c r="U14" s="5">
        <f>IF(S14=0,"NA",IF(T14=0,"NE",AVERAGEIFS(Puntuacion!$G:$G,Puntuacion!$A:$A,$A14,Puntuacion!$C:$C,$C14,Puntuacion!$D:$D,"Integracion",Puntuacion!$G:$G,"&lt;&gt;NA",Puntuacion!$G:$G,"&lt;&gt;NE")))</f>
        <v/>
      </c>
      <c r="V14">
        <f>IF(COUNTIFS(Puntuacion!$A:$A,$A14,Puntuacion!$C:$C,$C14,Puntuacion!$D:$D,"Adopcion",Puntuacion!$G:$G,"&lt;&gt;NA")&gt;0,1,0)</f>
        <v/>
      </c>
      <c r="W14">
        <f>IF(AND(V14=1,COUNTIFS(Puntuacion!$A:$A,$A14,Puntuacion!$C:$C,$C14,Puntuacion!$D:$D,"Adopcion",Puntuacion!$G:$G,"NE")=0),1,0)</f>
        <v/>
      </c>
      <c r="X14" s="5">
        <f>IF(V14=0,"NA",IF(W14=0,"NE",AVERAGEIFS(Puntuacion!$G:$G,Puntuacion!$A:$A,$A14,Puntuacion!$C:$C,$C14,Puntuacion!$D:$D,"Adopcion",Puntuacion!$G:$G,"&lt;&gt;NA",Puntuacion!$G:$G,"&lt;&gt;NE")))</f>
        <v/>
      </c>
      <c r="Y14">
        <f>IF(COUNTIFS(Puntuacion!$A:$A,$A14,Puntuacion!$C:$C,$C14,Puntuacion!$D:$D,"Precio",Puntuacion!$G:$G,"&lt;&gt;NA")&gt;0,1,0)</f>
        <v/>
      </c>
      <c r="Z14">
        <f>IF(AND(Y14=1,COUNTIFS(Puntuacion!$A:$A,$A14,Puntuacion!$C:$C,$C14,Puntuacion!$D:$D,"Precio",Puntuacion!$G:$G,"NE")=0),1,0)</f>
        <v/>
      </c>
      <c r="AA14" s="5">
        <f>IF(Y14=0,"NA",IF(Z14=0,"NE",AVERAGEIFS(Puntuacion!$G:$G,Puntuacion!$A:$A,$A14,Puntuacion!$C:$C,$C14,Puntuacion!$D:$D,"Precio",Puntuacion!$G:$G,"&lt;&gt;NA",Puntuacion!$G:$G,"&lt;&gt;NE")))</f>
        <v/>
      </c>
      <c r="AB14">
        <f>IF(COUNTIFS(Puntuacion!$A:$A,$A14,Puntuacion!$C:$C,$C14,Puntuacion!$D:$D,"Dependencia",Puntuacion!$G:$G,"&lt;&gt;NA")&gt;0,1,0)</f>
        <v/>
      </c>
      <c r="AC14">
        <f>IF(AND(AB14=1,COUNTIFS(Puntuacion!$A:$A,$A14,Puntuacion!$C:$C,$C14,Puntuacion!$D:$D,"Dependencia",Puntuacion!$G:$G,"NE")=0),1,0)</f>
        <v/>
      </c>
      <c r="AD14" s="5">
        <f>IF(AB14=0,"NA",IF(AC14=0,"NE",AVERAGEIFS(Puntuacion!$G:$G,Puntuacion!$A:$A,$A14,Puntuacion!$C:$C,$C14,Puntuacion!$D:$D,"Dependencia",Puntuacion!$G:$G,"&lt;&gt;NA",Puntuacion!$G:$G,"&lt;&gt;NE")))</f>
        <v/>
      </c>
      <c r="AE14" s="5">
        <f>IFERROR(100*(E14*Pesos!$B$2+H14*Pesos!$B$3+K14*Pesos!$B$4+N14*Pesos!$B$5+Q14*Pesos!$B$6+T14*Pesos!$B$7+W14*Pesos!$B$8+Z14*Pesos!$B$9+AC14*Pesos!$B$10)/(D14*Pesos!$B$2+G14*Pesos!$B$3+J14*Pesos!$B$4+M14*Pesos!$B$5+P14*Pesos!$B$6+S14*Pesos!$B$7+V14*Pesos!$B$8+Y14*Pesos!$B$9+AB14*Pesos!$B$10),"Sin criterios aplicables")</f>
        <v/>
      </c>
      <c r="AF14" s="5">
        <f>IFERROR(100*(E14*Pesos!$C$2+H14*Pesos!$C$3+K14*Pesos!$C$4+N14*Pesos!$C$5+Q14*Pesos!$C$6+T14*Pesos!$C$7+W14*Pesos!$C$8+Z14*Pesos!$C$9+AC14*Pesos!$C$10)/(D14*Pesos!$C$2+G14*Pesos!$C$3+J14*Pesos!$C$4+M14*Pesos!$C$5+P14*Pesos!$C$6+S14*Pesos!$C$7+V14*Pesos!$C$8+Y14*Pesos!$C$9+AB14*Pesos!$C$10),"Sin criterios aplicables")</f>
        <v/>
      </c>
      <c r="AG14" s="5">
        <f>IF(OR(AE14="Sin criterios aplicables",AE14&lt;70),"Insufficient evidence",100*(Pesos!$B$2*IF(E14=1,F14,0)+Pesos!$B$3*IF(H14=1,I14,0)+Pesos!$B$4*IF(K14=1,L14,0)+Pesos!$B$5*IF(N14=1,O14,0)+Pesos!$B$6*IF(Q14=1,R14,0)+Pesos!$B$7*IF(T14=1,U14,0)+Pesos!$B$8*IF(W14=1,X14,0)+Pesos!$B$9*IF(Z14=1,AA14,0)+Pesos!$B$10*IF(AC14=1,AD14,0))/(3*(Pesos!$B$2*E14+Pesos!$B$3*H14+Pesos!$B$4*K14+Pesos!$B$5*N14+Pesos!$B$6*Q14+Pesos!$B$7*T14+Pesos!$B$8*W14+Pesos!$B$9*Z14+Pesos!$B$10*AC14)))</f>
        <v/>
      </c>
      <c r="AH14" s="5">
        <f>IF(OR(AF14="Sin criterios aplicables",AF14&lt;70),"Insufficient evidence",100*(Pesos!$C$2*IF(E14=1,F14,0)+Pesos!$C$3*IF(H14=1,I14,0)+Pesos!$C$4*IF(K14=1,L14,0)+Pesos!$C$5*IF(N14=1,O14,0)+Pesos!$C$6*IF(Q14=1,R14,0)+Pesos!$C$7*IF(T14=1,U14,0)+Pesos!$C$8*IF(W14=1,X14,0)+Pesos!$C$9*IF(Z14=1,AA14,0)+Pesos!$C$10*IF(AC14=1,AD14,0))/(3*(Pesos!$C$2*E14+Pesos!$C$3*H14+Pesos!$C$4*K14+Pesos!$C$5*N14+Pesos!$C$6*Q14+Pesos!$C$7*T14+Pesos!$C$8*W14+Pesos!$C$9*Z14+Pesos!$C$10*AC14)))</f>
        <v/>
      </c>
      <c r="AI14">
        <f>IF(AG14="Insufficient evidence","Insufficient evidence (cobertura&lt;70%)",IF(AG14&lt;50/3,"Insufficient",IF(AG14&lt;50,"Basic",IF(AG14&lt;250/3,"Solid","Advanced"))))</f>
        <v/>
      </c>
      <c r="AJ14">
        <f>IF(AH14="Insufficient evidence","Insufficient evidence (cobertura&lt;70%)",IF(AH14&lt;50/3,"Insufficient",IF(AH14&lt;50,"Basic",IF(AH14&lt;250/3,"Solid","Advanced"))))</f>
        <v/>
      </c>
      <c r="AK14">
        <f>IF(TRIM(IF(AND(ISNUMBER(R14),R14&lt;1),"Multicloud","") &amp; " " &amp; IF(AND(ISNUMBER(AA14),AA14&lt;1),"Precio",""))="","Ninguno",TRIM(IF(AND(ISNUMBER(R14),R14&lt;1),"Multicloud","") &amp; " " &amp; IF(AND(ISNUMBER(AA14),AA14&lt;1),"Precio","")))</f>
        <v/>
      </c>
    </row>
    <row r="15">
      <c r="A15" t="inlineStr">
        <is>
          <t>E2</t>
        </is>
      </c>
      <c r="B15" t="inlineStr">
        <is>
          <t>Cloud nativa</t>
        </is>
      </c>
      <c r="C15" t="inlineStr">
        <is>
          <t>Azure Cost Management</t>
        </is>
      </c>
      <c r="D15">
        <f>IF(COUNTIFS(Puntuacion!$A:$A,$A15,Puntuacion!$C:$C,$C15,Puntuacion!$D:$D,"Visibilidad",Puntuacion!$G:$G,"&lt;&gt;NA")&gt;0,1,0)</f>
        <v/>
      </c>
      <c r="E15">
        <f>IF(AND(D15=1,COUNTIFS(Puntuacion!$A:$A,$A15,Puntuacion!$C:$C,$C15,Puntuacion!$D:$D,"Visibilidad",Puntuacion!$G:$G,"NE")=0),1,0)</f>
        <v/>
      </c>
      <c r="F15" s="5">
        <f>IF(D15=0,"NA",IF(E15=0,"NE",AVERAGEIFS(Puntuacion!$G:$G,Puntuacion!$A:$A,$A15,Puntuacion!$C:$C,$C15,Puntuacion!$D:$D,"Visibilidad",Puntuacion!$G:$G,"&lt;&gt;NA",Puntuacion!$G:$G,"&lt;&gt;NE")))</f>
        <v/>
      </c>
      <c r="G15">
        <f>IF(COUNTIFS(Puntuacion!$A:$A,$A15,Puntuacion!$C:$C,$C15,Puntuacion!$D:$D,"Asignacion",Puntuacion!$G:$G,"&lt;&gt;NA")&gt;0,1,0)</f>
        <v/>
      </c>
      <c r="H15">
        <f>IF(AND(G15=1,COUNTIFS(Puntuacion!$A:$A,$A15,Puntuacion!$C:$C,$C15,Puntuacion!$D:$D,"Asignacion",Puntuacion!$G:$G,"NE")=0),1,0)</f>
        <v/>
      </c>
      <c r="I15" s="5">
        <f>IF(G15=0,"NA",IF(H15=0,"NE",AVERAGEIFS(Puntuacion!$G:$G,Puntuacion!$A:$A,$A15,Puntuacion!$C:$C,$C15,Puntuacion!$D:$D,"Asignacion",Puntuacion!$G:$G,"&lt;&gt;NA",Puntuacion!$G:$G,"&lt;&gt;NE")))</f>
        <v/>
      </c>
      <c r="J15">
        <f>IF(COUNTIFS(Puntuacion!$A:$A,$A15,Puntuacion!$C:$C,$C15,Puntuacion!$D:$D,"Optimizacion",Puntuacion!$G:$G,"&lt;&gt;NA")&gt;0,1,0)</f>
        <v/>
      </c>
      <c r="K15">
        <f>IF(AND(J15=1,COUNTIFS(Puntuacion!$A:$A,$A15,Puntuacion!$C:$C,$C15,Puntuacion!$D:$D,"Optimizacion",Puntuacion!$G:$G,"NE")=0),1,0)</f>
        <v/>
      </c>
      <c r="L15" s="5">
        <f>IF(J15=0,"NA",IF(K15=0,"NE",AVERAGEIFS(Puntuacion!$G:$G,Puntuacion!$A:$A,$A15,Puntuacion!$C:$C,$C15,Puntuacion!$D:$D,"Optimizacion",Puntuacion!$G:$G,"&lt;&gt;NA",Puntuacion!$G:$G,"&lt;&gt;NE")))</f>
        <v/>
      </c>
      <c r="M15">
        <f>IF(COUNTIFS(Puntuacion!$A:$A,$A15,Puntuacion!$C:$C,$C15,Puntuacion!$D:$D,"Automatizacion",Puntuacion!$G:$G,"&lt;&gt;NA")&gt;0,1,0)</f>
        <v/>
      </c>
      <c r="N15">
        <f>IF(AND(M15=1,COUNTIFS(Puntuacion!$A:$A,$A15,Puntuacion!$C:$C,$C15,Puntuacion!$D:$D,"Automatizacion",Puntuacion!$G:$G,"NE")=0),1,0)</f>
        <v/>
      </c>
      <c r="O15" s="5">
        <f>IF(M15=0,"NA",IF(N15=0,"NE",AVERAGEIFS(Puntuacion!$G:$G,Puntuacion!$A:$A,$A15,Puntuacion!$C:$C,$C15,Puntuacion!$D:$D,"Automatizacion",Puntuacion!$G:$G,"&lt;&gt;NA",Puntuacion!$G:$G,"&lt;&gt;NE")))</f>
        <v/>
      </c>
      <c r="P15">
        <f>IF(COUNTIFS(Puntuacion!$A:$A,$A15,Puntuacion!$C:$C,$C15,Puntuacion!$D:$D,"Multicloud",Puntuacion!$G:$G,"&lt;&gt;NA")&gt;0,1,0)</f>
        <v/>
      </c>
      <c r="Q15">
        <f>IF(AND(P15=1,COUNTIFS(Puntuacion!$A:$A,$A15,Puntuacion!$C:$C,$C15,Puntuacion!$D:$D,"Multicloud",Puntuacion!$G:$G,"NE")=0),1,0)</f>
        <v/>
      </c>
      <c r="R15" s="5">
        <f>IF(P15=0,"NA",IF(Q15=0,"NE",AVERAGEIFS(Puntuacion!$G:$G,Puntuacion!$A:$A,$A15,Puntuacion!$C:$C,$C15,Puntuacion!$D:$D,"Multicloud",Puntuacion!$G:$G,"&lt;&gt;NA",Puntuacion!$G:$G,"&lt;&gt;NE")))</f>
        <v/>
      </c>
      <c r="S15">
        <f>IF(COUNTIFS(Puntuacion!$A:$A,$A15,Puntuacion!$C:$C,$C15,Puntuacion!$D:$D,"Integracion",Puntuacion!$G:$G,"&lt;&gt;NA")&gt;0,1,0)</f>
        <v/>
      </c>
      <c r="T15">
        <f>IF(AND(S15=1,COUNTIFS(Puntuacion!$A:$A,$A15,Puntuacion!$C:$C,$C15,Puntuacion!$D:$D,"Integracion",Puntuacion!$G:$G,"NE")=0),1,0)</f>
        <v/>
      </c>
      <c r="U15" s="5">
        <f>IF(S15=0,"NA",IF(T15=0,"NE",AVERAGEIFS(Puntuacion!$G:$G,Puntuacion!$A:$A,$A15,Puntuacion!$C:$C,$C15,Puntuacion!$D:$D,"Integracion",Puntuacion!$G:$G,"&lt;&gt;NA",Puntuacion!$G:$G,"&lt;&gt;NE")))</f>
        <v/>
      </c>
      <c r="V15">
        <f>IF(COUNTIFS(Puntuacion!$A:$A,$A15,Puntuacion!$C:$C,$C15,Puntuacion!$D:$D,"Adopcion",Puntuacion!$G:$G,"&lt;&gt;NA")&gt;0,1,0)</f>
        <v/>
      </c>
      <c r="W15">
        <f>IF(AND(V15=1,COUNTIFS(Puntuacion!$A:$A,$A15,Puntuacion!$C:$C,$C15,Puntuacion!$D:$D,"Adopcion",Puntuacion!$G:$G,"NE")=0),1,0)</f>
        <v/>
      </c>
      <c r="X15" s="5">
        <f>IF(V15=0,"NA",IF(W15=0,"NE",AVERAGEIFS(Puntuacion!$G:$G,Puntuacion!$A:$A,$A15,Puntuacion!$C:$C,$C15,Puntuacion!$D:$D,"Adopcion",Puntuacion!$G:$G,"&lt;&gt;NA",Puntuacion!$G:$G,"&lt;&gt;NE")))</f>
        <v/>
      </c>
      <c r="Y15">
        <f>IF(COUNTIFS(Puntuacion!$A:$A,$A15,Puntuacion!$C:$C,$C15,Puntuacion!$D:$D,"Precio",Puntuacion!$G:$G,"&lt;&gt;NA")&gt;0,1,0)</f>
        <v/>
      </c>
      <c r="Z15">
        <f>IF(AND(Y15=1,COUNTIFS(Puntuacion!$A:$A,$A15,Puntuacion!$C:$C,$C15,Puntuacion!$D:$D,"Precio",Puntuacion!$G:$G,"NE")=0),1,0)</f>
        <v/>
      </c>
      <c r="AA15" s="5">
        <f>IF(Y15=0,"NA",IF(Z15=0,"NE",AVERAGEIFS(Puntuacion!$G:$G,Puntuacion!$A:$A,$A15,Puntuacion!$C:$C,$C15,Puntuacion!$D:$D,"Precio",Puntuacion!$G:$G,"&lt;&gt;NA",Puntuacion!$G:$G,"&lt;&gt;NE")))</f>
        <v/>
      </c>
      <c r="AB15">
        <f>IF(COUNTIFS(Puntuacion!$A:$A,$A15,Puntuacion!$C:$C,$C15,Puntuacion!$D:$D,"Dependencia",Puntuacion!$G:$G,"&lt;&gt;NA")&gt;0,1,0)</f>
        <v/>
      </c>
      <c r="AC15">
        <f>IF(AND(AB15=1,COUNTIFS(Puntuacion!$A:$A,$A15,Puntuacion!$C:$C,$C15,Puntuacion!$D:$D,"Dependencia",Puntuacion!$G:$G,"NE")=0),1,0)</f>
        <v/>
      </c>
      <c r="AD15" s="5">
        <f>IF(AB15=0,"NA",IF(AC15=0,"NE",AVERAGEIFS(Puntuacion!$G:$G,Puntuacion!$A:$A,$A15,Puntuacion!$C:$C,$C15,Puntuacion!$D:$D,"Dependencia",Puntuacion!$G:$G,"&lt;&gt;NA",Puntuacion!$G:$G,"&lt;&gt;NE")))</f>
        <v/>
      </c>
      <c r="AE15" s="5">
        <f>IFERROR(100*(E15*Pesos!$B$2+H15*Pesos!$B$3+K15*Pesos!$B$4+N15*Pesos!$B$5+Q15*Pesos!$B$6+T15*Pesos!$B$7+W15*Pesos!$B$8+Z15*Pesos!$B$9+AC15*Pesos!$B$10)/(D15*Pesos!$B$2+G15*Pesos!$B$3+J15*Pesos!$B$4+M15*Pesos!$B$5+P15*Pesos!$B$6+S15*Pesos!$B$7+V15*Pesos!$B$8+Y15*Pesos!$B$9+AB15*Pesos!$B$10),"Sin criterios aplicables")</f>
        <v/>
      </c>
      <c r="AF15" s="5">
        <f>IFERROR(100*(E15*Pesos!$C$2+H15*Pesos!$C$3+K15*Pesos!$C$4+N15*Pesos!$C$5+Q15*Pesos!$C$6+T15*Pesos!$C$7+W15*Pesos!$C$8+Z15*Pesos!$C$9+AC15*Pesos!$C$10)/(D15*Pesos!$C$2+G15*Pesos!$C$3+J15*Pesos!$C$4+M15*Pesos!$C$5+P15*Pesos!$C$6+S15*Pesos!$C$7+V15*Pesos!$C$8+Y15*Pesos!$C$9+AB15*Pesos!$C$10),"Sin criterios aplicables")</f>
        <v/>
      </c>
      <c r="AG15" s="5">
        <f>IF(OR(AE15="Sin criterios aplicables",AE15&lt;70),"Insufficient evidence",100*(Pesos!$B$2*IF(E15=1,F15,0)+Pesos!$B$3*IF(H15=1,I15,0)+Pesos!$B$4*IF(K15=1,L15,0)+Pesos!$B$5*IF(N15=1,O15,0)+Pesos!$B$6*IF(Q15=1,R15,0)+Pesos!$B$7*IF(T15=1,U15,0)+Pesos!$B$8*IF(W15=1,X15,0)+Pesos!$B$9*IF(Z15=1,AA15,0)+Pesos!$B$10*IF(AC15=1,AD15,0))/(3*(Pesos!$B$2*E15+Pesos!$B$3*H15+Pesos!$B$4*K15+Pesos!$B$5*N15+Pesos!$B$6*Q15+Pesos!$B$7*T15+Pesos!$B$8*W15+Pesos!$B$9*Z15+Pesos!$B$10*AC15)))</f>
        <v/>
      </c>
      <c r="AH15" s="5">
        <f>IF(OR(AF15="Sin criterios aplicables",AF15&lt;70),"Insufficient evidence",100*(Pesos!$C$2*IF(E15=1,F15,0)+Pesos!$C$3*IF(H15=1,I15,0)+Pesos!$C$4*IF(K15=1,L15,0)+Pesos!$C$5*IF(N15=1,O15,0)+Pesos!$C$6*IF(Q15=1,R15,0)+Pesos!$C$7*IF(T15=1,U15,0)+Pesos!$C$8*IF(W15=1,X15,0)+Pesos!$C$9*IF(Z15=1,AA15,0)+Pesos!$C$10*IF(AC15=1,AD15,0))/(3*(Pesos!$C$2*E15+Pesos!$C$3*H15+Pesos!$C$4*K15+Pesos!$C$5*N15+Pesos!$C$6*Q15+Pesos!$C$7*T15+Pesos!$C$8*W15+Pesos!$C$9*Z15+Pesos!$C$10*AC15)))</f>
        <v/>
      </c>
      <c r="AI15">
        <f>IF(AG15="Insufficient evidence","Insufficient evidence (cobertura&lt;70%)",IF(AG15&lt;50/3,"Insufficient",IF(AG15&lt;50,"Basic",IF(AG15&lt;250/3,"Solid","Advanced"))))</f>
        <v/>
      </c>
      <c r="AJ15">
        <f>IF(AH15="Insufficient evidence","Insufficient evidence (cobertura&lt;70%)",IF(AH15&lt;50/3,"Insufficient",IF(AH15&lt;50,"Basic",IF(AH15&lt;250/3,"Solid","Advanced"))))</f>
        <v/>
      </c>
      <c r="AK15">
        <f>IF(TRIM(IF(AND(ISNUMBER(R15),R15&lt;1),"Multicloud","") &amp; " " &amp; IF(AND(ISNUMBER(AA15),AA15&lt;1),"Precio",""))="","Ninguno",TRIM(IF(AND(ISNUMBER(R15),R15&lt;1),"Multicloud","") &amp; " " &amp; IF(AND(ISNUMBER(AA15),AA15&lt;1),"Precio","")))</f>
        <v/>
      </c>
    </row>
    <row r="16">
      <c r="A16" t="inlineStr">
        <is>
          <t>E2</t>
        </is>
      </c>
      <c r="B16" t="inlineStr">
        <is>
          <t>Cloud nativa</t>
        </is>
      </c>
      <c r="C16" t="inlineStr">
        <is>
          <t>Google Cloud Billing</t>
        </is>
      </c>
      <c r="D16">
        <f>IF(COUNTIFS(Puntuacion!$A:$A,$A16,Puntuacion!$C:$C,$C16,Puntuacion!$D:$D,"Visibilidad",Puntuacion!$G:$G,"&lt;&gt;NA")&gt;0,1,0)</f>
        <v/>
      </c>
      <c r="E16">
        <f>IF(AND(D16=1,COUNTIFS(Puntuacion!$A:$A,$A16,Puntuacion!$C:$C,$C16,Puntuacion!$D:$D,"Visibilidad",Puntuacion!$G:$G,"NE")=0),1,0)</f>
        <v/>
      </c>
      <c r="F16" s="5">
        <f>IF(D16=0,"NA",IF(E16=0,"NE",AVERAGEIFS(Puntuacion!$G:$G,Puntuacion!$A:$A,$A16,Puntuacion!$C:$C,$C16,Puntuacion!$D:$D,"Visibilidad",Puntuacion!$G:$G,"&lt;&gt;NA",Puntuacion!$G:$G,"&lt;&gt;NE")))</f>
        <v/>
      </c>
      <c r="G16">
        <f>IF(COUNTIFS(Puntuacion!$A:$A,$A16,Puntuacion!$C:$C,$C16,Puntuacion!$D:$D,"Asignacion",Puntuacion!$G:$G,"&lt;&gt;NA")&gt;0,1,0)</f>
        <v/>
      </c>
      <c r="H16">
        <f>IF(AND(G16=1,COUNTIFS(Puntuacion!$A:$A,$A16,Puntuacion!$C:$C,$C16,Puntuacion!$D:$D,"Asignacion",Puntuacion!$G:$G,"NE")=0),1,0)</f>
        <v/>
      </c>
      <c r="I16" s="5">
        <f>IF(G16=0,"NA",IF(H16=0,"NE",AVERAGEIFS(Puntuacion!$G:$G,Puntuacion!$A:$A,$A16,Puntuacion!$C:$C,$C16,Puntuacion!$D:$D,"Asignacion",Puntuacion!$G:$G,"&lt;&gt;NA",Puntuacion!$G:$G,"&lt;&gt;NE")))</f>
        <v/>
      </c>
      <c r="J16">
        <f>IF(COUNTIFS(Puntuacion!$A:$A,$A16,Puntuacion!$C:$C,$C16,Puntuacion!$D:$D,"Optimizacion",Puntuacion!$G:$G,"&lt;&gt;NA")&gt;0,1,0)</f>
        <v/>
      </c>
      <c r="K16">
        <f>IF(AND(J16=1,COUNTIFS(Puntuacion!$A:$A,$A16,Puntuacion!$C:$C,$C16,Puntuacion!$D:$D,"Optimizacion",Puntuacion!$G:$G,"NE")=0),1,0)</f>
        <v/>
      </c>
      <c r="L16" s="5">
        <f>IF(J16=0,"NA",IF(K16=0,"NE",AVERAGEIFS(Puntuacion!$G:$G,Puntuacion!$A:$A,$A16,Puntuacion!$C:$C,$C16,Puntuacion!$D:$D,"Optimizacion",Puntuacion!$G:$G,"&lt;&gt;NA",Puntuacion!$G:$G,"&lt;&gt;NE")))</f>
        <v/>
      </c>
      <c r="M16">
        <f>IF(COUNTIFS(Puntuacion!$A:$A,$A16,Puntuacion!$C:$C,$C16,Puntuacion!$D:$D,"Automatizacion",Puntuacion!$G:$G,"&lt;&gt;NA")&gt;0,1,0)</f>
        <v/>
      </c>
      <c r="N16">
        <f>IF(AND(M16=1,COUNTIFS(Puntuacion!$A:$A,$A16,Puntuacion!$C:$C,$C16,Puntuacion!$D:$D,"Automatizacion",Puntuacion!$G:$G,"NE")=0),1,0)</f>
        <v/>
      </c>
      <c r="O16" s="5">
        <f>IF(M16=0,"NA",IF(N16=0,"NE",AVERAGEIFS(Puntuacion!$G:$G,Puntuacion!$A:$A,$A16,Puntuacion!$C:$C,$C16,Puntuacion!$D:$D,"Automatizacion",Puntuacion!$G:$G,"&lt;&gt;NA",Puntuacion!$G:$G,"&lt;&gt;NE")))</f>
        <v/>
      </c>
      <c r="P16">
        <f>IF(COUNTIFS(Puntuacion!$A:$A,$A16,Puntuacion!$C:$C,$C16,Puntuacion!$D:$D,"Multicloud",Puntuacion!$G:$G,"&lt;&gt;NA")&gt;0,1,0)</f>
        <v/>
      </c>
      <c r="Q16">
        <f>IF(AND(P16=1,COUNTIFS(Puntuacion!$A:$A,$A16,Puntuacion!$C:$C,$C16,Puntuacion!$D:$D,"Multicloud",Puntuacion!$G:$G,"NE")=0),1,0)</f>
        <v/>
      </c>
      <c r="R16" s="5">
        <f>IF(P16=0,"NA",IF(Q16=0,"NE",AVERAGEIFS(Puntuacion!$G:$G,Puntuacion!$A:$A,$A16,Puntuacion!$C:$C,$C16,Puntuacion!$D:$D,"Multicloud",Puntuacion!$G:$G,"&lt;&gt;NA",Puntuacion!$G:$G,"&lt;&gt;NE")))</f>
        <v/>
      </c>
      <c r="S16">
        <f>IF(COUNTIFS(Puntuacion!$A:$A,$A16,Puntuacion!$C:$C,$C16,Puntuacion!$D:$D,"Integracion",Puntuacion!$G:$G,"&lt;&gt;NA")&gt;0,1,0)</f>
        <v/>
      </c>
      <c r="T16">
        <f>IF(AND(S16=1,COUNTIFS(Puntuacion!$A:$A,$A16,Puntuacion!$C:$C,$C16,Puntuacion!$D:$D,"Integracion",Puntuacion!$G:$G,"NE")=0),1,0)</f>
        <v/>
      </c>
      <c r="U16" s="5">
        <f>IF(S16=0,"NA",IF(T16=0,"NE",AVERAGEIFS(Puntuacion!$G:$G,Puntuacion!$A:$A,$A16,Puntuacion!$C:$C,$C16,Puntuacion!$D:$D,"Integracion",Puntuacion!$G:$G,"&lt;&gt;NA",Puntuacion!$G:$G,"&lt;&gt;NE")))</f>
        <v/>
      </c>
      <c r="V16">
        <f>IF(COUNTIFS(Puntuacion!$A:$A,$A16,Puntuacion!$C:$C,$C16,Puntuacion!$D:$D,"Adopcion",Puntuacion!$G:$G,"&lt;&gt;NA")&gt;0,1,0)</f>
        <v/>
      </c>
      <c r="W16">
        <f>IF(AND(V16=1,COUNTIFS(Puntuacion!$A:$A,$A16,Puntuacion!$C:$C,$C16,Puntuacion!$D:$D,"Adopcion",Puntuacion!$G:$G,"NE")=0),1,0)</f>
        <v/>
      </c>
      <c r="X16" s="5">
        <f>IF(V16=0,"NA",IF(W16=0,"NE",AVERAGEIFS(Puntuacion!$G:$G,Puntuacion!$A:$A,$A16,Puntuacion!$C:$C,$C16,Puntuacion!$D:$D,"Adopcion",Puntuacion!$G:$G,"&lt;&gt;NA",Puntuacion!$G:$G,"&lt;&gt;NE")))</f>
        <v/>
      </c>
      <c r="Y16">
        <f>IF(COUNTIFS(Puntuacion!$A:$A,$A16,Puntuacion!$C:$C,$C16,Puntuacion!$D:$D,"Precio",Puntuacion!$G:$G,"&lt;&gt;NA")&gt;0,1,0)</f>
        <v/>
      </c>
      <c r="Z16">
        <f>IF(AND(Y16=1,COUNTIFS(Puntuacion!$A:$A,$A16,Puntuacion!$C:$C,$C16,Puntuacion!$D:$D,"Precio",Puntuacion!$G:$G,"NE")=0),1,0)</f>
        <v/>
      </c>
      <c r="AA16" s="5">
        <f>IF(Y16=0,"NA",IF(Z16=0,"NE",AVERAGEIFS(Puntuacion!$G:$G,Puntuacion!$A:$A,$A16,Puntuacion!$C:$C,$C16,Puntuacion!$D:$D,"Precio",Puntuacion!$G:$G,"&lt;&gt;NA",Puntuacion!$G:$G,"&lt;&gt;NE")))</f>
        <v/>
      </c>
      <c r="AB16">
        <f>IF(COUNTIFS(Puntuacion!$A:$A,$A16,Puntuacion!$C:$C,$C16,Puntuacion!$D:$D,"Dependencia",Puntuacion!$G:$G,"&lt;&gt;NA")&gt;0,1,0)</f>
        <v/>
      </c>
      <c r="AC16">
        <f>IF(AND(AB16=1,COUNTIFS(Puntuacion!$A:$A,$A16,Puntuacion!$C:$C,$C16,Puntuacion!$D:$D,"Dependencia",Puntuacion!$G:$G,"NE")=0),1,0)</f>
        <v/>
      </c>
      <c r="AD16" s="5">
        <f>IF(AB16=0,"NA",IF(AC16=0,"NE",AVERAGEIFS(Puntuacion!$G:$G,Puntuacion!$A:$A,$A16,Puntuacion!$C:$C,$C16,Puntuacion!$D:$D,"Dependencia",Puntuacion!$G:$G,"&lt;&gt;NA",Puntuacion!$G:$G,"&lt;&gt;NE")))</f>
        <v/>
      </c>
      <c r="AE16" s="5">
        <f>IFERROR(100*(E16*Pesos!$B$2+H16*Pesos!$B$3+K16*Pesos!$B$4+N16*Pesos!$B$5+Q16*Pesos!$B$6+T16*Pesos!$B$7+W16*Pesos!$B$8+Z16*Pesos!$B$9+AC16*Pesos!$B$10)/(D16*Pesos!$B$2+G16*Pesos!$B$3+J16*Pesos!$B$4+M16*Pesos!$B$5+P16*Pesos!$B$6+S16*Pesos!$B$7+V16*Pesos!$B$8+Y16*Pesos!$B$9+AB16*Pesos!$B$10),"Sin criterios aplicables")</f>
        <v/>
      </c>
      <c r="AF16" s="5">
        <f>IFERROR(100*(E16*Pesos!$C$2+H16*Pesos!$C$3+K16*Pesos!$C$4+N16*Pesos!$C$5+Q16*Pesos!$C$6+T16*Pesos!$C$7+W16*Pesos!$C$8+Z16*Pesos!$C$9+AC16*Pesos!$C$10)/(D16*Pesos!$C$2+G16*Pesos!$C$3+J16*Pesos!$C$4+M16*Pesos!$C$5+P16*Pesos!$C$6+S16*Pesos!$C$7+V16*Pesos!$C$8+Y16*Pesos!$C$9+AB16*Pesos!$C$10),"Sin criterios aplicables")</f>
        <v/>
      </c>
      <c r="AG16" s="5">
        <f>IF(OR(AE16="Sin criterios aplicables",AE16&lt;70),"Insufficient evidence",100*(Pesos!$B$2*IF(E16=1,F16,0)+Pesos!$B$3*IF(H16=1,I16,0)+Pesos!$B$4*IF(K16=1,L16,0)+Pesos!$B$5*IF(N16=1,O16,0)+Pesos!$B$6*IF(Q16=1,R16,0)+Pesos!$B$7*IF(T16=1,U16,0)+Pesos!$B$8*IF(W16=1,X16,0)+Pesos!$B$9*IF(Z16=1,AA16,0)+Pesos!$B$10*IF(AC16=1,AD16,0))/(3*(Pesos!$B$2*E16+Pesos!$B$3*H16+Pesos!$B$4*K16+Pesos!$B$5*N16+Pesos!$B$6*Q16+Pesos!$B$7*T16+Pesos!$B$8*W16+Pesos!$B$9*Z16+Pesos!$B$10*AC16)))</f>
        <v/>
      </c>
      <c r="AH16" s="5">
        <f>IF(OR(AF16="Sin criterios aplicables",AF16&lt;70),"Insufficient evidence",100*(Pesos!$C$2*IF(E16=1,F16,0)+Pesos!$C$3*IF(H16=1,I16,0)+Pesos!$C$4*IF(K16=1,L16,0)+Pesos!$C$5*IF(N16=1,O16,0)+Pesos!$C$6*IF(Q16=1,R16,0)+Pesos!$C$7*IF(T16=1,U16,0)+Pesos!$C$8*IF(W16=1,X16,0)+Pesos!$C$9*IF(Z16=1,AA16,0)+Pesos!$C$10*IF(AC16=1,AD16,0))/(3*(Pesos!$C$2*E16+Pesos!$C$3*H16+Pesos!$C$4*K16+Pesos!$C$5*N16+Pesos!$C$6*Q16+Pesos!$C$7*T16+Pesos!$C$8*W16+Pesos!$C$9*Z16+Pesos!$C$10*AC16)))</f>
        <v/>
      </c>
      <c r="AI16">
        <f>IF(AG16="Insufficient evidence","Insufficient evidence (cobertura&lt;70%)",IF(AG16&lt;50/3,"Insufficient",IF(AG16&lt;50,"Basic",IF(AG16&lt;250/3,"Solid","Advanced"))))</f>
        <v/>
      </c>
      <c r="AJ16">
        <f>IF(AH16="Insufficient evidence","Insufficient evidence (cobertura&lt;70%)",IF(AH16&lt;50/3,"Insufficient",IF(AH16&lt;50,"Basic",IF(AH16&lt;250/3,"Solid","Advanced"))))</f>
        <v/>
      </c>
      <c r="AK16">
        <f>IF(TRIM(IF(AND(ISNUMBER(R16),R16&lt;1),"Multicloud","") &amp; " " &amp; IF(AND(ISNUMBER(AA16),AA16&lt;1),"Precio",""))="","Ninguno",TRIM(IF(AND(ISNUMBER(R16),R16&lt;1),"Multicloud","") &amp; " " &amp; IF(AND(ISNUMBER(AA16),AA16&lt;1),"Precio","")))</f>
        <v/>
      </c>
    </row>
    <row r="17">
      <c r="A17" t="inlineStr">
        <is>
          <t>E2</t>
        </is>
      </c>
      <c r="B17" t="inlineStr">
        <is>
          <t>Cloud nativa</t>
        </is>
      </c>
      <c r="C17" t="inlineStr">
        <is>
          <t>Google Cloud FinOps Hub</t>
        </is>
      </c>
      <c r="D17">
        <f>IF(COUNTIFS(Puntuacion!$A:$A,$A17,Puntuacion!$C:$C,$C17,Puntuacion!$D:$D,"Visibilidad",Puntuacion!$G:$G,"&lt;&gt;NA")&gt;0,1,0)</f>
        <v/>
      </c>
      <c r="E17">
        <f>IF(AND(D17=1,COUNTIFS(Puntuacion!$A:$A,$A17,Puntuacion!$C:$C,$C17,Puntuacion!$D:$D,"Visibilidad",Puntuacion!$G:$G,"NE")=0),1,0)</f>
        <v/>
      </c>
      <c r="F17" s="5">
        <f>IF(D17=0,"NA",IF(E17=0,"NE",AVERAGEIFS(Puntuacion!$G:$G,Puntuacion!$A:$A,$A17,Puntuacion!$C:$C,$C17,Puntuacion!$D:$D,"Visibilidad",Puntuacion!$G:$G,"&lt;&gt;NA",Puntuacion!$G:$G,"&lt;&gt;NE")))</f>
        <v/>
      </c>
      <c r="G17">
        <f>IF(COUNTIFS(Puntuacion!$A:$A,$A17,Puntuacion!$C:$C,$C17,Puntuacion!$D:$D,"Asignacion",Puntuacion!$G:$G,"&lt;&gt;NA")&gt;0,1,0)</f>
        <v/>
      </c>
      <c r="H17">
        <f>IF(AND(G17=1,COUNTIFS(Puntuacion!$A:$A,$A17,Puntuacion!$C:$C,$C17,Puntuacion!$D:$D,"Asignacion",Puntuacion!$G:$G,"NE")=0),1,0)</f>
        <v/>
      </c>
      <c r="I17" s="5">
        <f>IF(G17=0,"NA",IF(H17=0,"NE",AVERAGEIFS(Puntuacion!$G:$G,Puntuacion!$A:$A,$A17,Puntuacion!$C:$C,$C17,Puntuacion!$D:$D,"Asignacion",Puntuacion!$G:$G,"&lt;&gt;NA",Puntuacion!$G:$G,"&lt;&gt;NE")))</f>
        <v/>
      </c>
      <c r="J17">
        <f>IF(COUNTIFS(Puntuacion!$A:$A,$A17,Puntuacion!$C:$C,$C17,Puntuacion!$D:$D,"Optimizacion",Puntuacion!$G:$G,"&lt;&gt;NA")&gt;0,1,0)</f>
        <v/>
      </c>
      <c r="K17">
        <f>IF(AND(J17=1,COUNTIFS(Puntuacion!$A:$A,$A17,Puntuacion!$C:$C,$C17,Puntuacion!$D:$D,"Optimizacion",Puntuacion!$G:$G,"NE")=0),1,0)</f>
        <v/>
      </c>
      <c r="L17" s="5">
        <f>IF(J17=0,"NA",IF(K17=0,"NE",AVERAGEIFS(Puntuacion!$G:$G,Puntuacion!$A:$A,$A17,Puntuacion!$C:$C,$C17,Puntuacion!$D:$D,"Optimizacion",Puntuacion!$G:$G,"&lt;&gt;NA",Puntuacion!$G:$G,"&lt;&gt;NE")))</f>
        <v/>
      </c>
      <c r="M17">
        <f>IF(COUNTIFS(Puntuacion!$A:$A,$A17,Puntuacion!$C:$C,$C17,Puntuacion!$D:$D,"Automatizacion",Puntuacion!$G:$G,"&lt;&gt;NA")&gt;0,1,0)</f>
        <v/>
      </c>
      <c r="N17">
        <f>IF(AND(M17=1,COUNTIFS(Puntuacion!$A:$A,$A17,Puntuacion!$C:$C,$C17,Puntuacion!$D:$D,"Automatizacion",Puntuacion!$G:$G,"NE")=0),1,0)</f>
        <v/>
      </c>
      <c r="O17" s="5">
        <f>IF(M17=0,"NA",IF(N17=0,"NE",AVERAGEIFS(Puntuacion!$G:$G,Puntuacion!$A:$A,$A17,Puntuacion!$C:$C,$C17,Puntuacion!$D:$D,"Automatizacion",Puntuacion!$G:$G,"&lt;&gt;NA",Puntuacion!$G:$G,"&lt;&gt;NE")))</f>
        <v/>
      </c>
      <c r="P17">
        <f>IF(COUNTIFS(Puntuacion!$A:$A,$A17,Puntuacion!$C:$C,$C17,Puntuacion!$D:$D,"Multicloud",Puntuacion!$G:$G,"&lt;&gt;NA")&gt;0,1,0)</f>
        <v/>
      </c>
      <c r="Q17">
        <f>IF(AND(P17=1,COUNTIFS(Puntuacion!$A:$A,$A17,Puntuacion!$C:$C,$C17,Puntuacion!$D:$D,"Multicloud",Puntuacion!$G:$G,"NE")=0),1,0)</f>
        <v/>
      </c>
      <c r="R17" s="5">
        <f>IF(P17=0,"NA",IF(Q17=0,"NE",AVERAGEIFS(Puntuacion!$G:$G,Puntuacion!$A:$A,$A17,Puntuacion!$C:$C,$C17,Puntuacion!$D:$D,"Multicloud",Puntuacion!$G:$G,"&lt;&gt;NA",Puntuacion!$G:$G,"&lt;&gt;NE")))</f>
        <v/>
      </c>
      <c r="S17">
        <f>IF(COUNTIFS(Puntuacion!$A:$A,$A17,Puntuacion!$C:$C,$C17,Puntuacion!$D:$D,"Integracion",Puntuacion!$G:$G,"&lt;&gt;NA")&gt;0,1,0)</f>
        <v/>
      </c>
      <c r="T17">
        <f>IF(AND(S17=1,COUNTIFS(Puntuacion!$A:$A,$A17,Puntuacion!$C:$C,$C17,Puntuacion!$D:$D,"Integracion",Puntuacion!$G:$G,"NE")=0),1,0)</f>
        <v/>
      </c>
      <c r="U17" s="5">
        <f>IF(S17=0,"NA",IF(T17=0,"NE",AVERAGEIFS(Puntuacion!$G:$G,Puntuacion!$A:$A,$A17,Puntuacion!$C:$C,$C17,Puntuacion!$D:$D,"Integracion",Puntuacion!$G:$G,"&lt;&gt;NA",Puntuacion!$G:$G,"&lt;&gt;NE")))</f>
        <v/>
      </c>
      <c r="V17">
        <f>IF(COUNTIFS(Puntuacion!$A:$A,$A17,Puntuacion!$C:$C,$C17,Puntuacion!$D:$D,"Adopcion",Puntuacion!$G:$G,"&lt;&gt;NA")&gt;0,1,0)</f>
        <v/>
      </c>
      <c r="W17">
        <f>IF(AND(V17=1,COUNTIFS(Puntuacion!$A:$A,$A17,Puntuacion!$C:$C,$C17,Puntuacion!$D:$D,"Adopcion",Puntuacion!$G:$G,"NE")=0),1,0)</f>
        <v/>
      </c>
      <c r="X17" s="5">
        <f>IF(V17=0,"NA",IF(W17=0,"NE",AVERAGEIFS(Puntuacion!$G:$G,Puntuacion!$A:$A,$A17,Puntuacion!$C:$C,$C17,Puntuacion!$D:$D,"Adopcion",Puntuacion!$G:$G,"&lt;&gt;NA",Puntuacion!$G:$G,"&lt;&gt;NE")))</f>
        <v/>
      </c>
      <c r="Y17">
        <f>IF(COUNTIFS(Puntuacion!$A:$A,$A17,Puntuacion!$C:$C,$C17,Puntuacion!$D:$D,"Precio",Puntuacion!$G:$G,"&lt;&gt;NA")&gt;0,1,0)</f>
        <v/>
      </c>
      <c r="Z17">
        <f>IF(AND(Y17=1,COUNTIFS(Puntuacion!$A:$A,$A17,Puntuacion!$C:$C,$C17,Puntuacion!$D:$D,"Precio",Puntuacion!$G:$G,"NE")=0),1,0)</f>
        <v/>
      </c>
      <c r="AA17" s="5">
        <f>IF(Y17=0,"NA",IF(Z17=0,"NE",AVERAGEIFS(Puntuacion!$G:$G,Puntuacion!$A:$A,$A17,Puntuacion!$C:$C,$C17,Puntuacion!$D:$D,"Precio",Puntuacion!$G:$G,"&lt;&gt;NA",Puntuacion!$G:$G,"&lt;&gt;NE")))</f>
        <v/>
      </c>
      <c r="AB17">
        <f>IF(COUNTIFS(Puntuacion!$A:$A,$A17,Puntuacion!$C:$C,$C17,Puntuacion!$D:$D,"Dependencia",Puntuacion!$G:$G,"&lt;&gt;NA")&gt;0,1,0)</f>
        <v/>
      </c>
      <c r="AC17">
        <f>IF(AND(AB17=1,COUNTIFS(Puntuacion!$A:$A,$A17,Puntuacion!$C:$C,$C17,Puntuacion!$D:$D,"Dependencia",Puntuacion!$G:$G,"NE")=0),1,0)</f>
        <v/>
      </c>
      <c r="AD17" s="5">
        <f>IF(AB17=0,"NA",IF(AC17=0,"NE",AVERAGEIFS(Puntuacion!$G:$G,Puntuacion!$A:$A,$A17,Puntuacion!$C:$C,$C17,Puntuacion!$D:$D,"Dependencia",Puntuacion!$G:$G,"&lt;&gt;NA",Puntuacion!$G:$G,"&lt;&gt;NE")))</f>
        <v/>
      </c>
      <c r="AE17" s="5">
        <f>IFERROR(100*(E17*Pesos!$B$2+H17*Pesos!$B$3+K17*Pesos!$B$4+N17*Pesos!$B$5+Q17*Pesos!$B$6+T17*Pesos!$B$7+W17*Pesos!$B$8+Z17*Pesos!$B$9+AC17*Pesos!$B$10)/(D17*Pesos!$B$2+G17*Pesos!$B$3+J17*Pesos!$B$4+M17*Pesos!$B$5+P17*Pesos!$B$6+S17*Pesos!$B$7+V17*Pesos!$B$8+Y17*Pesos!$B$9+AB17*Pesos!$B$10),"Sin criterios aplicables")</f>
        <v/>
      </c>
      <c r="AF17" s="5">
        <f>IFERROR(100*(E17*Pesos!$C$2+H17*Pesos!$C$3+K17*Pesos!$C$4+N17*Pesos!$C$5+Q17*Pesos!$C$6+T17*Pesos!$C$7+W17*Pesos!$C$8+Z17*Pesos!$C$9+AC17*Pesos!$C$10)/(D17*Pesos!$C$2+G17*Pesos!$C$3+J17*Pesos!$C$4+M17*Pesos!$C$5+P17*Pesos!$C$6+S17*Pesos!$C$7+V17*Pesos!$C$8+Y17*Pesos!$C$9+AB17*Pesos!$C$10),"Sin criterios aplicables")</f>
        <v/>
      </c>
      <c r="AG17" s="5">
        <f>IF(OR(AE17="Sin criterios aplicables",AE17&lt;70),"Insufficient evidence",100*(Pesos!$B$2*IF(E17=1,F17,0)+Pesos!$B$3*IF(H17=1,I17,0)+Pesos!$B$4*IF(K17=1,L17,0)+Pesos!$B$5*IF(N17=1,O17,0)+Pesos!$B$6*IF(Q17=1,R17,0)+Pesos!$B$7*IF(T17=1,U17,0)+Pesos!$B$8*IF(W17=1,X17,0)+Pesos!$B$9*IF(Z17=1,AA17,0)+Pesos!$B$10*IF(AC17=1,AD17,0))/(3*(Pesos!$B$2*E17+Pesos!$B$3*H17+Pesos!$B$4*K17+Pesos!$B$5*N17+Pesos!$B$6*Q17+Pesos!$B$7*T17+Pesos!$B$8*W17+Pesos!$B$9*Z17+Pesos!$B$10*AC17)))</f>
        <v/>
      </c>
      <c r="AH17" s="5">
        <f>IF(OR(AF17="Sin criterios aplicables",AF17&lt;70),"Insufficient evidence",100*(Pesos!$C$2*IF(E17=1,F17,0)+Pesos!$C$3*IF(H17=1,I17,0)+Pesos!$C$4*IF(K17=1,L17,0)+Pesos!$C$5*IF(N17=1,O17,0)+Pesos!$C$6*IF(Q17=1,R17,0)+Pesos!$C$7*IF(T17=1,U17,0)+Pesos!$C$8*IF(W17=1,X17,0)+Pesos!$C$9*IF(Z17=1,AA17,0)+Pesos!$C$10*IF(AC17=1,AD17,0))/(3*(Pesos!$C$2*E17+Pesos!$C$3*H17+Pesos!$C$4*K17+Pesos!$C$5*N17+Pesos!$C$6*Q17+Pesos!$C$7*T17+Pesos!$C$8*W17+Pesos!$C$9*Z17+Pesos!$C$10*AC17)))</f>
        <v/>
      </c>
      <c r="AI17">
        <f>IF(AG17="Insufficient evidence","Insufficient evidence (cobertura&lt;70%)",IF(AG17&lt;50/3,"Insufficient",IF(AG17&lt;50,"Basic",IF(AG17&lt;250/3,"Solid","Advanced"))))</f>
        <v/>
      </c>
      <c r="AJ17">
        <f>IF(AH17="Insufficient evidence","Insufficient evidence (cobertura&lt;70%)",IF(AH17&lt;50/3,"Insufficient",IF(AH17&lt;50,"Basic",IF(AH17&lt;250/3,"Solid","Advanced"))))</f>
        <v/>
      </c>
      <c r="AK17">
        <f>IF(TRIM(IF(AND(ISNUMBER(R17),R17&lt;1),"Multicloud","") &amp; " " &amp; IF(AND(ISNUMBER(AA17),AA17&lt;1),"Precio",""))="","Ninguno",TRIM(IF(AND(ISNUMBER(R17),R17&lt;1),"Multicloud","") &amp; " " &amp; IF(AND(ISNUMBER(AA17),AA17&lt;1),"Precio","")))</f>
        <v/>
      </c>
    </row>
    <row r="18">
      <c r="A18" t="inlineStr">
        <is>
          <t>E2</t>
        </is>
      </c>
      <c r="B18" t="inlineStr">
        <is>
          <t>Multicloud</t>
        </is>
      </c>
      <c r="C18" t="inlineStr">
        <is>
          <t>CloudHealth</t>
        </is>
      </c>
      <c r="D18">
        <f>IF(COUNTIFS(Puntuacion!$A:$A,$A18,Puntuacion!$C:$C,$C18,Puntuacion!$D:$D,"Visibilidad",Puntuacion!$G:$G,"&lt;&gt;NA")&gt;0,1,0)</f>
        <v/>
      </c>
      <c r="E18">
        <f>IF(AND(D18=1,COUNTIFS(Puntuacion!$A:$A,$A18,Puntuacion!$C:$C,$C18,Puntuacion!$D:$D,"Visibilidad",Puntuacion!$G:$G,"NE")=0),1,0)</f>
        <v/>
      </c>
      <c r="F18" s="5">
        <f>IF(D18=0,"NA",IF(E18=0,"NE",AVERAGEIFS(Puntuacion!$G:$G,Puntuacion!$A:$A,$A18,Puntuacion!$C:$C,$C18,Puntuacion!$D:$D,"Visibilidad",Puntuacion!$G:$G,"&lt;&gt;NA",Puntuacion!$G:$G,"&lt;&gt;NE")))</f>
        <v/>
      </c>
      <c r="G18">
        <f>IF(COUNTIFS(Puntuacion!$A:$A,$A18,Puntuacion!$C:$C,$C18,Puntuacion!$D:$D,"Asignacion",Puntuacion!$G:$G,"&lt;&gt;NA")&gt;0,1,0)</f>
        <v/>
      </c>
      <c r="H18">
        <f>IF(AND(G18=1,COUNTIFS(Puntuacion!$A:$A,$A18,Puntuacion!$C:$C,$C18,Puntuacion!$D:$D,"Asignacion",Puntuacion!$G:$G,"NE")=0),1,0)</f>
        <v/>
      </c>
      <c r="I18" s="5">
        <f>IF(G18=0,"NA",IF(H18=0,"NE",AVERAGEIFS(Puntuacion!$G:$G,Puntuacion!$A:$A,$A18,Puntuacion!$C:$C,$C18,Puntuacion!$D:$D,"Asignacion",Puntuacion!$G:$G,"&lt;&gt;NA",Puntuacion!$G:$G,"&lt;&gt;NE")))</f>
        <v/>
      </c>
      <c r="J18">
        <f>IF(COUNTIFS(Puntuacion!$A:$A,$A18,Puntuacion!$C:$C,$C18,Puntuacion!$D:$D,"Optimizacion",Puntuacion!$G:$G,"&lt;&gt;NA")&gt;0,1,0)</f>
        <v/>
      </c>
      <c r="K18">
        <f>IF(AND(J18=1,COUNTIFS(Puntuacion!$A:$A,$A18,Puntuacion!$C:$C,$C18,Puntuacion!$D:$D,"Optimizacion",Puntuacion!$G:$G,"NE")=0),1,0)</f>
        <v/>
      </c>
      <c r="L18" s="5">
        <f>IF(J18=0,"NA",IF(K18=0,"NE",AVERAGEIFS(Puntuacion!$G:$G,Puntuacion!$A:$A,$A18,Puntuacion!$C:$C,$C18,Puntuacion!$D:$D,"Optimizacion",Puntuacion!$G:$G,"&lt;&gt;NA",Puntuacion!$G:$G,"&lt;&gt;NE")))</f>
        <v/>
      </c>
      <c r="M18">
        <f>IF(COUNTIFS(Puntuacion!$A:$A,$A18,Puntuacion!$C:$C,$C18,Puntuacion!$D:$D,"Automatizacion",Puntuacion!$G:$G,"&lt;&gt;NA")&gt;0,1,0)</f>
        <v/>
      </c>
      <c r="N18">
        <f>IF(AND(M18=1,COUNTIFS(Puntuacion!$A:$A,$A18,Puntuacion!$C:$C,$C18,Puntuacion!$D:$D,"Automatizacion",Puntuacion!$G:$G,"NE")=0),1,0)</f>
        <v/>
      </c>
      <c r="O18" s="5">
        <f>IF(M18=0,"NA",IF(N18=0,"NE",AVERAGEIFS(Puntuacion!$G:$G,Puntuacion!$A:$A,$A18,Puntuacion!$C:$C,$C18,Puntuacion!$D:$D,"Automatizacion",Puntuacion!$G:$G,"&lt;&gt;NA",Puntuacion!$G:$G,"&lt;&gt;NE")))</f>
        <v/>
      </c>
      <c r="P18">
        <f>IF(COUNTIFS(Puntuacion!$A:$A,$A18,Puntuacion!$C:$C,$C18,Puntuacion!$D:$D,"Multicloud",Puntuacion!$G:$G,"&lt;&gt;NA")&gt;0,1,0)</f>
        <v/>
      </c>
      <c r="Q18">
        <f>IF(AND(P18=1,COUNTIFS(Puntuacion!$A:$A,$A18,Puntuacion!$C:$C,$C18,Puntuacion!$D:$D,"Multicloud",Puntuacion!$G:$G,"NE")=0),1,0)</f>
        <v/>
      </c>
      <c r="R18" s="5">
        <f>IF(P18=0,"NA",IF(Q18=0,"NE",AVERAGEIFS(Puntuacion!$G:$G,Puntuacion!$A:$A,$A18,Puntuacion!$C:$C,$C18,Puntuacion!$D:$D,"Multicloud",Puntuacion!$G:$G,"&lt;&gt;NA",Puntuacion!$G:$G,"&lt;&gt;NE")))</f>
        <v/>
      </c>
      <c r="S18">
        <f>IF(COUNTIFS(Puntuacion!$A:$A,$A18,Puntuacion!$C:$C,$C18,Puntuacion!$D:$D,"Integracion",Puntuacion!$G:$G,"&lt;&gt;NA")&gt;0,1,0)</f>
        <v/>
      </c>
      <c r="T18">
        <f>IF(AND(S18=1,COUNTIFS(Puntuacion!$A:$A,$A18,Puntuacion!$C:$C,$C18,Puntuacion!$D:$D,"Integracion",Puntuacion!$G:$G,"NE")=0),1,0)</f>
        <v/>
      </c>
      <c r="U18" s="5">
        <f>IF(S18=0,"NA",IF(T18=0,"NE",AVERAGEIFS(Puntuacion!$G:$G,Puntuacion!$A:$A,$A18,Puntuacion!$C:$C,$C18,Puntuacion!$D:$D,"Integracion",Puntuacion!$G:$G,"&lt;&gt;NA",Puntuacion!$G:$G,"&lt;&gt;NE")))</f>
        <v/>
      </c>
      <c r="V18">
        <f>IF(COUNTIFS(Puntuacion!$A:$A,$A18,Puntuacion!$C:$C,$C18,Puntuacion!$D:$D,"Adopcion",Puntuacion!$G:$G,"&lt;&gt;NA")&gt;0,1,0)</f>
        <v/>
      </c>
      <c r="W18">
        <f>IF(AND(V18=1,COUNTIFS(Puntuacion!$A:$A,$A18,Puntuacion!$C:$C,$C18,Puntuacion!$D:$D,"Adopcion",Puntuacion!$G:$G,"NE")=0),1,0)</f>
        <v/>
      </c>
      <c r="X18" s="5">
        <f>IF(V18=0,"NA",IF(W18=0,"NE",AVERAGEIFS(Puntuacion!$G:$G,Puntuacion!$A:$A,$A18,Puntuacion!$C:$C,$C18,Puntuacion!$D:$D,"Adopcion",Puntuacion!$G:$G,"&lt;&gt;NA",Puntuacion!$G:$G,"&lt;&gt;NE")))</f>
        <v/>
      </c>
      <c r="Y18">
        <f>IF(COUNTIFS(Puntuacion!$A:$A,$A18,Puntuacion!$C:$C,$C18,Puntuacion!$D:$D,"Precio",Puntuacion!$G:$G,"&lt;&gt;NA")&gt;0,1,0)</f>
        <v/>
      </c>
      <c r="Z18">
        <f>IF(AND(Y18=1,COUNTIFS(Puntuacion!$A:$A,$A18,Puntuacion!$C:$C,$C18,Puntuacion!$D:$D,"Precio",Puntuacion!$G:$G,"NE")=0),1,0)</f>
        <v/>
      </c>
      <c r="AA18" s="5">
        <f>IF(Y18=0,"NA",IF(Z18=0,"NE",AVERAGEIFS(Puntuacion!$G:$G,Puntuacion!$A:$A,$A18,Puntuacion!$C:$C,$C18,Puntuacion!$D:$D,"Precio",Puntuacion!$G:$G,"&lt;&gt;NA",Puntuacion!$G:$G,"&lt;&gt;NE")))</f>
        <v/>
      </c>
      <c r="AB18">
        <f>IF(COUNTIFS(Puntuacion!$A:$A,$A18,Puntuacion!$C:$C,$C18,Puntuacion!$D:$D,"Dependencia",Puntuacion!$G:$G,"&lt;&gt;NA")&gt;0,1,0)</f>
        <v/>
      </c>
      <c r="AC18">
        <f>IF(AND(AB18=1,COUNTIFS(Puntuacion!$A:$A,$A18,Puntuacion!$C:$C,$C18,Puntuacion!$D:$D,"Dependencia",Puntuacion!$G:$G,"NE")=0),1,0)</f>
        <v/>
      </c>
      <c r="AD18" s="5">
        <f>IF(AB18=0,"NA",IF(AC18=0,"NE",AVERAGEIFS(Puntuacion!$G:$G,Puntuacion!$A:$A,$A18,Puntuacion!$C:$C,$C18,Puntuacion!$D:$D,"Dependencia",Puntuacion!$G:$G,"&lt;&gt;NA",Puntuacion!$G:$G,"&lt;&gt;NE")))</f>
        <v/>
      </c>
      <c r="AE18" s="5">
        <f>IFERROR(100*(E18*Pesos!$B$2+H18*Pesos!$B$3+K18*Pesos!$B$4+N18*Pesos!$B$5+Q18*Pesos!$B$6+T18*Pesos!$B$7+W18*Pesos!$B$8+Z18*Pesos!$B$9+AC18*Pesos!$B$10)/(D18*Pesos!$B$2+G18*Pesos!$B$3+J18*Pesos!$B$4+M18*Pesos!$B$5+P18*Pesos!$B$6+S18*Pesos!$B$7+V18*Pesos!$B$8+Y18*Pesos!$B$9+AB18*Pesos!$B$10),"Sin criterios aplicables")</f>
        <v/>
      </c>
      <c r="AF18" s="5">
        <f>IFERROR(100*(E18*Pesos!$C$2+H18*Pesos!$C$3+K18*Pesos!$C$4+N18*Pesos!$C$5+Q18*Pesos!$C$6+T18*Pesos!$C$7+W18*Pesos!$C$8+Z18*Pesos!$C$9+AC18*Pesos!$C$10)/(D18*Pesos!$C$2+G18*Pesos!$C$3+J18*Pesos!$C$4+M18*Pesos!$C$5+P18*Pesos!$C$6+S18*Pesos!$C$7+V18*Pesos!$C$8+Y18*Pesos!$C$9+AB18*Pesos!$C$10),"Sin criterios aplicables")</f>
        <v/>
      </c>
      <c r="AG18" s="5">
        <f>IF(OR(AE18="Sin criterios aplicables",AE18&lt;70),"Insufficient evidence",100*(Pesos!$B$2*IF(E18=1,F18,0)+Pesos!$B$3*IF(H18=1,I18,0)+Pesos!$B$4*IF(K18=1,L18,0)+Pesos!$B$5*IF(N18=1,O18,0)+Pesos!$B$6*IF(Q18=1,R18,0)+Pesos!$B$7*IF(T18=1,U18,0)+Pesos!$B$8*IF(W18=1,X18,0)+Pesos!$B$9*IF(Z18=1,AA18,0)+Pesos!$B$10*IF(AC18=1,AD18,0))/(3*(Pesos!$B$2*E18+Pesos!$B$3*H18+Pesos!$B$4*K18+Pesos!$B$5*N18+Pesos!$B$6*Q18+Pesos!$B$7*T18+Pesos!$B$8*W18+Pesos!$B$9*Z18+Pesos!$B$10*AC18)))</f>
        <v/>
      </c>
      <c r="AH18" s="5">
        <f>IF(OR(AF18="Sin criterios aplicables",AF18&lt;70),"Insufficient evidence",100*(Pesos!$C$2*IF(E18=1,F18,0)+Pesos!$C$3*IF(H18=1,I18,0)+Pesos!$C$4*IF(K18=1,L18,0)+Pesos!$C$5*IF(N18=1,O18,0)+Pesos!$C$6*IF(Q18=1,R18,0)+Pesos!$C$7*IF(T18=1,U18,0)+Pesos!$C$8*IF(W18=1,X18,0)+Pesos!$C$9*IF(Z18=1,AA18,0)+Pesos!$C$10*IF(AC18=1,AD18,0))/(3*(Pesos!$C$2*E18+Pesos!$C$3*H18+Pesos!$C$4*K18+Pesos!$C$5*N18+Pesos!$C$6*Q18+Pesos!$C$7*T18+Pesos!$C$8*W18+Pesos!$C$9*Z18+Pesos!$C$10*AC18)))</f>
        <v/>
      </c>
      <c r="AI18">
        <f>IF(AG18="Insufficient evidence","Insufficient evidence (cobertura&lt;70%)",IF(AG18&lt;50/3,"Insufficient",IF(AG18&lt;50,"Basic",IF(AG18&lt;250/3,"Solid","Advanced"))))</f>
        <v/>
      </c>
      <c r="AJ18">
        <f>IF(AH18="Insufficient evidence","Insufficient evidence (cobertura&lt;70%)",IF(AH18&lt;50/3,"Insufficient",IF(AH18&lt;50,"Basic",IF(AH18&lt;250/3,"Solid","Advanced"))))</f>
        <v/>
      </c>
      <c r="AK18">
        <f>IF(TRIM(IF(AND(ISNUMBER(R18),R18&lt;1),"Multicloud","") &amp; " " &amp; IF(AND(ISNUMBER(AA18),AA18&lt;1),"Precio",""))="","Ninguno",TRIM(IF(AND(ISNUMBER(R18),R18&lt;1),"Multicloud","") &amp; " " &amp; IF(AND(ISNUMBER(AA18),AA18&lt;1),"Precio","")))</f>
        <v/>
      </c>
    </row>
    <row r="19">
      <c r="A19" t="inlineStr">
        <is>
          <t>E2</t>
        </is>
      </c>
      <c r="B19" t="inlineStr">
        <is>
          <t>Multicloud</t>
        </is>
      </c>
      <c r="C19" t="inlineStr">
        <is>
          <t>CloudZero</t>
        </is>
      </c>
      <c r="D19">
        <f>IF(COUNTIFS(Puntuacion!$A:$A,$A19,Puntuacion!$C:$C,$C19,Puntuacion!$D:$D,"Visibilidad",Puntuacion!$G:$G,"&lt;&gt;NA")&gt;0,1,0)</f>
        <v/>
      </c>
      <c r="E19">
        <f>IF(AND(D19=1,COUNTIFS(Puntuacion!$A:$A,$A19,Puntuacion!$C:$C,$C19,Puntuacion!$D:$D,"Visibilidad",Puntuacion!$G:$G,"NE")=0),1,0)</f>
        <v/>
      </c>
      <c r="F19" s="5">
        <f>IF(D19=0,"NA",IF(E19=0,"NE",AVERAGEIFS(Puntuacion!$G:$G,Puntuacion!$A:$A,$A19,Puntuacion!$C:$C,$C19,Puntuacion!$D:$D,"Visibilidad",Puntuacion!$G:$G,"&lt;&gt;NA",Puntuacion!$G:$G,"&lt;&gt;NE")))</f>
        <v/>
      </c>
      <c r="G19">
        <f>IF(COUNTIFS(Puntuacion!$A:$A,$A19,Puntuacion!$C:$C,$C19,Puntuacion!$D:$D,"Asignacion",Puntuacion!$G:$G,"&lt;&gt;NA")&gt;0,1,0)</f>
        <v/>
      </c>
      <c r="H19">
        <f>IF(AND(G19=1,COUNTIFS(Puntuacion!$A:$A,$A19,Puntuacion!$C:$C,$C19,Puntuacion!$D:$D,"Asignacion",Puntuacion!$G:$G,"NE")=0),1,0)</f>
        <v/>
      </c>
      <c r="I19" s="5">
        <f>IF(G19=0,"NA",IF(H19=0,"NE",AVERAGEIFS(Puntuacion!$G:$G,Puntuacion!$A:$A,$A19,Puntuacion!$C:$C,$C19,Puntuacion!$D:$D,"Asignacion",Puntuacion!$G:$G,"&lt;&gt;NA",Puntuacion!$G:$G,"&lt;&gt;NE")))</f>
        <v/>
      </c>
      <c r="J19">
        <f>IF(COUNTIFS(Puntuacion!$A:$A,$A19,Puntuacion!$C:$C,$C19,Puntuacion!$D:$D,"Optimizacion",Puntuacion!$G:$G,"&lt;&gt;NA")&gt;0,1,0)</f>
        <v/>
      </c>
      <c r="K19">
        <f>IF(AND(J19=1,COUNTIFS(Puntuacion!$A:$A,$A19,Puntuacion!$C:$C,$C19,Puntuacion!$D:$D,"Optimizacion",Puntuacion!$G:$G,"NE")=0),1,0)</f>
        <v/>
      </c>
      <c r="L19" s="5">
        <f>IF(J19=0,"NA",IF(K19=0,"NE",AVERAGEIFS(Puntuacion!$G:$G,Puntuacion!$A:$A,$A19,Puntuacion!$C:$C,$C19,Puntuacion!$D:$D,"Optimizacion",Puntuacion!$G:$G,"&lt;&gt;NA",Puntuacion!$G:$G,"&lt;&gt;NE")))</f>
        <v/>
      </c>
      <c r="M19">
        <f>IF(COUNTIFS(Puntuacion!$A:$A,$A19,Puntuacion!$C:$C,$C19,Puntuacion!$D:$D,"Automatizacion",Puntuacion!$G:$G,"&lt;&gt;NA")&gt;0,1,0)</f>
        <v/>
      </c>
      <c r="N19">
        <f>IF(AND(M19=1,COUNTIFS(Puntuacion!$A:$A,$A19,Puntuacion!$C:$C,$C19,Puntuacion!$D:$D,"Automatizacion",Puntuacion!$G:$G,"NE")=0),1,0)</f>
        <v/>
      </c>
      <c r="O19" s="5">
        <f>IF(M19=0,"NA",IF(N19=0,"NE",AVERAGEIFS(Puntuacion!$G:$G,Puntuacion!$A:$A,$A19,Puntuacion!$C:$C,$C19,Puntuacion!$D:$D,"Automatizacion",Puntuacion!$G:$G,"&lt;&gt;NA",Puntuacion!$G:$G,"&lt;&gt;NE")))</f>
        <v/>
      </c>
      <c r="P19">
        <f>IF(COUNTIFS(Puntuacion!$A:$A,$A19,Puntuacion!$C:$C,$C19,Puntuacion!$D:$D,"Multicloud",Puntuacion!$G:$G,"&lt;&gt;NA")&gt;0,1,0)</f>
        <v/>
      </c>
      <c r="Q19">
        <f>IF(AND(P19=1,COUNTIFS(Puntuacion!$A:$A,$A19,Puntuacion!$C:$C,$C19,Puntuacion!$D:$D,"Multicloud",Puntuacion!$G:$G,"NE")=0),1,0)</f>
        <v/>
      </c>
      <c r="R19" s="5">
        <f>IF(P19=0,"NA",IF(Q19=0,"NE",AVERAGEIFS(Puntuacion!$G:$G,Puntuacion!$A:$A,$A19,Puntuacion!$C:$C,$C19,Puntuacion!$D:$D,"Multicloud",Puntuacion!$G:$G,"&lt;&gt;NA",Puntuacion!$G:$G,"&lt;&gt;NE")))</f>
        <v/>
      </c>
      <c r="S19">
        <f>IF(COUNTIFS(Puntuacion!$A:$A,$A19,Puntuacion!$C:$C,$C19,Puntuacion!$D:$D,"Integracion",Puntuacion!$G:$G,"&lt;&gt;NA")&gt;0,1,0)</f>
        <v/>
      </c>
      <c r="T19">
        <f>IF(AND(S19=1,COUNTIFS(Puntuacion!$A:$A,$A19,Puntuacion!$C:$C,$C19,Puntuacion!$D:$D,"Integracion",Puntuacion!$G:$G,"NE")=0),1,0)</f>
        <v/>
      </c>
      <c r="U19" s="5">
        <f>IF(S19=0,"NA",IF(T19=0,"NE",AVERAGEIFS(Puntuacion!$G:$G,Puntuacion!$A:$A,$A19,Puntuacion!$C:$C,$C19,Puntuacion!$D:$D,"Integracion",Puntuacion!$G:$G,"&lt;&gt;NA",Puntuacion!$G:$G,"&lt;&gt;NE")))</f>
        <v/>
      </c>
      <c r="V19">
        <f>IF(COUNTIFS(Puntuacion!$A:$A,$A19,Puntuacion!$C:$C,$C19,Puntuacion!$D:$D,"Adopcion",Puntuacion!$G:$G,"&lt;&gt;NA")&gt;0,1,0)</f>
        <v/>
      </c>
      <c r="W19">
        <f>IF(AND(V19=1,COUNTIFS(Puntuacion!$A:$A,$A19,Puntuacion!$C:$C,$C19,Puntuacion!$D:$D,"Adopcion",Puntuacion!$G:$G,"NE")=0),1,0)</f>
        <v/>
      </c>
      <c r="X19" s="5">
        <f>IF(V19=0,"NA",IF(W19=0,"NE",AVERAGEIFS(Puntuacion!$G:$G,Puntuacion!$A:$A,$A19,Puntuacion!$C:$C,$C19,Puntuacion!$D:$D,"Adopcion",Puntuacion!$G:$G,"&lt;&gt;NA",Puntuacion!$G:$G,"&lt;&gt;NE")))</f>
        <v/>
      </c>
      <c r="Y19">
        <f>IF(COUNTIFS(Puntuacion!$A:$A,$A19,Puntuacion!$C:$C,$C19,Puntuacion!$D:$D,"Precio",Puntuacion!$G:$G,"&lt;&gt;NA")&gt;0,1,0)</f>
        <v/>
      </c>
      <c r="Z19">
        <f>IF(AND(Y19=1,COUNTIFS(Puntuacion!$A:$A,$A19,Puntuacion!$C:$C,$C19,Puntuacion!$D:$D,"Precio",Puntuacion!$G:$G,"NE")=0),1,0)</f>
        <v/>
      </c>
      <c r="AA19" s="5">
        <f>IF(Y19=0,"NA",IF(Z19=0,"NE",AVERAGEIFS(Puntuacion!$G:$G,Puntuacion!$A:$A,$A19,Puntuacion!$C:$C,$C19,Puntuacion!$D:$D,"Precio",Puntuacion!$G:$G,"&lt;&gt;NA",Puntuacion!$G:$G,"&lt;&gt;NE")))</f>
        <v/>
      </c>
      <c r="AB19">
        <f>IF(COUNTIFS(Puntuacion!$A:$A,$A19,Puntuacion!$C:$C,$C19,Puntuacion!$D:$D,"Dependencia",Puntuacion!$G:$G,"&lt;&gt;NA")&gt;0,1,0)</f>
        <v/>
      </c>
      <c r="AC19">
        <f>IF(AND(AB19=1,COUNTIFS(Puntuacion!$A:$A,$A19,Puntuacion!$C:$C,$C19,Puntuacion!$D:$D,"Dependencia",Puntuacion!$G:$G,"NE")=0),1,0)</f>
        <v/>
      </c>
      <c r="AD19" s="5">
        <f>IF(AB19=0,"NA",IF(AC19=0,"NE",AVERAGEIFS(Puntuacion!$G:$G,Puntuacion!$A:$A,$A19,Puntuacion!$C:$C,$C19,Puntuacion!$D:$D,"Dependencia",Puntuacion!$G:$G,"&lt;&gt;NA",Puntuacion!$G:$G,"&lt;&gt;NE")))</f>
        <v/>
      </c>
      <c r="AE19" s="5">
        <f>IFERROR(100*(E19*Pesos!$B$2+H19*Pesos!$B$3+K19*Pesos!$B$4+N19*Pesos!$B$5+Q19*Pesos!$B$6+T19*Pesos!$B$7+W19*Pesos!$B$8+Z19*Pesos!$B$9+AC19*Pesos!$B$10)/(D19*Pesos!$B$2+G19*Pesos!$B$3+J19*Pesos!$B$4+M19*Pesos!$B$5+P19*Pesos!$B$6+S19*Pesos!$B$7+V19*Pesos!$B$8+Y19*Pesos!$B$9+AB19*Pesos!$B$10),"Sin criterios aplicables")</f>
        <v/>
      </c>
      <c r="AF19" s="5">
        <f>IFERROR(100*(E19*Pesos!$C$2+H19*Pesos!$C$3+K19*Pesos!$C$4+N19*Pesos!$C$5+Q19*Pesos!$C$6+T19*Pesos!$C$7+W19*Pesos!$C$8+Z19*Pesos!$C$9+AC19*Pesos!$C$10)/(D19*Pesos!$C$2+G19*Pesos!$C$3+J19*Pesos!$C$4+M19*Pesos!$C$5+P19*Pesos!$C$6+S19*Pesos!$C$7+V19*Pesos!$C$8+Y19*Pesos!$C$9+AB19*Pesos!$C$10),"Sin criterios aplicables")</f>
        <v/>
      </c>
      <c r="AG19" s="5">
        <f>IF(OR(AE19="Sin criterios aplicables",AE19&lt;70),"Insufficient evidence",100*(Pesos!$B$2*IF(E19=1,F19,0)+Pesos!$B$3*IF(H19=1,I19,0)+Pesos!$B$4*IF(K19=1,L19,0)+Pesos!$B$5*IF(N19=1,O19,0)+Pesos!$B$6*IF(Q19=1,R19,0)+Pesos!$B$7*IF(T19=1,U19,0)+Pesos!$B$8*IF(W19=1,X19,0)+Pesos!$B$9*IF(Z19=1,AA19,0)+Pesos!$B$10*IF(AC19=1,AD19,0))/(3*(Pesos!$B$2*E19+Pesos!$B$3*H19+Pesos!$B$4*K19+Pesos!$B$5*N19+Pesos!$B$6*Q19+Pesos!$B$7*T19+Pesos!$B$8*W19+Pesos!$B$9*Z19+Pesos!$B$10*AC19)))</f>
        <v/>
      </c>
      <c r="AH19" s="5">
        <f>IF(OR(AF19="Sin criterios aplicables",AF19&lt;70),"Insufficient evidence",100*(Pesos!$C$2*IF(E19=1,F19,0)+Pesos!$C$3*IF(H19=1,I19,0)+Pesos!$C$4*IF(K19=1,L19,0)+Pesos!$C$5*IF(N19=1,O19,0)+Pesos!$C$6*IF(Q19=1,R19,0)+Pesos!$C$7*IF(T19=1,U19,0)+Pesos!$C$8*IF(W19=1,X19,0)+Pesos!$C$9*IF(Z19=1,AA19,0)+Pesos!$C$10*IF(AC19=1,AD19,0))/(3*(Pesos!$C$2*E19+Pesos!$C$3*H19+Pesos!$C$4*K19+Pesos!$C$5*N19+Pesos!$C$6*Q19+Pesos!$C$7*T19+Pesos!$C$8*W19+Pesos!$C$9*Z19+Pesos!$C$10*AC19)))</f>
        <v/>
      </c>
      <c r="AI19">
        <f>IF(AG19="Insufficient evidence","Insufficient evidence (cobertura&lt;70%)",IF(AG19&lt;50/3,"Insufficient",IF(AG19&lt;50,"Basic",IF(AG19&lt;250/3,"Solid","Advanced"))))</f>
        <v/>
      </c>
      <c r="AJ19">
        <f>IF(AH19="Insufficient evidence","Insufficient evidence (cobertura&lt;70%)",IF(AH19&lt;50/3,"Insufficient",IF(AH19&lt;50,"Basic",IF(AH19&lt;250/3,"Solid","Advanced"))))</f>
        <v/>
      </c>
      <c r="AK19">
        <f>IF(TRIM(IF(AND(ISNUMBER(R19),R19&lt;1),"Multicloud","") &amp; " " &amp; IF(AND(ISNUMBER(AA19),AA19&lt;1),"Precio",""))="","Ninguno",TRIM(IF(AND(ISNUMBER(R19),R19&lt;1),"Multicloud","") &amp; " " &amp; IF(AND(ISNUMBER(AA19),AA19&lt;1),"Precio","")))</f>
        <v/>
      </c>
    </row>
    <row r="20">
      <c r="A20" t="inlineStr">
        <is>
          <t>E2</t>
        </is>
      </c>
      <c r="B20" t="inlineStr">
        <is>
          <t>Multicloud</t>
        </is>
      </c>
      <c r="C20" t="inlineStr">
        <is>
          <t>Cloudability</t>
        </is>
      </c>
      <c r="D20">
        <f>IF(COUNTIFS(Puntuacion!$A:$A,$A20,Puntuacion!$C:$C,$C20,Puntuacion!$D:$D,"Visibilidad",Puntuacion!$G:$G,"&lt;&gt;NA")&gt;0,1,0)</f>
        <v/>
      </c>
      <c r="E20">
        <f>IF(AND(D20=1,COUNTIFS(Puntuacion!$A:$A,$A20,Puntuacion!$C:$C,$C20,Puntuacion!$D:$D,"Visibilidad",Puntuacion!$G:$G,"NE")=0),1,0)</f>
        <v/>
      </c>
      <c r="F20" s="5">
        <f>IF(D20=0,"NA",IF(E20=0,"NE",AVERAGEIFS(Puntuacion!$G:$G,Puntuacion!$A:$A,$A20,Puntuacion!$C:$C,$C20,Puntuacion!$D:$D,"Visibilidad",Puntuacion!$G:$G,"&lt;&gt;NA",Puntuacion!$G:$G,"&lt;&gt;NE")))</f>
        <v/>
      </c>
      <c r="G20">
        <f>IF(COUNTIFS(Puntuacion!$A:$A,$A20,Puntuacion!$C:$C,$C20,Puntuacion!$D:$D,"Asignacion",Puntuacion!$G:$G,"&lt;&gt;NA")&gt;0,1,0)</f>
        <v/>
      </c>
      <c r="H20">
        <f>IF(AND(G20=1,COUNTIFS(Puntuacion!$A:$A,$A20,Puntuacion!$C:$C,$C20,Puntuacion!$D:$D,"Asignacion",Puntuacion!$G:$G,"NE")=0),1,0)</f>
        <v/>
      </c>
      <c r="I20" s="5">
        <f>IF(G20=0,"NA",IF(H20=0,"NE",AVERAGEIFS(Puntuacion!$G:$G,Puntuacion!$A:$A,$A20,Puntuacion!$C:$C,$C20,Puntuacion!$D:$D,"Asignacion",Puntuacion!$G:$G,"&lt;&gt;NA",Puntuacion!$G:$G,"&lt;&gt;NE")))</f>
        <v/>
      </c>
      <c r="J20">
        <f>IF(COUNTIFS(Puntuacion!$A:$A,$A20,Puntuacion!$C:$C,$C20,Puntuacion!$D:$D,"Optimizacion",Puntuacion!$G:$G,"&lt;&gt;NA")&gt;0,1,0)</f>
        <v/>
      </c>
      <c r="K20">
        <f>IF(AND(J20=1,COUNTIFS(Puntuacion!$A:$A,$A20,Puntuacion!$C:$C,$C20,Puntuacion!$D:$D,"Optimizacion",Puntuacion!$G:$G,"NE")=0),1,0)</f>
        <v/>
      </c>
      <c r="L20" s="5">
        <f>IF(J20=0,"NA",IF(K20=0,"NE",AVERAGEIFS(Puntuacion!$G:$G,Puntuacion!$A:$A,$A20,Puntuacion!$C:$C,$C20,Puntuacion!$D:$D,"Optimizacion",Puntuacion!$G:$G,"&lt;&gt;NA",Puntuacion!$G:$G,"&lt;&gt;NE")))</f>
        <v/>
      </c>
      <c r="M20">
        <f>IF(COUNTIFS(Puntuacion!$A:$A,$A20,Puntuacion!$C:$C,$C20,Puntuacion!$D:$D,"Automatizacion",Puntuacion!$G:$G,"&lt;&gt;NA")&gt;0,1,0)</f>
        <v/>
      </c>
      <c r="N20">
        <f>IF(AND(M20=1,COUNTIFS(Puntuacion!$A:$A,$A20,Puntuacion!$C:$C,$C20,Puntuacion!$D:$D,"Automatizacion",Puntuacion!$G:$G,"NE")=0),1,0)</f>
        <v/>
      </c>
      <c r="O20" s="5">
        <f>IF(M20=0,"NA",IF(N20=0,"NE",AVERAGEIFS(Puntuacion!$G:$G,Puntuacion!$A:$A,$A20,Puntuacion!$C:$C,$C20,Puntuacion!$D:$D,"Automatizacion",Puntuacion!$G:$G,"&lt;&gt;NA",Puntuacion!$G:$G,"&lt;&gt;NE")))</f>
        <v/>
      </c>
      <c r="P20">
        <f>IF(COUNTIFS(Puntuacion!$A:$A,$A20,Puntuacion!$C:$C,$C20,Puntuacion!$D:$D,"Multicloud",Puntuacion!$G:$G,"&lt;&gt;NA")&gt;0,1,0)</f>
        <v/>
      </c>
      <c r="Q20">
        <f>IF(AND(P20=1,COUNTIFS(Puntuacion!$A:$A,$A20,Puntuacion!$C:$C,$C20,Puntuacion!$D:$D,"Multicloud",Puntuacion!$G:$G,"NE")=0),1,0)</f>
        <v/>
      </c>
      <c r="R20" s="5">
        <f>IF(P20=0,"NA",IF(Q20=0,"NE",AVERAGEIFS(Puntuacion!$G:$G,Puntuacion!$A:$A,$A20,Puntuacion!$C:$C,$C20,Puntuacion!$D:$D,"Multicloud",Puntuacion!$G:$G,"&lt;&gt;NA",Puntuacion!$G:$G,"&lt;&gt;NE")))</f>
        <v/>
      </c>
      <c r="S20">
        <f>IF(COUNTIFS(Puntuacion!$A:$A,$A20,Puntuacion!$C:$C,$C20,Puntuacion!$D:$D,"Integracion",Puntuacion!$G:$G,"&lt;&gt;NA")&gt;0,1,0)</f>
        <v/>
      </c>
      <c r="T20">
        <f>IF(AND(S20=1,COUNTIFS(Puntuacion!$A:$A,$A20,Puntuacion!$C:$C,$C20,Puntuacion!$D:$D,"Integracion",Puntuacion!$G:$G,"NE")=0),1,0)</f>
        <v/>
      </c>
      <c r="U20" s="5">
        <f>IF(S20=0,"NA",IF(T20=0,"NE",AVERAGEIFS(Puntuacion!$G:$G,Puntuacion!$A:$A,$A20,Puntuacion!$C:$C,$C20,Puntuacion!$D:$D,"Integracion",Puntuacion!$G:$G,"&lt;&gt;NA",Puntuacion!$G:$G,"&lt;&gt;NE")))</f>
        <v/>
      </c>
      <c r="V20">
        <f>IF(COUNTIFS(Puntuacion!$A:$A,$A20,Puntuacion!$C:$C,$C20,Puntuacion!$D:$D,"Adopcion",Puntuacion!$G:$G,"&lt;&gt;NA")&gt;0,1,0)</f>
        <v/>
      </c>
      <c r="W20">
        <f>IF(AND(V20=1,COUNTIFS(Puntuacion!$A:$A,$A20,Puntuacion!$C:$C,$C20,Puntuacion!$D:$D,"Adopcion",Puntuacion!$G:$G,"NE")=0),1,0)</f>
        <v/>
      </c>
      <c r="X20" s="5">
        <f>IF(V20=0,"NA",IF(W20=0,"NE",AVERAGEIFS(Puntuacion!$G:$G,Puntuacion!$A:$A,$A20,Puntuacion!$C:$C,$C20,Puntuacion!$D:$D,"Adopcion",Puntuacion!$G:$G,"&lt;&gt;NA",Puntuacion!$G:$G,"&lt;&gt;NE")))</f>
        <v/>
      </c>
      <c r="Y20">
        <f>IF(COUNTIFS(Puntuacion!$A:$A,$A20,Puntuacion!$C:$C,$C20,Puntuacion!$D:$D,"Precio",Puntuacion!$G:$G,"&lt;&gt;NA")&gt;0,1,0)</f>
        <v/>
      </c>
      <c r="Z20">
        <f>IF(AND(Y20=1,COUNTIFS(Puntuacion!$A:$A,$A20,Puntuacion!$C:$C,$C20,Puntuacion!$D:$D,"Precio",Puntuacion!$G:$G,"NE")=0),1,0)</f>
        <v/>
      </c>
      <c r="AA20" s="5">
        <f>IF(Y20=0,"NA",IF(Z20=0,"NE",AVERAGEIFS(Puntuacion!$G:$G,Puntuacion!$A:$A,$A20,Puntuacion!$C:$C,$C20,Puntuacion!$D:$D,"Precio",Puntuacion!$G:$G,"&lt;&gt;NA",Puntuacion!$G:$G,"&lt;&gt;NE")))</f>
        <v/>
      </c>
      <c r="AB20">
        <f>IF(COUNTIFS(Puntuacion!$A:$A,$A20,Puntuacion!$C:$C,$C20,Puntuacion!$D:$D,"Dependencia",Puntuacion!$G:$G,"&lt;&gt;NA")&gt;0,1,0)</f>
        <v/>
      </c>
      <c r="AC20">
        <f>IF(AND(AB20=1,COUNTIFS(Puntuacion!$A:$A,$A20,Puntuacion!$C:$C,$C20,Puntuacion!$D:$D,"Dependencia",Puntuacion!$G:$G,"NE")=0),1,0)</f>
        <v/>
      </c>
      <c r="AD20" s="5">
        <f>IF(AB20=0,"NA",IF(AC20=0,"NE",AVERAGEIFS(Puntuacion!$G:$G,Puntuacion!$A:$A,$A20,Puntuacion!$C:$C,$C20,Puntuacion!$D:$D,"Dependencia",Puntuacion!$G:$G,"&lt;&gt;NA",Puntuacion!$G:$G,"&lt;&gt;NE")))</f>
        <v/>
      </c>
      <c r="AE20" s="5">
        <f>IFERROR(100*(E20*Pesos!$B$2+H20*Pesos!$B$3+K20*Pesos!$B$4+N20*Pesos!$B$5+Q20*Pesos!$B$6+T20*Pesos!$B$7+W20*Pesos!$B$8+Z20*Pesos!$B$9+AC20*Pesos!$B$10)/(D20*Pesos!$B$2+G20*Pesos!$B$3+J20*Pesos!$B$4+M20*Pesos!$B$5+P20*Pesos!$B$6+S20*Pesos!$B$7+V20*Pesos!$B$8+Y20*Pesos!$B$9+AB20*Pesos!$B$10),"Sin criterios aplicables")</f>
        <v/>
      </c>
      <c r="AF20" s="5">
        <f>IFERROR(100*(E20*Pesos!$C$2+H20*Pesos!$C$3+K20*Pesos!$C$4+N20*Pesos!$C$5+Q20*Pesos!$C$6+T20*Pesos!$C$7+W20*Pesos!$C$8+Z20*Pesos!$C$9+AC20*Pesos!$C$10)/(D20*Pesos!$C$2+G20*Pesos!$C$3+J20*Pesos!$C$4+M20*Pesos!$C$5+P20*Pesos!$C$6+S20*Pesos!$C$7+V20*Pesos!$C$8+Y20*Pesos!$C$9+AB20*Pesos!$C$10),"Sin criterios aplicables")</f>
        <v/>
      </c>
      <c r="AG20" s="5">
        <f>IF(OR(AE20="Sin criterios aplicables",AE20&lt;70),"Insufficient evidence",100*(Pesos!$B$2*IF(E20=1,F20,0)+Pesos!$B$3*IF(H20=1,I20,0)+Pesos!$B$4*IF(K20=1,L20,0)+Pesos!$B$5*IF(N20=1,O20,0)+Pesos!$B$6*IF(Q20=1,R20,0)+Pesos!$B$7*IF(T20=1,U20,0)+Pesos!$B$8*IF(W20=1,X20,0)+Pesos!$B$9*IF(Z20=1,AA20,0)+Pesos!$B$10*IF(AC20=1,AD20,0))/(3*(Pesos!$B$2*E20+Pesos!$B$3*H20+Pesos!$B$4*K20+Pesos!$B$5*N20+Pesos!$B$6*Q20+Pesos!$B$7*T20+Pesos!$B$8*W20+Pesos!$B$9*Z20+Pesos!$B$10*AC20)))</f>
        <v/>
      </c>
      <c r="AH20" s="5">
        <f>IF(OR(AF20="Sin criterios aplicables",AF20&lt;70),"Insufficient evidence",100*(Pesos!$C$2*IF(E20=1,F20,0)+Pesos!$C$3*IF(H20=1,I20,0)+Pesos!$C$4*IF(K20=1,L20,0)+Pesos!$C$5*IF(N20=1,O20,0)+Pesos!$C$6*IF(Q20=1,R20,0)+Pesos!$C$7*IF(T20=1,U20,0)+Pesos!$C$8*IF(W20=1,X20,0)+Pesos!$C$9*IF(Z20=1,AA20,0)+Pesos!$C$10*IF(AC20=1,AD20,0))/(3*(Pesos!$C$2*E20+Pesos!$C$3*H20+Pesos!$C$4*K20+Pesos!$C$5*N20+Pesos!$C$6*Q20+Pesos!$C$7*T20+Pesos!$C$8*W20+Pesos!$C$9*Z20+Pesos!$C$10*AC20)))</f>
        <v/>
      </c>
      <c r="AI20">
        <f>IF(AG20="Insufficient evidence","Insufficient evidence (cobertura&lt;70%)",IF(AG20&lt;50/3,"Insufficient",IF(AG20&lt;50,"Basic",IF(AG20&lt;250/3,"Solid","Advanced"))))</f>
        <v/>
      </c>
      <c r="AJ20">
        <f>IF(AH20="Insufficient evidence","Insufficient evidence (cobertura&lt;70%)",IF(AH20&lt;50/3,"Insufficient",IF(AH20&lt;50,"Basic",IF(AH20&lt;250/3,"Solid","Advanced"))))</f>
        <v/>
      </c>
      <c r="AK20">
        <f>IF(TRIM(IF(AND(ISNUMBER(R20),R20&lt;1),"Multicloud","") &amp; " " &amp; IF(AND(ISNUMBER(AA20),AA20&lt;1),"Precio",""))="","Ninguno",TRIM(IF(AND(ISNUMBER(R20),R20&lt;1),"Multicloud","") &amp; " " &amp; IF(AND(ISNUMBER(AA20),AA20&lt;1),"Precio","")))</f>
        <v/>
      </c>
    </row>
    <row r="21">
      <c r="A21" t="inlineStr">
        <is>
          <t>E2</t>
        </is>
      </c>
      <c r="B21" t="inlineStr">
        <is>
          <t>Multicloud</t>
        </is>
      </c>
      <c r="C21" t="inlineStr">
        <is>
          <t>Finout</t>
        </is>
      </c>
      <c r="D21">
        <f>IF(COUNTIFS(Puntuacion!$A:$A,$A21,Puntuacion!$C:$C,$C21,Puntuacion!$D:$D,"Visibilidad",Puntuacion!$G:$G,"&lt;&gt;NA")&gt;0,1,0)</f>
        <v/>
      </c>
      <c r="E21">
        <f>IF(AND(D21=1,COUNTIFS(Puntuacion!$A:$A,$A21,Puntuacion!$C:$C,$C21,Puntuacion!$D:$D,"Visibilidad",Puntuacion!$G:$G,"NE")=0),1,0)</f>
        <v/>
      </c>
      <c r="F21" s="5">
        <f>IF(D21=0,"NA",IF(E21=0,"NE",AVERAGEIFS(Puntuacion!$G:$G,Puntuacion!$A:$A,$A21,Puntuacion!$C:$C,$C21,Puntuacion!$D:$D,"Visibilidad",Puntuacion!$G:$G,"&lt;&gt;NA",Puntuacion!$G:$G,"&lt;&gt;NE")))</f>
        <v/>
      </c>
      <c r="G21">
        <f>IF(COUNTIFS(Puntuacion!$A:$A,$A21,Puntuacion!$C:$C,$C21,Puntuacion!$D:$D,"Asignacion",Puntuacion!$G:$G,"&lt;&gt;NA")&gt;0,1,0)</f>
        <v/>
      </c>
      <c r="H21">
        <f>IF(AND(G21=1,COUNTIFS(Puntuacion!$A:$A,$A21,Puntuacion!$C:$C,$C21,Puntuacion!$D:$D,"Asignacion",Puntuacion!$G:$G,"NE")=0),1,0)</f>
        <v/>
      </c>
      <c r="I21" s="5">
        <f>IF(G21=0,"NA",IF(H21=0,"NE",AVERAGEIFS(Puntuacion!$G:$G,Puntuacion!$A:$A,$A21,Puntuacion!$C:$C,$C21,Puntuacion!$D:$D,"Asignacion",Puntuacion!$G:$G,"&lt;&gt;NA",Puntuacion!$G:$G,"&lt;&gt;NE")))</f>
        <v/>
      </c>
      <c r="J21">
        <f>IF(COUNTIFS(Puntuacion!$A:$A,$A21,Puntuacion!$C:$C,$C21,Puntuacion!$D:$D,"Optimizacion",Puntuacion!$G:$G,"&lt;&gt;NA")&gt;0,1,0)</f>
        <v/>
      </c>
      <c r="K21">
        <f>IF(AND(J21=1,COUNTIFS(Puntuacion!$A:$A,$A21,Puntuacion!$C:$C,$C21,Puntuacion!$D:$D,"Optimizacion",Puntuacion!$G:$G,"NE")=0),1,0)</f>
        <v/>
      </c>
      <c r="L21" s="5">
        <f>IF(J21=0,"NA",IF(K21=0,"NE",AVERAGEIFS(Puntuacion!$G:$G,Puntuacion!$A:$A,$A21,Puntuacion!$C:$C,$C21,Puntuacion!$D:$D,"Optimizacion",Puntuacion!$G:$G,"&lt;&gt;NA",Puntuacion!$G:$G,"&lt;&gt;NE")))</f>
        <v/>
      </c>
      <c r="M21">
        <f>IF(COUNTIFS(Puntuacion!$A:$A,$A21,Puntuacion!$C:$C,$C21,Puntuacion!$D:$D,"Automatizacion",Puntuacion!$G:$G,"&lt;&gt;NA")&gt;0,1,0)</f>
        <v/>
      </c>
      <c r="N21">
        <f>IF(AND(M21=1,COUNTIFS(Puntuacion!$A:$A,$A21,Puntuacion!$C:$C,$C21,Puntuacion!$D:$D,"Automatizacion",Puntuacion!$G:$G,"NE")=0),1,0)</f>
        <v/>
      </c>
      <c r="O21" s="5">
        <f>IF(M21=0,"NA",IF(N21=0,"NE",AVERAGEIFS(Puntuacion!$G:$G,Puntuacion!$A:$A,$A21,Puntuacion!$C:$C,$C21,Puntuacion!$D:$D,"Automatizacion",Puntuacion!$G:$G,"&lt;&gt;NA",Puntuacion!$G:$G,"&lt;&gt;NE")))</f>
        <v/>
      </c>
      <c r="P21">
        <f>IF(COUNTIFS(Puntuacion!$A:$A,$A21,Puntuacion!$C:$C,$C21,Puntuacion!$D:$D,"Multicloud",Puntuacion!$G:$G,"&lt;&gt;NA")&gt;0,1,0)</f>
        <v/>
      </c>
      <c r="Q21">
        <f>IF(AND(P21=1,COUNTIFS(Puntuacion!$A:$A,$A21,Puntuacion!$C:$C,$C21,Puntuacion!$D:$D,"Multicloud",Puntuacion!$G:$G,"NE")=0),1,0)</f>
        <v/>
      </c>
      <c r="R21" s="5">
        <f>IF(P21=0,"NA",IF(Q21=0,"NE",AVERAGEIFS(Puntuacion!$G:$G,Puntuacion!$A:$A,$A21,Puntuacion!$C:$C,$C21,Puntuacion!$D:$D,"Multicloud",Puntuacion!$G:$G,"&lt;&gt;NA",Puntuacion!$G:$G,"&lt;&gt;NE")))</f>
        <v/>
      </c>
      <c r="S21">
        <f>IF(COUNTIFS(Puntuacion!$A:$A,$A21,Puntuacion!$C:$C,$C21,Puntuacion!$D:$D,"Integracion",Puntuacion!$G:$G,"&lt;&gt;NA")&gt;0,1,0)</f>
        <v/>
      </c>
      <c r="T21">
        <f>IF(AND(S21=1,COUNTIFS(Puntuacion!$A:$A,$A21,Puntuacion!$C:$C,$C21,Puntuacion!$D:$D,"Integracion",Puntuacion!$G:$G,"NE")=0),1,0)</f>
        <v/>
      </c>
      <c r="U21" s="5">
        <f>IF(S21=0,"NA",IF(T21=0,"NE",AVERAGEIFS(Puntuacion!$G:$G,Puntuacion!$A:$A,$A21,Puntuacion!$C:$C,$C21,Puntuacion!$D:$D,"Integracion",Puntuacion!$G:$G,"&lt;&gt;NA",Puntuacion!$G:$G,"&lt;&gt;NE")))</f>
        <v/>
      </c>
      <c r="V21">
        <f>IF(COUNTIFS(Puntuacion!$A:$A,$A21,Puntuacion!$C:$C,$C21,Puntuacion!$D:$D,"Adopcion",Puntuacion!$G:$G,"&lt;&gt;NA")&gt;0,1,0)</f>
        <v/>
      </c>
      <c r="W21">
        <f>IF(AND(V21=1,COUNTIFS(Puntuacion!$A:$A,$A21,Puntuacion!$C:$C,$C21,Puntuacion!$D:$D,"Adopcion",Puntuacion!$G:$G,"NE")=0),1,0)</f>
        <v/>
      </c>
      <c r="X21" s="5">
        <f>IF(V21=0,"NA",IF(W21=0,"NE",AVERAGEIFS(Puntuacion!$G:$G,Puntuacion!$A:$A,$A21,Puntuacion!$C:$C,$C21,Puntuacion!$D:$D,"Adopcion",Puntuacion!$G:$G,"&lt;&gt;NA",Puntuacion!$G:$G,"&lt;&gt;NE")))</f>
        <v/>
      </c>
      <c r="Y21">
        <f>IF(COUNTIFS(Puntuacion!$A:$A,$A21,Puntuacion!$C:$C,$C21,Puntuacion!$D:$D,"Precio",Puntuacion!$G:$G,"&lt;&gt;NA")&gt;0,1,0)</f>
        <v/>
      </c>
      <c r="Z21">
        <f>IF(AND(Y21=1,COUNTIFS(Puntuacion!$A:$A,$A21,Puntuacion!$C:$C,$C21,Puntuacion!$D:$D,"Precio",Puntuacion!$G:$G,"NE")=0),1,0)</f>
        <v/>
      </c>
      <c r="AA21" s="5">
        <f>IF(Y21=0,"NA",IF(Z21=0,"NE",AVERAGEIFS(Puntuacion!$G:$G,Puntuacion!$A:$A,$A21,Puntuacion!$C:$C,$C21,Puntuacion!$D:$D,"Precio",Puntuacion!$G:$G,"&lt;&gt;NA",Puntuacion!$G:$G,"&lt;&gt;NE")))</f>
        <v/>
      </c>
      <c r="AB21">
        <f>IF(COUNTIFS(Puntuacion!$A:$A,$A21,Puntuacion!$C:$C,$C21,Puntuacion!$D:$D,"Dependencia",Puntuacion!$G:$G,"&lt;&gt;NA")&gt;0,1,0)</f>
        <v/>
      </c>
      <c r="AC21">
        <f>IF(AND(AB21=1,COUNTIFS(Puntuacion!$A:$A,$A21,Puntuacion!$C:$C,$C21,Puntuacion!$D:$D,"Dependencia",Puntuacion!$G:$G,"NE")=0),1,0)</f>
        <v/>
      </c>
      <c r="AD21" s="5">
        <f>IF(AB21=0,"NA",IF(AC21=0,"NE",AVERAGEIFS(Puntuacion!$G:$G,Puntuacion!$A:$A,$A21,Puntuacion!$C:$C,$C21,Puntuacion!$D:$D,"Dependencia",Puntuacion!$G:$G,"&lt;&gt;NA",Puntuacion!$G:$G,"&lt;&gt;NE")))</f>
        <v/>
      </c>
      <c r="AE21" s="5">
        <f>IFERROR(100*(E21*Pesos!$B$2+H21*Pesos!$B$3+K21*Pesos!$B$4+N21*Pesos!$B$5+Q21*Pesos!$B$6+T21*Pesos!$B$7+W21*Pesos!$B$8+Z21*Pesos!$B$9+AC21*Pesos!$B$10)/(D21*Pesos!$B$2+G21*Pesos!$B$3+J21*Pesos!$B$4+M21*Pesos!$B$5+P21*Pesos!$B$6+S21*Pesos!$B$7+V21*Pesos!$B$8+Y21*Pesos!$B$9+AB21*Pesos!$B$10),"Sin criterios aplicables")</f>
        <v/>
      </c>
      <c r="AF21" s="5">
        <f>IFERROR(100*(E21*Pesos!$C$2+H21*Pesos!$C$3+K21*Pesos!$C$4+N21*Pesos!$C$5+Q21*Pesos!$C$6+T21*Pesos!$C$7+W21*Pesos!$C$8+Z21*Pesos!$C$9+AC21*Pesos!$C$10)/(D21*Pesos!$C$2+G21*Pesos!$C$3+J21*Pesos!$C$4+M21*Pesos!$C$5+P21*Pesos!$C$6+S21*Pesos!$C$7+V21*Pesos!$C$8+Y21*Pesos!$C$9+AB21*Pesos!$C$10),"Sin criterios aplicables")</f>
        <v/>
      </c>
      <c r="AG21" s="5">
        <f>IF(OR(AE21="Sin criterios aplicables",AE21&lt;70),"Insufficient evidence",100*(Pesos!$B$2*IF(E21=1,F21,0)+Pesos!$B$3*IF(H21=1,I21,0)+Pesos!$B$4*IF(K21=1,L21,0)+Pesos!$B$5*IF(N21=1,O21,0)+Pesos!$B$6*IF(Q21=1,R21,0)+Pesos!$B$7*IF(T21=1,U21,0)+Pesos!$B$8*IF(W21=1,X21,0)+Pesos!$B$9*IF(Z21=1,AA21,0)+Pesos!$B$10*IF(AC21=1,AD21,0))/(3*(Pesos!$B$2*E21+Pesos!$B$3*H21+Pesos!$B$4*K21+Pesos!$B$5*N21+Pesos!$B$6*Q21+Pesos!$B$7*T21+Pesos!$B$8*W21+Pesos!$B$9*Z21+Pesos!$B$10*AC21)))</f>
        <v/>
      </c>
      <c r="AH21" s="5">
        <f>IF(OR(AF21="Sin criterios aplicables",AF21&lt;70),"Insufficient evidence",100*(Pesos!$C$2*IF(E21=1,F21,0)+Pesos!$C$3*IF(H21=1,I21,0)+Pesos!$C$4*IF(K21=1,L21,0)+Pesos!$C$5*IF(N21=1,O21,0)+Pesos!$C$6*IF(Q21=1,R21,0)+Pesos!$C$7*IF(T21=1,U21,0)+Pesos!$C$8*IF(W21=1,X21,0)+Pesos!$C$9*IF(Z21=1,AA21,0)+Pesos!$C$10*IF(AC21=1,AD21,0))/(3*(Pesos!$C$2*E21+Pesos!$C$3*H21+Pesos!$C$4*K21+Pesos!$C$5*N21+Pesos!$C$6*Q21+Pesos!$C$7*T21+Pesos!$C$8*W21+Pesos!$C$9*Z21+Pesos!$C$10*AC21)))</f>
        <v/>
      </c>
      <c r="AI21">
        <f>IF(AG21="Insufficient evidence","Insufficient evidence (cobertura&lt;70%)",IF(AG21&lt;50/3,"Insufficient",IF(AG21&lt;50,"Basic",IF(AG21&lt;250/3,"Solid","Advanced"))))</f>
        <v/>
      </c>
      <c r="AJ21">
        <f>IF(AH21="Insufficient evidence","Insufficient evidence (cobertura&lt;70%)",IF(AH21&lt;50/3,"Insufficient",IF(AH21&lt;50,"Basic",IF(AH21&lt;250/3,"Solid","Advanced"))))</f>
        <v/>
      </c>
      <c r="AK21">
        <f>IF(TRIM(IF(AND(ISNUMBER(R21),R21&lt;1),"Multicloud","") &amp; " " &amp; IF(AND(ISNUMBER(AA21),AA21&lt;1),"Precio",""))="","Ninguno",TRIM(IF(AND(ISNUMBER(R21),R21&lt;1),"Multicloud","") &amp; " " &amp; IF(AND(ISNUMBER(AA21),AA21&lt;1),"Precio","")))</f>
        <v/>
      </c>
    </row>
    <row r="22">
      <c r="A22" t="inlineStr">
        <is>
          <t>E2</t>
        </is>
      </c>
      <c r="B22" t="inlineStr">
        <is>
          <t>Multicloud</t>
        </is>
      </c>
      <c r="C22" t="inlineStr">
        <is>
          <t>Vantage</t>
        </is>
      </c>
      <c r="D22">
        <f>IF(COUNTIFS(Puntuacion!$A:$A,$A22,Puntuacion!$C:$C,$C22,Puntuacion!$D:$D,"Visibilidad",Puntuacion!$G:$G,"&lt;&gt;NA")&gt;0,1,0)</f>
        <v/>
      </c>
      <c r="E22">
        <f>IF(AND(D22=1,COUNTIFS(Puntuacion!$A:$A,$A22,Puntuacion!$C:$C,$C22,Puntuacion!$D:$D,"Visibilidad",Puntuacion!$G:$G,"NE")=0),1,0)</f>
        <v/>
      </c>
      <c r="F22" s="5">
        <f>IF(D22=0,"NA",IF(E22=0,"NE",AVERAGEIFS(Puntuacion!$G:$G,Puntuacion!$A:$A,$A22,Puntuacion!$C:$C,$C22,Puntuacion!$D:$D,"Visibilidad",Puntuacion!$G:$G,"&lt;&gt;NA",Puntuacion!$G:$G,"&lt;&gt;NE")))</f>
        <v/>
      </c>
      <c r="G22">
        <f>IF(COUNTIFS(Puntuacion!$A:$A,$A22,Puntuacion!$C:$C,$C22,Puntuacion!$D:$D,"Asignacion",Puntuacion!$G:$G,"&lt;&gt;NA")&gt;0,1,0)</f>
        <v/>
      </c>
      <c r="H22">
        <f>IF(AND(G22=1,COUNTIFS(Puntuacion!$A:$A,$A22,Puntuacion!$C:$C,$C22,Puntuacion!$D:$D,"Asignacion",Puntuacion!$G:$G,"NE")=0),1,0)</f>
        <v/>
      </c>
      <c r="I22" s="5">
        <f>IF(G22=0,"NA",IF(H22=0,"NE",AVERAGEIFS(Puntuacion!$G:$G,Puntuacion!$A:$A,$A22,Puntuacion!$C:$C,$C22,Puntuacion!$D:$D,"Asignacion",Puntuacion!$G:$G,"&lt;&gt;NA",Puntuacion!$G:$G,"&lt;&gt;NE")))</f>
        <v/>
      </c>
      <c r="J22">
        <f>IF(COUNTIFS(Puntuacion!$A:$A,$A22,Puntuacion!$C:$C,$C22,Puntuacion!$D:$D,"Optimizacion",Puntuacion!$G:$G,"&lt;&gt;NA")&gt;0,1,0)</f>
        <v/>
      </c>
      <c r="K22">
        <f>IF(AND(J22=1,COUNTIFS(Puntuacion!$A:$A,$A22,Puntuacion!$C:$C,$C22,Puntuacion!$D:$D,"Optimizacion",Puntuacion!$G:$G,"NE")=0),1,0)</f>
        <v/>
      </c>
      <c r="L22" s="5">
        <f>IF(J22=0,"NA",IF(K22=0,"NE",AVERAGEIFS(Puntuacion!$G:$G,Puntuacion!$A:$A,$A22,Puntuacion!$C:$C,$C22,Puntuacion!$D:$D,"Optimizacion",Puntuacion!$G:$G,"&lt;&gt;NA",Puntuacion!$G:$G,"&lt;&gt;NE")))</f>
        <v/>
      </c>
      <c r="M22">
        <f>IF(COUNTIFS(Puntuacion!$A:$A,$A22,Puntuacion!$C:$C,$C22,Puntuacion!$D:$D,"Automatizacion",Puntuacion!$G:$G,"&lt;&gt;NA")&gt;0,1,0)</f>
        <v/>
      </c>
      <c r="N22">
        <f>IF(AND(M22=1,COUNTIFS(Puntuacion!$A:$A,$A22,Puntuacion!$C:$C,$C22,Puntuacion!$D:$D,"Automatizacion",Puntuacion!$G:$G,"NE")=0),1,0)</f>
        <v/>
      </c>
      <c r="O22" s="5">
        <f>IF(M22=0,"NA",IF(N22=0,"NE",AVERAGEIFS(Puntuacion!$G:$G,Puntuacion!$A:$A,$A22,Puntuacion!$C:$C,$C22,Puntuacion!$D:$D,"Automatizacion",Puntuacion!$G:$G,"&lt;&gt;NA",Puntuacion!$G:$G,"&lt;&gt;NE")))</f>
        <v/>
      </c>
      <c r="P22">
        <f>IF(COUNTIFS(Puntuacion!$A:$A,$A22,Puntuacion!$C:$C,$C22,Puntuacion!$D:$D,"Multicloud",Puntuacion!$G:$G,"&lt;&gt;NA")&gt;0,1,0)</f>
        <v/>
      </c>
      <c r="Q22">
        <f>IF(AND(P22=1,COUNTIFS(Puntuacion!$A:$A,$A22,Puntuacion!$C:$C,$C22,Puntuacion!$D:$D,"Multicloud",Puntuacion!$G:$G,"NE")=0),1,0)</f>
        <v/>
      </c>
      <c r="R22" s="5">
        <f>IF(P22=0,"NA",IF(Q22=0,"NE",AVERAGEIFS(Puntuacion!$G:$G,Puntuacion!$A:$A,$A22,Puntuacion!$C:$C,$C22,Puntuacion!$D:$D,"Multicloud",Puntuacion!$G:$G,"&lt;&gt;NA",Puntuacion!$G:$G,"&lt;&gt;NE")))</f>
        <v/>
      </c>
      <c r="S22">
        <f>IF(COUNTIFS(Puntuacion!$A:$A,$A22,Puntuacion!$C:$C,$C22,Puntuacion!$D:$D,"Integracion",Puntuacion!$G:$G,"&lt;&gt;NA")&gt;0,1,0)</f>
        <v/>
      </c>
      <c r="T22">
        <f>IF(AND(S22=1,COUNTIFS(Puntuacion!$A:$A,$A22,Puntuacion!$C:$C,$C22,Puntuacion!$D:$D,"Integracion",Puntuacion!$G:$G,"NE")=0),1,0)</f>
        <v/>
      </c>
      <c r="U22" s="5">
        <f>IF(S22=0,"NA",IF(T22=0,"NE",AVERAGEIFS(Puntuacion!$G:$G,Puntuacion!$A:$A,$A22,Puntuacion!$C:$C,$C22,Puntuacion!$D:$D,"Integracion",Puntuacion!$G:$G,"&lt;&gt;NA",Puntuacion!$G:$G,"&lt;&gt;NE")))</f>
        <v/>
      </c>
      <c r="V22">
        <f>IF(COUNTIFS(Puntuacion!$A:$A,$A22,Puntuacion!$C:$C,$C22,Puntuacion!$D:$D,"Adopcion",Puntuacion!$G:$G,"&lt;&gt;NA")&gt;0,1,0)</f>
        <v/>
      </c>
      <c r="W22">
        <f>IF(AND(V22=1,COUNTIFS(Puntuacion!$A:$A,$A22,Puntuacion!$C:$C,$C22,Puntuacion!$D:$D,"Adopcion",Puntuacion!$G:$G,"NE")=0),1,0)</f>
        <v/>
      </c>
      <c r="X22" s="5">
        <f>IF(V22=0,"NA",IF(W22=0,"NE",AVERAGEIFS(Puntuacion!$G:$G,Puntuacion!$A:$A,$A22,Puntuacion!$C:$C,$C22,Puntuacion!$D:$D,"Adopcion",Puntuacion!$G:$G,"&lt;&gt;NA",Puntuacion!$G:$G,"&lt;&gt;NE")))</f>
        <v/>
      </c>
      <c r="Y22">
        <f>IF(COUNTIFS(Puntuacion!$A:$A,$A22,Puntuacion!$C:$C,$C22,Puntuacion!$D:$D,"Precio",Puntuacion!$G:$G,"&lt;&gt;NA")&gt;0,1,0)</f>
        <v/>
      </c>
      <c r="Z22">
        <f>IF(AND(Y22=1,COUNTIFS(Puntuacion!$A:$A,$A22,Puntuacion!$C:$C,$C22,Puntuacion!$D:$D,"Precio",Puntuacion!$G:$G,"NE")=0),1,0)</f>
        <v/>
      </c>
      <c r="AA22" s="5">
        <f>IF(Y22=0,"NA",IF(Z22=0,"NE",AVERAGEIFS(Puntuacion!$G:$G,Puntuacion!$A:$A,$A22,Puntuacion!$C:$C,$C22,Puntuacion!$D:$D,"Precio",Puntuacion!$G:$G,"&lt;&gt;NA",Puntuacion!$G:$G,"&lt;&gt;NE")))</f>
        <v/>
      </c>
      <c r="AB22">
        <f>IF(COUNTIFS(Puntuacion!$A:$A,$A22,Puntuacion!$C:$C,$C22,Puntuacion!$D:$D,"Dependencia",Puntuacion!$G:$G,"&lt;&gt;NA")&gt;0,1,0)</f>
        <v/>
      </c>
      <c r="AC22">
        <f>IF(AND(AB22=1,COUNTIFS(Puntuacion!$A:$A,$A22,Puntuacion!$C:$C,$C22,Puntuacion!$D:$D,"Dependencia",Puntuacion!$G:$G,"NE")=0),1,0)</f>
        <v/>
      </c>
      <c r="AD22" s="5">
        <f>IF(AB22=0,"NA",IF(AC22=0,"NE",AVERAGEIFS(Puntuacion!$G:$G,Puntuacion!$A:$A,$A22,Puntuacion!$C:$C,$C22,Puntuacion!$D:$D,"Dependencia",Puntuacion!$G:$G,"&lt;&gt;NA",Puntuacion!$G:$G,"&lt;&gt;NE")))</f>
        <v/>
      </c>
      <c r="AE22" s="5">
        <f>IFERROR(100*(E22*Pesos!$B$2+H22*Pesos!$B$3+K22*Pesos!$B$4+N22*Pesos!$B$5+Q22*Pesos!$B$6+T22*Pesos!$B$7+W22*Pesos!$B$8+Z22*Pesos!$B$9+AC22*Pesos!$B$10)/(D22*Pesos!$B$2+G22*Pesos!$B$3+J22*Pesos!$B$4+M22*Pesos!$B$5+P22*Pesos!$B$6+S22*Pesos!$B$7+V22*Pesos!$B$8+Y22*Pesos!$B$9+AB22*Pesos!$B$10),"Sin criterios aplicables")</f>
        <v/>
      </c>
      <c r="AF22" s="5">
        <f>IFERROR(100*(E22*Pesos!$C$2+H22*Pesos!$C$3+K22*Pesos!$C$4+N22*Pesos!$C$5+Q22*Pesos!$C$6+T22*Pesos!$C$7+W22*Pesos!$C$8+Z22*Pesos!$C$9+AC22*Pesos!$C$10)/(D22*Pesos!$C$2+G22*Pesos!$C$3+J22*Pesos!$C$4+M22*Pesos!$C$5+P22*Pesos!$C$6+S22*Pesos!$C$7+V22*Pesos!$C$8+Y22*Pesos!$C$9+AB22*Pesos!$C$10),"Sin criterios aplicables")</f>
        <v/>
      </c>
      <c r="AG22" s="5">
        <f>IF(OR(AE22="Sin criterios aplicables",AE22&lt;70),"Insufficient evidence",100*(Pesos!$B$2*IF(E22=1,F22,0)+Pesos!$B$3*IF(H22=1,I22,0)+Pesos!$B$4*IF(K22=1,L22,0)+Pesos!$B$5*IF(N22=1,O22,0)+Pesos!$B$6*IF(Q22=1,R22,0)+Pesos!$B$7*IF(T22=1,U22,0)+Pesos!$B$8*IF(W22=1,X22,0)+Pesos!$B$9*IF(Z22=1,AA22,0)+Pesos!$B$10*IF(AC22=1,AD22,0))/(3*(Pesos!$B$2*E22+Pesos!$B$3*H22+Pesos!$B$4*K22+Pesos!$B$5*N22+Pesos!$B$6*Q22+Pesos!$B$7*T22+Pesos!$B$8*W22+Pesos!$B$9*Z22+Pesos!$B$10*AC22)))</f>
        <v/>
      </c>
      <c r="AH22" s="5">
        <f>IF(OR(AF22="Sin criterios aplicables",AF22&lt;70),"Insufficient evidence",100*(Pesos!$C$2*IF(E22=1,F22,0)+Pesos!$C$3*IF(H22=1,I22,0)+Pesos!$C$4*IF(K22=1,L22,0)+Pesos!$C$5*IF(N22=1,O22,0)+Pesos!$C$6*IF(Q22=1,R22,0)+Pesos!$C$7*IF(T22=1,U22,0)+Pesos!$C$8*IF(W22=1,X22,0)+Pesos!$C$9*IF(Z22=1,AA22,0)+Pesos!$C$10*IF(AC22=1,AD22,0))/(3*(Pesos!$C$2*E22+Pesos!$C$3*H22+Pesos!$C$4*K22+Pesos!$C$5*N22+Pesos!$C$6*Q22+Pesos!$C$7*T22+Pesos!$C$8*W22+Pesos!$C$9*Z22+Pesos!$C$10*AC22)))</f>
        <v/>
      </c>
      <c r="AI22">
        <f>IF(AG22="Insufficient evidence","Insufficient evidence (cobertura&lt;70%)",IF(AG22&lt;50/3,"Insufficient",IF(AG22&lt;50,"Basic",IF(AG22&lt;250/3,"Solid","Advanced"))))</f>
        <v/>
      </c>
      <c r="AJ22">
        <f>IF(AH22="Insufficient evidence","Insufficient evidence (cobertura&lt;70%)",IF(AH22&lt;50/3,"Insufficient",IF(AH22&lt;50,"Basic",IF(AH22&lt;250/3,"Solid","Advanced"))))</f>
        <v/>
      </c>
      <c r="AK22">
        <f>IF(TRIM(IF(AND(ISNUMBER(R22),R22&lt;1),"Multicloud","") &amp; " " &amp; IF(AND(ISNUMBER(AA22),AA22&lt;1),"Precio",""))="","Ninguno",TRIM(IF(AND(ISNUMBER(R22),R22&lt;1),"Multicloud","") &amp; " " &amp; IF(AND(ISNUMBER(AA22),AA22&lt;1),"Precio","")))</f>
        <v/>
      </c>
    </row>
    <row r="23">
      <c r="A23" t="inlineStr">
        <is>
          <t>E2</t>
        </is>
      </c>
      <c r="B23" t="inlineStr">
        <is>
          <t>Multicloud</t>
        </is>
      </c>
      <c r="C23" t="inlineStr">
        <is>
          <t>nOps</t>
        </is>
      </c>
      <c r="D23">
        <f>IF(COUNTIFS(Puntuacion!$A:$A,$A23,Puntuacion!$C:$C,$C23,Puntuacion!$D:$D,"Visibilidad",Puntuacion!$G:$G,"&lt;&gt;NA")&gt;0,1,0)</f>
        <v/>
      </c>
      <c r="E23">
        <f>IF(AND(D23=1,COUNTIFS(Puntuacion!$A:$A,$A23,Puntuacion!$C:$C,$C23,Puntuacion!$D:$D,"Visibilidad",Puntuacion!$G:$G,"NE")=0),1,0)</f>
        <v/>
      </c>
      <c r="F23" s="5">
        <f>IF(D23=0,"NA",IF(E23=0,"NE",AVERAGEIFS(Puntuacion!$G:$G,Puntuacion!$A:$A,$A23,Puntuacion!$C:$C,$C23,Puntuacion!$D:$D,"Visibilidad",Puntuacion!$G:$G,"&lt;&gt;NA",Puntuacion!$G:$G,"&lt;&gt;NE")))</f>
        <v/>
      </c>
      <c r="G23">
        <f>IF(COUNTIFS(Puntuacion!$A:$A,$A23,Puntuacion!$C:$C,$C23,Puntuacion!$D:$D,"Asignacion",Puntuacion!$G:$G,"&lt;&gt;NA")&gt;0,1,0)</f>
        <v/>
      </c>
      <c r="H23">
        <f>IF(AND(G23=1,COUNTIFS(Puntuacion!$A:$A,$A23,Puntuacion!$C:$C,$C23,Puntuacion!$D:$D,"Asignacion",Puntuacion!$G:$G,"NE")=0),1,0)</f>
        <v/>
      </c>
      <c r="I23" s="5">
        <f>IF(G23=0,"NA",IF(H23=0,"NE",AVERAGEIFS(Puntuacion!$G:$G,Puntuacion!$A:$A,$A23,Puntuacion!$C:$C,$C23,Puntuacion!$D:$D,"Asignacion",Puntuacion!$G:$G,"&lt;&gt;NA",Puntuacion!$G:$G,"&lt;&gt;NE")))</f>
        <v/>
      </c>
      <c r="J23">
        <f>IF(COUNTIFS(Puntuacion!$A:$A,$A23,Puntuacion!$C:$C,$C23,Puntuacion!$D:$D,"Optimizacion",Puntuacion!$G:$G,"&lt;&gt;NA")&gt;0,1,0)</f>
        <v/>
      </c>
      <c r="K23">
        <f>IF(AND(J23=1,COUNTIFS(Puntuacion!$A:$A,$A23,Puntuacion!$C:$C,$C23,Puntuacion!$D:$D,"Optimizacion",Puntuacion!$G:$G,"NE")=0),1,0)</f>
        <v/>
      </c>
      <c r="L23" s="5">
        <f>IF(J23=0,"NA",IF(K23=0,"NE",AVERAGEIFS(Puntuacion!$G:$G,Puntuacion!$A:$A,$A23,Puntuacion!$C:$C,$C23,Puntuacion!$D:$D,"Optimizacion",Puntuacion!$G:$G,"&lt;&gt;NA",Puntuacion!$G:$G,"&lt;&gt;NE")))</f>
        <v/>
      </c>
      <c r="M23">
        <f>IF(COUNTIFS(Puntuacion!$A:$A,$A23,Puntuacion!$C:$C,$C23,Puntuacion!$D:$D,"Automatizacion",Puntuacion!$G:$G,"&lt;&gt;NA")&gt;0,1,0)</f>
        <v/>
      </c>
      <c r="N23">
        <f>IF(AND(M23=1,COUNTIFS(Puntuacion!$A:$A,$A23,Puntuacion!$C:$C,$C23,Puntuacion!$D:$D,"Automatizacion",Puntuacion!$G:$G,"NE")=0),1,0)</f>
        <v/>
      </c>
      <c r="O23" s="5">
        <f>IF(M23=0,"NA",IF(N23=0,"NE",AVERAGEIFS(Puntuacion!$G:$G,Puntuacion!$A:$A,$A23,Puntuacion!$C:$C,$C23,Puntuacion!$D:$D,"Automatizacion",Puntuacion!$G:$G,"&lt;&gt;NA",Puntuacion!$G:$G,"&lt;&gt;NE")))</f>
        <v/>
      </c>
      <c r="P23">
        <f>IF(COUNTIFS(Puntuacion!$A:$A,$A23,Puntuacion!$C:$C,$C23,Puntuacion!$D:$D,"Multicloud",Puntuacion!$G:$G,"&lt;&gt;NA")&gt;0,1,0)</f>
        <v/>
      </c>
      <c r="Q23">
        <f>IF(AND(P23=1,COUNTIFS(Puntuacion!$A:$A,$A23,Puntuacion!$C:$C,$C23,Puntuacion!$D:$D,"Multicloud",Puntuacion!$G:$G,"NE")=0),1,0)</f>
        <v/>
      </c>
      <c r="R23" s="5">
        <f>IF(P23=0,"NA",IF(Q23=0,"NE",AVERAGEIFS(Puntuacion!$G:$G,Puntuacion!$A:$A,$A23,Puntuacion!$C:$C,$C23,Puntuacion!$D:$D,"Multicloud",Puntuacion!$G:$G,"&lt;&gt;NA",Puntuacion!$G:$G,"&lt;&gt;NE")))</f>
        <v/>
      </c>
      <c r="S23">
        <f>IF(COUNTIFS(Puntuacion!$A:$A,$A23,Puntuacion!$C:$C,$C23,Puntuacion!$D:$D,"Integracion",Puntuacion!$G:$G,"&lt;&gt;NA")&gt;0,1,0)</f>
        <v/>
      </c>
      <c r="T23">
        <f>IF(AND(S23=1,COUNTIFS(Puntuacion!$A:$A,$A23,Puntuacion!$C:$C,$C23,Puntuacion!$D:$D,"Integracion",Puntuacion!$G:$G,"NE")=0),1,0)</f>
        <v/>
      </c>
      <c r="U23" s="5">
        <f>IF(S23=0,"NA",IF(T23=0,"NE",AVERAGEIFS(Puntuacion!$G:$G,Puntuacion!$A:$A,$A23,Puntuacion!$C:$C,$C23,Puntuacion!$D:$D,"Integracion",Puntuacion!$G:$G,"&lt;&gt;NA",Puntuacion!$G:$G,"&lt;&gt;NE")))</f>
        <v/>
      </c>
      <c r="V23">
        <f>IF(COUNTIFS(Puntuacion!$A:$A,$A23,Puntuacion!$C:$C,$C23,Puntuacion!$D:$D,"Adopcion",Puntuacion!$G:$G,"&lt;&gt;NA")&gt;0,1,0)</f>
        <v/>
      </c>
      <c r="W23">
        <f>IF(AND(V23=1,COUNTIFS(Puntuacion!$A:$A,$A23,Puntuacion!$C:$C,$C23,Puntuacion!$D:$D,"Adopcion",Puntuacion!$G:$G,"NE")=0),1,0)</f>
        <v/>
      </c>
      <c r="X23" s="5">
        <f>IF(V23=0,"NA",IF(W23=0,"NE",AVERAGEIFS(Puntuacion!$G:$G,Puntuacion!$A:$A,$A23,Puntuacion!$C:$C,$C23,Puntuacion!$D:$D,"Adopcion",Puntuacion!$G:$G,"&lt;&gt;NA",Puntuacion!$G:$G,"&lt;&gt;NE")))</f>
        <v/>
      </c>
      <c r="Y23">
        <f>IF(COUNTIFS(Puntuacion!$A:$A,$A23,Puntuacion!$C:$C,$C23,Puntuacion!$D:$D,"Precio",Puntuacion!$G:$G,"&lt;&gt;NA")&gt;0,1,0)</f>
        <v/>
      </c>
      <c r="Z23">
        <f>IF(AND(Y23=1,COUNTIFS(Puntuacion!$A:$A,$A23,Puntuacion!$C:$C,$C23,Puntuacion!$D:$D,"Precio",Puntuacion!$G:$G,"NE")=0),1,0)</f>
        <v/>
      </c>
      <c r="AA23" s="5">
        <f>IF(Y23=0,"NA",IF(Z23=0,"NE",AVERAGEIFS(Puntuacion!$G:$G,Puntuacion!$A:$A,$A23,Puntuacion!$C:$C,$C23,Puntuacion!$D:$D,"Precio",Puntuacion!$G:$G,"&lt;&gt;NA",Puntuacion!$G:$G,"&lt;&gt;NE")))</f>
        <v/>
      </c>
      <c r="AB23">
        <f>IF(COUNTIFS(Puntuacion!$A:$A,$A23,Puntuacion!$C:$C,$C23,Puntuacion!$D:$D,"Dependencia",Puntuacion!$G:$G,"&lt;&gt;NA")&gt;0,1,0)</f>
        <v/>
      </c>
      <c r="AC23">
        <f>IF(AND(AB23=1,COUNTIFS(Puntuacion!$A:$A,$A23,Puntuacion!$C:$C,$C23,Puntuacion!$D:$D,"Dependencia",Puntuacion!$G:$G,"NE")=0),1,0)</f>
        <v/>
      </c>
      <c r="AD23" s="5">
        <f>IF(AB23=0,"NA",IF(AC23=0,"NE",AVERAGEIFS(Puntuacion!$G:$G,Puntuacion!$A:$A,$A23,Puntuacion!$C:$C,$C23,Puntuacion!$D:$D,"Dependencia",Puntuacion!$G:$G,"&lt;&gt;NA",Puntuacion!$G:$G,"&lt;&gt;NE")))</f>
        <v/>
      </c>
      <c r="AE23" s="5">
        <f>IFERROR(100*(E23*Pesos!$B$2+H23*Pesos!$B$3+K23*Pesos!$B$4+N23*Pesos!$B$5+Q23*Pesos!$B$6+T23*Pesos!$B$7+W23*Pesos!$B$8+Z23*Pesos!$B$9+AC23*Pesos!$B$10)/(D23*Pesos!$B$2+G23*Pesos!$B$3+J23*Pesos!$B$4+M23*Pesos!$B$5+P23*Pesos!$B$6+S23*Pesos!$B$7+V23*Pesos!$B$8+Y23*Pesos!$B$9+AB23*Pesos!$B$10),"Sin criterios aplicables")</f>
        <v/>
      </c>
      <c r="AF23" s="5">
        <f>IFERROR(100*(E23*Pesos!$C$2+H23*Pesos!$C$3+K23*Pesos!$C$4+N23*Pesos!$C$5+Q23*Pesos!$C$6+T23*Pesos!$C$7+W23*Pesos!$C$8+Z23*Pesos!$C$9+AC23*Pesos!$C$10)/(D23*Pesos!$C$2+G23*Pesos!$C$3+J23*Pesos!$C$4+M23*Pesos!$C$5+P23*Pesos!$C$6+S23*Pesos!$C$7+V23*Pesos!$C$8+Y23*Pesos!$C$9+AB23*Pesos!$C$10),"Sin criterios aplicables")</f>
        <v/>
      </c>
      <c r="AG23" s="5">
        <f>IF(OR(AE23="Sin criterios aplicables",AE23&lt;70),"Insufficient evidence",100*(Pesos!$B$2*IF(E23=1,F23,0)+Pesos!$B$3*IF(H23=1,I23,0)+Pesos!$B$4*IF(K23=1,L23,0)+Pesos!$B$5*IF(N23=1,O23,0)+Pesos!$B$6*IF(Q23=1,R23,0)+Pesos!$B$7*IF(T23=1,U23,0)+Pesos!$B$8*IF(W23=1,X23,0)+Pesos!$B$9*IF(Z23=1,AA23,0)+Pesos!$B$10*IF(AC23=1,AD23,0))/(3*(Pesos!$B$2*E23+Pesos!$B$3*H23+Pesos!$B$4*K23+Pesos!$B$5*N23+Pesos!$B$6*Q23+Pesos!$B$7*T23+Pesos!$B$8*W23+Pesos!$B$9*Z23+Pesos!$B$10*AC23)))</f>
        <v/>
      </c>
      <c r="AH23" s="5">
        <f>IF(OR(AF23="Sin criterios aplicables",AF23&lt;70),"Insufficient evidence",100*(Pesos!$C$2*IF(E23=1,F23,0)+Pesos!$C$3*IF(H23=1,I23,0)+Pesos!$C$4*IF(K23=1,L23,0)+Pesos!$C$5*IF(N23=1,O23,0)+Pesos!$C$6*IF(Q23=1,R23,0)+Pesos!$C$7*IF(T23=1,U23,0)+Pesos!$C$8*IF(W23=1,X23,0)+Pesos!$C$9*IF(Z23=1,AA23,0)+Pesos!$C$10*IF(AC23=1,AD23,0))/(3*(Pesos!$C$2*E23+Pesos!$C$3*H23+Pesos!$C$4*K23+Pesos!$C$5*N23+Pesos!$C$6*Q23+Pesos!$C$7*T23+Pesos!$C$8*W23+Pesos!$C$9*Z23+Pesos!$C$10*AC23)))</f>
        <v/>
      </c>
      <c r="AI23">
        <f>IF(AG23="Insufficient evidence","Insufficient evidence (cobertura&lt;70%)",IF(AG23&lt;50/3,"Insufficient",IF(AG23&lt;50,"Basic",IF(AG23&lt;250/3,"Solid","Advanced"))))</f>
        <v/>
      </c>
      <c r="AJ23">
        <f>IF(AH23="Insufficient evidence","Insufficient evidence (cobertura&lt;70%)",IF(AH23&lt;50/3,"Insufficient",IF(AH23&lt;50,"Basic",IF(AH23&lt;250/3,"Solid","Advanced"))))</f>
        <v/>
      </c>
      <c r="AK23">
        <f>IF(TRIM(IF(AND(ISNUMBER(R23),R23&lt;1),"Multicloud","") &amp; " " &amp; IF(AND(ISNUMBER(AA23),AA23&lt;1),"Precio",""))="","Ninguno",TRIM(IF(AND(ISNUMBER(R23),R23&lt;1),"Multicloud","") &amp; " " &amp; IF(AND(ISNUMBER(AA23),AA23&lt;1),"Precio","")))</f>
        <v/>
      </c>
    </row>
    <row r="24">
      <c r="A24" t="inlineStr">
        <is>
          <t>E3</t>
        </is>
      </c>
      <c r="B24" t="inlineStr">
        <is>
          <t>Cloud nativa</t>
        </is>
      </c>
      <c r="C24" t="inlineStr">
        <is>
          <t>AWS Cost Explorer</t>
        </is>
      </c>
      <c r="D24">
        <f>IF(COUNTIFS(Puntuacion!$A:$A,$A24,Puntuacion!$C:$C,$C24,Puntuacion!$D:$D,"Visibilidad",Puntuacion!$G:$G,"&lt;&gt;NA")&gt;0,1,0)</f>
        <v/>
      </c>
      <c r="E24">
        <f>IF(AND(D24=1,COUNTIFS(Puntuacion!$A:$A,$A24,Puntuacion!$C:$C,$C24,Puntuacion!$D:$D,"Visibilidad",Puntuacion!$G:$G,"NE")=0),1,0)</f>
        <v/>
      </c>
      <c r="F24" s="5">
        <f>IF(D24=0,"NA",IF(E24=0,"NE",AVERAGEIFS(Puntuacion!$G:$G,Puntuacion!$A:$A,$A24,Puntuacion!$C:$C,$C24,Puntuacion!$D:$D,"Visibilidad",Puntuacion!$G:$G,"&lt;&gt;NA",Puntuacion!$G:$G,"&lt;&gt;NE")))</f>
        <v/>
      </c>
      <c r="G24">
        <f>IF(COUNTIFS(Puntuacion!$A:$A,$A24,Puntuacion!$C:$C,$C24,Puntuacion!$D:$D,"Asignacion",Puntuacion!$G:$G,"&lt;&gt;NA")&gt;0,1,0)</f>
        <v/>
      </c>
      <c r="H24">
        <f>IF(AND(G24=1,COUNTIFS(Puntuacion!$A:$A,$A24,Puntuacion!$C:$C,$C24,Puntuacion!$D:$D,"Asignacion",Puntuacion!$G:$G,"NE")=0),1,0)</f>
        <v/>
      </c>
      <c r="I24" s="5">
        <f>IF(G24=0,"NA",IF(H24=0,"NE",AVERAGEIFS(Puntuacion!$G:$G,Puntuacion!$A:$A,$A24,Puntuacion!$C:$C,$C24,Puntuacion!$D:$D,"Asignacion",Puntuacion!$G:$G,"&lt;&gt;NA",Puntuacion!$G:$G,"&lt;&gt;NE")))</f>
        <v/>
      </c>
      <c r="J24">
        <f>IF(COUNTIFS(Puntuacion!$A:$A,$A24,Puntuacion!$C:$C,$C24,Puntuacion!$D:$D,"Optimizacion",Puntuacion!$G:$G,"&lt;&gt;NA")&gt;0,1,0)</f>
        <v/>
      </c>
      <c r="K24">
        <f>IF(AND(J24=1,COUNTIFS(Puntuacion!$A:$A,$A24,Puntuacion!$C:$C,$C24,Puntuacion!$D:$D,"Optimizacion",Puntuacion!$G:$G,"NE")=0),1,0)</f>
        <v/>
      </c>
      <c r="L24" s="5">
        <f>IF(J24=0,"NA",IF(K24=0,"NE",AVERAGEIFS(Puntuacion!$G:$G,Puntuacion!$A:$A,$A24,Puntuacion!$C:$C,$C24,Puntuacion!$D:$D,"Optimizacion",Puntuacion!$G:$G,"&lt;&gt;NA",Puntuacion!$G:$G,"&lt;&gt;NE")))</f>
        <v/>
      </c>
      <c r="M24">
        <f>IF(COUNTIFS(Puntuacion!$A:$A,$A24,Puntuacion!$C:$C,$C24,Puntuacion!$D:$D,"Automatizacion",Puntuacion!$G:$G,"&lt;&gt;NA")&gt;0,1,0)</f>
        <v/>
      </c>
      <c r="N24">
        <f>IF(AND(M24=1,COUNTIFS(Puntuacion!$A:$A,$A24,Puntuacion!$C:$C,$C24,Puntuacion!$D:$D,"Automatizacion",Puntuacion!$G:$G,"NE")=0),1,0)</f>
        <v/>
      </c>
      <c r="O24" s="5">
        <f>IF(M24=0,"NA",IF(N24=0,"NE",AVERAGEIFS(Puntuacion!$G:$G,Puntuacion!$A:$A,$A24,Puntuacion!$C:$C,$C24,Puntuacion!$D:$D,"Automatizacion",Puntuacion!$G:$G,"&lt;&gt;NA",Puntuacion!$G:$G,"&lt;&gt;NE")))</f>
        <v/>
      </c>
      <c r="P24">
        <f>IF(COUNTIFS(Puntuacion!$A:$A,$A24,Puntuacion!$C:$C,$C24,Puntuacion!$D:$D,"Multicloud",Puntuacion!$G:$G,"&lt;&gt;NA")&gt;0,1,0)</f>
        <v/>
      </c>
      <c r="Q24">
        <f>IF(AND(P24=1,COUNTIFS(Puntuacion!$A:$A,$A24,Puntuacion!$C:$C,$C24,Puntuacion!$D:$D,"Multicloud",Puntuacion!$G:$G,"NE")=0),1,0)</f>
        <v/>
      </c>
      <c r="R24" s="5">
        <f>IF(P24=0,"NA",IF(Q24=0,"NE",AVERAGEIFS(Puntuacion!$G:$G,Puntuacion!$A:$A,$A24,Puntuacion!$C:$C,$C24,Puntuacion!$D:$D,"Multicloud",Puntuacion!$G:$G,"&lt;&gt;NA",Puntuacion!$G:$G,"&lt;&gt;NE")))</f>
        <v/>
      </c>
      <c r="S24">
        <f>IF(COUNTIFS(Puntuacion!$A:$A,$A24,Puntuacion!$C:$C,$C24,Puntuacion!$D:$D,"Integracion",Puntuacion!$G:$G,"&lt;&gt;NA")&gt;0,1,0)</f>
        <v/>
      </c>
      <c r="T24">
        <f>IF(AND(S24=1,COUNTIFS(Puntuacion!$A:$A,$A24,Puntuacion!$C:$C,$C24,Puntuacion!$D:$D,"Integracion",Puntuacion!$G:$G,"NE")=0),1,0)</f>
        <v/>
      </c>
      <c r="U24" s="5">
        <f>IF(S24=0,"NA",IF(T24=0,"NE",AVERAGEIFS(Puntuacion!$G:$G,Puntuacion!$A:$A,$A24,Puntuacion!$C:$C,$C24,Puntuacion!$D:$D,"Integracion",Puntuacion!$G:$G,"&lt;&gt;NA",Puntuacion!$G:$G,"&lt;&gt;NE")))</f>
        <v/>
      </c>
      <c r="V24">
        <f>IF(COUNTIFS(Puntuacion!$A:$A,$A24,Puntuacion!$C:$C,$C24,Puntuacion!$D:$D,"Adopcion",Puntuacion!$G:$G,"&lt;&gt;NA")&gt;0,1,0)</f>
        <v/>
      </c>
      <c r="W24">
        <f>IF(AND(V24=1,COUNTIFS(Puntuacion!$A:$A,$A24,Puntuacion!$C:$C,$C24,Puntuacion!$D:$D,"Adopcion",Puntuacion!$G:$G,"NE")=0),1,0)</f>
        <v/>
      </c>
      <c r="X24" s="5">
        <f>IF(V24=0,"NA",IF(W24=0,"NE",AVERAGEIFS(Puntuacion!$G:$G,Puntuacion!$A:$A,$A24,Puntuacion!$C:$C,$C24,Puntuacion!$D:$D,"Adopcion",Puntuacion!$G:$G,"&lt;&gt;NA",Puntuacion!$G:$G,"&lt;&gt;NE")))</f>
        <v/>
      </c>
      <c r="Y24">
        <f>IF(COUNTIFS(Puntuacion!$A:$A,$A24,Puntuacion!$C:$C,$C24,Puntuacion!$D:$D,"Precio",Puntuacion!$G:$G,"&lt;&gt;NA")&gt;0,1,0)</f>
        <v/>
      </c>
      <c r="Z24">
        <f>IF(AND(Y24=1,COUNTIFS(Puntuacion!$A:$A,$A24,Puntuacion!$C:$C,$C24,Puntuacion!$D:$D,"Precio",Puntuacion!$G:$G,"NE")=0),1,0)</f>
        <v/>
      </c>
      <c r="AA24" s="5">
        <f>IF(Y24=0,"NA",IF(Z24=0,"NE",AVERAGEIFS(Puntuacion!$G:$G,Puntuacion!$A:$A,$A24,Puntuacion!$C:$C,$C24,Puntuacion!$D:$D,"Precio",Puntuacion!$G:$G,"&lt;&gt;NA",Puntuacion!$G:$G,"&lt;&gt;NE")))</f>
        <v/>
      </c>
      <c r="AB24">
        <f>IF(COUNTIFS(Puntuacion!$A:$A,$A24,Puntuacion!$C:$C,$C24,Puntuacion!$D:$D,"Dependencia",Puntuacion!$G:$G,"&lt;&gt;NA")&gt;0,1,0)</f>
        <v/>
      </c>
      <c r="AC24">
        <f>IF(AND(AB24=1,COUNTIFS(Puntuacion!$A:$A,$A24,Puntuacion!$C:$C,$C24,Puntuacion!$D:$D,"Dependencia",Puntuacion!$G:$G,"NE")=0),1,0)</f>
        <v/>
      </c>
      <c r="AD24" s="5">
        <f>IF(AB24=0,"NA",IF(AC24=0,"NE",AVERAGEIFS(Puntuacion!$G:$G,Puntuacion!$A:$A,$A24,Puntuacion!$C:$C,$C24,Puntuacion!$D:$D,"Dependencia",Puntuacion!$G:$G,"&lt;&gt;NA",Puntuacion!$G:$G,"&lt;&gt;NE")))</f>
        <v/>
      </c>
      <c r="AE24" s="5">
        <f>IFERROR(100*(E24*Pesos!$B$2+H24*Pesos!$B$3+K24*Pesos!$B$4+N24*Pesos!$B$5+Q24*Pesos!$B$6+T24*Pesos!$B$7+W24*Pesos!$B$8+Z24*Pesos!$B$9+AC24*Pesos!$B$10)/(D24*Pesos!$B$2+G24*Pesos!$B$3+J24*Pesos!$B$4+M24*Pesos!$B$5+P24*Pesos!$B$6+S24*Pesos!$B$7+V24*Pesos!$B$8+Y24*Pesos!$B$9+AB24*Pesos!$B$10),"Sin criterios aplicables")</f>
        <v/>
      </c>
      <c r="AF24" s="5">
        <f>IFERROR(100*(E24*Pesos!$C$2+H24*Pesos!$C$3+K24*Pesos!$C$4+N24*Pesos!$C$5+Q24*Pesos!$C$6+T24*Pesos!$C$7+W24*Pesos!$C$8+Z24*Pesos!$C$9+AC24*Pesos!$C$10)/(D24*Pesos!$C$2+G24*Pesos!$C$3+J24*Pesos!$C$4+M24*Pesos!$C$5+P24*Pesos!$C$6+S24*Pesos!$C$7+V24*Pesos!$C$8+Y24*Pesos!$C$9+AB24*Pesos!$C$10),"Sin criterios aplicables")</f>
        <v/>
      </c>
      <c r="AG24" s="5">
        <f>IF(OR(AE24="Sin criterios aplicables",AE24&lt;70),"Insufficient evidence",100*(Pesos!$B$2*IF(E24=1,F24,0)+Pesos!$B$3*IF(H24=1,I24,0)+Pesos!$B$4*IF(K24=1,L24,0)+Pesos!$B$5*IF(N24=1,O24,0)+Pesos!$B$6*IF(Q24=1,R24,0)+Pesos!$B$7*IF(T24=1,U24,0)+Pesos!$B$8*IF(W24=1,X24,0)+Pesos!$B$9*IF(Z24=1,AA24,0)+Pesos!$B$10*IF(AC24=1,AD24,0))/(3*(Pesos!$B$2*E24+Pesos!$B$3*H24+Pesos!$B$4*K24+Pesos!$B$5*N24+Pesos!$B$6*Q24+Pesos!$B$7*T24+Pesos!$B$8*W24+Pesos!$B$9*Z24+Pesos!$B$10*AC24)))</f>
        <v/>
      </c>
      <c r="AH24" s="5">
        <f>IF(OR(AF24="Sin criterios aplicables",AF24&lt;70),"Insufficient evidence",100*(Pesos!$C$2*IF(E24=1,F24,0)+Pesos!$C$3*IF(H24=1,I24,0)+Pesos!$C$4*IF(K24=1,L24,0)+Pesos!$C$5*IF(N24=1,O24,0)+Pesos!$C$6*IF(Q24=1,R24,0)+Pesos!$C$7*IF(T24=1,U24,0)+Pesos!$C$8*IF(W24=1,X24,0)+Pesos!$C$9*IF(Z24=1,AA24,0)+Pesos!$C$10*IF(AC24=1,AD24,0))/(3*(Pesos!$C$2*E24+Pesos!$C$3*H24+Pesos!$C$4*K24+Pesos!$C$5*N24+Pesos!$C$6*Q24+Pesos!$C$7*T24+Pesos!$C$8*W24+Pesos!$C$9*Z24+Pesos!$C$10*AC24)))</f>
        <v/>
      </c>
      <c r="AI24">
        <f>IF(AG24="Insufficient evidence","Insufficient evidence (cobertura&lt;70%)",IF(AG24&lt;50/3,"Insufficient",IF(AG24&lt;50,"Basic",IF(AG24&lt;250/3,"Solid","Advanced"))))</f>
        <v/>
      </c>
      <c r="AJ24">
        <f>IF(AH24="Insufficient evidence","Insufficient evidence (cobertura&lt;70%)",IF(AH24&lt;50/3,"Insufficient",IF(AH24&lt;50,"Basic",IF(AH24&lt;250/3,"Solid","Advanced"))))</f>
        <v/>
      </c>
      <c r="AK24">
        <f>IF(TRIM(IF(AND(ISNUMBER(L24),L24&lt;1),"Optimización","") &amp; " " &amp; IF(AND(ISNUMBER(O24),O24&lt;1),"Automatización",""))="","Ninguno",TRIM(IF(AND(ISNUMBER(L24),L24&lt;1),"Optimización","") &amp; " " &amp; IF(AND(ISNUMBER(O24),O24&lt;1),"Automatización","")))</f>
        <v/>
      </c>
    </row>
    <row r="25">
      <c r="A25" t="inlineStr">
        <is>
          <t>E3</t>
        </is>
      </c>
      <c r="B25" t="inlineStr">
        <is>
          <t>Cloud nativa</t>
        </is>
      </c>
      <c r="C25" t="inlineStr">
        <is>
          <t>AWS Cost Optimization Hub</t>
        </is>
      </c>
      <c r="D25">
        <f>IF(COUNTIFS(Puntuacion!$A:$A,$A25,Puntuacion!$C:$C,$C25,Puntuacion!$D:$D,"Visibilidad",Puntuacion!$G:$G,"&lt;&gt;NA")&gt;0,1,0)</f>
        <v/>
      </c>
      <c r="E25">
        <f>IF(AND(D25=1,COUNTIFS(Puntuacion!$A:$A,$A25,Puntuacion!$C:$C,$C25,Puntuacion!$D:$D,"Visibilidad",Puntuacion!$G:$G,"NE")=0),1,0)</f>
        <v/>
      </c>
      <c r="F25" s="5">
        <f>IF(D25=0,"NA",IF(E25=0,"NE",AVERAGEIFS(Puntuacion!$G:$G,Puntuacion!$A:$A,$A25,Puntuacion!$C:$C,$C25,Puntuacion!$D:$D,"Visibilidad",Puntuacion!$G:$G,"&lt;&gt;NA",Puntuacion!$G:$G,"&lt;&gt;NE")))</f>
        <v/>
      </c>
      <c r="G25">
        <f>IF(COUNTIFS(Puntuacion!$A:$A,$A25,Puntuacion!$C:$C,$C25,Puntuacion!$D:$D,"Asignacion",Puntuacion!$G:$G,"&lt;&gt;NA")&gt;0,1,0)</f>
        <v/>
      </c>
      <c r="H25">
        <f>IF(AND(G25=1,COUNTIFS(Puntuacion!$A:$A,$A25,Puntuacion!$C:$C,$C25,Puntuacion!$D:$D,"Asignacion",Puntuacion!$G:$G,"NE")=0),1,0)</f>
        <v/>
      </c>
      <c r="I25" s="5">
        <f>IF(G25=0,"NA",IF(H25=0,"NE",AVERAGEIFS(Puntuacion!$G:$G,Puntuacion!$A:$A,$A25,Puntuacion!$C:$C,$C25,Puntuacion!$D:$D,"Asignacion",Puntuacion!$G:$G,"&lt;&gt;NA",Puntuacion!$G:$G,"&lt;&gt;NE")))</f>
        <v/>
      </c>
      <c r="J25">
        <f>IF(COUNTIFS(Puntuacion!$A:$A,$A25,Puntuacion!$C:$C,$C25,Puntuacion!$D:$D,"Optimizacion",Puntuacion!$G:$G,"&lt;&gt;NA")&gt;0,1,0)</f>
        <v/>
      </c>
      <c r="K25">
        <f>IF(AND(J25=1,COUNTIFS(Puntuacion!$A:$A,$A25,Puntuacion!$C:$C,$C25,Puntuacion!$D:$D,"Optimizacion",Puntuacion!$G:$G,"NE")=0),1,0)</f>
        <v/>
      </c>
      <c r="L25" s="5">
        <f>IF(J25=0,"NA",IF(K25=0,"NE",AVERAGEIFS(Puntuacion!$G:$G,Puntuacion!$A:$A,$A25,Puntuacion!$C:$C,$C25,Puntuacion!$D:$D,"Optimizacion",Puntuacion!$G:$G,"&lt;&gt;NA",Puntuacion!$G:$G,"&lt;&gt;NE")))</f>
        <v/>
      </c>
      <c r="M25">
        <f>IF(COUNTIFS(Puntuacion!$A:$A,$A25,Puntuacion!$C:$C,$C25,Puntuacion!$D:$D,"Automatizacion",Puntuacion!$G:$G,"&lt;&gt;NA")&gt;0,1,0)</f>
        <v/>
      </c>
      <c r="N25">
        <f>IF(AND(M25=1,COUNTIFS(Puntuacion!$A:$A,$A25,Puntuacion!$C:$C,$C25,Puntuacion!$D:$D,"Automatizacion",Puntuacion!$G:$G,"NE")=0),1,0)</f>
        <v/>
      </c>
      <c r="O25" s="5">
        <f>IF(M25=0,"NA",IF(N25=0,"NE",AVERAGEIFS(Puntuacion!$G:$G,Puntuacion!$A:$A,$A25,Puntuacion!$C:$C,$C25,Puntuacion!$D:$D,"Automatizacion",Puntuacion!$G:$G,"&lt;&gt;NA",Puntuacion!$G:$G,"&lt;&gt;NE")))</f>
        <v/>
      </c>
      <c r="P25">
        <f>IF(COUNTIFS(Puntuacion!$A:$A,$A25,Puntuacion!$C:$C,$C25,Puntuacion!$D:$D,"Multicloud",Puntuacion!$G:$G,"&lt;&gt;NA")&gt;0,1,0)</f>
        <v/>
      </c>
      <c r="Q25">
        <f>IF(AND(P25=1,COUNTIFS(Puntuacion!$A:$A,$A25,Puntuacion!$C:$C,$C25,Puntuacion!$D:$D,"Multicloud",Puntuacion!$G:$G,"NE")=0),1,0)</f>
        <v/>
      </c>
      <c r="R25" s="5">
        <f>IF(P25=0,"NA",IF(Q25=0,"NE",AVERAGEIFS(Puntuacion!$G:$G,Puntuacion!$A:$A,$A25,Puntuacion!$C:$C,$C25,Puntuacion!$D:$D,"Multicloud",Puntuacion!$G:$G,"&lt;&gt;NA",Puntuacion!$G:$G,"&lt;&gt;NE")))</f>
        <v/>
      </c>
      <c r="S25">
        <f>IF(COUNTIFS(Puntuacion!$A:$A,$A25,Puntuacion!$C:$C,$C25,Puntuacion!$D:$D,"Integracion",Puntuacion!$G:$G,"&lt;&gt;NA")&gt;0,1,0)</f>
        <v/>
      </c>
      <c r="T25">
        <f>IF(AND(S25=1,COUNTIFS(Puntuacion!$A:$A,$A25,Puntuacion!$C:$C,$C25,Puntuacion!$D:$D,"Integracion",Puntuacion!$G:$G,"NE")=0),1,0)</f>
        <v/>
      </c>
      <c r="U25" s="5">
        <f>IF(S25=0,"NA",IF(T25=0,"NE",AVERAGEIFS(Puntuacion!$G:$G,Puntuacion!$A:$A,$A25,Puntuacion!$C:$C,$C25,Puntuacion!$D:$D,"Integracion",Puntuacion!$G:$G,"&lt;&gt;NA",Puntuacion!$G:$G,"&lt;&gt;NE")))</f>
        <v/>
      </c>
      <c r="V25">
        <f>IF(COUNTIFS(Puntuacion!$A:$A,$A25,Puntuacion!$C:$C,$C25,Puntuacion!$D:$D,"Adopcion",Puntuacion!$G:$G,"&lt;&gt;NA")&gt;0,1,0)</f>
        <v/>
      </c>
      <c r="W25">
        <f>IF(AND(V25=1,COUNTIFS(Puntuacion!$A:$A,$A25,Puntuacion!$C:$C,$C25,Puntuacion!$D:$D,"Adopcion",Puntuacion!$G:$G,"NE")=0),1,0)</f>
        <v/>
      </c>
      <c r="X25" s="5">
        <f>IF(V25=0,"NA",IF(W25=0,"NE",AVERAGEIFS(Puntuacion!$G:$G,Puntuacion!$A:$A,$A25,Puntuacion!$C:$C,$C25,Puntuacion!$D:$D,"Adopcion",Puntuacion!$G:$G,"&lt;&gt;NA",Puntuacion!$G:$G,"&lt;&gt;NE")))</f>
        <v/>
      </c>
      <c r="Y25">
        <f>IF(COUNTIFS(Puntuacion!$A:$A,$A25,Puntuacion!$C:$C,$C25,Puntuacion!$D:$D,"Precio",Puntuacion!$G:$G,"&lt;&gt;NA")&gt;0,1,0)</f>
        <v/>
      </c>
      <c r="Z25">
        <f>IF(AND(Y25=1,COUNTIFS(Puntuacion!$A:$A,$A25,Puntuacion!$C:$C,$C25,Puntuacion!$D:$D,"Precio",Puntuacion!$G:$G,"NE")=0),1,0)</f>
        <v/>
      </c>
      <c r="AA25" s="5">
        <f>IF(Y25=0,"NA",IF(Z25=0,"NE",AVERAGEIFS(Puntuacion!$G:$G,Puntuacion!$A:$A,$A25,Puntuacion!$C:$C,$C25,Puntuacion!$D:$D,"Precio",Puntuacion!$G:$G,"&lt;&gt;NA",Puntuacion!$G:$G,"&lt;&gt;NE")))</f>
        <v/>
      </c>
      <c r="AB25">
        <f>IF(COUNTIFS(Puntuacion!$A:$A,$A25,Puntuacion!$C:$C,$C25,Puntuacion!$D:$D,"Dependencia",Puntuacion!$G:$G,"&lt;&gt;NA")&gt;0,1,0)</f>
        <v/>
      </c>
      <c r="AC25">
        <f>IF(AND(AB25=1,COUNTIFS(Puntuacion!$A:$A,$A25,Puntuacion!$C:$C,$C25,Puntuacion!$D:$D,"Dependencia",Puntuacion!$G:$G,"NE")=0),1,0)</f>
        <v/>
      </c>
      <c r="AD25" s="5">
        <f>IF(AB25=0,"NA",IF(AC25=0,"NE",AVERAGEIFS(Puntuacion!$G:$G,Puntuacion!$A:$A,$A25,Puntuacion!$C:$C,$C25,Puntuacion!$D:$D,"Dependencia",Puntuacion!$G:$G,"&lt;&gt;NA",Puntuacion!$G:$G,"&lt;&gt;NE")))</f>
        <v/>
      </c>
      <c r="AE25" s="5">
        <f>IFERROR(100*(E25*Pesos!$B$2+H25*Pesos!$B$3+K25*Pesos!$B$4+N25*Pesos!$B$5+Q25*Pesos!$B$6+T25*Pesos!$B$7+W25*Pesos!$B$8+Z25*Pesos!$B$9+AC25*Pesos!$B$10)/(D25*Pesos!$B$2+G25*Pesos!$B$3+J25*Pesos!$B$4+M25*Pesos!$B$5+P25*Pesos!$B$6+S25*Pesos!$B$7+V25*Pesos!$B$8+Y25*Pesos!$B$9+AB25*Pesos!$B$10),"Sin criterios aplicables")</f>
        <v/>
      </c>
      <c r="AF25" s="5">
        <f>IFERROR(100*(E25*Pesos!$C$2+H25*Pesos!$C$3+K25*Pesos!$C$4+N25*Pesos!$C$5+Q25*Pesos!$C$6+T25*Pesos!$C$7+W25*Pesos!$C$8+Z25*Pesos!$C$9+AC25*Pesos!$C$10)/(D25*Pesos!$C$2+G25*Pesos!$C$3+J25*Pesos!$C$4+M25*Pesos!$C$5+P25*Pesos!$C$6+S25*Pesos!$C$7+V25*Pesos!$C$8+Y25*Pesos!$C$9+AB25*Pesos!$C$10),"Sin criterios aplicables")</f>
        <v/>
      </c>
      <c r="AG25" s="5">
        <f>IF(OR(AE25="Sin criterios aplicables",AE25&lt;70),"Insufficient evidence",100*(Pesos!$B$2*IF(E25=1,F25,0)+Pesos!$B$3*IF(H25=1,I25,0)+Pesos!$B$4*IF(K25=1,L25,0)+Pesos!$B$5*IF(N25=1,O25,0)+Pesos!$B$6*IF(Q25=1,R25,0)+Pesos!$B$7*IF(T25=1,U25,0)+Pesos!$B$8*IF(W25=1,X25,0)+Pesos!$B$9*IF(Z25=1,AA25,0)+Pesos!$B$10*IF(AC25=1,AD25,0))/(3*(Pesos!$B$2*E25+Pesos!$B$3*H25+Pesos!$B$4*K25+Pesos!$B$5*N25+Pesos!$B$6*Q25+Pesos!$B$7*T25+Pesos!$B$8*W25+Pesos!$B$9*Z25+Pesos!$B$10*AC25)))</f>
        <v/>
      </c>
      <c r="AH25" s="5">
        <f>IF(OR(AF25="Sin criterios aplicables",AF25&lt;70),"Insufficient evidence",100*(Pesos!$C$2*IF(E25=1,F25,0)+Pesos!$C$3*IF(H25=1,I25,0)+Pesos!$C$4*IF(K25=1,L25,0)+Pesos!$C$5*IF(N25=1,O25,0)+Pesos!$C$6*IF(Q25=1,R25,0)+Pesos!$C$7*IF(T25=1,U25,0)+Pesos!$C$8*IF(W25=1,X25,0)+Pesos!$C$9*IF(Z25=1,AA25,0)+Pesos!$C$10*IF(AC25=1,AD25,0))/(3*(Pesos!$C$2*E25+Pesos!$C$3*H25+Pesos!$C$4*K25+Pesos!$C$5*N25+Pesos!$C$6*Q25+Pesos!$C$7*T25+Pesos!$C$8*W25+Pesos!$C$9*Z25+Pesos!$C$10*AC25)))</f>
        <v/>
      </c>
      <c r="AI25">
        <f>IF(AG25="Insufficient evidence","Insufficient evidence (cobertura&lt;70%)",IF(AG25&lt;50/3,"Insufficient",IF(AG25&lt;50,"Basic",IF(AG25&lt;250/3,"Solid","Advanced"))))</f>
        <v/>
      </c>
      <c r="AJ25">
        <f>IF(AH25="Insufficient evidence","Insufficient evidence (cobertura&lt;70%)",IF(AH25&lt;50/3,"Insufficient",IF(AH25&lt;50,"Basic",IF(AH25&lt;250/3,"Solid","Advanced"))))</f>
        <v/>
      </c>
      <c r="AK25">
        <f>IF(TRIM(IF(AND(ISNUMBER(L25),L25&lt;1),"Optimización","") &amp; " " &amp; IF(AND(ISNUMBER(O25),O25&lt;1),"Automatización",""))="","Ninguno",TRIM(IF(AND(ISNUMBER(L25),L25&lt;1),"Optimización","") &amp; " " &amp; IF(AND(ISNUMBER(O25),O25&lt;1),"Automatización","")))</f>
        <v/>
      </c>
    </row>
    <row r="26">
      <c r="A26" t="inlineStr">
        <is>
          <t>E3</t>
        </is>
      </c>
      <c r="B26" t="inlineStr">
        <is>
          <t>Cloud nativa</t>
        </is>
      </c>
      <c r="C26" t="inlineStr">
        <is>
          <t>Azure Cost Management</t>
        </is>
      </c>
      <c r="D26">
        <f>IF(COUNTIFS(Puntuacion!$A:$A,$A26,Puntuacion!$C:$C,$C26,Puntuacion!$D:$D,"Visibilidad",Puntuacion!$G:$G,"&lt;&gt;NA")&gt;0,1,0)</f>
        <v/>
      </c>
      <c r="E26">
        <f>IF(AND(D26=1,COUNTIFS(Puntuacion!$A:$A,$A26,Puntuacion!$C:$C,$C26,Puntuacion!$D:$D,"Visibilidad",Puntuacion!$G:$G,"NE")=0),1,0)</f>
        <v/>
      </c>
      <c r="F26" s="5">
        <f>IF(D26=0,"NA",IF(E26=0,"NE",AVERAGEIFS(Puntuacion!$G:$G,Puntuacion!$A:$A,$A26,Puntuacion!$C:$C,$C26,Puntuacion!$D:$D,"Visibilidad",Puntuacion!$G:$G,"&lt;&gt;NA",Puntuacion!$G:$G,"&lt;&gt;NE")))</f>
        <v/>
      </c>
      <c r="G26">
        <f>IF(COUNTIFS(Puntuacion!$A:$A,$A26,Puntuacion!$C:$C,$C26,Puntuacion!$D:$D,"Asignacion",Puntuacion!$G:$G,"&lt;&gt;NA")&gt;0,1,0)</f>
        <v/>
      </c>
      <c r="H26">
        <f>IF(AND(G26=1,COUNTIFS(Puntuacion!$A:$A,$A26,Puntuacion!$C:$C,$C26,Puntuacion!$D:$D,"Asignacion",Puntuacion!$G:$G,"NE")=0),1,0)</f>
        <v/>
      </c>
      <c r="I26" s="5">
        <f>IF(G26=0,"NA",IF(H26=0,"NE",AVERAGEIFS(Puntuacion!$G:$G,Puntuacion!$A:$A,$A26,Puntuacion!$C:$C,$C26,Puntuacion!$D:$D,"Asignacion",Puntuacion!$G:$G,"&lt;&gt;NA",Puntuacion!$G:$G,"&lt;&gt;NE")))</f>
        <v/>
      </c>
      <c r="J26">
        <f>IF(COUNTIFS(Puntuacion!$A:$A,$A26,Puntuacion!$C:$C,$C26,Puntuacion!$D:$D,"Optimizacion",Puntuacion!$G:$G,"&lt;&gt;NA")&gt;0,1,0)</f>
        <v/>
      </c>
      <c r="K26">
        <f>IF(AND(J26=1,COUNTIFS(Puntuacion!$A:$A,$A26,Puntuacion!$C:$C,$C26,Puntuacion!$D:$D,"Optimizacion",Puntuacion!$G:$G,"NE")=0),1,0)</f>
        <v/>
      </c>
      <c r="L26" s="5">
        <f>IF(J26=0,"NA",IF(K26=0,"NE",AVERAGEIFS(Puntuacion!$G:$G,Puntuacion!$A:$A,$A26,Puntuacion!$C:$C,$C26,Puntuacion!$D:$D,"Optimizacion",Puntuacion!$G:$G,"&lt;&gt;NA",Puntuacion!$G:$G,"&lt;&gt;NE")))</f>
        <v/>
      </c>
      <c r="M26">
        <f>IF(COUNTIFS(Puntuacion!$A:$A,$A26,Puntuacion!$C:$C,$C26,Puntuacion!$D:$D,"Automatizacion",Puntuacion!$G:$G,"&lt;&gt;NA")&gt;0,1,0)</f>
        <v/>
      </c>
      <c r="N26">
        <f>IF(AND(M26=1,COUNTIFS(Puntuacion!$A:$A,$A26,Puntuacion!$C:$C,$C26,Puntuacion!$D:$D,"Automatizacion",Puntuacion!$G:$G,"NE")=0),1,0)</f>
        <v/>
      </c>
      <c r="O26" s="5">
        <f>IF(M26=0,"NA",IF(N26=0,"NE",AVERAGEIFS(Puntuacion!$G:$G,Puntuacion!$A:$A,$A26,Puntuacion!$C:$C,$C26,Puntuacion!$D:$D,"Automatizacion",Puntuacion!$G:$G,"&lt;&gt;NA",Puntuacion!$G:$G,"&lt;&gt;NE")))</f>
        <v/>
      </c>
      <c r="P26">
        <f>IF(COUNTIFS(Puntuacion!$A:$A,$A26,Puntuacion!$C:$C,$C26,Puntuacion!$D:$D,"Multicloud",Puntuacion!$G:$G,"&lt;&gt;NA")&gt;0,1,0)</f>
        <v/>
      </c>
      <c r="Q26">
        <f>IF(AND(P26=1,COUNTIFS(Puntuacion!$A:$A,$A26,Puntuacion!$C:$C,$C26,Puntuacion!$D:$D,"Multicloud",Puntuacion!$G:$G,"NE")=0),1,0)</f>
        <v/>
      </c>
      <c r="R26" s="5">
        <f>IF(P26=0,"NA",IF(Q26=0,"NE",AVERAGEIFS(Puntuacion!$G:$G,Puntuacion!$A:$A,$A26,Puntuacion!$C:$C,$C26,Puntuacion!$D:$D,"Multicloud",Puntuacion!$G:$G,"&lt;&gt;NA",Puntuacion!$G:$G,"&lt;&gt;NE")))</f>
        <v/>
      </c>
      <c r="S26">
        <f>IF(COUNTIFS(Puntuacion!$A:$A,$A26,Puntuacion!$C:$C,$C26,Puntuacion!$D:$D,"Integracion",Puntuacion!$G:$G,"&lt;&gt;NA")&gt;0,1,0)</f>
        <v/>
      </c>
      <c r="T26">
        <f>IF(AND(S26=1,COUNTIFS(Puntuacion!$A:$A,$A26,Puntuacion!$C:$C,$C26,Puntuacion!$D:$D,"Integracion",Puntuacion!$G:$G,"NE")=0),1,0)</f>
        <v/>
      </c>
      <c r="U26" s="5">
        <f>IF(S26=0,"NA",IF(T26=0,"NE",AVERAGEIFS(Puntuacion!$G:$G,Puntuacion!$A:$A,$A26,Puntuacion!$C:$C,$C26,Puntuacion!$D:$D,"Integracion",Puntuacion!$G:$G,"&lt;&gt;NA",Puntuacion!$G:$G,"&lt;&gt;NE")))</f>
        <v/>
      </c>
      <c r="V26">
        <f>IF(COUNTIFS(Puntuacion!$A:$A,$A26,Puntuacion!$C:$C,$C26,Puntuacion!$D:$D,"Adopcion",Puntuacion!$G:$G,"&lt;&gt;NA")&gt;0,1,0)</f>
        <v/>
      </c>
      <c r="W26">
        <f>IF(AND(V26=1,COUNTIFS(Puntuacion!$A:$A,$A26,Puntuacion!$C:$C,$C26,Puntuacion!$D:$D,"Adopcion",Puntuacion!$G:$G,"NE")=0),1,0)</f>
        <v/>
      </c>
      <c r="X26" s="5">
        <f>IF(V26=0,"NA",IF(W26=0,"NE",AVERAGEIFS(Puntuacion!$G:$G,Puntuacion!$A:$A,$A26,Puntuacion!$C:$C,$C26,Puntuacion!$D:$D,"Adopcion",Puntuacion!$G:$G,"&lt;&gt;NA",Puntuacion!$G:$G,"&lt;&gt;NE")))</f>
        <v/>
      </c>
      <c r="Y26">
        <f>IF(COUNTIFS(Puntuacion!$A:$A,$A26,Puntuacion!$C:$C,$C26,Puntuacion!$D:$D,"Precio",Puntuacion!$G:$G,"&lt;&gt;NA")&gt;0,1,0)</f>
        <v/>
      </c>
      <c r="Z26">
        <f>IF(AND(Y26=1,COUNTIFS(Puntuacion!$A:$A,$A26,Puntuacion!$C:$C,$C26,Puntuacion!$D:$D,"Precio",Puntuacion!$G:$G,"NE")=0),1,0)</f>
        <v/>
      </c>
      <c r="AA26" s="5">
        <f>IF(Y26=0,"NA",IF(Z26=0,"NE",AVERAGEIFS(Puntuacion!$G:$G,Puntuacion!$A:$A,$A26,Puntuacion!$C:$C,$C26,Puntuacion!$D:$D,"Precio",Puntuacion!$G:$G,"&lt;&gt;NA",Puntuacion!$G:$G,"&lt;&gt;NE")))</f>
        <v/>
      </c>
      <c r="AB26">
        <f>IF(COUNTIFS(Puntuacion!$A:$A,$A26,Puntuacion!$C:$C,$C26,Puntuacion!$D:$D,"Dependencia",Puntuacion!$G:$G,"&lt;&gt;NA")&gt;0,1,0)</f>
        <v/>
      </c>
      <c r="AC26">
        <f>IF(AND(AB26=1,COUNTIFS(Puntuacion!$A:$A,$A26,Puntuacion!$C:$C,$C26,Puntuacion!$D:$D,"Dependencia",Puntuacion!$G:$G,"NE")=0),1,0)</f>
        <v/>
      </c>
      <c r="AD26" s="5">
        <f>IF(AB26=0,"NA",IF(AC26=0,"NE",AVERAGEIFS(Puntuacion!$G:$G,Puntuacion!$A:$A,$A26,Puntuacion!$C:$C,$C26,Puntuacion!$D:$D,"Dependencia",Puntuacion!$G:$G,"&lt;&gt;NA",Puntuacion!$G:$G,"&lt;&gt;NE")))</f>
        <v/>
      </c>
      <c r="AE26" s="5">
        <f>IFERROR(100*(E26*Pesos!$B$2+H26*Pesos!$B$3+K26*Pesos!$B$4+N26*Pesos!$B$5+Q26*Pesos!$B$6+T26*Pesos!$B$7+W26*Pesos!$B$8+Z26*Pesos!$B$9+AC26*Pesos!$B$10)/(D26*Pesos!$B$2+G26*Pesos!$B$3+J26*Pesos!$B$4+M26*Pesos!$B$5+P26*Pesos!$B$6+S26*Pesos!$B$7+V26*Pesos!$B$8+Y26*Pesos!$B$9+AB26*Pesos!$B$10),"Sin criterios aplicables")</f>
        <v/>
      </c>
      <c r="AF26" s="5">
        <f>IFERROR(100*(E26*Pesos!$C$2+H26*Pesos!$C$3+K26*Pesos!$C$4+N26*Pesos!$C$5+Q26*Pesos!$C$6+T26*Pesos!$C$7+W26*Pesos!$C$8+Z26*Pesos!$C$9+AC26*Pesos!$C$10)/(D26*Pesos!$C$2+G26*Pesos!$C$3+J26*Pesos!$C$4+M26*Pesos!$C$5+P26*Pesos!$C$6+S26*Pesos!$C$7+V26*Pesos!$C$8+Y26*Pesos!$C$9+AB26*Pesos!$C$10),"Sin criterios aplicables")</f>
        <v/>
      </c>
      <c r="AG26" s="5">
        <f>IF(OR(AE26="Sin criterios aplicables",AE26&lt;70),"Insufficient evidence",100*(Pesos!$B$2*IF(E26=1,F26,0)+Pesos!$B$3*IF(H26=1,I26,0)+Pesos!$B$4*IF(K26=1,L26,0)+Pesos!$B$5*IF(N26=1,O26,0)+Pesos!$B$6*IF(Q26=1,R26,0)+Pesos!$B$7*IF(T26=1,U26,0)+Pesos!$B$8*IF(W26=1,X26,0)+Pesos!$B$9*IF(Z26=1,AA26,0)+Pesos!$B$10*IF(AC26=1,AD26,0))/(3*(Pesos!$B$2*E26+Pesos!$B$3*H26+Pesos!$B$4*K26+Pesos!$B$5*N26+Pesos!$B$6*Q26+Pesos!$B$7*T26+Pesos!$B$8*W26+Pesos!$B$9*Z26+Pesos!$B$10*AC26)))</f>
        <v/>
      </c>
      <c r="AH26" s="5">
        <f>IF(OR(AF26="Sin criterios aplicables",AF26&lt;70),"Insufficient evidence",100*(Pesos!$C$2*IF(E26=1,F26,0)+Pesos!$C$3*IF(H26=1,I26,0)+Pesos!$C$4*IF(K26=1,L26,0)+Pesos!$C$5*IF(N26=1,O26,0)+Pesos!$C$6*IF(Q26=1,R26,0)+Pesos!$C$7*IF(T26=1,U26,0)+Pesos!$C$8*IF(W26=1,X26,0)+Pesos!$C$9*IF(Z26=1,AA26,0)+Pesos!$C$10*IF(AC26=1,AD26,0))/(3*(Pesos!$C$2*E26+Pesos!$C$3*H26+Pesos!$C$4*K26+Pesos!$C$5*N26+Pesos!$C$6*Q26+Pesos!$C$7*T26+Pesos!$C$8*W26+Pesos!$C$9*Z26+Pesos!$C$10*AC26)))</f>
        <v/>
      </c>
      <c r="AI26">
        <f>IF(AG26="Insufficient evidence","Insufficient evidence (cobertura&lt;70%)",IF(AG26&lt;50/3,"Insufficient",IF(AG26&lt;50,"Basic",IF(AG26&lt;250/3,"Solid","Advanced"))))</f>
        <v/>
      </c>
      <c r="AJ26">
        <f>IF(AH26="Insufficient evidence","Insufficient evidence (cobertura&lt;70%)",IF(AH26&lt;50/3,"Insufficient",IF(AH26&lt;50,"Basic",IF(AH26&lt;250/3,"Solid","Advanced"))))</f>
        <v/>
      </c>
      <c r="AK26">
        <f>IF(TRIM(IF(AND(ISNUMBER(L26),L26&lt;1),"Optimización","") &amp; " " &amp; IF(AND(ISNUMBER(O26),O26&lt;1),"Automatización",""))="","Ninguno",TRIM(IF(AND(ISNUMBER(L26),L26&lt;1),"Optimización","") &amp; " " &amp; IF(AND(ISNUMBER(O26),O26&lt;1),"Automatización","")))</f>
        <v/>
      </c>
    </row>
    <row r="27">
      <c r="A27" t="inlineStr">
        <is>
          <t>E3</t>
        </is>
      </c>
      <c r="B27" t="inlineStr">
        <is>
          <t>Cloud nativa</t>
        </is>
      </c>
      <c r="C27" t="inlineStr">
        <is>
          <t>Google Cloud Billing</t>
        </is>
      </c>
      <c r="D27">
        <f>IF(COUNTIFS(Puntuacion!$A:$A,$A27,Puntuacion!$C:$C,$C27,Puntuacion!$D:$D,"Visibilidad",Puntuacion!$G:$G,"&lt;&gt;NA")&gt;0,1,0)</f>
        <v/>
      </c>
      <c r="E27">
        <f>IF(AND(D27=1,COUNTIFS(Puntuacion!$A:$A,$A27,Puntuacion!$C:$C,$C27,Puntuacion!$D:$D,"Visibilidad",Puntuacion!$G:$G,"NE")=0),1,0)</f>
        <v/>
      </c>
      <c r="F27" s="5">
        <f>IF(D27=0,"NA",IF(E27=0,"NE",AVERAGEIFS(Puntuacion!$G:$G,Puntuacion!$A:$A,$A27,Puntuacion!$C:$C,$C27,Puntuacion!$D:$D,"Visibilidad",Puntuacion!$G:$G,"&lt;&gt;NA",Puntuacion!$G:$G,"&lt;&gt;NE")))</f>
        <v/>
      </c>
      <c r="G27">
        <f>IF(COUNTIFS(Puntuacion!$A:$A,$A27,Puntuacion!$C:$C,$C27,Puntuacion!$D:$D,"Asignacion",Puntuacion!$G:$G,"&lt;&gt;NA")&gt;0,1,0)</f>
        <v/>
      </c>
      <c r="H27">
        <f>IF(AND(G27=1,COUNTIFS(Puntuacion!$A:$A,$A27,Puntuacion!$C:$C,$C27,Puntuacion!$D:$D,"Asignacion",Puntuacion!$G:$G,"NE")=0),1,0)</f>
        <v/>
      </c>
      <c r="I27" s="5">
        <f>IF(G27=0,"NA",IF(H27=0,"NE",AVERAGEIFS(Puntuacion!$G:$G,Puntuacion!$A:$A,$A27,Puntuacion!$C:$C,$C27,Puntuacion!$D:$D,"Asignacion",Puntuacion!$G:$G,"&lt;&gt;NA",Puntuacion!$G:$G,"&lt;&gt;NE")))</f>
        <v/>
      </c>
      <c r="J27">
        <f>IF(COUNTIFS(Puntuacion!$A:$A,$A27,Puntuacion!$C:$C,$C27,Puntuacion!$D:$D,"Optimizacion",Puntuacion!$G:$G,"&lt;&gt;NA")&gt;0,1,0)</f>
        <v/>
      </c>
      <c r="K27">
        <f>IF(AND(J27=1,COUNTIFS(Puntuacion!$A:$A,$A27,Puntuacion!$C:$C,$C27,Puntuacion!$D:$D,"Optimizacion",Puntuacion!$G:$G,"NE")=0),1,0)</f>
        <v/>
      </c>
      <c r="L27" s="5">
        <f>IF(J27=0,"NA",IF(K27=0,"NE",AVERAGEIFS(Puntuacion!$G:$G,Puntuacion!$A:$A,$A27,Puntuacion!$C:$C,$C27,Puntuacion!$D:$D,"Optimizacion",Puntuacion!$G:$G,"&lt;&gt;NA",Puntuacion!$G:$G,"&lt;&gt;NE")))</f>
        <v/>
      </c>
      <c r="M27">
        <f>IF(COUNTIFS(Puntuacion!$A:$A,$A27,Puntuacion!$C:$C,$C27,Puntuacion!$D:$D,"Automatizacion",Puntuacion!$G:$G,"&lt;&gt;NA")&gt;0,1,0)</f>
        <v/>
      </c>
      <c r="N27">
        <f>IF(AND(M27=1,COUNTIFS(Puntuacion!$A:$A,$A27,Puntuacion!$C:$C,$C27,Puntuacion!$D:$D,"Automatizacion",Puntuacion!$G:$G,"NE")=0),1,0)</f>
        <v/>
      </c>
      <c r="O27" s="5">
        <f>IF(M27=0,"NA",IF(N27=0,"NE",AVERAGEIFS(Puntuacion!$G:$G,Puntuacion!$A:$A,$A27,Puntuacion!$C:$C,$C27,Puntuacion!$D:$D,"Automatizacion",Puntuacion!$G:$G,"&lt;&gt;NA",Puntuacion!$G:$G,"&lt;&gt;NE")))</f>
        <v/>
      </c>
      <c r="P27">
        <f>IF(COUNTIFS(Puntuacion!$A:$A,$A27,Puntuacion!$C:$C,$C27,Puntuacion!$D:$D,"Multicloud",Puntuacion!$G:$G,"&lt;&gt;NA")&gt;0,1,0)</f>
        <v/>
      </c>
      <c r="Q27">
        <f>IF(AND(P27=1,COUNTIFS(Puntuacion!$A:$A,$A27,Puntuacion!$C:$C,$C27,Puntuacion!$D:$D,"Multicloud",Puntuacion!$G:$G,"NE")=0),1,0)</f>
        <v/>
      </c>
      <c r="R27" s="5">
        <f>IF(P27=0,"NA",IF(Q27=0,"NE",AVERAGEIFS(Puntuacion!$G:$G,Puntuacion!$A:$A,$A27,Puntuacion!$C:$C,$C27,Puntuacion!$D:$D,"Multicloud",Puntuacion!$G:$G,"&lt;&gt;NA",Puntuacion!$G:$G,"&lt;&gt;NE")))</f>
        <v/>
      </c>
      <c r="S27">
        <f>IF(COUNTIFS(Puntuacion!$A:$A,$A27,Puntuacion!$C:$C,$C27,Puntuacion!$D:$D,"Integracion",Puntuacion!$G:$G,"&lt;&gt;NA")&gt;0,1,0)</f>
        <v/>
      </c>
      <c r="T27">
        <f>IF(AND(S27=1,COUNTIFS(Puntuacion!$A:$A,$A27,Puntuacion!$C:$C,$C27,Puntuacion!$D:$D,"Integracion",Puntuacion!$G:$G,"NE")=0),1,0)</f>
        <v/>
      </c>
      <c r="U27" s="5">
        <f>IF(S27=0,"NA",IF(T27=0,"NE",AVERAGEIFS(Puntuacion!$G:$G,Puntuacion!$A:$A,$A27,Puntuacion!$C:$C,$C27,Puntuacion!$D:$D,"Integracion",Puntuacion!$G:$G,"&lt;&gt;NA",Puntuacion!$G:$G,"&lt;&gt;NE")))</f>
        <v/>
      </c>
      <c r="V27">
        <f>IF(COUNTIFS(Puntuacion!$A:$A,$A27,Puntuacion!$C:$C,$C27,Puntuacion!$D:$D,"Adopcion",Puntuacion!$G:$G,"&lt;&gt;NA")&gt;0,1,0)</f>
        <v/>
      </c>
      <c r="W27">
        <f>IF(AND(V27=1,COUNTIFS(Puntuacion!$A:$A,$A27,Puntuacion!$C:$C,$C27,Puntuacion!$D:$D,"Adopcion",Puntuacion!$G:$G,"NE")=0),1,0)</f>
        <v/>
      </c>
      <c r="X27" s="5">
        <f>IF(V27=0,"NA",IF(W27=0,"NE",AVERAGEIFS(Puntuacion!$G:$G,Puntuacion!$A:$A,$A27,Puntuacion!$C:$C,$C27,Puntuacion!$D:$D,"Adopcion",Puntuacion!$G:$G,"&lt;&gt;NA",Puntuacion!$G:$G,"&lt;&gt;NE")))</f>
        <v/>
      </c>
      <c r="Y27">
        <f>IF(COUNTIFS(Puntuacion!$A:$A,$A27,Puntuacion!$C:$C,$C27,Puntuacion!$D:$D,"Precio",Puntuacion!$G:$G,"&lt;&gt;NA")&gt;0,1,0)</f>
        <v/>
      </c>
      <c r="Z27">
        <f>IF(AND(Y27=1,COUNTIFS(Puntuacion!$A:$A,$A27,Puntuacion!$C:$C,$C27,Puntuacion!$D:$D,"Precio",Puntuacion!$G:$G,"NE")=0),1,0)</f>
        <v/>
      </c>
      <c r="AA27" s="5">
        <f>IF(Y27=0,"NA",IF(Z27=0,"NE",AVERAGEIFS(Puntuacion!$G:$G,Puntuacion!$A:$A,$A27,Puntuacion!$C:$C,$C27,Puntuacion!$D:$D,"Precio",Puntuacion!$G:$G,"&lt;&gt;NA",Puntuacion!$G:$G,"&lt;&gt;NE")))</f>
        <v/>
      </c>
      <c r="AB27">
        <f>IF(COUNTIFS(Puntuacion!$A:$A,$A27,Puntuacion!$C:$C,$C27,Puntuacion!$D:$D,"Dependencia",Puntuacion!$G:$G,"&lt;&gt;NA")&gt;0,1,0)</f>
        <v/>
      </c>
      <c r="AC27">
        <f>IF(AND(AB27=1,COUNTIFS(Puntuacion!$A:$A,$A27,Puntuacion!$C:$C,$C27,Puntuacion!$D:$D,"Dependencia",Puntuacion!$G:$G,"NE")=0),1,0)</f>
        <v/>
      </c>
      <c r="AD27" s="5">
        <f>IF(AB27=0,"NA",IF(AC27=0,"NE",AVERAGEIFS(Puntuacion!$G:$G,Puntuacion!$A:$A,$A27,Puntuacion!$C:$C,$C27,Puntuacion!$D:$D,"Dependencia",Puntuacion!$G:$G,"&lt;&gt;NA",Puntuacion!$G:$G,"&lt;&gt;NE")))</f>
        <v/>
      </c>
      <c r="AE27" s="5">
        <f>IFERROR(100*(E27*Pesos!$B$2+H27*Pesos!$B$3+K27*Pesos!$B$4+N27*Pesos!$B$5+Q27*Pesos!$B$6+T27*Pesos!$B$7+W27*Pesos!$B$8+Z27*Pesos!$B$9+AC27*Pesos!$B$10)/(D27*Pesos!$B$2+G27*Pesos!$B$3+J27*Pesos!$B$4+M27*Pesos!$B$5+P27*Pesos!$B$6+S27*Pesos!$B$7+V27*Pesos!$B$8+Y27*Pesos!$B$9+AB27*Pesos!$B$10),"Sin criterios aplicables")</f>
        <v/>
      </c>
      <c r="AF27" s="5">
        <f>IFERROR(100*(E27*Pesos!$C$2+H27*Pesos!$C$3+K27*Pesos!$C$4+N27*Pesos!$C$5+Q27*Pesos!$C$6+T27*Pesos!$C$7+W27*Pesos!$C$8+Z27*Pesos!$C$9+AC27*Pesos!$C$10)/(D27*Pesos!$C$2+G27*Pesos!$C$3+J27*Pesos!$C$4+M27*Pesos!$C$5+P27*Pesos!$C$6+S27*Pesos!$C$7+V27*Pesos!$C$8+Y27*Pesos!$C$9+AB27*Pesos!$C$10),"Sin criterios aplicables")</f>
        <v/>
      </c>
      <c r="AG27" s="5">
        <f>IF(OR(AE27="Sin criterios aplicables",AE27&lt;70),"Insufficient evidence",100*(Pesos!$B$2*IF(E27=1,F27,0)+Pesos!$B$3*IF(H27=1,I27,0)+Pesos!$B$4*IF(K27=1,L27,0)+Pesos!$B$5*IF(N27=1,O27,0)+Pesos!$B$6*IF(Q27=1,R27,0)+Pesos!$B$7*IF(T27=1,U27,0)+Pesos!$B$8*IF(W27=1,X27,0)+Pesos!$B$9*IF(Z27=1,AA27,0)+Pesos!$B$10*IF(AC27=1,AD27,0))/(3*(Pesos!$B$2*E27+Pesos!$B$3*H27+Pesos!$B$4*K27+Pesos!$B$5*N27+Pesos!$B$6*Q27+Pesos!$B$7*T27+Pesos!$B$8*W27+Pesos!$B$9*Z27+Pesos!$B$10*AC27)))</f>
        <v/>
      </c>
      <c r="AH27" s="5">
        <f>IF(OR(AF27="Sin criterios aplicables",AF27&lt;70),"Insufficient evidence",100*(Pesos!$C$2*IF(E27=1,F27,0)+Pesos!$C$3*IF(H27=1,I27,0)+Pesos!$C$4*IF(K27=1,L27,0)+Pesos!$C$5*IF(N27=1,O27,0)+Pesos!$C$6*IF(Q27=1,R27,0)+Pesos!$C$7*IF(T27=1,U27,0)+Pesos!$C$8*IF(W27=1,X27,0)+Pesos!$C$9*IF(Z27=1,AA27,0)+Pesos!$C$10*IF(AC27=1,AD27,0))/(3*(Pesos!$C$2*E27+Pesos!$C$3*H27+Pesos!$C$4*K27+Pesos!$C$5*N27+Pesos!$C$6*Q27+Pesos!$C$7*T27+Pesos!$C$8*W27+Pesos!$C$9*Z27+Pesos!$C$10*AC27)))</f>
        <v/>
      </c>
      <c r="AI27">
        <f>IF(AG27="Insufficient evidence","Insufficient evidence (cobertura&lt;70%)",IF(AG27&lt;50/3,"Insufficient",IF(AG27&lt;50,"Basic",IF(AG27&lt;250/3,"Solid","Advanced"))))</f>
        <v/>
      </c>
      <c r="AJ27">
        <f>IF(AH27="Insufficient evidence","Insufficient evidence (cobertura&lt;70%)",IF(AH27&lt;50/3,"Insufficient",IF(AH27&lt;50,"Basic",IF(AH27&lt;250/3,"Solid","Advanced"))))</f>
        <v/>
      </c>
      <c r="AK27">
        <f>IF(TRIM(IF(AND(ISNUMBER(L27),L27&lt;1),"Optimización","") &amp; " " &amp; IF(AND(ISNUMBER(O27),O27&lt;1),"Automatización",""))="","Ninguno",TRIM(IF(AND(ISNUMBER(L27),L27&lt;1),"Optimización","") &amp; " " &amp; IF(AND(ISNUMBER(O27),O27&lt;1),"Automatización","")))</f>
        <v/>
      </c>
    </row>
    <row r="28">
      <c r="A28" t="inlineStr">
        <is>
          <t>E3</t>
        </is>
      </c>
      <c r="B28" t="inlineStr">
        <is>
          <t>Cloud nativa</t>
        </is>
      </c>
      <c r="C28" t="inlineStr">
        <is>
          <t>Google Cloud FinOps Hub</t>
        </is>
      </c>
      <c r="D28">
        <f>IF(COUNTIFS(Puntuacion!$A:$A,$A28,Puntuacion!$C:$C,$C28,Puntuacion!$D:$D,"Visibilidad",Puntuacion!$G:$G,"&lt;&gt;NA")&gt;0,1,0)</f>
        <v/>
      </c>
      <c r="E28">
        <f>IF(AND(D28=1,COUNTIFS(Puntuacion!$A:$A,$A28,Puntuacion!$C:$C,$C28,Puntuacion!$D:$D,"Visibilidad",Puntuacion!$G:$G,"NE")=0),1,0)</f>
        <v/>
      </c>
      <c r="F28" s="5">
        <f>IF(D28=0,"NA",IF(E28=0,"NE",AVERAGEIFS(Puntuacion!$G:$G,Puntuacion!$A:$A,$A28,Puntuacion!$C:$C,$C28,Puntuacion!$D:$D,"Visibilidad",Puntuacion!$G:$G,"&lt;&gt;NA",Puntuacion!$G:$G,"&lt;&gt;NE")))</f>
        <v/>
      </c>
      <c r="G28">
        <f>IF(COUNTIFS(Puntuacion!$A:$A,$A28,Puntuacion!$C:$C,$C28,Puntuacion!$D:$D,"Asignacion",Puntuacion!$G:$G,"&lt;&gt;NA")&gt;0,1,0)</f>
        <v/>
      </c>
      <c r="H28">
        <f>IF(AND(G28=1,COUNTIFS(Puntuacion!$A:$A,$A28,Puntuacion!$C:$C,$C28,Puntuacion!$D:$D,"Asignacion",Puntuacion!$G:$G,"NE")=0),1,0)</f>
        <v/>
      </c>
      <c r="I28" s="5">
        <f>IF(G28=0,"NA",IF(H28=0,"NE",AVERAGEIFS(Puntuacion!$G:$G,Puntuacion!$A:$A,$A28,Puntuacion!$C:$C,$C28,Puntuacion!$D:$D,"Asignacion",Puntuacion!$G:$G,"&lt;&gt;NA",Puntuacion!$G:$G,"&lt;&gt;NE")))</f>
        <v/>
      </c>
      <c r="J28">
        <f>IF(COUNTIFS(Puntuacion!$A:$A,$A28,Puntuacion!$C:$C,$C28,Puntuacion!$D:$D,"Optimizacion",Puntuacion!$G:$G,"&lt;&gt;NA")&gt;0,1,0)</f>
        <v/>
      </c>
      <c r="K28">
        <f>IF(AND(J28=1,COUNTIFS(Puntuacion!$A:$A,$A28,Puntuacion!$C:$C,$C28,Puntuacion!$D:$D,"Optimizacion",Puntuacion!$G:$G,"NE")=0),1,0)</f>
        <v/>
      </c>
      <c r="L28" s="5">
        <f>IF(J28=0,"NA",IF(K28=0,"NE",AVERAGEIFS(Puntuacion!$G:$G,Puntuacion!$A:$A,$A28,Puntuacion!$C:$C,$C28,Puntuacion!$D:$D,"Optimizacion",Puntuacion!$G:$G,"&lt;&gt;NA",Puntuacion!$G:$G,"&lt;&gt;NE")))</f>
        <v/>
      </c>
      <c r="M28">
        <f>IF(COUNTIFS(Puntuacion!$A:$A,$A28,Puntuacion!$C:$C,$C28,Puntuacion!$D:$D,"Automatizacion",Puntuacion!$G:$G,"&lt;&gt;NA")&gt;0,1,0)</f>
        <v/>
      </c>
      <c r="N28">
        <f>IF(AND(M28=1,COUNTIFS(Puntuacion!$A:$A,$A28,Puntuacion!$C:$C,$C28,Puntuacion!$D:$D,"Automatizacion",Puntuacion!$G:$G,"NE")=0),1,0)</f>
        <v/>
      </c>
      <c r="O28" s="5">
        <f>IF(M28=0,"NA",IF(N28=0,"NE",AVERAGEIFS(Puntuacion!$G:$G,Puntuacion!$A:$A,$A28,Puntuacion!$C:$C,$C28,Puntuacion!$D:$D,"Automatizacion",Puntuacion!$G:$G,"&lt;&gt;NA",Puntuacion!$G:$G,"&lt;&gt;NE")))</f>
        <v/>
      </c>
      <c r="P28">
        <f>IF(COUNTIFS(Puntuacion!$A:$A,$A28,Puntuacion!$C:$C,$C28,Puntuacion!$D:$D,"Multicloud",Puntuacion!$G:$G,"&lt;&gt;NA")&gt;0,1,0)</f>
        <v/>
      </c>
      <c r="Q28">
        <f>IF(AND(P28=1,COUNTIFS(Puntuacion!$A:$A,$A28,Puntuacion!$C:$C,$C28,Puntuacion!$D:$D,"Multicloud",Puntuacion!$G:$G,"NE")=0),1,0)</f>
        <v/>
      </c>
      <c r="R28" s="5">
        <f>IF(P28=0,"NA",IF(Q28=0,"NE",AVERAGEIFS(Puntuacion!$G:$G,Puntuacion!$A:$A,$A28,Puntuacion!$C:$C,$C28,Puntuacion!$D:$D,"Multicloud",Puntuacion!$G:$G,"&lt;&gt;NA",Puntuacion!$G:$G,"&lt;&gt;NE")))</f>
        <v/>
      </c>
      <c r="S28">
        <f>IF(COUNTIFS(Puntuacion!$A:$A,$A28,Puntuacion!$C:$C,$C28,Puntuacion!$D:$D,"Integracion",Puntuacion!$G:$G,"&lt;&gt;NA")&gt;0,1,0)</f>
        <v/>
      </c>
      <c r="T28">
        <f>IF(AND(S28=1,COUNTIFS(Puntuacion!$A:$A,$A28,Puntuacion!$C:$C,$C28,Puntuacion!$D:$D,"Integracion",Puntuacion!$G:$G,"NE")=0),1,0)</f>
        <v/>
      </c>
      <c r="U28" s="5">
        <f>IF(S28=0,"NA",IF(T28=0,"NE",AVERAGEIFS(Puntuacion!$G:$G,Puntuacion!$A:$A,$A28,Puntuacion!$C:$C,$C28,Puntuacion!$D:$D,"Integracion",Puntuacion!$G:$G,"&lt;&gt;NA",Puntuacion!$G:$G,"&lt;&gt;NE")))</f>
        <v/>
      </c>
      <c r="V28">
        <f>IF(COUNTIFS(Puntuacion!$A:$A,$A28,Puntuacion!$C:$C,$C28,Puntuacion!$D:$D,"Adopcion",Puntuacion!$G:$G,"&lt;&gt;NA")&gt;0,1,0)</f>
        <v/>
      </c>
      <c r="W28">
        <f>IF(AND(V28=1,COUNTIFS(Puntuacion!$A:$A,$A28,Puntuacion!$C:$C,$C28,Puntuacion!$D:$D,"Adopcion",Puntuacion!$G:$G,"NE")=0),1,0)</f>
        <v/>
      </c>
      <c r="X28" s="5">
        <f>IF(V28=0,"NA",IF(W28=0,"NE",AVERAGEIFS(Puntuacion!$G:$G,Puntuacion!$A:$A,$A28,Puntuacion!$C:$C,$C28,Puntuacion!$D:$D,"Adopcion",Puntuacion!$G:$G,"&lt;&gt;NA",Puntuacion!$G:$G,"&lt;&gt;NE")))</f>
        <v/>
      </c>
      <c r="Y28">
        <f>IF(COUNTIFS(Puntuacion!$A:$A,$A28,Puntuacion!$C:$C,$C28,Puntuacion!$D:$D,"Precio",Puntuacion!$G:$G,"&lt;&gt;NA")&gt;0,1,0)</f>
        <v/>
      </c>
      <c r="Z28">
        <f>IF(AND(Y28=1,COUNTIFS(Puntuacion!$A:$A,$A28,Puntuacion!$C:$C,$C28,Puntuacion!$D:$D,"Precio",Puntuacion!$G:$G,"NE")=0),1,0)</f>
        <v/>
      </c>
      <c r="AA28" s="5">
        <f>IF(Y28=0,"NA",IF(Z28=0,"NE",AVERAGEIFS(Puntuacion!$G:$G,Puntuacion!$A:$A,$A28,Puntuacion!$C:$C,$C28,Puntuacion!$D:$D,"Precio",Puntuacion!$G:$G,"&lt;&gt;NA",Puntuacion!$G:$G,"&lt;&gt;NE")))</f>
        <v/>
      </c>
      <c r="AB28">
        <f>IF(COUNTIFS(Puntuacion!$A:$A,$A28,Puntuacion!$C:$C,$C28,Puntuacion!$D:$D,"Dependencia",Puntuacion!$G:$G,"&lt;&gt;NA")&gt;0,1,0)</f>
        <v/>
      </c>
      <c r="AC28">
        <f>IF(AND(AB28=1,COUNTIFS(Puntuacion!$A:$A,$A28,Puntuacion!$C:$C,$C28,Puntuacion!$D:$D,"Dependencia",Puntuacion!$G:$G,"NE")=0),1,0)</f>
        <v/>
      </c>
      <c r="AD28" s="5">
        <f>IF(AB28=0,"NA",IF(AC28=0,"NE",AVERAGEIFS(Puntuacion!$G:$G,Puntuacion!$A:$A,$A28,Puntuacion!$C:$C,$C28,Puntuacion!$D:$D,"Dependencia",Puntuacion!$G:$G,"&lt;&gt;NA",Puntuacion!$G:$G,"&lt;&gt;NE")))</f>
        <v/>
      </c>
      <c r="AE28" s="5">
        <f>IFERROR(100*(E28*Pesos!$B$2+H28*Pesos!$B$3+K28*Pesos!$B$4+N28*Pesos!$B$5+Q28*Pesos!$B$6+T28*Pesos!$B$7+W28*Pesos!$B$8+Z28*Pesos!$B$9+AC28*Pesos!$B$10)/(D28*Pesos!$B$2+G28*Pesos!$B$3+J28*Pesos!$B$4+M28*Pesos!$B$5+P28*Pesos!$B$6+S28*Pesos!$B$7+V28*Pesos!$B$8+Y28*Pesos!$B$9+AB28*Pesos!$B$10),"Sin criterios aplicables")</f>
        <v/>
      </c>
      <c r="AF28" s="5">
        <f>IFERROR(100*(E28*Pesos!$C$2+H28*Pesos!$C$3+K28*Pesos!$C$4+N28*Pesos!$C$5+Q28*Pesos!$C$6+T28*Pesos!$C$7+W28*Pesos!$C$8+Z28*Pesos!$C$9+AC28*Pesos!$C$10)/(D28*Pesos!$C$2+G28*Pesos!$C$3+J28*Pesos!$C$4+M28*Pesos!$C$5+P28*Pesos!$C$6+S28*Pesos!$C$7+V28*Pesos!$C$8+Y28*Pesos!$C$9+AB28*Pesos!$C$10),"Sin criterios aplicables")</f>
        <v/>
      </c>
      <c r="AG28" s="5">
        <f>IF(OR(AE28="Sin criterios aplicables",AE28&lt;70),"Insufficient evidence",100*(Pesos!$B$2*IF(E28=1,F28,0)+Pesos!$B$3*IF(H28=1,I28,0)+Pesos!$B$4*IF(K28=1,L28,0)+Pesos!$B$5*IF(N28=1,O28,0)+Pesos!$B$6*IF(Q28=1,R28,0)+Pesos!$B$7*IF(T28=1,U28,0)+Pesos!$B$8*IF(W28=1,X28,0)+Pesos!$B$9*IF(Z28=1,AA28,0)+Pesos!$B$10*IF(AC28=1,AD28,0))/(3*(Pesos!$B$2*E28+Pesos!$B$3*H28+Pesos!$B$4*K28+Pesos!$B$5*N28+Pesos!$B$6*Q28+Pesos!$B$7*T28+Pesos!$B$8*W28+Pesos!$B$9*Z28+Pesos!$B$10*AC28)))</f>
        <v/>
      </c>
      <c r="AH28" s="5">
        <f>IF(OR(AF28="Sin criterios aplicables",AF28&lt;70),"Insufficient evidence",100*(Pesos!$C$2*IF(E28=1,F28,0)+Pesos!$C$3*IF(H28=1,I28,0)+Pesos!$C$4*IF(K28=1,L28,0)+Pesos!$C$5*IF(N28=1,O28,0)+Pesos!$C$6*IF(Q28=1,R28,0)+Pesos!$C$7*IF(T28=1,U28,0)+Pesos!$C$8*IF(W28=1,X28,0)+Pesos!$C$9*IF(Z28=1,AA28,0)+Pesos!$C$10*IF(AC28=1,AD28,0))/(3*(Pesos!$C$2*E28+Pesos!$C$3*H28+Pesos!$C$4*K28+Pesos!$C$5*N28+Pesos!$C$6*Q28+Pesos!$C$7*T28+Pesos!$C$8*W28+Pesos!$C$9*Z28+Pesos!$C$10*AC28)))</f>
        <v/>
      </c>
      <c r="AI28">
        <f>IF(AG28="Insufficient evidence","Insufficient evidence (cobertura&lt;70%)",IF(AG28&lt;50/3,"Insufficient",IF(AG28&lt;50,"Basic",IF(AG28&lt;250/3,"Solid","Advanced"))))</f>
        <v/>
      </c>
      <c r="AJ28">
        <f>IF(AH28="Insufficient evidence","Insufficient evidence (cobertura&lt;70%)",IF(AH28&lt;50/3,"Insufficient",IF(AH28&lt;50,"Basic",IF(AH28&lt;250/3,"Solid","Advanced"))))</f>
        <v/>
      </c>
      <c r="AK28">
        <f>IF(TRIM(IF(AND(ISNUMBER(L28),L28&lt;1),"Optimización","") &amp; " " &amp; IF(AND(ISNUMBER(O28),O28&lt;1),"Automatización",""))="","Ninguno",TRIM(IF(AND(ISNUMBER(L28),L28&lt;1),"Optimización","") &amp; " " &amp; IF(AND(ISNUMBER(O28),O28&lt;1),"Automatización","")))</f>
        <v/>
      </c>
    </row>
    <row r="29">
      <c r="A29" t="inlineStr">
        <is>
          <t>E3</t>
        </is>
      </c>
      <c r="B29" t="inlineStr">
        <is>
          <t>Kubernetes</t>
        </is>
      </c>
      <c r="C29" t="inlineStr">
        <is>
          <t>Cast AI</t>
        </is>
      </c>
      <c r="D29">
        <f>IF(COUNTIFS(Puntuacion!$A:$A,$A29,Puntuacion!$C:$C,$C29,Puntuacion!$D:$D,"Visibilidad",Puntuacion!$G:$G,"&lt;&gt;NA")&gt;0,1,0)</f>
        <v/>
      </c>
      <c r="E29">
        <f>IF(AND(D29=1,COUNTIFS(Puntuacion!$A:$A,$A29,Puntuacion!$C:$C,$C29,Puntuacion!$D:$D,"Visibilidad",Puntuacion!$G:$G,"NE")=0),1,0)</f>
        <v/>
      </c>
      <c r="F29" s="5">
        <f>IF(D29=0,"NA",IF(E29=0,"NE",AVERAGEIFS(Puntuacion!$G:$G,Puntuacion!$A:$A,$A29,Puntuacion!$C:$C,$C29,Puntuacion!$D:$D,"Visibilidad",Puntuacion!$G:$G,"&lt;&gt;NA",Puntuacion!$G:$G,"&lt;&gt;NE")))</f>
        <v/>
      </c>
      <c r="G29">
        <f>IF(COUNTIFS(Puntuacion!$A:$A,$A29,Puntuacion!$C:$C,$C29,Puntuacion!$D:$D,"Asignacion",Puntuacion!$G:$G,"&lt;&gt;NA")&gt;0,1,0)</f>
        <v/>
      </c>
      <c r="H29">
        <f>IF(AND(G29=1,COUNTIFS(Puntuacion!$A:$A,$A29,Puntuacion!$C:$C,$C29,Puntuacion!$D:$D,"Asignacion",Puntuacion!$G:$G,"NE")=0),1,0)</f>
        <v/>
      </c>
      <c r="I29" s="5">
        <f>IF(G29=0,"NA",IF(H29=0,"NE",AVERAGEIFS(Puntuacion!$G:$G,Puntuacion!$A:$A,$A29,Puntuacion!$C:$C,$C29,Puntuacion!$D:$D,"Asignacion",Puntuacion!$G:$G,"&lt;&gt;NA",Puntuacion!$G:$G,"&lt;&gt;NE")))</f>
        <v/>
      </c>
      <c r="J29">
        <f>IF(COUNTIFS(Puntuacion!$A:$A,$A29,Puntuacion!$C:$C,$C29,Puntuacion!$D:$D,"Optimizacion",Puntuacion!$G:$G,"&lt;&gt;NA")&gt;0,1,0)</f>
        <v/>
      </c>
      <c r="K29">
        <f>IF(AND(J29=1,COUNTIFS(Puntuacion!$A:$A,$A29,Puntuacion!$C:$C,$C29,Puntuacion!$D:$D,"Optimizacion",Puntuacion!$G:$G,"NE")=0),1,0)</f>
        <v/>
      </c>
      <c r="L29" s="5">
        <f>IF(J29=0,"NA",IF(K29=0,"NE",AVERAGEIFS(Puntuacion!$G:$G,Puntuacion!$A:$A,$A29,Puntuacion!$C:$C,$C29,Puntuacion!$D:$D,"Optimizacion",Puntuacion!$G:$G,"&lt;&gt;NA",Puntuacion!$G:$G,"&lt;&gt;NE")))</f>
        <v/>
      </c>
      <c r="M29">
        <f>IF(COUNTIFS(Puntuacion!$A:$A,$A29,Puntuacion!$C:$C,$C29,Puntuacion!$D:$D,"Automatizacion",Puntuacion!$G:$G,"&lt;&gt;NA")&gt;0,1,0)</f>
        <v/>
      </c>
      <c r="N29">
        <f>IF(AND(M29=1,COUNTIFS(Puntuacion!$A:$A,$A29,Puntuacion!$C:$C,$C29,Puntuacion!$D:$D,"Automatizacion",Puntuacion!$G:$G,"NE")=0),1,0)</f>
        <v/>
      </c>
      <c r="O29" s="5">
        <f>IF(M29=0,"NA",IF(N29=0,"NE",AVERAGEIFS(Puntuacion!$G:$G,Puntuacion!$A:$A,$A29,Puntuacion!$C:$C,$C29,Puntuacion!$D:$D,"Automatizacion",Puntuacion!$G:$G,"&lt;&gt;NA",Puntuacion!$G:$G,"&lt;&gt;NE")))</f>
        <v/>
      </c>
      <c r="P29">
        <f>IF(COUNTIFS(Puntuacion!$A:$A,$A29,Puntuacion!$C:$C,$C29,Puntuacion!$D:$D,"Multicloud",Puntuacion!$G:$G,"&lt;&gt;NA")&gt;0,1,0)</f>
        <v/>
      </c>
      <c r="Q29">
        <f>IF(AND(P29=1,COUNTIFS(Puntuacion!$A:$A,$A29,Puntuacion!$C:$C,$C29,Puntuacion!$D:$D,"Multicloud",Puntuacion!$G:$G,"NE")=0),1,0)</f>
        <v/>
      </c>
      <c r="R29" s="5">
        <f>IF(P29=0,"NA",IF(Q29=0,"NE",AVERAGEIFS(Puntuacion!$G:$G,Puntuacion!$A:$A,$A29,Puntuacion!$C:$C,$C29,Puntuacion!$D:$D,"Multicloud",Puntuacion!$G:$G,"&lt;&gt;NA",Puntuacion!$G:$G,"&lt;&gt;NE")))</f>
        <v/>
      </c>
      <c r="S29">
        <f>IF(COUNTIFS(Puntuacion!$A:$A,$A29,Puntuacion!$C:$C,$C29,Puntuacion!$D:$D,"Integracion",Puntuacion!$G:$G,"&lt;&gt;NA")&gt;0,1,0)</f>
        <v/>
      </c>
      <c r="T29">
        <f>IF(AND(S29=1,COUNTIFS(Puntuacion!$A:$A,$A29,Puntuacion!$C:$C,$C29,Puntuacion!$D:$D,"Integracion",Puntuacion!$G:$G,"NE")=0),1,0)</f>
        <v/>
      </c>
      <c r="U29" s="5">
        <f>IF(S29=0,"NA",IF(T29=0,"NE",AVERAGEIFS(Puntuacion!$G:$G,Puntuacion!$A:$A,$A29,Puntuacion!$C:$C,$C29,Puntuacion!$D:$D,"Integracion",Puntuacion!$G:$G,"&lt;&gt;NA",Puntuacion!$G:$G,"&lt;&gt;NE")))</f>
        <v/>
      </c>
      <c r="V29">
        <f>IF(COUNTIFS(Puntuacion!$A:$A,$A29,Puntuacion!$C:$C,$C29,Puntuacion!$D:$D,"Adopcion",Puntuacion!$G:$G,"&lt;&gt;NA")&gt;0,1,0)</f>
        <v/>
      </c>
      <c r="W29">
        <f>IF(AND(V29=1,COUNTIFS(Puntuacion!$A:$A,$A29,Puntuacion!$C:$C,$C29,Puntuacion!$D:$D,"Adopcion",Puntuacion!$G:$G,"NE")=0),1,0)</f>
        <v/>
      </c>
      <c r="X29" s="5">
        <f>IF(V29=0,"NA",IF(W29=0,"NE",AVERAGEIFS(Puntuacion!$G:$G,Puntuacion!$A:$A,$A29,Puntuacion!$C:$C,$C29,Puntuacion!$D:$D,"Adopcion",Puntuacion!$G:$G,"&lt;&gt;NA",Puntuacion!$G:$G,"&lt;&gt;NE")))</f>
        <v/>
      </c>
      <c r="Y29">
        <f>IF(COUNTIFS(Puntuacion!$A:$A,$A29,Puntuacion!$C:$C,$C29,Puntuacion!$D:$D,"Precio",Puntuacion!$G:$G,"&lt;&gt;NA")&gt;0,1,0)</f>
        <v/>
      </c>
      <c r="Z29">
        <f>IF(AND(Y29=1,COUNTIFS(Puntuacion!$A:$A,$A29,Puntuacion!$C:$C,$C29,Puntuacion!$D:$D,"Precio",Puntuacion!$G:$G,"NE")=0),1,0)</f>
        <v/>
      </c>
      <c r="AA29" s="5">
        <f>IF(Y29=0,"NA",IF(Z29=0,"NE",AVERAGEIFS(Puntuacion!$G:$G,Puntuacion!$A:$A,$A29,Puntuacion!$C:$C,$C29,Puntuacion!$D:$D,"Precio",Puntuacion!$G:$G,"&lt;&gt;NA",Puntuacion!$G:$G,"&lt;&gt;NE")))</f>
        <v/>
      </c>
      <c r="AB29">
        <f>IF(COUNTIFS(Puntuacion!$A:$A,$A29,Puntuacion!$C:$C,$C29,Puntuacion!$D:$D,"Dependencia",Puntuacion!$G:$G,"&lt;&gt;NA")&gt;0,1,0)</f>
        <v/>
      </c>
      <c r="AC29">
        <f>IF(AND(AB29=1,COUNTIFS(Puntuacion!$A:$A,$A29,Puntuacion!$C:$C,$C29,Puntuacion!$D:$D,"Dependencia",Puntuacion!$G:$G,"NE")=0),1,0)</f>
        <v/>
      </c>
      <c r="AD29" s="5">
        <f>IF(AB29=0,"NA",IF(AC29=0,"NE",AVERAGEIFS(Puntuacion!$G:$G,Puntuacion!$A:$A,$A29,Puntuacion!$C:$C,$C29,Puntuacion!$D:$D,"Dependencia",Puntuacion!$G:$G,"&lt;&gt;NA",Puntuacion!$G:$G,"&lt;&gt;NE")))</f>
        <v/>
      </c>
      <c r="AE29" s="5">
        <f>IFERROR(100*(E29*Pesos!$B$2+H29*Pesos!$B$3+K29*Pesos!$B$4+N29*Pesos!$B$5+Q29*Pesos!$B$6+T29*Pesos!$B$7+W29*Pesos!$B$8+Z29*Pesos!$B$9+AC29*Pesos!$B$10)/(D29*Pesos!$B$2+G29*Pesos!$B$3+J29*Pesos!$B$4+M29*Pesos!$B$5+P29*Pesos!$B$6+S29*Pesos!$B$7+V29*Pesos!$B$8+Y29*Pesos!$B$9+AB29*Pesos!$B$10),"Sin criterios aplicables")</f>
        <v/>
      </c>
      <c r="AF29" s="5">
        <f>IFERROR(100*(E29*Pesos!$C$2+H29*Pesos!$C$3+K29*Pesos!$C$4+N29*Pesos!$C$5+Q29*Pesos!$C$6+T29*Pesos!$C$7+W29*Pesos!$C$8+Z29*Pesos!$C$9+AC29*Pesos!$C$10)/(D29*Pesos!$C$2+G29*Pesos!$C$3+J29*Pesos!$C$4+M29*Pesos!$C$5+P29*Pesos!$C$6+S29*Pesos!$C$7+V29*Pesos!$C$8+Y29*Pesos!$C$9+AB29*Pesos!$C$10),"Sin criterios aplicables")</f>
        <v/>
      </c>
      <c r="AG29" s="5">
        <f>IF(OR(AE29="Sin criterios aplicables",AE29&lt;70),"Insufficient evidence",100*(Pesos!$B$2*IF(E29=1,F29,0)+Pesos!$B$3*IF(H29=1,I29,0)+Pesos!$B$4*IF(K29=1,L29,0)+Pesos!$B$5*IF(N29=1,O29,0)+Pesos!$B$6*IF(Q29=1,R29,0)+Pesos!$B$7*IF(T29=1,U29,0)+Pesos!$B$8*IF(W29=1,X29,0)+Pesos!$B$9*IF(Z29=1,AA29,0)+Pesos!$B$10*IF(AC29=1,AD29,0))/(3*(Pesos!$B$2*E29+Pesos!$B$3*H29+Pesos!$B$4*K29+Pesos!$B$5*N29+Pesos!$B$6*Q29+Pesos!$B$7*T29+Pesos!$B$8*W29+Pesos!$B$9*Z29+Pesos!$B$10*AC29)))</f>
        <v/>
      </c>
      <c r="AH29" s="5">
        <f>IF(OR(AF29="Sin criterios aplicables",AF29&lt;70),"Insufficient evidence",100*(Pesos!$C$2*IF(E29=1,F29,0)+Pesos!$C$3*IF(H29=1,I29,0)+Pesos!$C$4*IF(K29=1,L29,0)+Pesos!$C$5*IF(N29=1,O29,0)+Pesos!$C$6*IF(Q29=1,R29,0)+Pesos!$C$7*IF(T29=1,U29,0)+Pesos!$C$8*IF(W29=1,X29,0)+Pesos!$C$9*IF(Z29=1,AA29,0)+Pesos!$C$10*IF(AC29=1,AD29,0))/(3*(Pesos!$C$2*E29+Pesos!$C$3*H29+Pesos!$C$4*K29+Pesos!$C$5*N29+Pesos!$C$6*Q29+Pesos!$C$7*T29+Pesos!$C$8*W29+Pesos!$C$9*Z29+Pesos!$C$10*AC29)))</f>
        <v/>
      </c>
      <c r="AI29">
        <f>IF(AG29="Insufficient evidence","Insufficient evidence (cobertura&lt;70%)",IF(AG29&lt;50/3,"Insufficient",IF(AG29&lt;50,"Basic",IF(AG29&lt;250/3,"Solid","Advanced"))))</f>
        <v/>
      </c>
      <c r="AJ29">
        <f>IF(AH29="Insufficient evidence","Insufficient evidence (cobertura&lt;70%)",IF(AH29&lt;50/3,"Insufficient",IF(AH29&lt;50,"Basic",IF(AH29&lt;250/3,"Solid","Advanced"))))</f>
        <v/>
      </c>
      <c r="AK29">
        <f>IF(TRIM(IF(AND(ISNUMBER(L29),L29&lt;1),"Optimización","") &amp; " " &amp; IF(AND(ISNUMBER(O29),O29&lt;1),"Automatización",""))="","Ninguno",TRIM(IF(AND(ISNUMBER(L29),L29&lt;1),"Optimización","") &amp; " " &amp; IF(AND(ISNUMBER(O29),O29&lt;1),"Automatización","")))</f>
        <v/>
      </c>
    </row>
    <row r="30">
      <c r="A30" t="inlineStr">
        <is>
          <t>E3</t>
        </is>
      </c>
      <c r="B30" t="inlineStr">
        <is>
          <t>Kubernetes</t>
        </is>
      </c>
      <c r="C30" t="inlineStr">
        <is>
          <t>Kubecost</t>
        </is>
      </c>
      <c r="D30">
        <f>IF(COUNTIFS(Puntuacion!$A:$A,$A30,Puntuacion!$C:$C,$C30,Puntuacion!$D:$D,"Visibilidad",Puntuacion!$G:$G,"&lt;&gt;NA")&gt;0,1,0)</f>
        <v/>
      </c>
      <c r="E30">
        <f>IF(AND(D30=1,COUNTIFS(Puntuacion!$A:$A,$A30,Puntuacion!$C:$C,$C30,Puntuacion!$D:$D,"Visibilidad",Puntuacion!$G:$G,"NE")=0),1,0)</f>
        <v/>
      </c>
      <c r="F30" s="5">
        <f>IF(D30=0,"NA",IF(E30=0,"NE",AVERAGEIFS(Puntuacion!$G:$G,Puntuacion!$A:$A,$A30,Puntuacion!$C:$C,$C30,Puntuacion!$D:$D,"Visibilidad",Puntuacion!$G:$G,"&lt;&gt;NA",Puntuacion!$G:$G,"&lt;&gt;NE")))</f>
        <v/>
      </c>
      <c r="G30">
        <f>IF(COUNTIFS(Puntuacion!$A:$A,$A30,Puntuacion!$C:$C,$C30,Puntuacion!$D:$D,"Asignacion",Puntuacion!$G:$G,"&lt;&gt;NA")&gt;0,1,0)</f>
        <v/>
      </c>
      <c r="H30">
        <f>IF(AND(G30=1,COUNTIFS(Puntuacion!$A:$A,$A30,Puntuacion!$C:$C,$C30,Puntuacion!$D:$D,"Asignacion",Puntuacion!$G:$G,"NE")=0),1,0)</f>
        <v/>
      </c>
      <c r="I30" s="5">
        <f>IF(G30=0,"NA",IF(H30=0,"NE",AVERAGEIFS(Puntuacion!$G:$G,Puntuacion!$A:$A,$A30,Puntuacion!$C:$C,$C30,Puntuacion!$D:$D,"Asignacion",Puntuacion!$G:$G,"&lt;&gt;NA",Puntuacion!$G:$G,"&lt;&gt;NE")))</f>
        <v/>
      </c>
      <c r="J30">
        <f>IF(COUNTIFS(Puntuacion!$A:$A,$A30,Puntuacion!$C:$C,$C30,Puntuacion!$D:$D,"Optimizacion",Puntuacion!$G:$G,"&lt;&gt;NA")&gt;0,1,0)</f>
        <v/>
      </c>
      <c r="K30">
        <f>IF(AND(J30=1,COUNTIFS(Puntuacion!$A:$A,$A30,Puntuacion!$C:$C,$C30,Puntuacion!$D:$D,"Optimizacion",Puntuacion!$G:$G,"NE")=0),1,0)</f>
        <v/>
      </c>
      <c r="L30" s="5">
        <f>IF(J30=0,"NA",IF(K30=0,"NE",AVERAGEIFS(Puntuacion!$G:$G,Puntuacion!$A:$A,$A30,Puntuacion!$C:$C,$C30,Puntuacion!$D:$D,"Optimizacion",Puntuacion!$G:$G,"&lt;&gt;NA",Puntuacion!$G:$G,"&lt;&gt;NE")))</f>
        <v/>
      </c>
      <c r="M30">
        <f>IF(COUNTIFS(Puntuacion!$A:$A,$A30,Puntuacion!$C:$C,$C30,Puntuacion!$D:$D,"Automatizacion",Puntuacion!$G:$G,"&lt;&gt;NA")&gt;0,1,0)</f>
        <v/>
      </c>
      <c r="N30">
        <f>IF(AND(M30=1,COUNTIFS(Puntuacion!$A:$A,$A30,Puntuacion!$C:$C,$C30,Puntuacion!$D:$D,"Automatizacion",Puntuacion!$G:$G,"NE")=0),1,0)</f>
        <v/>
      </c>
      <c r="O30" s="5">
        <f>IF(M30=0,"NA",IF(N30=0,"NE",AVERAGEIFS(Puntuacion!$G:$G,Puntuacion!$A:$A,$A30,Puntuacion!$C:$C,$C30,Puntuacion!$D:$D,"Automatizacion",Puntuacion!$G:$G,"&lt;&gt;NA",Puntuacion!$G:$G,"&lt;&gt;NE")))</f>
        <v/>
      </c>
      <c r="P30">
        <f>IF(COUNTIFS(Puntuacion!$A:$A,$A30,Puntuacion!$C:$C,$C30,Puntuacion!$D:$D,"Multicloud",Puntuacion!$G:$G,"&lt;&gt;NA")&gt;0,1,0)</f>
        <v/>
      </c>
      <c r="Q30">
        <f>IF(AND(P30=1,COUNTIFS(Puntuacion!$A:$A,$A30,Puntuacion!$C:$C,$C30,Puntuacion!$D:$D,"Multicloud",Puntuacion!$G:$G,"NE")=0),1,0)</f>
        <v/>
      </c>
      <c r="R30" s="5">
        <f>IF(P30=0,"NA",IF(Q30=0,"NE",AVERAGEIFS(Puntuacion!$G:$G,Puntuacion!$A:$A,$A30,Puntuacion!$C:$C,$C30,Puntuacion!$D:$D,"Multicloud",Puntuacion!$G:$G,"&lt;&gt;NA",Puntuacion!$G:$G,"&lt;&gt;NE")))</f>
        <v/>
      </c>
      <c r="S30">
        <f>IF(COUNTIFS(Puntuacion!$A:$A,$A30,Puntuacion!$C:$C,$C30,Puntuacion!$D:$D,"Integracion",Puntuacion!$G:$G,"&lt;&gt;NA")&gt;0,1,0)</f>
        <v/>
      </c>
      <c r="T30">
        <f>IF(AND(S30=1,COUNTIFS(Puntuacion!$A:$A,$A30,Puntuacion!$C:$C,$C30,Puntuacion!$D:$D,"Integracion",Puntuacion!$G:$G,"NE")=0),1,0)</f>
        <v/>
      </c>
      <c r="U30" s="5">
        <f>IF(S30=0,"NA",IF(T30=0,"NE",AVERAGEIFS(Puntuacion!$G:$G,Puntuacion!$A:$A,$A30,Puntuacion!$C:$C,$C30,Puntuacion!$D:$D,"Integracion",Puntuacion!$G:$G,"&lt;&gt;NA",Puntuacion!$G:$G,"&lt;&gt;NE")))</f>
        <v/>
      </c>
      <c r="V30">
        <f>IF(COUNTIFS(Puntuacion!$A:$A,$A30,Puntuacion!$C:$C,$C30,Puntuacion!$D:$D,"Adopcion",Puntuacion!$G:$G,"&lt;&gt;NA")&gt;0,1,0)</f>
        <v/>
      </c>
      <c r="W30">
        <f>IF(AND(V30=1,COUNTIFS(Puntuacion!$A:$A,$A30,Puntuacion!$C:$C,$C30,Puntuacion!$D:$D,"Adopcion",Puntuacion!$G:$G,"NE")=0),1,0)</f>
        <v/>
      </c>
      <c r="X30" s="5">
        <f>IF(V30=0,"NA",IF(W30=0,"NE",AVERAGEIFS(Puntuacion!$G:$G,Puntuacion!$A:$A,$A30,Puntuacion!$C:$C,$C30,Puntuacion!$D:$D,"Adopcion",Puntuacion!$G:$G,"&lt;&gt;NA",Puntuacion!$G:$G,"&lt;&gt;NE")))</f>
        <v/>
      </c>
      <c r="Y30">
        <f>IF(COUNTIFS(Puntuacion!$A:$A,$A30,Puntuacion!$C:$C,$C30,Puntuacion!$D:$D,"Precio",Puntuacion!$G:$G,"&lt;&gt;NA")&gt;0,1,0)</f>
        <v/>
      </c>
      <c r="Z30">
        <f>IF(AND(Y30=1,COUNTIFS(Puntuacion!$A:$A,$A30,Puntuacion!$C:$C,$C30,Puntuacion!$D:$D,"Precio",Puntuacion!$G:$G,"NE")=0),1,0)</f>
        <v/>
      </c>
      <c r="AA30" s="5">
        <f>IF(Y30=0,"NA",IF(Z30=0,"NE",AVERAGEIFS(Puntuacion!$G:$G,Puntuacion!$A:$A,$A30,Puntuacion!$C:$C,$C30,Puntuacion!$D:$D,"Precio",Puntuacion!$G:$G,"&lt;&gt;NA",Puntuacion!$G:$G,"&lt;&gt;NE")))</f>
        <v/>
      </c>
      <c r="AB30">
        <f>IF(COUNTIFS(Puntuacion!$A:$A,$A30,Puntuacion!$C:$C,$C30,Puntuacion!$D:$D,"Dependencia",Puntuacion!$G:$G,"&lt;&gt;NA")&gt;0,1,0)</f>
        <v/>
      </c>
      <c r="AC30">
        <f>IF(AND(AB30=1,COUNTIFS(Puntuacion!$A:$A,$A30,Puntuacion!$C:$C,$C30,Puntuacion!$D:$D,"Dependencia",Puntuacion!$G:$G,"NE")=0),1,0)</f>
        <v/>
      </c>
      <c r="AD30" s="5">
        <f>IF(AB30=0,"NA",IF(AC30=0,"NE",AVERAGEIFS(Puntuacion!$G:$G,Puntuacion!$A:$A,$A30,Puntuacion!$C:$C,$C30,Puntuacion!$D:$D,"Dependencia",Puntuacion!$G:$G,"&lt;&gt;NA",Puntuacion!$G:$G,"&lt;&gt;NE")))</f>
        <v/>
      </c>
      <c r="AE30" s="5">
        <f>IFERROR(100*(E30*Pesos!$B$2+H30*Pesos!$B$3+K30*Pesos!$B$4+N30*Pesos!$B$5+Q30*Pesos!$B$6+T30*Pesos!$B$7+W30*Pesos!$B$8+Z30*Pesos!$B$9+AC30*Pesos!$B$10)/(D30*Pesos!$B$2+G30*Pesos!$B$3+J30*Pesos!$B$4+M30*Pesos!$B$5+P30*Pesos!$B$6+S30*Pesos!$B$7+V30*Pesos!$B$8+Y30*Pesos!$B$9+AB30*Pesos!$B$10),"Sin criterios aplicables")</f>
        <v/>
      </c>
      <c r="AF30" s="5">
        <f>IFERROR(100*(E30*Pesos!$C$2+H30*Pesos!$C$3+K30*Pesos!$C$4+N30*Pesos!$C$5+Q30*Pesos!$C$6+T30*Pesos!$C$7+W30*Pesos!$C$8+Z30*Pesos!$C$9+AC30*Pesos!$C$10)/(D30*Pesos!$C$2+G30*Pesos!$C$3+J30*Pesos!$C$4+M30*Pesos!$C$5+P30*Pesos!$C$6+S30*Pesos!$C$7+V30*Pesos!$C$8+Y30*Pesos!$C$9+AB30*Pesos!$C$10),"Sin criterios aplicables")</f>
        <v/>
      </c>
      <c r="AG30" s="5">
        <f>IF(OR(AE30="Sin criterios aplicables",AE30&lt;70),"Insufficient evidence",100*(Pesos!$B$2*IF(E30=1,F30,0)+Pesos!$B$3*IF(H30=1,I30,0)+Pesos!$B$4*IF(K30=1,L30,0)+Pesos!$B$5*IF(N30=1,O30,0)+Pesos!$B$6*IF(Q30=1,R30,0)+Pesos!$B$7*IF(T30=1,U30,0)+Pesos!$B$8*IF(W30=1,X30,0)+Pesos!$B$9*IF(Z30=1,AA30,0)+Pesos!$B$10*IF(AC30=1,AD30,0))/(3*(Pesos!$B$2*E30+Pesos!$B$3*H30+Pesos!$B$4*K30+Pesos!$B$5*N30+Pesos!$B$6*Q30+Pesos!$B$7*T30+Pesos!$B$8*W30+Pesos!$B$9*Z30+Pesos!$B$10*AC30)))</f>
        <v/>
      </c>
      <c r="AH30" s="5">
        <f>IF(OR(AF30="Sin criterios aplicables",AF30&lt;70),"Insufficient evidence",100*(Pesos!$C$2*IF(E30=1,F30,0)+Pesos!$C$3*IF(H30=1,I30,0)+Pesos!$C$4*IF(K30=1,L30,0)+Pesos!$C$5*IF(N30=1,O30,0)+Pesos!$C$6*IF(Q30=1,R30,0)+Pesos!$C$7*IF(T30=1,U30,0)+Pesos!$C$8*IF(W30=1,X30,0)+Pesos!$C$9*IF(Z30=1,AA30,0)+Pesos!$C$10*IF(AC30=1,AD30,0))/(3*(Pesos!$C$2*E30+Pesos!$C$3*H30+Pesos!$C$4*K30+Pesos!$C$5*N30+Pesos!$C$6*Q30+Pesos!$C$7*T30+Pesos!$C$8*W30+Pesos!$C$9*Z30+Pesos!$C$10*AC30)))</f>
        <v/>
      </c>
      <c r="AI30">
        <f>IF(AG30="Insufficient evidence","Insufficient evidence (cobertura&lt;70%)",IF(AG30&lt;50/3,"Insufficient",IF(AG30&lt;50,"Basic",IF(AG30&lt;250/3,"Solid","Advanced"))))</f>
        <v/>
      </c>
      <c r="AJ30">
        <f>IF(AH30="Insufficient evidence","Insufficient evidence (cobertura&lt;70%)",IF(AH30&lt;50/3,"Insufficient",IF(AH30&lt;50,"Basic",IF(AH30&lt;250/3,"Solid","Advanced"))))</f>
        <v/>
      </c>
      <c r="AK30">
        <f>IF(TRIM(IF(AND(ISNUMBER(L30),L30&lt;1),"Optimización","") &amp; " " &amp; IF(AND(ISNUMBER(O30),O30&lt;1),"Automatización",""))="","Ninguno",TRIM(IF(AND(ISNUMBER(L30),L30&lt;1),"Optimización","") &amp; " " &amp; IF(AND(ISNUMBER(O30),O30&lt;1),"Automatización","")))</f>
        <v/>
      </c>
    </row>
    <row r="31">
      <c r="A31" t="inlineStr">
        <is>
          <t>E3</t>
        </is>
      </c>
      <c r="B31" t="inlineStr">
        <is>
          <t>Kubernetes</t>
        </is>
      </c>
      <c r="C31" t="inlineStr">
        <is>
          <t>OpenCost</t>
        </is>
      </c>
      <c r="D31">
        <f>IF(COUNTIFS(Puntuacion!$A:$A,$A31,Puntuacion!$C:$C,$C31,Puntuacion!$D:$D,"Visibilidad",Puntuacion!$G:$G,"&lt;&gt;NA")&gt;0,1,0)</f>
        <v/>
      </c>
      <c r="E31">
        <f>IF(AND(D31=1,COUNTIFS(Puntuacion!$A:$A,$A31,Puntuacion!$C:$C,$C31,Puntuacion!$D:$D,"Visibilidad",Puntuacion!$G:$G,"NE")=0),1,0)</f>
        <v/>
      </c>
      <c r="F31" s="5">
        <f>IF(D31=0,"NA",IF(E31=0,"NE",AVERAGEIFS(Puntuacion!$G:$G,Puntuacion!$A:$A,$A31,Puntuacion!$C:$C,$C31,Puntuacion!$D:$D,"Visibilidad",Puntuacion!$G:$G,"&lt;&gt;NA",Puntuacion!$G:$G,"&lt;&gt;NE")))</f>
        <v/>
      </c>
      <c r="G31">
        <f>IF(COUNTIFS(Puntuacion!$A:$A,$A31,Puntuacion!$C:$C,$C31,Puntuacion!$D:$D,"Asignacion",Puntuacion!$G:$G,"&lt;&gt;NA")&gt;0,1,0)</f>
        <v/>
      </c>
      <c r="H31">
        <f>IF(AND(G31=1,COUNTIFS(Puntuacion!$A:$A,$A31,Puntuacion!$C:$C,$C31,Puntuacion!$D:$D,"Asignacion",Puntuacion!$G:$G,"NE")=0),1,0)</f>
        <v/>
      </c>
      <c r="I31" s="5">
        <f>IF(G31=0,"NA",IF(H31=0,"NE",AVERAGEIFS(Puntuacion!$G:$G,Puntuacion!$A:$A,$A31,Puntuacion!$C:$C,$C31,Puntuacion!$D:$D,"Asignacion",Puntuacion!$G:$G,"&lt;&gt;NA",Puntuacion!$G:$G,"&lt;&gt;NE")))</f>
        <v/>
      </c>
      <c r="J31">
        <f>IF(COUNTIFS(Puntuacion!$A:$A,$A31,Puntuacion!$C:$C,$C31,Puntuacion!$D:$D,"Optimizacion",Puntuacion!$G:$G,"&lt;&gt;NA")&gt;0,1,0)</f>
        <v/>
      </c>
      <c r="K31">
        <f>IF(AND(J31=1,COUNTIFS(Puntuacion!$A:$A,$A31,Puntuacion!$C:$C,$C31,Puntuacion!$D:$D,"Optimizacion",Puntuacion!$G:$G,"NE")=0),1,0)</f>
        <v/>
      </c>
      <c r="L31" s="5">
        <f>IF(J31=0,"NA",IF(K31=0,"NE",AVERAGEIFS(Puntuacion!$G:$G,Puntuacion!$A:$A,$A31,Puntuacion!$C:$C,$C31,Puntuacion!$D:$D,"Optimizacion",Puntuacion!$G:$G,"&lt;&gt;NA",Puntuacion!$G:$G,"&lt;&gt;NE")))</f>
        <v/>
      </c>
      <c r="M31">
        <f>IF(COUNTIFS(Puntuacion!$A:$A,$A31,Puntuacion!$C:$C,$C31,Puntuacion!$D:$D,"Automatizacion",Puntuacion!$G:$G,"&lt;&gt;NA")&gt;0,1,0)</f>
        <v/>
      </c>
      <c r="N31">
        <f>IF(AND(M31=1,COUNTIFS(Puntuacion!$A:$A,$A31,Puntuacion!$C:$C,$C31,Puntuacion!$D:$D,"Automatizacion",Puntuacion!$G:$G,"NE")=0),1,0)</f>
        <v/>
      </c>
      <c r="O31" s="5">
        <f>IF(M31=0,"NA",IF(N31=0,"NE",AVERAGEIFS(Puntuacion!$G:$G,Puntuacion!$A:$A,$A31,Puntuacion!$C:$C,$C31,Puntuacion!$D:$D,"Automatizacion",Puntuacion!$G:$G,"&lt;&gt;NA",Puntuacion!$G:$G,"&lt;&gt;NE")))</f>
        <v/>
      </c>
      <c r="P31">
        <f>IF(COUNTIFS(Puntuacion!$A:$A,$A31,Puntuacion!$C:$C,$C31,Puntuacion!$D:$D,"Multicloud",Puntuacion!$G:$G,"&lt;&gt;NA")&gt;0,1,0)</f>
        <v/>
      </c>
      <c r="Q31">
        <f>IF(AND(P31=1,COUNTIFS(Puntuacion!$A:$A,$A31,Puntuacion!$C:$C,$C31,Puntuacion!$D:$D,"Multicloud",Puntuacion!$G:$G,"NE")=0),1,0)</f>
        <v/>
      </c>
      <c r="R31" s="5">
        <f>IF(P31=0,"NA",IF(Q31=0,"NE",AVERAGEIFS(Puntuacion!$G:$G,Puntuacion!$A:$A,$A31,Puntuacion!$C:$C,$C31,Puntuacion!$D:$D,"Multicloud",Puntuacion!$G:$G,"&lt;&gt;NA",Puntuacion!$G:$G,"&lt;&gt;NE")))</f>
        <v/>
      </c>
      <c r="S31">
        <f>IF(COUNTIFS(Puntuacion!$A:$A,$A31,Puntuacion!$C:$C,$C31,Puntuacion!$D:$D,"Integracion",Puntuacion!$G:$G,"&lt;&gt;NA")&gt;0,1,0)</f>
        <v/>
      </c>
      <c r="T31">
        <f>IF(AND(S31=1,COUNTIFS(Puntuacion!$A:$A,$A31,Puntuacion!$C:$C,$C31,Puntuacion!$D:$D,"Integracion",Puntuacion!$G:$G,"NE")=0),1,0)</f>
        <v/>
      </c>
      <c r="U31" s="5">
        <f>IF(S31=0,"NA",IF(T31=0,"NE",AVERAGEIFS(Puntuacion!$G:$G,Puntuacion!$A:$A,$A31,Puntuacion!$C:$C,$C31,Puntuacion!$D:$D,"Integracion",Puntuacion!$G:$G,"&lt;&gt;NA",Puntuacion!$G:$G,"&lt;&gt;NE")))</f>
        <v/>
      </c>
      <c r="V31">
        <f>IF(COUNTIFS(Puntuacion!$A:$A,$A31,Puntuacion!$C:$C,$C31,Puntuacion!$D:$D,"Adopcion",Puntuacion!$G:$G,"&lt;&gt;NA")&gt;0,1,0)</f>
        <v/>
      </c>
      <c r="W31">
        <f>IF(AND(V31=1,COUNTIFS(Puntuacion!$A:$A,$A31,Puntuacion!$C:$C,$C31,Puntuacion!$D:$D,"Adopcion",Puntuacion!$G:$G,"NE")=0),1,0)</f>
        <v/>
      </c>
      <c r="X31" s="5">
        <f>IF(V31=0,"NA",IF(W31=0,"NE",AVERAGEIFS(Puntuacion!$G:$G,Puntuacion!$A:$A,$A31,Puntuacion!$C:$C,$C31,Puntuacion!$D:$D,"Adopcion",Puntuacion!$G:$G,"&lt;&gt;NA",Puntuacion!$G:$G,"&lt;&gt;NE")))</f>
        <v/>
      </c>
      <c r="Y31">
        <f>IF(COUNTIFS(Puntuacion!$A:$A,$A31,Puntuacion!$C:$C,$C31,Puntuacion!$D:$D,"Precio",Puntuacion!$G:$G,"&lt;&gt;NA")&gt;0,1,0)</f>
        <v/>
      </c>
      <c r="Z31">
        <f>IF(AND(Y31=1,COUNTIFS(Puntuacion!$A:$A,$A31,Puntuacion!$C:$C,$C31,Puntuacion!$D:$D,"Precio",Puntuacion!$G:$G,"NE")=0),1,0)</f>
        <v/>
      </c>
      <c r="AA31" s="5">
        <f>IF(Y31=0,"NA",IF(Z31=0,"NE",AVERAGEIFS(Puntuacion!$G:$G,Puntuacion!$A:$A,$A31,Puntuacion!$C:$C,$C31,Puntuacion!$D:$D,"Precio",Puntuacion!$G:$G,"&lt;&gt;NA",Puntuacion!$G:$G,"&lt;&gt;NE")))</f>
        <v/>
      </c>
      <c r="AB31">
        <f>IF(COUNTIFS(Puntuacion!$A:$A,$A31,Puntuacion!$C:$C,$C31,Puntuacion!$D:$D,"Dependencia",Puntuacion!$G:$G,"&lt;&gt;NA")&gt;0,1,0)</f>
        <v/>
      </c>
      <c r="AC31">
        <f>IF(AND(AB31=1,COUNTIFS(Puntuacion!$A:$A,$A31,Puntuacion!$C:$C,$C31,Puntuacion!$D:$D,"Dependencia",Puntuacion!$G:$G,"NE")=0),1,0)</f>
        <v/>
      </c>
      <c r="AD31" s="5">
        <f>IF(AB31=0,"NA",IF(AC31=0,"NE",AVERAGEIFS(Puntuacion!$G:$G,Puntuacion!$A:$A,$A31,Puntuacion!$C:$C,$C31,Puntuacion!$D:$D,"Dependencia",Puntuacion!$G:$G,"&lt;&gt;NA",Puntuacion!$G:$G,"&lt;&gt;NE")))</f>
        <v/>
      </c>
      <c r="AE31" s="5">
        <f>IFERROR(100*(E31*Pesos!$B$2+H31*Pesos!$B$3+K31*Pesos!$B$4+N31*Pesos!$B$5+Q31*Pesos!$B$6+T31*Pesos!$B$7+W31*Pesos!$B$8+Z31*Pesos!$B$9+AC31*Pesos!$B$10)/(D31*Pesos!$B$2+G31*Pesos!$B$3+J31*Pesos!$B$4+M31*Pesos!$B$5+P31*Pesos!$B$6+S31*Pesos!$B$7+V31*Pesos!$B$8+Y31*Pesos!$B$9+AB31*Pesos!$B$10),"Sin criterios aplicables")</f>
        <v/>
      </c>
      <c r="AF31" s="5">
        <f>IFERROR(100*(E31*Pesos!$C$2+H31*Pesos!$C$3+K31*Pesos!$C$4+N31*Pesos!$C$5+Q31*Pesos!$C$6+T31*Pesos!$C$7+W31*Pesos!$C$8+Z31*Pesos!$C$9+AC31*Pesos!$C$10)/(D31*Pesos!$C$2+G31*Pesos!$C$3+J31*Pesos!$C$4+M31*Pesos!$C$5+P31*Pesos!$C$6+S31*Pesos!$C$7+V31*Pesos!$C$8+Y31*Pesos!$C$9+AB31*Pesos!$C$10),"Sin criterios aplicables")</f>
        <v/>
      </c>
      <c r="AG31" s="5">
        <f>IF(OR(AE31="Sin criterios aplicables",AE31&lt;70),"Insufficient evidence",100*(Pesos!$B$2*IF(E31=1,F31,0)+Pesos!$B$3*IF(H31=1,I31,0)+Pesos!$B$4*IF(K31=1,L31,0)+Pesos!$B$5*IF(N31=1,O31,0)+Pesos!$B$6*IF(Q31=1,R31,0)+Pesos!$B$7*IF(T31=1,U31,0)+Pesos!$B$8*IF(W31=1,X31,0)+Pesos!$B$9*IF(Z31=1,AA31,0)+Pesos!$B$10*IF(AC31=1,AD31,0))/(3*(Pesos!$B$2*E31+Pesos!$B$3*H31+Pesos!$B$4*K31+Pesos!$B$5*N31+Pesos!$B$6*Q31+Pesos!$B$7*T31+Pesos!$B$8*W31+Pesos!$B$9*Z31+Pesos!$B$10*AC31)))</f>
        <v/>
      </c>
      <c r="AH31" s="5">
        <f>IF(OR(AF31="Sin criterios aplicables",AF31&lt;70),"Insufficient evidence",100*(Pesos!$C$2*IF(E31=1,F31,0)+Pesos!$C$3*IF(H31=1,I31,0)+Pesos!$C$4*IF(K31=1,L31,0)+Pesos!$C$5*IF(N31=1,O31,0)+Pesos!$C$6*IF(Q31=1,R31,0)+Pesos!$C$7*IF(T31=1,U31,0)+Pesos!$C$8*IF(W31=1,X31,0)+Pesos!$C$9*IF(Z31=1,AA31,0)+Pesos!$C$10*IF(AC31=1,AD31,0))/(3*(Pesos!$C$2*E31+Pesos!$C$3*H31+Pesos!$C$4*K31+Pesos!$C$5*N31+Pesos!$C$6*Q31+Pesos!$C$7*T31+Pesos!$C$8*W31+Pesos!$C$9*Z31+Pesos!$C$10*AC31)))</f>
        <v/>
      </c>
      <c r="AI31">
        <f>IF(AG31="Insufficient evidence","Insufficient evidence (cobertura&lt;70%)",IF(AG31&lt;50/3,"Insufficient",IF(AG31&lt;50,"Basic",IF(AG31&lt;250/3,"Solid","Advanced"))))</f>
        <v/>
      </c>
      <c r="AJ31">
        <f>IF(AH31="Insufficient evidence","Insufficient evidence (cobertura&lt;70%)",IF(AH31&lt;50/3,"Insufficient",IF(AH31&lt;50,"Basic",IF(AH31&lt;250/3,"Solid","Advanced"))))</f>
        <v/>
      </c>
      <c r="AK31">
        <f>IF(TRIM(IF(AND(ISNUMBER(L31),L31&lt;1),"Optimización","") &amp; " " &amp; IF(AND(ISNUMBER(O31),O31&lt;1),"Automatización",""))="","Ninguno",TRIM(IF(AND(ISNUMBER(L31),L31&lt;1),"Optimización","") &amp; " " &amp; IF(AND(ISNUMBER(O31),O31&lt;1),"Automatización","")))</f>
        <v/>
      </c>
    </row>
    <row r="32">
      <c r="A32" t="inlineStr">
        <is>
          <t>E3</t>
        </is>
      </c>
      <c r="B32" t="inlineStr">
        <is>
          <t>Kubernetes</t>
        </is>
      </c>
      <c r="C32" t="inlineStr">
        <is>
          <t>StormForge</t>
        </is>
      </c>
      <c r="D32">
        <f>IF(COUNTIFS(Puntuacion!$A:$A,$A32,Puntuacion!$C:$C,$C32,Puntuacion!$D:$D,"Visibilidad",Puntuacion!$G:$G,"&lt;&gt;NA")&gt;0,1,0)</f>
        <v/>
      </c>
      <c r="E32">
        <f>IF(AND(D32=1,COUNTIFS(Puntuacion!$A:$A,$A32,Puntuacion!$C:$C,$C32,Puntuacion!$D:$D,"Visibilidad",Puntuacion!$G:$G,"NE")=0),1,0)</f>
        <v/>
      </c>
      <c r="F32" s="5">
        <f>IF(D32=0,"NA",IF(E32=0,"NE",AVERAGEIFS(Puntuacion!$G:$G,Puntuacion!$A:$A,$A32,Puntuacion!$C:$C,$C32,Puntuacion!$D:$D,"Visibilidad",Puntuacion!$G:$G,"&lt;&gt;NA",Puntuacion!$G:$G,"&lt;&gt;NE")))</f>
        <v/>
      </c>
      <c r="G32">
        <f>IF(COUNTIFS(Puntuacion!$A:$A,$A32,Puntuacion!$C:$C,$C32,Puntuacion!$D:$D,"Asignacion",Puntuacion!$G:$G,"&lt;&gt;NA")&gt;0,1,0)</f>
        <v/>
      </c>
      <c r="H32">
        <f>IF(AND(G32=1,COUNTIFS(Puntuacion!$A:$A,$A32,Puntuacion!$C:$C,$C32,Puntuacion!$D:$D,"Asignacion",Puntuacion!$G:$G,"NE")=0),1,0)</f>
        <v/>
      </c>
      <c r="I32" s="5">
        <f>IF(G32=0,"NA",IF(H32=0,"NE",AVERAGEIFS(Puntuacion!$G:$G,Puntuacion!$A:$A,$A32,Puntuacion!$C:$C,$C32,Puntuacion!$D:$D,"Asignacion",Puntuacion!$G:$G,"&lt;&gt;NA",Puntuacion!$G:$G,"&lt;&gt;NE")))</f>
        <v/>
      </c>
      <c r="J32">
        <f>IF(COUNTIFS(Puntuacion!$A:$A,$A32,Puntuacion!$C:$C,$C32,Puntuacion!$D:$D,"Optimizacion",Puntuacion!$G:$G,"&lt;&gt;NA")&gt;0,1,0)</f>
        <v/>
      </c>
      <c r="K32">
        <f>IF(AND(J32=1,COUNTIFS(Puntuacion!$A:$A,$A32,Puntuacion!$C:$C,$C32,Puntuacion!$D:$D,"Optimizacion",Puntuacion!$G:$G,"NE")=0),1,0)</f>
        <v/>
      </c>
      <c r="L32" s="5">
        <f>IF(J32=0,"NA",IF(K32=0,"NE",AVERAGEIFS(Puntuacion!$G:$G,Puntuacion!$A:$A,$A32,Puntuacion!$C:$C,$C32,Puntuacion!$D:$D,"Optimizacion",Puntuacion!$G:$G,"&lt;&gt;NA",Puntuacion!$G:$G,"&lt;&gt;NE")))</f>
        <v/>
      </c>
      <c r="M32">
        <f>IF(COUNTIFS(Puntuacion!$A:$A,$A32,Puntuacion!$C:$C,$C32,Puntuacion!$D:$D,"Automatizacion",Puntuacion!$G:$G,"&lt;&gt;NA")&gt;0,1,0)</f>
        <v/>
      </c>
      <c r="N32">
        <f>IF(AND(M32=1,COUNTIFS(Puntuacion!$A:$A,$A32,Puntuacion!$C:$C,$C32,Puntuacion!$D:$D,"Automatizacion",Puntuacion!$G:$G,"NE")=0),1,0)</f>
        <v/>
      </c>
      <c r="O32" s="5">
        <f>IF(M32=0,"NA",IF(N32=0,"NE",AVERAGEIFS(Puntuacion!$G:$G,Puntuacion!$A:$A,$A32,Puntuacion!$C:$C,$C32,Puntuacion!$D:$D,"Automatizacion",Puntuacion!$G:$G,"&lt;&gt;NA",Puntuacion!$G:$G,"&lt;&gt;NE")))</f>
        <v/>
      </c>
      <c r="P32">
        <f>IF(COUNTIFS(Puntuacion!$A:$A,$A32,Puntuacion!$C:$C,$C32,Puntuacion!$D:$D,"Multicloud",Puntuacion!$G:$G,"&lt;&gt;NA")&gt;0,1,0)</f>
        <v/>
      </c>
      <c r="Q32">
        <f>IF(AND(P32=1,COUNTIFS(Puntuacion!$A:$A,$A32,Puntuacion!$C:$C,$C32,Puntuacion!$D:$D,"Multicloud",Puntuacion!$G:$G,"NE")=0),1,0)</f>
        <v/>
      </c>
      <c r="R32" s="5">
        <f>IF(P32=0,"NA",IF(Q32=0,"NE",AVERAGEIFS(Puntuacion!$G:$G,Puntuacion!$A:$A,$A32,Puntuacion!$C:$C,$C32,Puntuacion!$D:$D,"Multicloud",Puntuacion!$G:$G,"&lt;&gt;NA",Puntuacion!$G:$G,"&lt;&gt;NE")))</f>
        <v/>
      </c>
      <c r="S32">
        <f>IF(COUNTIFS(Puntuacion!$A:$A,$A32,Puntuacion!$C:$C,$C32,Puntuacion!$D:$D,"Integracion",Puntuacion!$G:$G,"&lt;&gt;NA")&gt;0,1,0)</f>
        <v/>
      </c>
      <c r="T32">
        <f>IF(AND(S32=1,COUNTIFS(Puntuacion!$A:$A,$A32,Puntuacion!$C:$C,$C32,Puntuacion!$D:$D,"Integracion",Puntuacion!$G:$G,"NE")=0),1,0)</f>
        <v/>
      </c>
      <c r="U32" s="5">
        <f>IF(S32=0,"NA",IF(T32=0,"NE",AVERAGEIFS(Puntuacion!$G:$G,Puntuacion!$A:$A,$A32,Puntuacion!$C:$C,$C32,Puntuacion!$D:$D,"Integracion",Puntuacion!$G:$G,"&lt;&gt;NA",Puntuacion!$G:$G,"&lt;&gt;NE")))</f>
        <v/>
      </c>
      <c r="V32">
        <f>IF(COUNTIFS(Puntuacion!$A:$A,$A32,Puntuacion!$C:$C,$C32,Puntuacion!$D:$D,"Adopcion",Puntuacion!$G:$G,"&lt;&gt;NA")&gt;0,1,0)</f>
        <v/>
      </c>
      <c r="W32">
        <f>IF(AND(V32=1,COUNTIFS(Puntuacion!$A:$A,$A32,Puntuacion!$C:$C,$C32,Puntuacion!$D:$D,"Adopcion",Puntuacion!$G:$G,"NE")=0),1,0)</f>
        <v/>
      </c>
      <c r="X32" s="5">
        <f>IF(V32=0,"NA",IF(W32=0,"NE",AVERAGEIFS(Puntuacion!$G:$G,Puntuacion!$A:$A,$A32,Puntuacion!$C:$C,$C32,Puntuacion!$D:$D,"Adopcion",Puntuacion!$G:$G,"&lt;&gt;NA",Puntuacion!$G:$G,"&lt;&gt;NE")))</f>
        <v/>
      </c>
      <c r="Y32">
        <f>IF(COUNTIFS(Puntuacion!$A:$A,$A32,Puntuacion!$C:$C,$C32,Puntuacion!$D:$D,"Precio",Puntuacion!$G:$G,"&lt;&gt;NA")&gt;0,1,0)</f>
        <v/>
      </c>
      <c r="Z32">
        <f>IF(AND(Y32=1,COUNTIFS(Puntuacion!$A:$A,$A32,Puntuacion!$C:$C,$C32,Puntuacion!$D:$D,"Precio",Puntuacion!$G:$G,"NE")=0),1,0)</f>
        <v/>
      </c>
      <c r="AA32" s="5">
        <f>IF(Y32=0,"NA",IF(Z32=0,"NE",AVERAGEIFS(Puntuacion!$G:$G,Puntuacion!$A:$A,$A32,Puntuacion!$C:$C,$C32,Puntuacion!$D:$D,"Precio",Puntuacion!$G:$G,"&lt;&gt;NA",Puntuacion!$G:$G,"&lt;&gt;NE")))</f>
        <v/>
      </c>
      <c r="AB32">
        <f>IF(COUNTIFS(Puntuacion!$A:$A,$A32,Puntuacion!$C:$C,$C32,Puntuacion!$D:$D,"Dependencia",Puntuacion!$G:$G,"&lt;&gt;NA")&gt;0,1,0)</f>
        <v/>
      </c>
      <c r="AC32">
        <f>IF(AND(AB32=1,COUNTIFS(Puntuacion!$A:$A,$A32,Puntuacion!$C:$C,$C32,Puntuacion!$D:$D,"Dependencia",Puntuacion!$G:$G,"NE")=0),1,0)</f>
        <v/>
      </c>
      <c r="AD32" s="5">
        <f>IF(AB32=0,"NA",IF(AC32=0,"NE",AVERAGEIFS(Puntuacion!$G:$G,Puntuacion!$A:$A,$A32,Puntuacion!$C:$C,$C32,Puntuacion!$D:$D,"Dependencia",Puntuacion!$G:$G,"&lt;&gt;NA",Puntuacion!$G:$G,"&lt;&gt;NE")))</f>
        <v/>
      </c>
      <c r="AE32" s="5">
        <f>IFERROR(100*(E32*Pesos!$B$2+H32*Pesos!$B$3+K32*Pesos!$B$4+N32*Pesos!$B$5+Q32*Pesos!$B$6+T32*Pesos!$B$7+W32*Pesos!$B$8+Z32*Pesos!$B$9+AC32*Pesos!$B$10)/(D32*Pesos!$B$2+G32*Pesos!$B$3+J32*Pesos!$B$4+M32*Pesos!$B$5+P32*Pesos!$B$6+S32*Pesos!$B$7+V32*Pesos!$B$8+Y32*Pesos!$B$9+AB32*Pesos!$B$10),"Sin criterios aplicables")</f>
        <v/>
      </c>
      <c r="AF32" s="5">
        <f>IFERROR(100*(E32*Pesos!$C$2+H32*Pesos!$C$3+K32*Pesos!$C$4+N32*Pesos!$C$5+Q32*Pesos!$C$6+T32*Pesos!$C$7+W32*Pesos!$C$8+Z32*Pesos!$C$9+AC32*Pesos!$C$10)/(D32*Pesos!$C$2+G32*Pesos!$C$3+J32*Pesos!$C$4+M32*Pesos!$C$5+P32*Pesos!$C$6+S32*Pesos!$C$7+V32*Pesos!$C$8+Y32*Pesos!$C$9+AB32*Pesos!$C$10),"Sin criterios aplicables")</f>
        <v/>
      </c>
      <c r="AG32" s="5">
        <f>IF(OR(AE32="Sin criterios aplicables",AE32&lt;70),"Insufficient evidence",100*(Pesos!$B$2*IF(E32=1,F32,0)+Pesos!$B$3*IF(H32=1,I32,0)+Pesos!$B$4*IF(K32=1,L32,0)+Pesos!$B$5*IF(N32=1,O32,0)+Pesos!$B$6*IF(Q32=1,R32,0)+Pesos!$B$7*IF(T32=1,U32,0)+Pesos!$B$8*IF(W32=1,X32,0)+Pesos!$B$9*IF(Z32=1,AA32,0)+Pesos!$B$10*IF(AC32=1,AD32,0))/(3*(Pesos!$B$2*E32+Pesos!$B$3*H32+Pesos!$B$4*K32+Pesos!$B$5*N32+Pesos!$B$6*Q32+Pesos!$B$7*T32+Pesos!$B$8*W32+Pesos!$B$9*Z32+Pesos!$B$10*AC32)))</f>
        <v/>
      </c>
      <c r="AH32" s="5">
        <f>IF(OR(AF32="Sin criterios aplicables",AF32&lt;70),"Insufficient evidence",100*(Pesos!$C$2*IF(E32=1,F32,0)+Pesos!$C$3*IF(H32=1,I32,0)+Pesos!$C$4*IF(K32=1,L32,0)+Pesos!$C$5*IF(N32=1,O32,0)+Pesos!$C$6*IF(Q32=1,R32,0)+Pesos!$C$7*IF(T32=1,U32,0)+Pesos!$C$8*IF(W32=1,X32,0)+Pesos!$C$9*IF(Z32=1,AA32,0)+Pesos!$C$10*IF(AC32=1,AD32,0))/(3*(Pesos!$C$2*E32+Pesos!$C$3*H32+Pesos!$C$4*K32+Pesos!$C$5*N32+Pesos!$C$6*Q32+Pesos!$C$7*T32+Pesos!$C$8*W32+Pesos!$C$9*Z32+Pesos!$C$10*AC32)))</f>
        <v/>
      </c>
      <c r="AI32">
        <f>IF(AG32="Insufficient evidence","Insufficient evidence (cobertura&lt;70%)",IF(AG32&lt;50/3,"Insufficient",IF(AG32&lt;50,"Basic",IF(AG32&lt;250/3,"Solid","Advanced"))))</f>
        <v/>
      </c>
      <c r="AJ32">
        <f>IF(AH32="Insufficient evidence","Insufficient evidence (cobertura&lt;70%)",IF(AH32&lt;50/3,"Insufficient",IF(AH32&lt;50,"Basic",IF(AH32&lt;250/3,"Solid","Advanced"))))</f>
        <v/>
      </c>
      <c r="AK32">
        <f>IF(TRIM(IF(AND(ISNUMBER(L32),L32&lt;1),"Optimización","") &amp; " " &amp; IF(AND(ISNUMBER(O32),O32&lt;1),"Automatización",""))="","Ninguno",TRIM(IF(AND(ISNUMBER(L32),L32&lt;1),"Optimización","") &amp; " " &amp; IF(AND(ISNUMBER(O32),O32&lt;1),"Automatización","")))</f>
        <v/>
      </c>
    </row>
    <row r="33">
      <c r="A33" t="inlineStr">
        <is>
          <t>E3</t>
        </is>
      </c>
      <c r="B33" t="inlineStr">
        <is>
          <t>Multicloud</t>
        </is>
      </c>
      <c r="C33" t="inlineStr">
        <is>
          <t>CloudZero</t>
        </is>
      </c>
      <c r="D33">
        <f>IF(COUNTIFS(Puntuacion!$A:$A,$A33,Puntuacion!$C:$C,$C33,Puntuacion!$D:$D,"Visibilidad",Puntuacion!$G:$G,"&lt;&gt;NA")&gt;0,1,0)</f>
        <v/>
      </c>
      <c r="E33">
        <f>IF(AND(D33=1,COUNTIFS(Puntuacion!$A:$A,$A33,Puntuacion!$C:$C,$C33,Puntuacion!$D:$D,"Visibilidad",Puntuacion!$G:$G,"NE")=0),1,0)</f>
        <v/>
      </c>
      <c r="F33" s="5">
        <f>IF(D33=0,"NA",IF(E33=0,"NE",AVERAGEIFS(Puntuacion!$G:$G,Puntuacion!$A:$A,$A33,Puntuacion!$C:$C,$C33,Puntuacion!$D:$D,"Visibilidad",Puntuacion!$G:$G,"&lt;&gt;NA",Puntuacion!$G:$G,"&lt;&gt;NE")))</f>
        <v/>
      </c>
      <c r="G33">
        <f>IF(COUNTIFS(Puntuacion!$A:$A,$A33,Puntuacion!$C:$C,$C33,Puntuacion!$D:$D,"Asignacion",Puntuacion!$G:$G,"&lt;&gt;NA")&gt;0,1,0)</f>
        <v/>
      </c>
      <c r="H33">
        <f>IF(AND(G33=1,COUNTIFS(Puntuacion!$A:$A,$A33,Puntuacion!$C:$C,$C33,Puntuacion!$D:$D,"Asignacion",Puntuacion!$G:$G,"NE")=0),1,0)</f>
        <v/>
      </c>
      <c r="I33" s="5">
        <f>IF(G33=0,"NA",IF(H33=0,"NE",AVERAGEIFS(Puntuacion!$G:$G,Puntuacion!$A:$A,$A33,Puntuacion!$C:$C,$C33,Puntuacion!$D:$D,"Asignacion",Puntuacion!$G:$G,"&lt;&gt;NA",Puntuacion!$G:$G,"&lt;&gt;NE")))</f>
        <v/>
      </c>
      <c r="J33">
        <f>IF(COUNTIFS(Puntuacion!$A:$A,$A33,Puntuacion!$C:$C,$C33,Puntuacion!$D:$D,"Optimizacion",Puntuacion!$G:$G,"&lt;&gt;NA")&gt;0,1,0)</f>
        <v/>
      </c>
      <c r="K33">
        <f>IF(AND(J33=1,COUNTIFS(Puntuacion!$A:$A,$A33,Puntuacion!$C:$C,$C33,Puntuacion!$D:$D,"Optimizacion",Puntuacion!$G:$G,"NE")=0),1,0)</f>
        <v/>
      </c>
      <c r="L33" s="5">
        <f>IF(J33=0,"NA",IF(K33=0,"NE",AVERAGEIFS(Puntuacion!$G:$G,Puntuacion!$A:$A,$A33,Puntuacion!$C:$C,$C33,Puntuacion!$D:$D,"Optimizacion",Puntuacion!$G:$G,"&lt;&gt;NA",Puntuacion!$G:$G,"&lt;&gt;NE")))</f>
        <v/>
      </c>
      <c r="M33">
        <f>IF(COUNTIFS(Puntuacion!$A:$A,$A33,Puntuacion!$C:$C,$C33,Puntuacion!$D:$D,"Automatizacion",Puntuacion!$G:$G,"&lt;&gt;NA")&gt;0,1,0)</f>
        <v/>
      </c>
      <c r="N33">
        <f>IF(AND(M33=1,COUNTIFS(Puntuacion!$A:$A,$A33,Puntuacion!$C:$C,$C33,Puntuacion!$D:$D,"Automatizacion",Puntuacion!$G:$G,"NE")=0),1,0)</f>
        <v/>
      </c>
      <c r="O33" s="5">
        <f>IF(M33=0,"NA",IF(N33=0,"NE",AVERAGEIFS(Puntuacion!$G:$G,Puntuacion!$A:$A,$A33,Puntuacion!$C:$C,$C33,Puntuacion!$D:$D,"Automatizacion",Puntuacion!$G:$G,"&lt;&gt;NA",Puntuacion!$G:$G,"&lt;&gt;NE")))</f>
        <v/>
      </c>
      <c r="P33">
        <f>IF(COUNTIFS(Puntuacion!$A:$A,$A33,Puntuacion!$C:$C,$C33,Puntuacion!$D:$D,"Multicloud",Puntuacion!$G:$G,"&lt;&gt;NA")&gt;0,1,0)</f>
        <v/>
      </c>
      <c r="Q33">
        <f>IF(AND(P33=1,COUNTIFS(Puntuacion!$A:$A,$A33,Puntuacion!$C:$C,$C33,Puntuacion!$D:$D,"Multicloud",Puntuacion!$G:$G,"NE")=0),1,0)</f>
        <v/>
      </c>
      <c r="R33" s="5">
        <f>IF(P33=0,"NA",IF(Q33=0,"NE",AVERAGEIFS(Puntuacion!$G:$G,Puntuacion!$A:$A,$A33,Puntuacion!$C:$C,$C33,Puntuacion!$D:$D,"Multicloud",Puntuacion!$G:$G,"&lt;&gt;NA",Puntuacion!$G:$G,"&lt;&gt;NE")))</f>
        <v/>
      </c>
      <c r="S33">
        <f>IF(COUNTIFS(Puntuacion!$A:$A,$A33,Puntuacion!$C:$C,$C33,Puntuacion!$D:$D,"Integracion",Puntuacion!$G:$G,"&lt;&gt;NA")&gt;0,1,0)</f>
        <v/>
      </c>
      <c r="T33">
        <f>IF(AND(S33=1,COUNTIFS(Puntuacion!$A:$A,$A33,Puntuacion!$C:$C,$C33,Puntuacion!$D:$D,"Integracion",Puntuacion!$G:$G,"NE")=0),1,0)</f>
        <v/>
      </c>
      <c r="U33" s="5">
        <f>IF(S33=0,"NA",IF(T33=0,"NE",AVERAGEIFS(Puntuacion!$G:$G,Puntuacion!$A:$A,$A33,Puntuacion!$C:$C,$C33,Puntuacion!$D:$D,"Integracion",Puntuacion!$G:$G,"&lt;&gt;NA",Puntuacion!$G:$G,"&lt;&gt;NE")))</f>
        <v/>
      </c>
      <c r="V33">
        <f>IF(COUNTIFS(Puntuacion!$A:$A,$A33,Puntuacion!$C:$C,$C33,Puntuacion!$D:$D,"Adopcion",Puntuacion!$G:$G,"&lt;&gt;NA")&gt;0,1,0)</f>
        <v/>
      </c>
      <c r="W33">
        <f>IF(AND(V33=1,COUNTIFS(Puntuacion!$A:$A,$A33,Puntuacion!$C:$C,$C33,Puntuacion!$D:$D,"Adopcion",Puntuacion!$G:$G,"NE")=0),1,0)</f>
        <v/>
      </c>
      <c r="X33" s="5">
        <f>IF(V33=0,"NA",IF(W33=0,"NE",AVERAGEIFS(Puntuacion!$G:$G,Puntuacion!$A:$A,$A33,Puntuacion!$C:$C,$C33,Puntuacion!$D:$D,"Adopcion",Puntuacion!$G:$G,"&lt;&gt;NA",Puntuacion!$G:$G,"&lt;&gt;NE")))</f>
        <v/>
      </c>
      <c r="Y33">
        <f>IF(COUNTIFS(Puntuacion!$A:$A,$A33,Puntuacion!$C:$C,$C33,Puntuacion!$D:$D,"Precio",Puntuacion!$G:$G,"&lt;&gt;NA")&gt;0,1,0)</f>
        <v/>
      </c>
      <c r="Z33">
        <f>IF(AND(Y33=1,COUNTIFS(Puntuacion!$A:$A,$A33,Puntuacion!$C:$C,$C33,Puntuacion!$D:$D,"Precio",Puntuacion!$G:$G,"NE")=0),1,0)</f>
        <v/>
      </c>
      <c r="AA33" s="5">
        <f>IF(Y33=0,"NA",IF(Z33=0,"NE",AVERAGEIFS(Puntuacion!$G:$G,Puntuacion!$A:$A,$A33,Puntuacion!$C:$C,$C33,Puntuacion!$D:$D,"Precio",Puntuacion!$G:$G,"&lt;&gt;NA",Puntuacion!$G:$G,"&lt;&gt;NE")))</f>
        <v/>
      </c>
      <c r="AB33">
        <f>IF(COUNTIFS(Puntuacion!$A:$A,$A33,Puntuacion!$C:$C,$C33,Puntuacion!$D:$D,"Dependencia",Puntuacion!$G:$G,"&lt;&gt;NA")&gt;0,1,0)</f>
        <v/>
      </c>
      <c r="AC33">
        <f>IF(AND(AB33=1,COUNTIFS(Puntuacion!$A:$A,$A33,Puntuacion!$C:$C,$C33,Puntuacion!$D:$D,"Dependencia",Puntuacion!$G:$G,"NE")=0),1,0)</f>
        <v/>
      </c>
      <c r="AD33" s="5">
        <f>IF(AB33=0,"NA",IF(AC33=0,"NE",AVERAGEIFS(Puntuacion!$G:$G,Puntuacion!$A:$A,$A33,Puntuacion!$C:$C,$C33,Puntuacion!$D:$D,"Dependencia",Puntuacion!$G:$G,"&lt;&gt;NA",Puntuacion!$G:$G,"&lt;&gt;NE")))</f>
        <v/>
      </c>
      <c r="AE33" s="5">
        <f>IFERROR(100*(E33*Pesos!$B$2+H33*Pesos!$B$3+K33*Pesos!$B$4+N33*Pesos!$B$5+Q33*Pesos!$B$6+T33*Pesos!$B$7+W33*Pesos!$B$8+Z33*Pesos!$B$9+AC33*Pesos!$B$10)/(D33*Pesos!$B$2+G33*Pesos!$B$3+J33*Pesos!$B$4+M33*Pesos!$B$5+P33*Pesos!$B$6+S33*Pesos!$B$7+V33*Pesos!$B$8+Y33*Pesos!$B$9+AB33*Pesos!$B$10),"Sin criterios aplicables")</f>
        <v/>
      </c>
      <c r="AF33" s="5">
        <f>IFERROR(100*(E33*Pesos!$C$2+H33*Pesos!$C$3+K33*Pesos!$C$4+N33*Pesos!$C$5+Q33*Pesos!$C$6+T33*Pesos!$C$7+W33*Pesos!$C$8+Z33*Pesos!$C$9+AC33*Pesos!$C$10)/(D33*Pesos!$C$2+G33*Pesos!$C$3+J33*Pesos!$C$4+M33*Pesos!$C$5+P33*Pesos!$C$6+S33*Pesos!$C$7+V33*Pesos!$C$8+Y33*Pesos!$C$9+AB33*Pesos!$C$10),"Sin criterios aplicables")</f>
        <v/>
      </c>
      <c r="AG33" s="5">
        <f>IF(OR(AE33="Sin criterios aplicables",AE33&lt;70),"Insufficient evidence",100*(Pesos!$B$2*IF(E33=1,F33,0)+Pesos!$B$3*IF(H33=1,I33,0)+Pesos!$B$4*IF(K33=1,L33,0)+Pesos!$B$5*IF(N33=1,O33,0)+Pesos!$B$6*IF(Q33=1,R33,0)+Pesos!$B$7*IF(T33=1,U33,0)+Pesos!$B$8*IF(W33=1,X33,0)+Pesos!$B$9*IF(Z33=1,AA33,0)+Pesos!$B$10*IF(AC33=1,AD33,0))/(3*(Pesos!$B$2*E33+Pesos!$B$3*H33+Pesos!$B$4*K33+Pesos!$B$5*N33+Pesos!$B$6*Q33+Pesos!$B$7*T33+Pesos!$B$8*W33+Pesos!$B$9*Z33+Pesos!$B$10*AC33)))</f>
        <v/>
      </c>
      <c r="AH33" s="5">
        <f>IF(OR(AF33="Sin criterios aplicables",AF33&lt;70),"Insufficient evidence",100*(Pesos!$C$2*IF(E33=1,F33,0)+Pesos!$C$3*IF(H33=1,I33,0)+Pesos!$C$4*IF(K33=1,L33,0)+Pesos!$C$5*IF(N33=1,O33,0)+Pesos!$C$6*IF(Q33=1,R33,0)+Pesos!$C$7*IF(T33=1,U33,0)+Pesos!$C$8*IF(W33=1,X33,0)+Pesos!$C$9*IF(Z33=1,AA33,0)+Pesos!$C$10*IF(AC33=1,AD33,0))/(3*(Pesos!$C$2*E33+Pesos!$C$3*H33+Pesos!$C$4*K33+Pesos!$C$5*N33+Pesos!$C$6*Q33+Pesos!$C$7*T33+Pesos!$C$8*W33+Pesos!$C$9*Z33+Pesos!$C$10*AC33)))</f>
        <v/>
      </c>
      <c r="AI33">
        <f>IF(AG33="Insufficient evidence","Insufficient evidence (cobertura&lt;70%)",IF(AG33&lt;50/3,"Insufficient",IF(AG33&lt;50,"Basic",IF(AG33&lt;250/3,"Solid","Advanced"))))</f>
        <v/>
      </c>
      <c r="AJ33">
        <f>IF(AH33="Insufficient evidence","Insufficient evidence (cobertura&lt;70%)",IF(AH33&lt;50/3,"Insufficient",IF(AH33&lt;50,"Basic",IF(AH33&lt;250/3,"Solid","Advanced"))))</f>
        <v/>
      </c>
      <c r="AK33">
        <f>IF(TRIM(IF(AND(ISNUMBER(L33),L33&lt;1),"Optimización","") &amp; " " &amp; IF(AND(ISNUMBER(O33),O33&lt;1),"Automatización",""))="","Ninguno",TRIM(IF(AND(ISNUMBER(L33),L33&lt;1),"Optimización","") &amp; " " &amp; IF(AND(ISNUMBER(O33),O33&lt;1),"Automatización","")))</f>
        <v/>
      </c>
    </row>
    <row r="34">
      <c r="A34" t="inlineStr">
        <is>
          <t>E4</t>
        </is>
      </c>
      <c r="B34" t="inlineStr">
        <is>
          <t>Estimacion temprana</t>
        </is>
      </c>
      <c r="C34" t="inlineStr">
        <is>
          <t>Cloud Custodian</t>
        </is>
      </c>
      <c r="D34">
        <f>IF(COUNTIFS(Puntuacion!$A:$A,$A34,Puntuacion!$C:$C,$C34,Puntuacion!$D:$D,"Visibilidad",Puntuacion!$G:$G,"&lt;&gt;NA")&gt;0,1,0)</f>
        <v/>
      </c>
      <c r="E34">
        <f>IF(AND(D34=1,COUNTIFS(Puntuacion!$A:$A,$A34,Puntuacion!$C:$C,$C34,Puntuacion!$D:$D,"Visibilidad",Puntuacion!$G:$G,"NE")=0),1,0)</f>
        <v/>
      </c>
      <c r="F34" s="5">
        <f>IF(D34=0,"NA",IF(E34=0,"NE",AVERAGEIFS(Puntuacion!$G:$G,Puntuacion!$A:$A,$A34,Puntuacion!$C:$C,$C34,Puntuacion!$D:$D,"Visibilidad",Puntuacion!$G:$G,"&lt;&gt;NA",Puntuacion!$G:$G,"&lt;&gt;NE")))</f>
        <v/>
      </c>
      <c r="G34">
        <f>IF(COUNTIFS(Puntuacion!$A:$A,$A34,Puntuacion!$C:$C,$C34,Puntuacion!$D:$D,"Asignacion",Puntuacion!$G:$G,"&lt;&gt;NA")&gt;0,1,0)</f>
        <v/>
      </c>
      <c r="H34">
        <f>IF(AND(G34=1,COUNTIFS(Puntuacion!$A:$A,$A34,Puntuacion!$C:$C,$C34,Puntuacion!$D:$D,"Asignacion",Puntuacion!$G:$G,"NE")=0),1,0)</f>
        <v/>
      </c>
      <c r="I34" s="5">
        <f>IF(G34=0,"NA",IF(H34=0,"NE",AVERAGEIFS(Puntuacion!$G:$G,Puntuacion!$A:$A,$A34,Puntuacion!$C:$C,$C34,Puntuacion!$D:$D,"Asignacion",Puntuacion!$G:$G,"&lt;&gt;NA",Puntuacion!$G:$G,"&lt;&gt;NE")))</f>
        <v/>
      </c>
      <c r="J34">
        <f>IF(COUNTIFS(Puntuacion!$A:$A,$A34,Puntuacion!$C:$C,$C34,Puntuacion!$D:$D,"Optimizacion",Puntuacion!$G:$G,"&lt;&gt;NA")&gt;0,1,0)</f>
        <v/>
      </c>
      <c r="K34">
        <f>IF(AND(J34=1,COUNTIFS(Puntuacion!$A:$A,$A34,Puntuacion!$C:$C,$C34,Puntuacion!$D:$D,"Optimizacion",Puntuacion!$G:$G,"NE")=0),1,0)</f>
        <v/>
      </c>
      <c r="L34" s="5">
        <f>IF(J34=0,"NA",IF(K34=0,"NE",AVERAGEIFS(Puntuacion!$G:$G,Puntuacion!$A:$A,$A34,Puntuacion!$C:$C,$C34,Puntuacion!$D:$D,"Optimizacion",Puntuacion!$G:$G,"&lt;&gt;NA",Puntuacion!$G:$G,"&lt;&gt;NE")))</f>
        <v/>
      </c>
      <c r="M34">
        <f>IF(COUNTIFS(Puntuacion!$A:$A,$A34,Puntuacion!$C:$C,$C34,Puntuacion!$D:$D,"Automatizacion",Puntuacion!$G:$G,"&lt;&gt;NA")&gt;0,1,0)</f>
        <v/>
      </c>
      <c r="N34">
        <f>IF(AND(M34=1,COUNTIFS(Puntuacion!$A:$A,$A34,Puntuacion!$C:$C,$C34,Puntuacion!$D:$D,"Automatizacion",Puntuacion!$G:$G,"NE")=0),1,0)</f>
        <v/>
      </c>
      <c r="O34" s="5">
        <f>IF(M34=0,"NA",IF(N34=0,"NE",AVERAGEIFS(Puntuacion!$G:$G,Puntuacion!$A:$A,$A34,Puntuacion!$C:$C,$C34,Puntuacion!$D:$D,"Automatizacion",Puntuacion!$G:$G,"&lt;&gt;NA",Puntuacion!$G:$G,"&lt;&gt;NE")))</f>
        <v/>
      </c>
      <c r="P34">
        <f>IF(COUNTIFS(Puntuacion!$A:$A,$A34,Puntuacion!$C:$C,$C34,Puntuacion!$D:$D,"Multicloud",Puntuacion!$G:$G,"&lt;&gt;NA")&gt;0,1,0)</f>
        <v/>
      </c>
      <c r="Q34">
        <f>IF(AND(P34=1,COUNTIFS(Puntuacion!$A:$A,$A34,Puntuacion!$C:$C,$C34,Puntuacion!$D:$D,"Multicloud",Puntuacion!$G:$G,"NE")=0),1,0)</f>
        <v/>
      </c>
      <c r="R34" s="5">
        <f>IF(P34=0,"NA",IF(Q34=0,"NE",AVERAGEIFS(Puntuacion!$G:$G,Puntuacion!$A:$A,$A34,Puntuacion!$C:$C,$C34,Puntuacion!$D:$D,"Multicloud",Puntuacion!$G:$G,"&lt;&gt;NA",Puntuacion!$G:$G,"&lt;&gt;NE")))</f>
        <v/>
      </c>
      <c r="S34">
        <f>IF(COUNTIFS(Puntuacion!$A:$A,$A34,Puntuacion!$C:$C,$C34,Puntuacion!$D:$D,"Integracion",Puntuacion!$G:$G,"&lt;&gt;NA")&gt;0,1,0)</f>
        <v/>
      </c>
      <c r="T34">
        <f>IF(AND(S34=1,COUNTIFS(Puntuacion!$A:$A,$A34,Puntuacion!$C:$C,$C34,Puntuacion!$D:$D,"Integracion",Puntuacion!$G:$G,"NE")=0),1,0)</f>
        <v/>
      </c>
      <c r="U34" s="5">
        <f>IF(S34=0,"NA",IF(T34=0,"NE",AVERAGEIFS(Puntuacion!$G:$G,Puntuacion!$A:$A,$A34,Puntuacion!$C:$C,$C34,Puntuacion!$D:$D,"Integracion",Puntuacion!$G:$G,"&lt;&gt;NA",Puntuacion!$G:$G,"&lt;&gt;NE")))</f>
        <v/>
      </c>
      <c r="V34">
        <f>IF(COUNTIFS(Puntuacion!$A:$A,$A34,Puntuacion!$C:$C,$C34,Puntuacion!$D:$D,"Adopcion",Puntuacion!$G:$G,"&lt;&gt;NA")&gt;0,1,0)</f>
        <v/>
      </c>
      <c r="W34">
        <f>IF(AND(V34=1,COUNTIFS(Puntuacion!$A:$A,$A34,Puntuacion!$C:$C,$C34,Puntuacion!$D:$D,"Adopcion",Puntuacion!$G:$G,"NE")=0),1,0)</f>
        <v/>
      </c>
      <c r="X34" s="5">
        <f>IF(V34=0,"NA",IF(W34=0,"NE",AVERAGEIFS(Puntuacion!$G:$G,Puntuacion!$A:$A,$A34,Puntuacion!$C:$C,$C34,Puntuacion!$D:$D,"Adopcion",Puntuacion!$G:$G,"&lt;&gt;NA",Puntuacion!$G:$G,"&lt;&gt;NE")))</f>
        <v/>
      </c>
      <c r="Y34">
        <f>IF(COUNTIFS(Puntuacion!$A:$A,$A34,Puntuacion!$C:$C,$C34,Puntuacion!$D:$D,"Precio",Puntuacion!$G:$G,"&lt;&gt;NA")&gt;0,1,0)</f>
        <v/>
      </c>
      <c r="Z34">
        <f>IF(AND(Y34=1,COUNTIFS(Puntuacion!$A:$A,$A34,Puntuacion!$C:$C,$C34,Puntuacion!$D:$D,"Precio",Puntuacion!$G:$G,"NE")=0),1,0)</f>
        <v/>
      </c>
      <c r="AA34" s="5">
        <f>IF(Y34=0,"NA",IF(Z34=0,"NE",AVERAGEIFS(Puntuacion!$G:$G,Puntuacion!$A:$A,$A34,Puntuacion!$C:$C,$C34,Puntuacion!$D:$D,"Precio",Puntuacion!$G:$G,"&lt;&gt;NA",Puntuacion!$G:$G,"&lt;&gt;NE")))</f>
        <v/>
      </c>
      <c r="AB34">
        <f>IF(COUNTIFS(Puntuacion!$A:$A,$A34,Puntuacion!$C:$C,$C34,Puntuacion!$D:$D,"Dependencia",Puntuacion!$G:$G,"&lt;&gt;NA")&gt;0,1,0)</f>
        <v/>
      </c>
      <c r="AC34">
        <f>IF(AND(AB34=1,COUNTIFS(Puntuacion!$A:$A,$A34,Puntuacion!$C:$C,$C34,Puntuacion!$D:$D,"Dependencia",Puntuacion!$G:$G,"NE")=0),1,0)</f>
        <v/>
      </c>
      <c r="AD34" s="5">
        <f>IF(AB34=0,"NA",IF(AC34=0,"NE",AVERAGEIFS(Puntuacion!$G:$G,Puntuacion!$A:$A,$A34,Puntuacion!$C:$C,$C34,Puntuacion!$D:$D,"Dependencia",Puntuacion!$G:$G,"&lt;&gt;NA",Puntuacion!$G:$G,"&lt;&gt;NE")))</f>
        <v/>
      </c>
      <c r="AE34" s="5">
        <f>IFERROR(100*(E34*Pesos!$B$2+H34*Pesos!$B$3+K34*Pesos!$B$4+N34*Pesos!$B$5+Q34*Pesos!$B$6+T34*Pesos!$B$7+W34*Pesos!$B$8+Z34*Pesos!$B$9+AC34*Pesos!$B$10)/(D34*Pesos!$B$2+G34*Pesos!$B$3+J34*Pesos!$B$4+M34*Pesos!$B$5+P34*Pesos!$B$6+S34*Pesos!$B$7+V34*Pesos!$B$8+Y34*Pesos!$B$9+AB34*Pesos!$B$10),"Sin criterios aplicables")</f>
        <v/>
      </c>
      <c r="AF34" s="5">
        <f>IFERROR(100*(E34*Pesos!$C$2+H34*Pesos!$C$3+K34*Pesos!$C$4+N34*Pesos!$C$5+Q34*Pesos!$C$6+T34*Pesos!$C$7+W34*Pesos!$C$8+Z34*Pesos!$C$9+AC34*Pesos!$C$10)/(D34*Pesos!$C$2+G34*Pesos!$C$3+J34*Pesos!$C$4+M34*Pesos!$C$5+P34*Pesos!$C$6+S34*Pesos!$C$7+V34*Pesos!$C$8+Y34*Pesos!$C$9+AB34*Pesos!$C$10),"Sin criterios aplicables")</f>
        <v/>
      </c>
      <c r="AG34" s="5">
        <f>IF(OR(AE34="Sin criterios aplicables",AE34&lt;70),"Insufficient evidence",100*(Pesos!$B$2*IF(E34=1,F34,0)+Pesos!$B$3*IF(H34=1,I34,0)+Pesos!$B$4*IF(K34=1,L34,0)+Pesos!$B$5*IF(N34=1,O34,0)+Pesos!$B$6*IF(Q34=1,R34,0)+Pesos!$B$7*IF(T34=1,U34,0)+Pesos!$B$8*IF(W34=1,X34,0)+Pesos!$B$9*IF(Z34=1,AA34,0)+Pesos!$B$10*IF(AC34=1,AD34,0))/(3*(Pesos!$B$2*E34+Pesos!$B$3*H34+Pesos!$B$4*K34+Pesos!$B$5*N34+Pesos!$B$6*Q34+Pesos!$B$7*T34+Pesos!$B$8*W34+Pesos!$B$9*Z34+Pesos!$B$10*AC34)))</f>
        <v/>
      </c>
      <c r="AH34" s="5">
        <f>IF(OR(AF34="Sin criterios aplicables",AF34&lt;70),"Insufficient evidence",100*(Pesos!$C$2*IF(E34=1,F34,0)+Pesos!$C$3*IF(H34=1,I34,0)+Pesos!$C$4*IF(K34=1,L34,0)+Pesos!$C$5*IF(N34=1,O34,0)+Pesos!$C$6*IF(Q34=1,R34,0)+Pesos!$C$7*IF(T34=1,U34,0)+Pesos!$C$8*IF(W34=1,X34,0)+Pesos!$C$9*IF(Z34=1,AA34,0)+Pesos!$C$10*IF(AC34=1,AD34,0))/(3*(Pesos!$C$2*E34+Pesos!$C$3*H34+Pesos!$C$4*K34+Pesos!$C$5*N34+Pesos!$C$6*Q34+Pesos!$C$7*T34+Pesos!$C$8*W34+Pesos!$C$9*Z34+Pesos!$C$10*AC34)))</f>
        <v/>
      </c>
      <c r="AI34">
        <f>IF(AG34="Insufficient evidence","Insufficient evidence (cobertura&lt;70%)",IF(AG34&lt;50/3,"Insufficient",IF(AG34&lt;50,"Basic",IF(AG34&lt;250/3,"Solid","Advanced"))))</f>
        <v/>
      </c>
      <c r="AJ34">
        <f>IF(AH34="Insufficient evidence","Insufficient evidence (cobertura&lt;70%)",IF(AH34&lt;50/3,"Insufficient",IF(AH34&lt;50,"Basic",IF(AH34&lt;250/3,"Solid","Advanced"))))</f>
        <v/>
      </c>
      <c r="AK34">
        <f>IF(TRIM(IF(AND(ISNUMBER(AA34),AA34&lt;1),"Precio","") &amp; " " &amp; IF(AND(ISNUMBER(U34),U34&lt;1),"Integración",""))="","Ninguno",TRIM(IF(AND(ISNUMBER(AA34),AA34&lt;1),"Precio","") &amp; " " &amp; IF(AND(ISNUMBER(U34),U34&lt;1),"Integración","")))</f>
        <v/>
      </c>
    </row>
    <row r="35">
      <c r="A35" t="inlineStr">
        <is>
          <t>E4</t>
        </is>
      </c>
      <c r="B35" t="inlineStr">
        <is>
          <t>Estimacion temprana</t>
        </is>
      </c>
      <c r="C35" t="inlineStr">
        <is>
          <t>Infracost</t>
        </is>
      </c>
      <c r="D35">
        <f>IF(COUNTIFS(Puntuacion!$A:$A,$A35,Puntuacion!$C:$C,$C35,Puntuacion!$D:$D,"Visibilidad",Puntuacion!$G:$G,"&lt;&gt;NA")&gt;0,1,0)</f>
        <v/>
      </c>
      <c r="E35">
        <f>IF(AND(D35=1,COUNTIFS(Puntuacion!$A:$A,$A35,Puntuacion!$C:$C,$C35,Puntuacion!$D:$D,"Visibilidad",Puntuacion!$G:$G,"NE")=0),1,0)</f>
        <v/>
      </c>
      <c r="F35" s="5">
        <f>IF(D35=0,"NA",IF(E35=0,"NE",AVERAGEIFS(Puntuacion!$G:$G,Puntuacion!$A:$A,$A35,Puntuacion!$C:$C,$C35,Puntuacion!$D:$D,"Visibilidad",Puntuacion!$G:$G,"&lt;&gt;NA",Puntuacion!$G:$G,"&lt;&gt;NE")))</f>
        <v/>
      </c>
      <c r="G35">
        <f>IF(COUNTIFS(Puntuacion!$A:$A,$A35,Puntuacion!$C:$C,$C35,Puntuacion!$D:$D,"Asignacion",Puntuacion!$G:$G,"&lt;&gt;NA")&gt;0,1,0)</f>
        <v/>
      </c>
      <c r="H35">
        <f>IF(AND(G35=1,COUNTIFS(Puntuacion!$A:$A,$A35,Puntuacion!$C:$C,$C35,Puntuacion!$D:$D,"Asignacion",Puntuacion!$G:$G,"NE")=0),1,0)</f>
        <v/>
      </c>
      <c r="I35" s="5">
        <f>IF(G35=0,"NA",IF(H35=0,"NE",AVERAGEIFS(Puntuacion!$G:$G,Puntuacion!$A:$A,$A35,Puntuacion!$C:$C,$C35,Puntuacion!$D:$D,"Asignacion",Puntuacion!$G:$G,"&lt;&gt;NA",Puntuacion!$G:$G,"&lt;&gt;NE")))</f>
        <v/>
      </c>
      <c r="J35">
        <f>IF(COUNTIFS(Puntuacion!$A:$A,$A35,Puntuacion!$C:$C,$C35,Puntuacion!$D:$D,"Optimizacion",Puntuacion!$G:$G,"&lt;&gt;NA")&gt;0,1,0)</f>
        <v/>
      </c>
      <c r="K35">
        <f>IF(AND(J35=1,COUNTIFS(Puntuacion!$A:$A,$A35,Puntuacion!$C:$C,$C35,Puntuacion!$D:$D,"Optimizacion",Puntuacion!$G:$G,"NE")=0),1,0)</f>
        <v/>
      </c>
      <c r="L35" s="5">
        <f>IF(J35=0,"NA",IF(K35=0,"NE",AVERAGEIFS(Puntuacion!$G:$G,Puntuacion!$A:$A,$A35,Puntuacion!$C:$C,$C35,Puntuacion!$D:$D,"Optimizacion",Puntuacion!$G:$G,"&lt;&gt;NA",Puntuacion!$G:$G,"&lt;&gt;NE")))</f>
        <v/>
      </c>
      <c r="M35">
        <f>IF(COUNTIFS(Puntuacion!$A:$A,$A35,Puntuacion!$C:$C,$C35,Puntuacion!$D:$D,"Automatizacion",Puntuacion!$G:$G,"&lt;&gt;NA")&gt;0,1,0)</f>
        <v/>
      </c>
      <c r="N35">
        <f>IF(AND(M35=1,COUNTIFS(Puntuacion!$A:$A,$A35,Puntuacion!$C:$C,$C35,Puntuacion!$D:$D,"Automatizacion",Puntuacion!$G:$G,"NE")=0),1,0)</f>
        <v/>
      </c>
      <c r="O35" s="5">
        <f>IF(M35=0,"NA",IF(N35=0,"NE",AVERAGEIFS(Puntuacion!$G:$G,Puntuacion!$A:$A,$A35,Puntuacion!$C:$C,$C35,Puntuacion!$D:$D,"Automatizacion",Puntuacion!$G:$G,"&lt;&gt;NA",Puntuacion!$G:$G,"&lt;&gt;NE")))</f>
        <v/>
      </c>
      <c r="P35">
        <f>IF(COUNTIFS(Puntuacion!$A:$A,$A35,Puntuacion!$C:$C,$C35,Puntuacion!$D:$D,"Multicloud",Puntuacion!$G:$G,"&lt;&gt;NA")&gt;0,1,0)</f>
        <v/>
      </c>
      <c r="Q35">
        <f>IF(AND(P35=1,COUNTIFS(Puntuacion!$A:$A,$A35,Puntuacion!$C:$C,$C35,Puntuacion!$D:$D,"Multicloud",Puntuacion!$G:$G,"NE")=0),1,0)</f>
        <v/>
      </c>
      <c r="R35" s="5">
        <f>IF(P35=0,"NA",IF(Q35=0,"NE",AVERAGEIFS(Puntuacion!$G:$G,Puntuacion!$A:$A,$A35,Puntuacion!$C:$C,$C35,Puntuacion!$D:$D,"Multicloud",Puntuacion!$G:$G,"&lt;&gt;NA",Puntuacion!$G:$G,"&lt;&gt;NE")))</f>
        <v/>
      </c>
      <c r="S35">
        <f>IF(COUNTIFS(Puntuacion!$A:$A,$A35,Puntuacion!$C:$C,$C35,Puntuacion!$D:$D,"Integracion",Puntuacion!$G:$G,"&lt;&gt;NA")&gt;0,1,0)</f>
        <v/>
      </c>
      <c r="T35">
        <f>IF(AND(S35=1,COUNTIFS(Puntuacion!$A:$A,$A35,Puntuacion!$C:$C,$C35,Puntuacion!$D:$D,"Integracion",Puntuacion!$G:$G,"NE")=0),1,0)</f>
        <v/>
      </c>
      <c r="U35" s="5">
        <f>IF(S35=0,"NA",IF(T35=0,"NE",AVERAGEIFS(Puntuacion!$G:$G,Puntuacion!$A:$A,$A35,Puntuacion!$C:$C,$C35,Puntuacion!$D:$D,"Integracion",Puntuacion!$G:$G,"&lt;&gt;NA",Puntuacion!$G:$G,"&lt;&gt;NE")))</f>
        <v/>
      </c>
      <c r="V35">
        <f>IF(COUNTIFS(Puntuacion!$A:$A,$A35,Puntuacion!$C:$C,$C35,Puntuacion!$D:$D,"Adopcion",Puntuacion!$G:$G,"&lt;&gt;NA")&gt;0,1,0)</f>
        <v/>
      </c>
      <c r="W35">
        <f>IF(AND(V35=1,COUNTIFS(Puntuacion!$A:$A,$A35,Puntuacion!$C:$C,$C35,Puntuacion!$D:$D,"Adopcion",Puntuacion!$G:$G,"NE")=0),1,0)</f>
        <v/>
      </c>
      <c r="X35" s="5">
        <f>IF(V35=0,"NA",IF(W35=0,"NE",AVERAGEIFS(Puntuacion!$G:$G,Puntuacion!$A:$A,$A35,Puntuacion!$C:$C,$C35,Puntuacion!$D:$D,"Adopcion",Puntuacion!$G:$G,"&lt;&gt;NA",Puntuacion!$G:$G,"&lt;&gt;NE")))</f>
        <v/>
      </c>
      <c r="Y35">
        <f>IF(COUNTIFS(Puntuacion!$A:$A,$A35,Puntuacion!$C:$C,$C35,Puntuacion!$D:$D,"Precio",Puntuacion!$G:$G,"&lt;&gt;NA")&gt;0,1,0)</f>
        <v/>
      </c>
      <c r="Z35">
        <f>IF(AND(Y35=1,COUNTIFS(Puntuacion!$A:$A,$A35,Puntuacion!$C:$C,$C35,Puntuacion!$D:$D,"Precio",Puntuacion!$G:$G,"NE")=0),1,0)</f>
        <v/>
      </c>
      <c r="AA35" s="5">
        <f>IF(Y35=0,"NA",IF(Z35=0,"NE",AVERAGEIFS(Puntuacion!$G:$G,Puntuacion!$A:$A,$A35,Puntuacion!$C:$C,$C35,Puntuacion!$D:$D,"Precio",Puntuacion!$G:$G,"&lt;&gt;NA",Puntuacion!$G:$G,"&lt;&gt;NE")))</f>
        <v/>
      </c>
      <c r="AB35">
        <f>IF(COUNTIFS(Puntuacion!$A:$A,$A35,Puntuacion!$C:$C,$C35,Puntuacion!$D:$D,"Dependencia",Puntuacion!$G:$G,"&lt;&gt;NA")&gt;0,1,0)</f>
        <v/>
      </c>
      <c r="AC35">
        <f>IF(AND(AB35=1,COUNTIFS(Puntuacion!$A:$A,$A35,Puntuacion!$C:$C,$C35,Puntuacion!$D:$D,"Dependencia",Puntuacion!$G:$G,"NE")=0),1,0)</f>
        <v/>
      </c>
      <c r="AD35" s="5">
        <f>IF(AB35=0,"NA",IF(AC35=0,"NE",AVERAGEIFS(Puntuacion!$G:$G,Puntuacion!$A:$A,$A35,Puntuacion!$C:$C,$C35,Puntuacion!$D:$D,"Dependencia",Puntuacion!$G:$G,"&lt;&gt;NA",Puntuacion!$G:$G,"&lt;&gt;NE")))</f>
        <v/>
      </c>
      <c r="AE35" s="5">
        <f>IFERROR(100*(E35*Pesos!$B$2+H35*Pesos!$B$3+K35*Pesos!$B$4+N35*Pesos!$B$5+Q35*Pesos!$B$6+T35*Pesos!$B$7+W35*Pesos!$B$8+Z35*Pesos!$B$9+AC35*Pesos!$B$10)/(D35*Pesos!$B$2+G35*Pesos!$B$3+J35*Pesos!$B$4+M35*Pesos!$B$5+P35*Pesos!$B$6+S35*Pesos!$B$7+V35*Pesos!$B$8+Y35*Pesos!$B$9+AB35*Pesos!$B$10),"Sin criterios aplicables")</f>
        <v/>
      </c>
      <c r="AF35" s="5">
        <f>IFERROR(100*(E35*Pesos!$C$2+H35*Pesos!$C$3+K35*Pesos!$C$4+N35*Pesos!$C$5+Q35*Pesos!$C$6+T35*Pesos!$C$7+W35*Pesos!$C$8+Z35*Pesos!$C$9+AC35*Pesos!$C$10)/(D35*Pesos!$C$2+G35*Pesos!$C$3+J35*Pesos!$C$4+M35*Pesos!$C$5+P35*Pesos!$C$6+S35*Pesos!$C$7+V35*Pesos!$C$8+Y35*Pesos!$C$9+AB35*Pesos!$C$10),"Sin criterios aplicables")</f>
        <v/>
      </c>
      <c r="AG35" s="5">
        <f>IF(OR(AE35="Sin criterios aplicables",AE35&lt;70),"Insufficient evidence",100*(Pesos!$B$2*IF(E35=1,F35,0)+Pesos!$B$3*IF(H35=1,I35,0)+Pesos!$B$4*IF(K35=1,L35,0)+Pesos!$B$5*IF(N35=1,O35,0)+Pesos!$B$6*IF(Q35=1,R35,0)+Pesos!$B$7*IF(T35=1,U35,0)+Pesos!$B$8*IF(W35=1,X35,0)+Pesos!$B$9*IF(Z35=1,AA35,0)+Pesos!$B$10*IF(AC35=1,AD35,0))/(3*(Pesos!$B$2*E35+Pesos!$B$3*H35+Pesos!$B$4*K35+Pesos!$B$5*N35+Pesos!$B$6*Q35+Pesos!$B$7*T35+Pesos!$B$8*W35+Pesos!$B$9*Z35+Pesos!$B$10*AC35)))</f>
        <v/>
      </c>
      <c r="AH35" s="5">
        <f>IF(OR(AF35="Sin criterios aplicables",AF35&lt;70),"Insufficient evidence",100*(Pesos!$C$2*IF(E35=1,F35,0)+Pesos!$C$3*IF(H35=1,I35,0)+Pesos!$C$4*IF(K35=1,L35,0)+Pesos!$C$5*IF(N35=1,O35,0)+Pesos!$C$6*IF(Q35=1,R35,0)+Pesos!$C$7*IF(T35=1,U35,0)+Pesos!$C$8*IF(W35=1,X35,0)+Pesos!$C$9*IF(Z35=1,AA35,0)+Pesos!$C$10*IF(AC35=1,AD35,0))/(3*(Pesos!$C$2*E35+Pesos!$C$3*H35+Pesos!$C$4*K35+Pesos!$C$5*N35+Pesos!$C$6*Q35+Pesos!$C$7*T35+Pesos!$C$8*W35+Pesos!$C$9*Z35+Pesos!$C$10*AC35)))</f>
        <v/>
      </c>
      <c r="AI35">
        <f>IF(AG35="Insufficient evidence","Insufficient evidence (cobertura&lt;70%)",IF(AG35&lt;50/3,"Insufficient",IF(AG35&lt;50,"Basic",IF(AG35&lt;250/3,"Solid","Advanced"))))</f>
        <v/>
      </c>
      <c r="AJ35">
        <f>IF(AH35="Insufficient evidence","Insufficient evidence (cobertura&lt;70%)",IF(AH35&lt;50/3,"Insufficient",IF(AH35&lt;50,"Basic",IF(AH35&lt;250/3,"Solid","Advanced"))))</f>
        <v/>
      </c>
      <c r="AK35">
        <f>IF(TRIM(IF(AND(ISNUMBER(AA35),AA35&lt;1),"Precio","") &amp; " " &amp; IF(AND(ISNUMBER(U35),U35&lt;1),"Integración",""))="","Ninguno",TRIM(IF(AND(ISNUMBER(AA35),AA35&lt;1),"Precio","") &amp; " " &amp; IF(AND(ISNUMBER(U35),U35&lt;1),"Integración","")))</f>
        <v/>
      </c>
    </row>
    <row r="36">
      <c r="A36" t="inlineStr">
        <is>
          <t>E5</t>
        </is>
      </c>
      <c r="B36" t="inlineStr">
        <is>
          <t>Cloud nativa</t>
        </is>
      </c>
      <c r="C36" t="inlineStr">
        <is>
          <t>AWS Cost Explorer</t>
        </is>
      </c>
      <c r="D36">
        <f>IF(COUNTIFS(Puntuacion!$A:$A,$A36,Puntuacion!$C:$C,$C36,Puntuacion!$D:$D,"Visibilidad",Puntuacion!$G:$G,"&lt;&gt;NA")&gt;0,1,0)</f>
        <v/>
      </c>
      <c r="E36">
        <f>IF(AND(D36=1,COUNTIFS(Puntuacion!$A:$A,$A36,Puntuacion!$C:$C,$C36,Puntuacion!$D:$D,"Visibilidad",Puntuacion!$G:$G,"NE")=0),1,0)</f>
        <v/>
      </c>
      <c r="F36" s="5">
        <f>IF(D36=0,"NA",IF(E36=0,"NE",AVERAGEIFS(Puntuacion!$G:$G,Puntuacion!$A:$A,$A36,Puntuacion!$C:$C,$C36,Puntuacion!$D:$D,"Visibilidad",Puntuacion!$G:$G,"&lt;&gt;NA",Puntuacion!$G:$G,"&lt;&gt;NE")))</f>
        <v/>
      </c>
      <c r="G36">
        <f>IF(COUNTIFS(Puntuacion!$A:$A,$A36,Puntuacion!$C:$C,$C36,Puntuacion!$D:$D,"Asignacion",Puntuacion!$G:$G,"&lt;&gt;NA")&gt;0,1,0)</f>
        <v/>
      </c>
      <c r="H36">
        <f>IF(AND(G36=1,COUNTIFS(Puntuacion!$A:$A,$A36,Puntuacion!$C:$C,$C36,Puntuacion!$D:$D,"Asignacion",Puntuacion!$G:$G,"NE")=0),1,0)</f>
        <v/>
      </c>
      <c r="I36" s="5">
        <f>IF(G36=0,"NA",IF(H36=0,"NE",AVERAGEIFS(Puntuacion!$G:$G,Puntuacion!$A:$A,$A36,Puntuacion!$C:$C,$C36,Puntuacion!$D:$D,"Asignacion",Puntuacion!$G:$G,"&lt;&gt;NA",Puntuacion!$G:$G,"&lt;&gt;NE")))</f>
        <v/>
      </c>
      <c r="J36">
        <f>IF(COUNTIFS(Puntuacion!$A:$A,$A36,Puntuacion!$C:$C,$C36,Puntuacion!$D:$D,"Optimizacion",Puntuacion!$G:$G,"&lt;&gt;NA")&gt;0,1,0)</f>
        <v/>
      </c>
      <c r="K36">
        <f>IF(AND(J36=1,COUNTIFS(Puntuacion!$A:$A,$A36,Puntuacion!$C:$C,$C36,Puntuacion!$D:$D,"Optimizacion",Puntuacion!$G:$G,"NE")=0),1,0)</f>
        <v/>
      </c>
      <c r="L36" s="5">
        <f>IF(J36=0,"NA",IF(K36=0,"NE",AVERAGEIFS(Puntuacion!$G:$G,Puntuacion!$A:$A,$A36,Puntuacion!$C:$C,$C36,Puntuacion!$D:$D,"Optimizacion",Puntuacion!$G:$G,"&lt;&gt;NA",Puntuacion!$G:$G,"&lt;&gt;NE")))</f>
        <v/>
      </c>
      <c r="M36">
        <f>IF(COUNTIFS(Puntuacion!$A:$A,$A36,Puntuacion!$C:$C,$C36,Puntuacion!$D:$D,"Automatizacion",Puntuacion!$G:$G,"&lt;&gt;NA")&gt;0,1,0)</f>
        <v/>
      </c>
      <c r="N36">
        <f>IF(AND(M36=1,COUNTIFS(Puntuacion!$A:$A,$A36,Puntuacion!$C:$C,$C36,Puntuacion!$D:$D,"Automatizacion",Puntuacion!$G:$G,"NE")=0),1,0)</f>
        <v/>
      </c>
      <c r="O36" s="5">
        <f>IF(M36=0,"NA",IF(N36=0,"NE",AVERAGEIFS(Puntuacion!$G:$G,Puntuacion!$A:$A,$A36,Puntuacion!$C:$C,$C36,Puntuacion!$D:$D,"Automatizacion",Puntuacion!$G:$G,"&lt;&gt;NA",Puntuacion!$G:$G,"&lt;&gt;NE")))</f>
        <v/>
      </c>
      <c r="P36">
        <f>IF(COUNTIFS(Puntuacion!$A:$A,$A36,Puntuacion!$C:$C,$C36,Puntuacion!$D:$D,"Multicloud",Puntuacion!$G:$G,"&lt;&gt;NA")&gt;0,1,0)</f>
        <v/>
      </c>
      <c r="Q36">
        <f>IF(AND(P36=1,COUNTIFS(Puntuacion!$A:$A,$A36,Puntuacion!$C:$C,$C36,Puntuacion!$D:$D,"Multicloud",Puntuacion!$G:$G,"NE")=0),1,0)</f>
        <v/>
      </c>
      <c r="R36" s="5">
        <f>IF(P36=0,"NA",IF(Q36=0,"NE",AVERAGEIFS(Puntuacion!$G:$G,Puntuacion!$A:$A,$A36,Puntuacion!$C:$C,$C36,Puntuacion!$D:$D,"Multicloud",Puntuacion!$G:$G,"&lt;&gt;NA",Puntuacion!$G:$G,"&lt;&gt;NE")))</f>
        <v/>
      </c>
      <c r="S36">
        <f>IF(COUNTIFS(Puntuacion!$A:$A,$A36,Puntuacion!$C:$C,$C36,Puntuacion!$D:$D,"Integracion",Puntuacion!$G:$G,"&lt;&gt;NA")&gt;0,1,0)</f>
        <v/>
      </c>
      <c r="T36">
        <f>IF(AND(S36=1,COUNTIFS(Puntuacion!$A:$A,$A36,Puntuacion!$C:$C,$C36,Puntuacion!$D:$D,"Integracion",Puntuacion!$G:$G,"NE")=0),1,0)</f>
        <v/>
      </c>
      <c r="U36" s="5">
        <f>IF(S36=0,"NA",IF(T36=0,"NE",AVERAGEIFS(Puntuacion!$G:$G,Puntuacion!$A:$A,$A36,Puntuacion!$C:$C,$C36,Puntuacion!$D:$D,"Integracion",Puntuacion!$G:$G,"&lt;&gt;NA",Puntuacion!$G:$G,"&lt;&gt;NE")))</f>
        <v/>
      </c>
      <c r="V36">
        <f>IF(COUNTIFS(Puntuacion!$A:$A,$A36,Puntuacion!$C:$C,$C36,Puntuacion!$D:$D,"Adopcion",Puntuacion!$G:$G,"&lt;&gt;NA")&gt;0,1,0)</f>
        <v/>
      </c>
      <c r="W36">
        <f>IF(AND(V36=1,COUNTIFS(Puntuacion!$A:$A,$A36,Puntuacion!$C:$C,$C36,Puntuacion!$D:$D,"Adopcion",Puntuacion!$G:$G,"NE")=0),1,0)</f>
        <v/>
      </c>
      <c r="X36" s="5">
        <f>IF(V36=0,"NA",IF(W36=0,"NE",AVERAGEIFS(Puntuacion!$G:$G,Puntuacion!$A:$A,$A36,Puntuacion!$C:$C,$C36,Puntuacion!$D:$D,"Adopcion",Puntuacion!$G:$G,"&lt;&gt;NA",Puntuacion!$G:$G,"&lt;&gt;NE")))</f>
        <v/>
      </c>
      <c r="Y36">
        <f>IF(COUNTIFS(Puntuacion!$A:$A,$A36,Puntuacion!$C:$C,$C36,Puntuacion!$D:$D,"Precio",Puntuacion!$G:$G,"&lt;&gt;NA")&gt;0,1,0)</f>
        <v/>
      </c>
      <c r="Z36">
        <f>IF(AND(Y36=1,COUNTIFS(Puntuacion!$A:$A,$A36,Puntuacion!$C:$C,$C36,Puntuacion!$D:$D,"Precio",Puntuacion!$G:$G,"NE")=0),1,0)</f>
        <v/>
      </c>
      <c r="AA36" s="5">
        <f>IF(Y36=0,"NA",IF(Z36=0,"NE",AVERAGEIFS(Puntuacion!$G:$G,Puntuacion!$A:$A,$A36,Puntuacion!$C:$C,$C36,Puntuacion!$D:$D,"Precio",Puntuacion!$G:$G,"&lt;&gt;NA",Puntuacion!$G:$G,"&lt;&gt;NE")))</f>
        <v/>
      </c>
      <c r="AB36">
        <f>IF(COUNTIFS(Puntuacion!$A:$A,$A36,Puntuacion!$C:$C,$C36,Puntuacion!$D:$D,"Dependencia",Puntuacion!$G:$G,"&lt;&gt;NA")&gt;0,1,0)</f>
        <v/>
      </c>
      <c r="AC36">
        <f>IF(AND(AB36=1,COUNTIFS(Puntuacion!$A:$A,$A36,Puntuacion!$C:$C,$C36,Puntuacion!$D:$D,"Dependencia",Puntuacion!$G:$G,"NE")=0),1,0)</f>
        <v/>
      </c>
      <c r="AD36" s="5">
        <f>IF(AB36=0,"NA",IF(AC36=0,"NE",AVERAGEIFS(Puntuacion!$G:$G,Puntuacion!$A:$A,$A36,Puntuacion!$C:$C,$C36,Puntuacion!$D:$D,"Dependencia",Puntuacion!$G:$G,"&lt;&gt;NA",Puntuacion!$G:$G,"&lt;&gt;NE")))</f>
        <v/>
      </c>
      <c r="AE36" s="5">
        <f>IFERROR(100*(E36*Pesos!$B$2+H36*Pesos!$B$3+K36*Pesos!$B$4+N36*Pesos!$B$5+Q36*Pesos!$B$6+T36*Pesos!$B$7+W36*Pesos!$B$8+Z36*Pesos!$B$9+AC36*Pesos!$B$10)/(D36*Pesos!$B$2+G36*Pesos!$B$3+J36*Pesos!$B$4+M36*Pesos!$B$5+P36*Pesos!$B$6+S36*Pesos!$B$7+V36*Pesos!$B$8+Y36*Pesos!$B$9+AB36*Pesos!$B$10),"Sin criterios aplicables")</f>
        <v/>
      </c>
      <c r="AF36" s="5">
        <f>IFERROR(100*(E36*Pesos!$C$2+H36*Pesos!$C$3+K36*Pesos!$C$4+N36*Pesos!$C$5+Q36*Pesos!$C$6+T36*Pesos!$C$7+W36*Pesos!$C$8+Z36*Pesos!$C$9+AC36*Pesos!$C$10)/(D36*Pesos!$C$2+G36*Pesos!$C$3+J36*Pesos!$C$4+M36*Pesos!$C$5+P36*Pesos!$C$6+S36*Pesos!$C$7+V36*Pesos!$C$8+Y36*Pesos!$C$9+AB36*Pesos!$C$10),"Sin criterios aplicables")</f>
        <v/>
      </c>
      <c r="AG36" s="5">
        <f>IF(OR(AE36="Sin criterios aplicables",AE36&lt;70),"Insufficient evidence",100*(Pesos!$B$2*IF(E36=1,F36,0)+Pesos!$B$3*IF(H36=1,I36,0)+Pesos!$B$4*IF(K36=1,L36,0)+Pesos!$B$5*IF(N36=1,O36,0)+Pesos!$B$6*IF(Q36=1,R36,0)+Pesos!$B$7*IF(T36=1,U36,0)+Pesos!$B$8*IF(W36=1,X36,0)+Pesos!$B$9*IF(Z36=1,AA36,0)+Pesos!$B$10*IF(AC36=1,AD36,0))/(3*(Pesos!$B$2*E36+Pesos!$B$3*H36+Pesos!$B$4*K36+Pesos!$B$5*N36+Pesos!$B$6*Q36+Pesos!$B$7*T36+Pesos!$B$8*W36+Pesos!$B$9*Z36+Pesos!$B$10*AC36)))</f>
        <v/>
      </c>
      <c r="AH36" s="5">
        <f>IF(OR(AF36="Sin criterios aplicables",AF36&lt;70),"Insufficient evidence",100*(Pesos!$C$2*IF(E36=1,F36,0)+Pesos!$C$3*IF(H36=1,I36,0)+Pesos!$C$4*IF(K36=1,L36,0)+Pesos!$C$5*IF(N36=1,O36,0)+Pesos!$C$6*IF(Q36=1,R36,0)+Pesos!$C$7*IF(T36=1,U36,0)+Pesos!$C$8*IF(W36=1,X36,0)+Pesos!$C$9*IF(Z36=1,AA36,0)+Pesos!$C$10*IF(AC36=1,AD36,0))/(3*(Pesos!$C$2*E36+Pesos!$C$3*H36+Pesos!$C$4*K36+Pesos!$C$5*N36+Pesos!$C$6*Q36+Pesos!$C$7*T36+Pesos!$C$8*W36+Pesos!$C$9*Z36+Pesos!$C$10*AC36)))</f>
        <v/>
      </c>
      <c r="AI36">
        <f>IF(AG36="Insufficient evidence","Insufficient evidence (cobertura&lt;70%)",IF(AG36&lt;50/3,"Insufficient",IF(AG36&lt;50,"Basic",IF(AG36&lt;250/3,"Solid","Advanced"))))</f>
        <v/>
      </c>
      <c r="AJ36">
        <f>IF(AH36="Insufficient evidence","Insufficient evidence (cobertura&lt;70%)",IF(AH36&lt;50/3,"Insufficient",IF(AH36&lt;50,"Basic",IF(AH36&lt;250/3,"Solid","Advanced"))))</f>
        <v/>
      </c>
      <c r="AK36">
        <f>IF(TRIM(IF(AND(ISNUMBER(I36),I36&lt;1),"Asignación","") &amp; " " &amp; IF(AND(ISNUMBER(F36),F36&lt;1),"Visibilidad",""))="","Ninguno",TRIM(IF(AND(ISNUMBER(I36),I36&lt;1),"Asignación","") &amp; " " &amp; IF(AND(ISNUMBER(F36),F36&lt;1),"Visibilidad","")))</f>
        <v/>
      </c>
    </row>
    <row r="37">
      <c r="A37" t="inlineStr">
        <is>
          <t>E5</t>
        </is>
      </c>
      <c r="B37" t="inlineStr">
        <is>
          <t>Cloud nativa</t>
        </is>
      </c>
      <c r="C37" t="inlineStr">
        <is>
          <t>AWS Cost Optimization Hub</t>
        </is>
      </c>
      <c r="D37">
        <f>IF(COUNTIFS(Puntuacion!$A:$A,$A37,Puntuacion!$C:$C,$C37,Puntuacion!$D:$D,"Visibilidad",Puntuacion!$G:$G,"&lt;&gt;NA")&gt;0,1,0)</f>
        <v/>
      </c>
      <c r="E37">
        <f>IF(AND(D37=1,COUNTIFS(Puntuacion!$A:$A,$A37,Puntuacion!$C:$C,$C37,Puntuacion!$D:$D,"Visibilidad",Puntuacion!$G:$G,"NE")=0),1,0)</f>
        <v/>
      </c>
      <c r="F37" s="5">
        <f>IF(D37=0,"NA",IF(E37=0,"NE",AVERAGEIFS(Puntuacion!$G:$G,Puntuacion!$A:$A,$A37,Puntuacion!$C:$C,$C37,Puntuacion!$D:$D,"Visibilidad",Puntuacion!$G:$G,"&lt;&gt;NA",Puntuacion!$G:$G,"&lt;&gt;NE")))</f>
        <v/>
      </c>
      <c r="G37">
        <f>IF(COUNTIFS(Puntuacion!$A:$A,$A37,Puntuacion!$C:$C,$C37,Puntuacion!$D:$D,"Asignacion",Puntuacion!$G:$G,"&lt;&gt;NA")&gt;0,1,0)</f>
        <v/>
      </c>
      <c r="H37">
        <f>IF(AND(G37=1,COUNTIFS(Puntuacion!$A:$A,$A37,Puntuacion!$C:$C,$C37,Puntuacion!$D:$D,"Asignacion",Puntuacion!$G:$G,"NE")=0),1,0)</f>
        <v/>
      </c>
      <c r="I37" s="5">
        <f>IF(G37=0,"NA",IF(H37=0,"NE",AVERAGEIFS(Puntuacion!$G:$G,Puntuacion!$A:$A,$A37,Puntuacion!$C:$C,$C37,Puntuacion!$D:$D,"Asignacion",Puntuacion!$G:$G,"&lt;&gt;NA",Puntuacion!$G:$G,"&lt;&gt;NE")))</f>
        <v/>
      </c>
      <c r="J37">
        <f>IF(COUNTIFS(Puntuacion!$A:$A,$A37,Puntuacion!$C:$C,$C37,Puntuacion!$D:$D,"Optimizacion",Puntuacion!$G:$G,"&lt;&gt;NA")&gt;0,1,0)</f>
        <v/>
      </c>
      <c r="K37">
        <f>IF(AND(J37=1,COUNTIFS(Puntuacion!$A:$A,$A37,Puntuacion!$C:$C,$C37,Puntuacion!$D:$D,"Optimizacion",Puntuacion!$G:$G,"NE")=0),1,0)</f>
        <v/>
      </c>
      <c r="L37" s="5">
        <f>IF(J37=0,"NA",IF(K37=0,"NE",AVERAGEIFS(Puntuacion!$G:$G,Puntuacion!$A:$A,$A37,Puntuacion!$C:$C,$C37,Puntuacion!$D:$D,"Optimizacion",Puntuacion!$G:$G,"&lt;&gt;NA",Puntuacion!$G:$G,"&lt;&gt;NE")))</f>
        <v/>
      </c>
      <c r="M37">
        <f>IF(COUNTIFS(Puntuacion!$A:$A,$A37,Puntuacion!$C:$C,$C37,Puntuacion!$D:$D,"Automatizacion",Puntuacion!$G:$G,"&lt;&gt;NA")&gt;0,1,0)</f>
        <v/>
      </c>
      <c r="N37">
        <f>IF(AND(M37=1,COUNTIFS(Puntuacion!$A:$A,$A37,Puntuacion!$C:$C,$C37,Puntuacion!$D:$D,"Automatizacion",Puntuacion!$G:$G,"NE")=0),1,0)</f>
        <v/>
      </c>
      <c r="O37" s="5">
        <f>IF(M37=0,"NA",IF(N37=0,"NE",AVERAGEIFS(Puntuacion!$G:$G,Puntuacion!$A:$A,$A37,Puntuacion!$C:$C,$C37,Puntuacion!$D:$D,"Automatizacion",Puntuacion!$G:$G,"&lt;&gt;NA",Puntuacion!$G:$G,"&lt;&gt;NE")))</f>
        <v/>
      </c>
      <c r="P37">
        <f>IF(COUNTIFS(Puntuacion!$A:$A,$A37,Puntuacion!$C:$C,$C37,Puntuacion!$D:$D,"Multicloud",Puntuacion!$G:$G,"&lt;&gt;NA")&gt;0,1,0)</f>
        <v/>
      </c>
      <c r="Q37">
        <f>IF(AND(P37=1,COUNTIFS(Puntuacion!$A:$A,$A37,Puntuacion!$C:$C,$C37,Puntuacion!$D:$D,"Multicloud",Puntuacion!$G:$G,"NE")=0),1,0)</f>
        <v/>
      </c>
      <c r="R37" s="5">
        <f>IF(P37=0,"NA",IF(Q37=0,"NE",AVERAGEIFS(Puntuacion!$G:$G,Puntuacion!$A:$A,$A37,Puntuacion!$C:$C,$C37,Puntuacion!$D:$D,"Multicloud",Puntuacion!$G:$G,"&lt;&gt;NA",Puntuacion!$G:$G,"&lt;&gt;NE")))</f>
        <v/>
      </c>
      <c r="S37">
        <f>IF(COUNTIFS(Puntuacion!$A:$A,$A37,Puntuacion!$C:$C,$C37,Puntuacion!$D:$D,"Integracion",Puntuacion!$G:$G,"&lt;&gt;NA")&gt;0,1,0)</f>
        <v/>
      </c>
      <c r="T37">
        <f>IF(AND(S37=1,COUNTIFS(Puntuacion!$A:$A,$A37,Puntuacion!$C:$C,$C37,Puntuacion!$D:$D,"Integracion",Puntuacion!$G:$G,"NE")=0),1,0)</f>
        <v/>
      </c>
      <c r="U37" s="5">
        <f>IF(S37=0,"NA",IF(T37=0,"NE",AVERAGEIFS(Puntuacion!$G:$G,Puntuacion!$A:$A,$A37,Puntuacion!$C:$C,$C37,Puntuacion!$D:$D,"Integracion",Puntuacion!$G:$G,"&lt;&gt;NA",Puntuacion!$G:$G,"&lt;&gt;NE")))</f>
        <v/>
      </c>
      <c r="V37">
        <f>IF(COUNTIFS(Puntuacion!$A:$A,$A37,Puntuacion!$C:$C,$C37,Puntuacion!$D:$D,"Adopcion",Puntuacion!$G:$G,"&lt;&gt;NA")&gt;0,1,0)</f>
        <v/>
      </c>
      <c r="W37">
        <f>IF(AND(V37=1,COUNTIFS(Puntuacion!$A:$A,$A37,Puntuacion!$C:$C,$C37,Puntuacion!$D:$D,"Adopcion",Puntuacion!$G:$G,"NE")=0),1,0)</f>
        <v/>
      </c>
      <c r="X37" s="5">
        <f>IF(V37=0,"NA",IF(W37=0,"NE",AVERAGEIFS(Puntuacion!$G:$G,Puntuacion!$A:$A,$A37,Puntuacion!$C:$C,$C37,Puntuacion!$D:$D,"Adopcion",Puntuacion!$G:$G,"&lt;&gt;NA",Puntuacion!$G:$G,"&lt;&gt;NE")))</f>
        <v/>
      </c>
      <c r="Y37">
        <f>IF(COUNTIFS(Puntuacion!$A:$A,$A37,Puntuacion!$C:$C,$C37,Puntuacion!$D:$D,"Precio",Puntuacion!$G:$G,"&lt;&gt;NA")&gt;0,1,0)</f>
        <v/>
      </c>
      <c r="Z37">
        <f>IF(AND(Y37=1,COUNTIFS(Puntuacion!$A:$A,$A37,Puntuacion!$C:$C,$C37,Puntuacion!$D:$D,"Precio",Puntuacion!$G:$G,"NE")=0),1,0)</f>
        <v/>
      </c>
      <c r="AA37" s="5">
        <f>IF(Y37=0,"NA",IF(Z37=0,"NE",AVERAGEIFS(Puntuacion!$G:$G,Puntuacion!$A:$A,$A37,Puntuacion!$C:$C,$C37,Puntuacion!$D:$D,"Precio",Puntuacion!$G:$G,"&lt;&gt;NA",Puntuacion!$G:$G,"&lt;&gt;NE")))</f>
        <v/>
      </c>
      <c r="AB37">
        <f>IF(COUNTIFS(Puntuacion!$A:$A,$A37,Puntuacion!$C:$C,$C37,Puntuacion!$D:$D,"Dependencia",Puntuacion!$G:$G,"&lt;&gt;NA")&gt;0,1,0)</f>
        <v/>
      </c>
      <c r="AC37">
        <f>IF(AND(AB37=1,COUNTIFS(Puntuacion!$A:$A,$A37,Puntuacion!$C:$C,$C37,Puntuacion!$D:$D,"Dependencia",Puntuacion!$G:$G,"NE")=0),1,0)</f>
        <v/>
      </c>
      <c r="AD37" s="5">
        <f>IF(AB37=0,"NA",IF(AC37=0,"NE",AVERAGEIFS(Puntuacion!$G:$G,Puntuacion!$A:$A,$A37,Puntuacion!$C:$C,$C37,Puntuacion!$D:$D,"Dependencia",Puntuacion!$G:$G,"&lt;&gt;NA",Puntuacion!$G:$G,"&lt;&gt;NE")))</f>
        <v/>
      </c>
      <c r="AE37" s="5">
        <f>IFERROR(100*(E37*Pesos!$B$2+H37*Pesos!$B$3+K37*Pesos!$B$4+N37*Pesos!$B$5+Q37*Pesos!$B$6+T37*Pesos!$B$7+W37*Pesos!$B$8+Z37*Pesos!$B$9+AC37*Pesos!$B$10)/(D37*Pesos!$B$2+G37*Pesos!$B$3+J37*Pesos!$B$4+M37*Pesos!$B$5+P37*Pesos!$B$6+S37*Pesos!$B$7+V37*Pesos!$B$8+Y37*Pesos!$B$9+AB37*Pesos!$B$10),"Sin criterios aplicables")</f>
        <v/>
      </c>
      <c r="AF37" s="5">
        <f>IFERROR(100*(E37*Pesos!$C$2+H37*Pesos!$C$3+K37*Pesos!$C$4+N37*Pesos!$C$5+Q37*Pesos!$C$6+T37*Pesos!$C$7+W37*Pesos!$C$8+Z37*Pesos!$C$9+AC37*Pesos!$C$10)/(D37*Pesos!$C$2+G37*Pesos!$C$3+J37*Pesos!$C$4+M37*Pesos!$C$5+P37*Pesos!$C$6+S37*Pesos!$C$7+V37*Pesos!$C$8+Y37*Pesos!$C$9+AB37*Pesos!$C$10),"Sin criterios aplicables")</f>
        <v/>
      </c>
      <c r="AG37" s="5">
        <f>IF(OR(AE37="Sin criterios aplicables",AE37&lt;70),"Insufficient evidence",100*(Pesos!$B$2*IF(E37=1,F37,0)+Pesos!$B$3*IF(H37=1,I37,0)+Pesos!$B$4*IF(K37=1,L37,0)+Pesos!$B$5*IF(N37=1,O37,0)+Pesos!$B$6*IF(Q37=1,R37,0)+Pesos!$B$7*IF(T37=1,U37,0)+Pesos!$B$8*IF(W37=1,X37,0)+Pesos!$B$9*IF(Z37=1,AA37,0)+Pesos!$B$10*IF(AC37=1,AD37,0))/(3*(Pesos!$B$2*E37+Pesos!$B$3*H37+Pesos!$B$4*K37+Pesos!$B$5*N37+Pesos!$B$6*Q37+Pesos!$B$7*T37+Pesos!$B$8*W37+Pesos!$B$9*Z37+Pesos!$B$10*AC37)))</f>
        <v/>
      </c>
      <c r="AH37" s="5">
        <f>IF(OR(AF37="Sin criterios aplicables",AF37&lt;70),"Insufficient evidence",100*(Pesos!$C$2*IF(E37=1,F37,0)+Pesos!$C$3*IF(H37=1,I37,0)+Pesos!$C$4*IF(K37=1,L37,0)+Pesos!$C$5*IF(N37=1,O37,0)+Pesos!$C$6*IF(Q37=1,R37,0)+Pesos!$C$7*IF(T37=1,U37,0)+Pesos!$C$8*IF(W37=1,X37,0)+Pesos!$C$9*IF(Z37=1,AA37,0)+Pesos!$C$10*IF(AC37=1,AD37,0))/(3*(Pesos!$C$2*E37+Pesos!$C$3*H37+Pesos!$C$4*K37+Pesos!$C$5*N37+Pesos!$C$6*Q37+Pesos!$C$7*T37+Pesos!$C$8*W37+Pesos!$C$9*Z37+Pesos!$C$10*AC37)))</f>
        <v/>
      </c>
      <c r="AI37">
        <f>IF(AG37="Insufficient evidence","Insufficient evidence (cobertura&lt;70%)",IF(AG37&lt;50/3,"Insufficient",IF(AG37&lt;50,"Basic",IF(AG37&lt;250/3,"Solid","Advanced"))))</f>
        <v/>
      </c>
      <c r="AJ37">
        <f>IF(AH37="Insufficient evidence","Insufficient evidence (cobertura&lt;70%)",IF(AH37&lt;50/3,"Insufficient",IF(AH37&lt;50,"Basic",IF(AH37&lt;250/3,"Solid","Advanced"))))</f>
        <v/>
      </c>
      <c r="AK37">
        <f>IF(TRIM(IF(AND(ISNUMBER(I37),I37&lt;1),"Asignación","") &amp; " " &amp; IF(AND(ISNUMBER(F37),F37&lt;1),"Visibilidad",""))="","Ninguno",TRIM(IF(AND(ISNUMBER(I37),I37&lt;1),"Asignación","") &amp; " " &amp; IF(AND(ISNUMBER(F37),F37&lt;1),"Visibilidad","")))</f>
        <v/>
      </c>
    </row>
    <row r="38">
      <c r="A38" t="inlineStr">
        <is>
          <t>E5</t>
        </is>
      </c>
      <c r="B38" t="inlineStr">
        <is>
          <t>Cloud nativa</t>
        </is>
      </c>
      <c r="C38" t="inlineStr">
        <is>
          <t>Azure Cost Management</t>
        </is>
      </c>
      <c r="D38">
        <f>IF(COUNTIFS(Puntuacion!$A:$A,$A38,Puntuacion!$C:$C,$C38,Puntuacion!$D:$D,"Visibilidad",Puntuacion!$G:$G,"&lt;&gt;NA")&gt;0,1,0)</f>
        <v/>
      </c>
      <c r="E38">
        <f>IF(AND(D38=1,COUNTIFS(Puntuacion!$A:$A,$A38,Puntuacion!$C:$C,$C38,Puntuacion!$D:$D,"Visibilidad",Puntuacion!$G:$G,"NE")=0),1,0)</f>
        <v/>
      </c>
      <c r="F38" s="5">
        <f>IF(D38=0,"NA",IF(E38=0,"NE",AVERAGEIFS(Puntuacion!$G:$G,Puntuacion!$A:$A,$A38,Puntuacion!$C:$C,$C38,Puntuacion!$D:$D,"Visibilidad",Puntuacion!$G:$G,"&lt;&gt;NA",Puntuacion!$G:$G,"&lt;&gt;NE")))</f>
        <v/>
      </c>
      <c r="G38">
        <f>IF(COUNTIFS(Puntuacion!$A:$A,$A38,Puntuacion!$C:$C,$C38,Puntuacion!$D:$D,"Asignacion",Puntuacion!$G:$G,"&lt;&gt;NA")&gt;0,1,0)</f>
        <v/>
      </c>
      <c r="H38">
        <f>IF(AND(G38=1,COUNTIFS(Puntuacion!$A:$A,$A38,Puntuacion!$C:$C,$C38,Puntuacion!$D:$D,"Asignacion",Puntuacion!$G:$G,"NE")=0),1,0)</f>
        <v/>
      </c>
      <c r="I38" s="5">
        <f>IF(G38=0,"NA",IF(H38=0,"NE",AVERAGEIFS(Puntuacion!$G:$G,Puntuacion!$A:$A,$A38,Puntuacion!$C:$C,$C38,Puntuacion!$D:$D,"Asignacion",Puntuacion!$G:$G,"&lt;&gt;NA",Puntuacion!$G:$G,"&lt;&gt;NE")))</f>
        <v/>
      </c>
      <c r="J38">
        <f>IF(COUNTIFS(Puntuacion!$A:$A,$A38,Puntuacion!$C:$C,$C38,Puntuacion!$D:$D,"Optimizacion",Puntuacion!$G:$G,"&lt;&gt;NA")&gt;0,1,0)</f>
        <v/>
      </c>
      <c r="K38">
        <f>IF(AND(J38=1,COUNTIFS(Puntuacion!$A:$A,$A38,Puntuacion!$C:$C,$C38,Puntuacion!$D:$D,"Optimizacion",Puntuacion!$G:$G,"NE")=0),1,0)</f>
        <v/>
      </c>
      <c r="L38" s="5">
        <f>IF(J38=0,"NA",IF(K38=0,"NE",AVERAGEIFS(Puntuacion!$G:$G,Puntuacion!$A:$A,$A38,Puntuacion!$C:$C,$C38,Puntuacion!$D:$D,"Optimizacion",Puntuacion!$G:$G,"&lt;&gt;NA",Puntuacion!$G:$G,"&lt;&gt;NE")))</f>
        <v/>
      </c>
      <c r="M38">
        <f>IF(COUNTIFS(Puntuacion!$A:$A,$A38,Puntuacion!$C:$C,$C38,Puntuacion!$D:$D,"Automatizacion",Puntuacion!$G:$G,"&lt;&gt;NA")&gt;0,1,0)</f>
        <v/>
      </c>
      <c r="N38">
        <f>IF(AND(M38=1,COUNTIFS(Puntuacion!$A:$A,$A38,Puntuacion!$C:$C,$C38,Puntuacion!$D:$D,"Automatizacion",Puntuacion!$G:$G,"NE")=0),1,0)</f>
        <v/>
      </c>
      <c r="O38" s="5">
        <f>IF(M38=0,"NA",IF(N38=0,"NE",AVERAGEIFS(Puntuacion!$G:$G,Puntuacion!$A:$A,$A38,Puntuacion!$C:$C,$C38,Puntuacion!$D:$D,"Automatizacion",Puntuacion!$G:$G,"&lt;&gt;NA",Puntuacion!$G:$G,"&lt;&gt;NE")))</f>
        <v/>
      </c>
      <c r="P38">
        <f>IF(COUNTIFS(Puntuacion!$A:$A,$A38,Puntuacion!$C:$C,$C38,Puntuacion!$D:$D,"Multicloud",Puntuacion!$G:$G,"&lt;&gt;NA")&gt;0,1,0)</f>
        <v/>
      </c>
      <c r="Q38">
        <f>IF(AND(P38=1,COUNTIFS(Puntuacion!$A:$A,$A38,Puntuacion!$C:$C,$C38,Puntuacion!$D:$D,"Multicloud",Puntuacion!$G:$G,"NE")=0),1,0)</f>
        <v/>
      </c>
      <c r="R38" s="5">
        <f>IF(P38=0,"NA",IF(Q38=0,"NE",AVERAGEIFS(Puntuacion!$G:$G,Puntuacion!$A:$A,$A38,Puntuacion!$C:$C,$C38,Puntuacion!$D:$D,"Multicloud",Puntuacion!$G:$G,"&lt;&gt;NA",Puntuacion!$G:$G,"&lt;&gt;NE")))</f>
        <v/>
      </c>
      <c r="S38">
        <f>IF(COUNTIFS(Puntuacion!$A:$A,$A38,Puntuacion!$C:$C,$C38,Puntuacion!$D:$D,"Integracion",Puntuacion!$G:$G,"&lt;&gt;NA")&gt;0,1,0)</f>
        <v/>
      </c>
      <c r="T38">
        <f>IF(AND(S38=1,COUNTIFS(Puntuacion!$A:$A,$A38,Puntuacion!$C:$C,$C38,Puntuacion!$D:$D,"Integracion",Puntuacion!$G:$G,"NE")=0),1,0)</f>
        <v/>
      </c>
      <c r="U38" s="5">
        <f>IF(S38=0,"NA",IF(T38=0,"NE",AVERAGEIFS(Puntuacion!$G:$G,Puntuacion!$A:$A,$A38,Puntuacion!$C:$C,$C38,Puntuacion!$D:$D,"Integracion",Puntuacion!$G:$G,"&lt;&gt;NA",Puntuacion!$G:$G,"&lt;&gt;NE")))</f>
        <v/>
      </c>
      <c r="V38">
        <f>IF(COUNTIFS(Puntuacion!$A:$A,$A38,Puntuacion!$C:$C,$C38,Puntuacion!$D:$D,"Adopcion",Puntuacion!$G:$G,"&lt;&gt;NA")&gt;0,1,0)</f>
        <v/>
      </c>
      <c r="W38">
        <f>IF(AND(V38=1,COUNTIFS(Puntuacion!$A:$A,$A38,Puntuacion!$C:$C,$C38,Puntuacion!$D:$D,"Adopcion",Puntuacion!$G:$G,"NE")=0),1,0)</f>
        <v/>
      </c>
      <c r="X38" s="5">
        <f>IF(V38=0,"NA",IF(W38=0,"NE",AVERAGEIFS(Puntuacion!$G:$G,Puntuacion!$A:$A,$A38,Puntuacion!$C:$C,$C38,Puntuacion!$D:$D,"Adopcion",Puntuacion!$G:$G,"&lt;&gt;NA",Puntuacion!$G:$G,"&lt;&gt;NE")))</f>
        <v/>
      </c>
      <c r="Y38">
        <f>IF(COUNTIFS(Puntuacion!$A:$A,$A38,Puntuacion!$C:$C,$C38,Puntuacion!$D:$D,"Precio",Puntuacion!$G:$G,"&lt;&gt;NA")&gt;0,1,0)</f>
        <v/>
      </c>
      <c r="Z38">
        <f>IF(AND(Y38=1,COUNTIFS(Puntuacion!$A:$A,$A38,Puntuacion!$C:$C,$C38,Puntuacion!$D:$D,"Precio",Puntuacion!$G:$G,"NE")=0),1,0)</f>
        <v/>
      </c>
      <c r="AA38" s="5">
        <f>IF(Y38=0,"NA",IF(Z38=0,"NE",AVERAGEIFS(Puntuacion!$G:$G,Puntuacion!$A:$A,$A38,Puntuacion!$C:$C,$C38,Puntuacion!$D:$D,"Precio",Puntuacion!$G:$G,"&lt;&gt;NA",Puntuacion!$G:$G,"&lt;&gt;NE")))</f>
        <v/>
      </c>
      <c r="AB38">
        <f>IF(COUNTIFS(Puntuacion!$A:$A,$A38,Puntuacion!$C:$C,$C38,Puntuacion!$D:$D,"Dependencia",Puntuacion!$G:$G,"&lt;&gt;NA")&gt;0,1,0)</f>
        <v/>
      </c>
      <c r="AC38">
        <f>IF(AND(AB38=1,COUNTIFS(Puntuacion!$A:$A,$A38,Puntuacion!$C:$C,$C38,Puntuacion!$D:$D,"Dependencia",Puntuacion!$G:$G,"NE")=0),1,0)</f>
        <v/>
      </c>
      <c r="AD38" s="5">
        <f>IF(AB38=0,"NA",IF(AC38=0,"NE",AVERAGEIFS(Puntuacion!$G:$G,Puntuacion!$A:$A,$A38,Puntuacion!$C:$C,$C38,Puntuacion!$D:$D,"Dependencia",Puntuacion!$G:$G,"&lt;&gt;NA",Puntuacion!$G:$G,"&lt;&gt;NE")))</f>
        <v/>
      </c>
      <c r="AE38" s="5">
        <f>IFERROR(100*(E38*Pesos!$B$2+H38*Pesos!$B$3+K38*Pesos!$B$4+N38*Pesos!$B$5+Q38*Pesos!$B$6+T38*Pesos!$B$7+W38*Pesos!$B$8+Z38*Pesos!$B$9+AC38*Pesos!$B$10)/(D38*Pesos!$B$2+G38*Pesos!$B$3+J38*Pesos!$B$4+M38*Pesos!$B$5+P38*Pesos!$B$6+S38*Pesos!$B$7+V38*Pesos!$B$8+Y38*Pesos!$B$9+AB38*Pesos!$B$10),"Sin criterios aplicables")</f>
        <v/>
      </c>
      <c r="AF38" s="5">
        <f>IFERROR(100*(E38*Pesos!$C$2+H38*Pesos!$C$3+K38*Pesos!$C$4+N38*Pesos!$C$5+Q38*Pesos!$C$6+T38*Pesos!$C$7+W38*Pesos!$C$8+Z38*Pesos!$C$9+AC38*Pesos!$C$10)/(D38*Pesos!$C$2+G38*Pesos!$C$3+J38*Pesos!$C$4+M38*Pesos!$C$5+P38*Pesos!$C$6+S38*Pesos!$C$7+V38*Pesos!$C$8+Y38*Pesos!$C$9+AB38*Pesos!$C$10),"Sin criterios aplicables")</f>
        <v/>
      </c>
      <c r="AG38" s="5">
        <f>IF(OR(AE38="Sin criterios aplicables",AE38&lt;70),"Insufficient evidence",100*(Pesos!$B$2*IF(E38=1,F38,0)+Pesos!$B$3*IF(H38=1,I38,0)+Pesos!$B$4*IF(K38=1,L38,0)+Pesos!$B$5*IF(N38=1,O38,0)+Pesos!$B$6*IF(Q38=1,R38,0)+Pesos!$B$7*IF(T38=1,U38,0)+Pesos!$B$8*IF(W38=1,X38,0)+Pesos!$B$9*IF(Z38=1,AA38,0)+Pesos!$B$10*IF(AC38=1,AD38,0))/(3*(Pesos!$B$2*E38+Pesos!$B$3*H38+Pesos!$B$4*K38+Pesos!$B$5*N38+Pesos!$B$6*Q38+Pesos!$B$7*T38+Pesos!$B$8*W38+Pesos!$B$9*Z38+Pesos!$B$10*AC38)))</f>
        <v/>
      </c>
      <c r="AH38" s="5">
        <f>IF(OR(AF38="Sin criterios aplicables",AF38&lt;70),"Insufficient evidence",100*(Pesos!$C$2*IF(E38=1,F38,0)+Pesos!$C$3*IF(H38=1,I38,0)+Pesos!$C$4*IF(K38=1,L38,0)+Pesos!$C$5*IF(N38=1,O38,0)+Pesos!$C$6*IF(Q38=1,R38,0)+Pesos!$C$7*IF(T38=1,U38,0)+Pesos!$C$8*IF(W38=1,X38,0)+Pesos!$C$9*IF(Z38=1,AA38,0)+Pesos!$C$10*IF(AC38=1,AD38,0))/(3*(Pesos!$C$2*E38+Pesos!$C$3*H38+Pesos!$C$4*K38+Pesos!$C$5*N38+Pesos!$C$6*Q38+Pesos!$C$7*T38+Pesos!$C$8*W38+Pesos!$C$9*Z38+Pesos!$C$10*AC38)))</f>
        <v/>
      </c>
      <c r="AI38">
        <f>IF(AG38="Insufficient evidence","Insufficient evidence (cobertura&lt;70%)",IF(AG38&lt;50/3,"Insufficient",IF(AG38&lt;50,"Basic",IF(AG38&lt;250/3,"Solid","Advanced"))))</f>
        <v/>
      </c>
      <c r="AJ38">
        <f>IF(AH38="Insufficient evidence","Insufficient evidence (cobertura&lt;70%)",IF(AH38&lt;50/3,"Insufficient",IF(AH38&lt;50,"Basic",IF(AH38&lt;250/3,"Solid","Advanced"))))</f>
        <v/>
      </c>
      <c r="AK38">
        <f>IF(TRIM(IF(AND(ISNUMBER(I38),I38&lt;1),"Asignación","") &amp; " " &amp; IF(AND(ISNUMBER(F38),F38&lt;1),"Visibilidad",""))="","Ninguno",TRIM(IF(AND(ISNUMBER(I38),I38&lt;1),"Asignación","") &amp; " " &amp; IF(AND(ISNUMBER(F38),F38&lt;1),"Visibilidad","")))</f>
        <v/>
      </c>
    </row>
    <row r="39">
      <c r="A39" t="inlineStr">
        <is>
          <t>E5</t>
        </is>
      </c>
      <c r="B39" t="inlineStr">
        <is>
          <t>Cloud nativa</t>
        </is>
      </c>
      <c r="C39" t="inlineStr">
        <is>
          <t>Google Cloud Billing</t>
        </is>
      </c>
      <c r="D39">
        <f>IF(COUNTIFS(Puntuacion!$A:$A,$A39,Puntuacion!$C:$C,$C39,Puntuacion!$D:$D,"Visibilidad",Puntuacion!$G:$G,"&lt;&gt;NA")&gt;0,1,0)</f>
        <v/>
      </c>
      <c r="E39">
        <f>IF(AND(D39=1,COUNTIFS(Puntuacion!$A:$A,$A39,Puntuacion!$C:$C,$C39,Puntuacion!$D:$D,"Visibilidad",Puntuacion!$G:$G,"NE")=0),1,0)</f>
        <v/>
      </c>
      <c r="F39" s="5">
        <f>IF(D39=0,"NA",IF(E39=0,"NE",AVERAGEIFS(Puntuacion!$G:$G,Puntuacion!$A:$A,$A39,Puntuacion!$C:$C,$C39,Puntuacion!$D:$D,"Visibilidad",Puntuacion!$G:$G,"&lt;&gt;NA",Puntuacion!$G:$G,"&lt;&gt;NE")))</f>
        <v/>
      </c>
      <c r="G39">
        <f>IF(COUNTIFS(Puntuacion!$A:$A,$A39,Puntuacion!$C:$C,$C39,Puntuacion!$D:$D,"Asignacion",Puntuacion!$G:$G,"&lt;&gt;NA")&gt;0,1,0)</f>
        <v/>
      </c>
      <c r="H39">
        <f>IF(AND(G39=1,COUNTIFS(Puntuacion!$A:$A,$A39,Puntuacion!$C:$C,$C39,Puntuacion!$D:$D,"Asignacion",Puntuacion!$G:$G,"NE")=0),1,0)</f>
        <v/>
      </c>
      <c r="I39" s="5">
        <f>IF(G39=0,"NA",IF(H39=0,"NE",AVERAGEIFS(Puntuacion!$G:$G,Puntuacion!$A:$A,$A39,Puntuacion!$C:$C,$C39,Puntuacion!$D:$D,"Asignacion",Puntuacion!$G:$G,"&lt;&gt;NA",Puntuacion!$G:$G,"&lt;&gt;NE")))</f>
        <v/>
      </c>
      <c r="J39">
        <f>IF(COUNTIFS(Puntuacion!$A:$A,$A39,Puntuacion!$C:$C,$C39,Puntuacion!$D:$D,"Optimizacion",Puntuacion!$G:$G,"&lt;&gt;NA")&gt;0,1,0)</f>
        <v/>
      </c>
      <c r="K39">
        <f>IF(AND(J39=1,COUNTIFS(Puntuacion!$A:$A,$A39,Puntuacion!$C:$C,$C39,Puntuacion!$D:$D,"Optimizacion",Puntuacion!$G:$G,"NE")=0),1,0)</f>
        <v/>
      </c>
      <c r="L39" s="5">
        <f>IF(J39=0,"NA",IF(K39=0,"NE",AVERAGEIFS(Puntuacion!$G:$G,Puntuacion!$A:$A,$A39,Puntuacion!$C:$C,$C39,Puntuacion!$D:$D,"Optimizacion",Puntuacion!$G:$G,"&lt;&gt;NA",Puntuacion!$G:$G,"&lt;&gt;NE")))</f>
        <v/>
      </c>
      <c r="M39">
        <f>IF(COUNTIFS(Puntuacion!$A:$A,$A39,Puntuacion!$C:$C,$C39,Puntuacion!$D:$D,"Automatizacion",Puntuacion!$G:$G,"&lt;&gt;NA")&gt;0,1,0)</f>
        <v/>
      </c>
      <c r="N39">
        <f>IF(AND(M39=1,COUNTIFS(Puntuacion!$A:$A,$A39,Puntuacion!$C:$C,$C39,Puntuacion!$D:$D,"Automatizacion",Puntuacion!$G:$G,"NE")=0),1,0)</f>
        <v/>
      </c>
      <c r="O39" s="5">
        <f>IF(M39=0,"NA",IF(N39=0,"NE",AVERAGEIFS(Puntuacion!$G:$G,Puntuacion!$A:$A,$A39,Puntuacion!$C:$C,$C39,Puntuacion!$D:$D,"Automatizacion",Puntuacion!$G:$G,"&lt;&gt;NA",Puntuacion!$G:$G,"&lt;&gt;NE")))</f>
        <v/>
      </c>
      <c r="P39">
        <f>IF(COUNTIFS(Puntuacion!$A:$A,$A39,Puntuacion!$C:$C,$C39,Puntuacion!$D:$D,"Multicloud",Puntuacion!$G:$G,"&lt;&gt;NA")&gt;0,1,0)</f>
        <v/>
      </c>
      <c r="Q39">
        <f>IF(AND(P39=1,COUNTIFS(Puntuacion!$A:$A,$A39,Puntuacion!$C:$C,$C39,Puntuacion!$D:$D,"Multicloud",Puntuacion!$G:$G,"NE")=0),1,0)</f>
        <v/>
      </c>
      <c r="R39" s="5">
        <f>IF(P39=0,"NA",IF(Q39=0,"NE",AVERAGEIFS(Puntuacion!$G:$G,Puntuacion!$A:$A,$A39,Puntuacion!$C:$C,$C39,Puntuacion!$D:$D,"Multicloud",Puntuacion!$G:$G,"&lt;&gt;NA",Puntuacion!$G:$G,"&lt;&gt;NE")))</f>
        <v/>
      </c>
      <c r="S39">
        <f>IF(COUNTIFS(Puntuacion!$A:$A,$A39,Puntuacion!$C:$C,$C39,Puntuacion!$D:$D,"Integracion",Puntuacion!$G:$G,"&lt;&gt;NA")&gt;0,1,0)</f>
        <v/>
      </c>
      <c r="T39">
        <f>IF(AND(S39=1,COUNTIFS(Puntuacion!$A:$A,$A39,Puntuacion!$C:$C,$C39,Puntuacion!$D:$D,"Integracion",Puntuacion!$G:$G,"NE")=0),1,0)</f>
        <v/>
      </c>
      <c r="U39" s="5">
        <f>IF(S39=0,"NA",IF(T39=0,"NE",AVERAGEIFS(Puntuacion!$G:$G,Puntuacion!$A:$A,$A39,Puntuacion!$C:$C,$C39,Puntuacion!$D:$D,"Integracion",Puntuacion!$G:$G,"&lt;&gt;NA",Puntuacion!$G:$G,"&lt;&gt;NE")))</f>
        <v/>
      </c>
      <c r="V39">
        <f>IF(COUNTIFS(Puntuacion!$A:$A,$A39,Puntuacion!$C:$C,$C39,Puntuacion!$D:$D,"Adopcion",Puntuacion!$G:$G,"&lt;&gt;NA")&gt;0,1,0)</f>
        <v/>
      </c>
      <c r="W39">
        <f>IF(AND(V39=1,COUNTIFS(Puntuacion!$A:$A,$A39,Puntuacion!$C:$C,$C39,Puntuacion!$D:$D,"Adopcion",Puntuacion!$G:$G,"NE")=0),1,0)</f>
        <v/>
      </c>
      <c r="X39" s="5">
        <f>IF(V39=0,"NA",IF(W39=0,"NE",AVERAGEIFS(Puntuacion!$G:$G,Puntuacion!$A:$A,$A39,Puntuacion!$C:$C,$C39,Puntuacion!$D:$D,"Adopcion",Puntuacion!$G:$G,"&lt;&gt;NA",Puntuacion!$G:$G,"&lt;&gt;NE")))</f>
        <v/>
      </c>
      <c r="Y39">
        <f>IF(COUNTIFS(Puntuacion!$A:$A,$A39,Puntuacion!$C:$C,$C39,Puntuacion!$D:$D,"Precio",Puntuacion!$G:$G,"&lt;&gt;NA")&gt;0,1,0)</f>
        <v/>
      </c>
      <c r="Z39">
        <f>IF(AND(Y39=1,COUNTIFS(Puntuacion!$A:$A,$A39,Puntuacion!$C:$C,$C39,Puntuacion!$D:$D,"Precio",Puntuacion!$G:$G,"NE")=0),1,0)</f>
        <v/>
      </c>
      <c r="AA39" s="5">
        <f>IF(Y39=0,"NA",IF(Z39=0,"NE",AVERAGEIFS(Puntuacion!$G:$G,Puntuacion!$A:$A,$A39,Puntuacion!$C:$C,$C39,Puntuacion!$D:$D,"Precio",Puntuacion!$G:$G,"&lt;&gt;NA",Puntuacion!$G:$G,"&lt;&gt;NE")))</f>
        <v/>
      </c>
      <c r="AB39">
        <f>IF(COUNTIFS(Puntuacion!$A:$A,$A39,Puntuacion!$C:$C,$C39,Puntuacion!$D:$D,"Dependencia",Puntuacion!$G:$G,"&lt;&gt;NA")&gt;0,1,0)</f>
        <v/>
      </c>
      <c r="AC39">
        <f>IF(AND(AB39=1,COUNTIFS(Puntuacion!$A:$A,$A39,Puntuacion!$C:$C,$C39,Puntuacion!$D:$D,"Dependencia",Puntuacion!$G:$G,"NE")=0),1,0)</f>
        <v/>
      </c>
      <c r="AD39" s="5">
        <f>IF(AB39=0,"NA",IF(AC39=0,"NE",AVERAGEIFS(Puntuacion!$G:$G,Puntuacion!$A:$A,$A39,Puntuacion!$C:$C,$C39,Puntuacion!$D:$D,"Dependencia",Puntuacion!$G:$G,"&lt;&gt;NA",Puntuacion!$G:$G,"&lt;&gt;NE")))</f>
        <v/>
      </c>
      <c r="AE39" s="5">
        <f>IFERROR(100*(E39*Pesos!$B$2+H39*Pesos!$B$3+K39*Pesos!$B$4+N39*Pesos!$B$5+Q39*Pesos!$B$6+T39*Pesos!$B$7+W39*Pesos!$B$8+Z39*Pesos!$B$9+AC39*Pesos!$B$10)/(D39*Pesos!$B$2+G39*Pesos!$B$3+J39*Pesos!$B$4+M39*Pesos!$B$5+P39*Pesos!$B$6+S39*Pesos!$B$7+V39*Pesos!$B$8+Y39*Pesos!$B$9+AB39*Pesos!$B$10),"Sin criterios aplicables")</f>
        <v/>
      </c>
      <c r="AF39" s="5">
        <f>IFERROR(100*(E39*Pesos!$C$2+H39*Pesos!$C$3+K39*Pesos!$C$4+N39*Pesos!$C$5+Q39*Pesos!$C$6+T39*Pesos!$C$7+W39*Pesos!$C$8+Z39*Pesos!$C$9+AC39*Pesos!$C$10)/(D39*Pesos!$C$2+G39*Pesos!$C$3+J39*Pesos!$C$4+M39*Pesos!$C$5+P39*Pesos!$C$6+S39*Pesos!$C$7+V39*Pesos!$C$8+Y39*Pesos!$C$9+AB39*Pesos!$C$10),"Sin criterios aplicables")</f>
        <v/>
      </c>
      <c r="AG39" s="5">
        <f>IF(OR(AE39="Sin criterios aplicables",AE39&lt;70),"Insufficient evidence",100*(Pesos!$B$2*IF(E39=1,F39,0)+Pesos!$B$3*IF(H39=1,I39,0)+Pesos!$B$4*IF(K39=1,L39,0)+Pesos!$B$5*IF(N39=1,O39,0)+Pesos!$B$6*IF(Q39=1,R39,0)+Pesos!$B$7*IF(T39=1,U39,0)+Pesos!$B$8*IF(W39=1,X39,0)+Pesos!$B$9*IF(Z39=1,AA39,0)+Pesos!$B$10*IF(AC39=1,AD39,0))/(3*(Pesos!$B$2*E39+Pesos!$B$3*H39+Pesos!$B$4*K39+Pesos!$B$5*N39+Pesos!$B$6*Q39+Pesos!$B$7*T39+Pesos!$B$8*W39+Pesos!$B$9*Z39+Pesos!$B$10*AC39)))</f>
        <v/>
      </c>
      <c r="AH39" s="5">
        <f>IF(OR(AF39="Sin criterios aplicables",AF39&lt;70),"Insufficient evidence",100*(Pesos!$C$2*IF(E39=1,F39,0)+Pesos!$C$3*IF(H39=1,I39,0)+Pesos!$C$4*IF(K39=1,L39,0)+Pesos!$C$5*IF(N39=1,O39,0)+Pesos!$C$6*IF(Q39=1,R39,0)+Pesos!$C$7*IF(T39=1,U39,0)+Pesos!$C$8*IF(W39=1,X39,0)+Pesos!$C$9*IF(Z39=1,AA39,0)+Pesos!$C$10*IF(AC39=1,AD39,0))/(3*(Pesos!$C$2*E39+Pesos!$C$3*H39+Pesos!$C$4*K39+Pesos!$C$5*N39+Pesos!$C$6*Q39+Pesos!$C$7*T39+Pesos!$C$8*W39+Pesos!$C$9*Z39+Pesos!$C$10*AC39)))</f>
        <v/>
      </c>
      <c r="AI39">
        <f>IF(AG39="Insufficient evidence","Insufficient evidence (cobertura&lt;70%)",IF(AG39&lt;50/3,"Insufficient",IF(AG39&lt;50,"Basic",IF(AG39&lt;250/3,"Solid","Advanced"))))</f>
        <v/>
      </c>
      <c r="AJ39">
        <f>IF(AH39="Insufficient evidence","Insufficient evidence (cobertura&lt;70%)",IF(AH39&lt;50/3,"Insufficient",IF(AH39&lt;50,"Basic",IF(AH39&lt;250/3,"Solid","Advanced"))))</f>
        <v/>
      </c>
      <c r="AK39">
        <f>IF(TRIM(IF(AND(ISNUMBER(I39),I39&lt;1),"Asignación","") &amp; " " &amp; IF(AND(ISNUMBER(F39),F39&lt;1),"Visibilidad",""))="","Ninguno",TRIM(IF(AND(ISNUMBER(I39),I39&lt;1),"Asignación","") &amp; " " &amp; IF(AND(ISNUMBER(F39),F39&lt;1),"Visibilidad","")))</f>
        <v/>
      </c>
    </row>
    <row r="40">
      <c r="A40" t="inlineStr">
        <is>
          <t>E5</t>
        </is>
      </c>
      <c r="B40" t="inlineStr">
        <is>
          <t>Cloud nativa</t>
        </is>
      </c>
      <c r="C40" t="inlineStr">
        <is>
          <t>Google Cloud FinOps Hub</t>
        </is>
      </c>
      <c r="D40">
        <f>IF(COUNTIFS(Puntuacion!$A:$A,$A40,Puntuacion!$C:$C,$C40,Puntuacion!$D:$D,"Visibilidad",Puntuacion!$G:$G,"&lt;&gt;NA")&gt;0,1,0)</f>
        <v/>
      </c>
      <c r="E40">
        <f>IF(AND(D40=1,COUNTIFS(Puntuacion!$A:$A,$A40,Puntuacion!$C:$C,$C40,Puntuacion!$D:$D,"Visibilidad",Puntuacion!$G:$G,"NE")=0),1,0)</f>
        <v/>
      </c>
      <c r="F40" s="5">
        <f>IF(D40=0,"NA",IF(E40=0,"NE",AVERAGEIFS(Puntuacion!$G:$G,Puntuacion!$A:$A,$A40,Puntuacion!$C:$C,$C40,Puntuacion!$D:$D,"Visibilidad",Puntuacion!$G:$G,"&lt;&gt;NA",Puntuacion!$G:$G,"&lt;&gt;NE")))</f>
        <v/>
      </c>
      <c r="G40">
        <f>IF(COUNTIFS(Puntuacion!$A:$A,$A40,Puntuacion!$C:$C,$C40,Puntuacion!$D:$D,"Asignacion",Puntuacion!$G:$G,"&lt;&gt;NA")&gt;0,1,0)</f>
        <v/>
      </c>
      <c r="H40">
        <f>IF(AND(G40=1,COUNTIFS(Puntuacion!$A:$A,$A40,Puntuacion!$C:$C,$C40,Puntuacion!$D:$D,"Asignacion",Puntuacion!$G:$G,"NE")=0),1,0)</f>
        <v/>
      </c>
      <c r="I40" s="5">
        <f>IF(G40=0,"NA",IF(H40=0,"NE",AVERAGEIFS(Puntuacion!$G:$G,Puntuacion!$A:$A,$A40,Puntuacion!$C:$C,$C40,Puntuacion!$D:$D,"Asignacion",Puntuacion!$G:$G,"&lt;&gt;NA",Puntuacion!$G:$G,"&lt;&gt;NE")))</f>
        <v/>
      </c>
      <c r="J40">
        <f>IF(COUNTIFS(Puntuacion!$A:$A,$A40,Puntuacion!$C:$C,$C40,Puntuacion!$D:$D,"Optimizacion",Puntuacion!$G:$G,"&lt;&gt;NA")&gt;0,1,0)</f>
        <v/>
      </c>
      <c r="K40">
        <f>IF(AND(J40=1,COUNTIFS(Puntuacion!$A:$A,$A40,Puntuacion!$C:$C,$C40,Puntuacion!$D:$D,"Optimizacion",Puntuacion!$G:$G,"NE")=0),1,0)</f>
        <v/>
      </c>
      <c r="L40" s="5">
        <f>IF(J40=0,"NA",IF(K40=0,"NE",AVERAGEIFS(Puntuacion!$G:$G,Puntuacion!$A:$A,$A40,Puntuacion!$C:$C,$C40,Puntuacion!$D:$D,"Optimizacion",Puntuacion!$G:$G,"&lt;&gt;NA",Puntuacion!$G:$G,"&lt;&gt;NE")))</f>
        <v/>
      </c>
      <c r="M40">
        <f>IF(COUNTIFS(Puntuacion!$A:$A,$A40,Puntuacion!$C:$C,$C40,Puntuacion!$D:$D,"Automatizacion",Puntuacion!$G:$G,"&lt;&gt;NA")&gt;0,1,0)</f>
        <v/>
      </c>
      <c r="N40">
        <f>IF(AND(M40=1,COUNTIFS(Puntuacion!$A:$A,$A40,Puntuacion!$C:$C,$C40,Puntuacion!$D:$D,"Automatizacion",Puntuacion!$G:$G,"NE")=0),1,0)</f>
        <v/>
      </c>
      <c r="O40" s="5">
        <f>IF(M40=0,"NA",IF(N40=0,"NE",AVERAGEIFS(Puntuacion!$G:$G,Puntuacion!$A:$A,$A40,Puntuacion!$C:$C,$C40,Puntuacion!$D:$D,"Automatizacion",Puntuacion!$G:$G,"&lt;&gt;NA",Puntuacion!$G:$G,"&lt;&gt;NE")))</f>
        <v/>
      </c>
      <c r="P40">
        <f>IF(COUNTIFS(Puntuacion!$A:$A,$A40,Puntuacion!$C:$C,$C40,Puntuacion!$D:$D,"Multicloud",Puntuacion!$G:$G,"&lt;&gt;NA")&gt;0,1,0)</f>
        <v/>
      </c>
      <c r="Q40">
        <f>IF(AND(P40=1,COUNTIFS(Puntuacion!$A:$A,$A40,Puntuacion!$C:$C,$C40,Puntuacion!$D:$D,"Multicloud",Puntuacion!$G:$G,"NE")=0),1,0)</f>
        <v/>
      </c>
      <c r="R40" s="5">
        <f>IF(P40=0,"NA",IF(Q40=0,"NE",AVERAGEIFS(Puntuacion!$G:$G,Puntuacion!$A:$A,$A40,Puntuacion!$C:$C,$C40,Puntuacion!$D:$D,"Multicloud",Puntuacion!$G:$G,"&lt;&gt;NA",Puntuacion!$G:$G,"&lt;&gt;NE")))</f>
        <v/>
      </c>
      <c r="S40">
        <f>IF(COUNTIFS(Puntuacion!$A:$A,$A40,Puntuacion!$C:$C,$C40,Puntuacion!$D:$D,"Integracion",Puntuacion!$G:$G,"&lt;&gt;NA")&gt;0,1,0)</f>
        <v/>
      </c>
      <c r="T40">
        <f>IF(AND(S40=1,COUNTIFS(Puntuacion!$A:$A,$A40,Puntuacion!$C:$C,$C40,Puntuacion!$D:$D,"Integracion",Puntuacion!$G:$G,"NE")=0),1,0)</f>
        <v/>
      </c>
      <c r="U40" s="5">
        <f>IF(S40=0,"NA",IF(T40=0,"NE",AVERAGEIFS(Puntuacion!$G:$G,Puntuacion!$A:$A,$A40,Puntuacion!$C:$C,$C40,Puntuacion!$D:$D,"Integracion",Puntuacion!$G:$G,"&lt;&gt;NA",Puntuacion!$G:$G,"&lt;&gt;NE")))</f>
        <v/>
      </c>
      <c r="V40">
        <f>IF(COUNTIFS(Puntuacion!$A:$A,$A40,Puntuacion!$C:$C,$C40,Puntuacion!$D:$D,"Adopcion",Puntuacion!$G:$G,"&lt;&gt;NA")&gt;0,1,0)</f>
        <v/>
      </c>
      <c r="W40">
        <f>IF(AND(V40=1,COUNTIFS(Puntuacion!$A:$A,$A40,Puntuacion!$C:$C,$C40,Puntuacion!$D:$D,"Adopcion",Puntuacion!$G:$G,"NE")=0),1,0)</f>
        <v/>
      </c>
      <c r="X40" s="5">
        <f>IF(V40=0,"NA",IF(W40=0,"NE",AVERAGEIFS(Puntuacion!$G:$G,Puntuacion!$A:$A,$A40,Puntuacion!$C:$C,$C40,Puntuacion!$D:$D,"Adopcion",Puntuacion!$G:$G,"&lt;&gt;NA",Puntuacion!$G:$G,"&lt;&gt;NE")))</f>
        <v/>
      </c>
      <c r="Y40">
        <f>IF(COUNTIFS(Puntuacion!$A:$A,$A40,Puntuacion!$C:$C,$C40,Puntuacion!$D:$D,"Precio",Puntuacion!$G:$G,"&lt;&gt;NA")&gt;0,1,0)</f>
        <v/>
      </c>
      <c r="Z40">
        <f>IF(AND(Y40=1,COUNTIFS(Puntuacion!$A:$A,$A40,Puntuacion!$C:$C,$C40,Puntuacion!$D:$D,"Precio",Puntuacion!$G:$G,"NE")=0),1,0)</f>
        <v/>
      </c>
      <c r="AA40" s="5">
        <f>IF(Y40=0,"NA",IF(Z40=0,"NE",AVERAGEIFS(Puntuacion!$G:$G,Puntuacion!$A:$A,$A40,Puntuacion!$C:$C,$C40,Puntuacion!$D:$D,"Precio",Puntuacion!$G:$G,"&lt;&gt;NA",Puntuacion!$G:$G,"&lt;&gt;NE")))</f>
        <v/>
      </c>
      <c r="AB40">
        <f>IF(COUNTIFS(Puntuacion!$A:$A,$A40,Puntuacion!$C:$C,$C40,Puntuacion!$D:$D,"Dependencia",Puntuacion!$G:$G,"&lt;&gt;NA")&gt;0,1,0)</f>
        <v/>
      </c>
      <c r="AC40">
        <f>IF(AND(AB40=1,COUNTIFS(Puntuacion!$A:$A,$A40,Puntuacion!$C:$C,$C40,Puntuacion!$D:$D,"Dependencia",Puntuacion!$G:$G,"NE")=0),1,0)</f>
        <v/>
      </c>
      <c r="AD40" s="5">
        <f>IF(AB40=0,"NA",IF(AC40=0,"NE",AVERAGEIFS(Puntuacion!$G:$G,Puntuacion!$A:$A,$A40,Puntuacion!$C:$C,$C40,Puntuacion!$D:$D,"Dependencia",Puntuacion!$G:$G,"&lt;&gt;NA",Puntuacion!$G:$G,"&lt;&gt;NE")))</f>
        <v/>
      </c>
      <c r="AE40" s="5">
        <f>IFERROR(100*(E40*Pesos!$B$2+H40*Pesos!$B$3+K40*Pesos!$B$4+N40*Pesos!$B$5+Q40*Pesos!$B$6+T40*Pesos!$B$7+W40*Pesos!$B$8+Z40*Pesos!$B$9+AC40*Pesos!$B$10)/(D40*Pesos!$B$2+G40*Pesos!$B$3+J40*Pesos!$B$4+M40*Pesos!$B$5+P40*Pesos!$B$6+S40*Pesos!$B$7+V40*Pesos!$B$8+Y40*Pesos!$B$9+AB40*Pesos!$B$10),"Sin criterios aplicables")</f>
        <v/>
      </c>
      <c r="AF40" s="5">
        <f>IFERROR(100*(E40*Pesos!$C$2+H40*Pesos!$C$3+K40*Pesos!$C$4+N40*Pesos!$C$5+Q40*Pesos!$C$6+T40*Pesos!$C$7+W40*Pesos!$C$8+Z40*Pesos!$C$9+AC40*Pesos!$C$10)/(D40*Pesos!$C$2+G40*Pesos!$C$3+J40*Pesos!$C$4+M40*Pesos!$C$5+P40*Pesos!$C$6+S40*Pesos!$C$7+V40*Pesos!$C$8+Y40*Pesos!$C$9+AB40*Pesos!$C$10),"Sin criterios aplicables")</f>
        <v/>
      </c>
      <c r="AG40" s="5">
        <f>IF(OR(AE40="Sin criterios aplicables",AE40&lt;70),"Insufficient evidence",100*(Pesos!$B$2*IF(E40=1,F40,0)+Pesos!$B$3*IF(H40=1,I40,0)+Pesos!$B$4*IF(K40=1,L40,0)+Pesos!$B$5*IF(N40=1,O40,0)+Pesos!$B$6*IF(Q40=1,R40,0)+Pesos!$B$7*IF(T40=1,U40,0)+Pesos!$B$8*IF(W40=1,X40,0)+Pesos!$B$9*IF(Z40=1,AA40,0)+Pesos!$B$10*IF(AC40=1,AD40,0))/(3*(Pesos!$B$2*E40+Pesos!$B$3*H40+Pesos!$B$4*K40+Pesos!$B$5*N40+Pesos!$B$6*Q40+Pesos!$B$7*T40+Pesos!$B$8*W40+Pesos!$B$9*Z40+Pesos!$B$10*AC40)))</f>
        <v/>
      </c>
      <c r="AH40" s="5">
        <f>IF(OR(AF40="Sin criterios aplicables",AF40&lt;70),"Insufficient evidence",100*(Pesos!$C$2*IF(E40=1,F40,0)+Pesos!$C$3*IF(H40=1,I40,0)+Pesos!$C$4*IF(K40=1,L40,0)+Pesos!$C$5*IF(N40=1,O40,0)+Pesos!$C$6*IF(Q40=1,R40,0)+Pesos!$C$7*IF(T40=1,U40,0)+Pesos!$C$8*IF(W40=1,X40,0)+Pesos!$C$9*IF(Z40=1,AA40,0)+Pesos!$C$10*IF(AC40=1,AD40,0))/(3*(Pesos!$C$2*E40+Pesos!$C$3*H40+Pesos!$C$4*K40+Pesos!$C$5*N40+Pesos!$C$6*Q40+Pesos!$C$7*T40+Pesos!$C$8*W40+Pesos!$C$9*Z40+Pesos!$C$10*AC40)))</f>
        <v/>
      </c>
      <c r="AI40">
        <f>IF(AG40="Insufficient evidence","Insufficient evidence (cobertura&lt;70%)",IF(AG40&lt;50/3,"Insufficient",IF(AG40&lt;50,"Basic",IF(AG40&lt;250/3,"Solid","Advanced"))))</f>
        <v/>
      </c>
      <c r="AJ40">
        <f>IF(AH40="Insufficient evidence","Insufficient evidence (cobertura&lt;70%)",IF(AH40&lt;50/3,"Insufficient",IF(AH40&lt;50,"Basic",IF(AH40&lt;250/3,"Solid","Advanced"))))</f>
        <v/>
      </c>
      <c r="AK40">
        <f>IF(TRIM(IF(AND(ISNUMBER(I40),I40&lt;1),"Asignación","") &amp; " " &amp; IF(AND(ISNUMBER(F40),F40&lt;1),"Visibilidad",""))="","Ninguno",TRIM(IF(AND(ISNUMBER(I40),I40&lt;1),"Asignación","") &amp; " " &amp; IF(AND(ISNUMBER(F40),F40&lt;1),"Visibilidad","")))</f>
        <v/>
      </c>
    </row>
    <row r="41">
      <c r="A41" t="inlineStr">
        <is>
          <t>E5</t>
        </is>
      </c>
      <c r="B41" t="inlineStr">
        <is>
          <t>Kubernetes</t>
        </is>
      </c>
      <c r="C41" t="inlineStr">
        <is>
          <t>Cast AI</t>
        </is>
      </c>
      <c r="D41">
        <f>IF(COUNTIFS(Puntuacion!$A:$A,$A41,Puntuacion!$C:$C,$C41,Puntuacion!$D:$D,"Visibilidad",Puntuacion!$G:$G,"&lt;&gt;NA")&gt;0,1,0)</f>
        <v/>
      </c>
      <c r="E41">
        <f>IF(AND(D41=1,COUNTIFS(Puntuacion!$A:$A,$A41,Puntuacion!$C:$C,$C41,Puntuacion!$D:$D,"Visibilidad",Puntuacion!$G:$G,"NE")=0),1,0)</f>
        <v/>
      </c>
      <c r="F41" s="5">
        <f>IF(D41=0,"NA",IF(E41=0,"NE",AVERAGEIFS(Puntuacion!$G:$G,Puntuacion!$A:$A,$A41,Puntuacion!$C:$C,$C41,Puntuacion!$D:$D,"Visibilidad",Puntuacion!$G:$G,"&lt;&gt;NA",Puntuacion!$G:$G,"&lt;&gt;NE")))</f>
        <v/>
      </c>
      <c r="G41">
        <f>IF(COUNTIFS(Puntuacion!$A:$A,$A41,Puntuacion!$C:$C,$C41,Puntuacion!$D:$D,"Asignacion",Puntuacion!$G:$G,"&lt;&gt;NA")&gt;0,1,0)</f>
        <v/>
      </c>
      <c r="H41">
        <f>IF(AND(G41=1,COUNTIFS(Puntuacion!$A:$A,$A41,Puntuacion!$C:$C,$C41,Puntuacion!$D:$D,"Asignacion",Puntuacion!$G:$G,"NE")=0),1,0)</f>
        <v/>
      </c>
      <c r="I41" s="5">
        <f>IF(G41=0,"NA",IF(H41=0,"NE",AVERAGEIFS(Puntuacion!$G:$G,Puntuacion!$A:$A,$A41,Puntuacion!$C:$C,$C41,Puntuacion!$D:$D,"Asignacion",Puntuacion!$G:$G,"&lt;&gt;NA",Puntuacion!$G:$G,"&lt;&gt;NE")))</f>
        <v/>
      </c>
      <c r="J41">
        <f>IF(COUNTIFS(Puntuacion!$A:$A,$A41,Puntuacion!$C:$C,$C41,Puntuacion!$D:$D,"Optimizacion",Puntuacion!$G:$G,"&lt;&gt;NA")&gt;0,1,0)</f>
        <v/>
      </c>
      <c r="K41">
        <f>IF(AND(J41=1,COUNTIFS(Puntuacion!$A:$A,$A41,Puntuacion!$C:$C,$C41,Puntuacion!$D:$D,"Optimizacion",Puntuacion!$G:$G,"NE")=0),1,0)</f>
        <v/>
      </c>
      <c r="L41" s="5">
        <f>IF(J41=0,"NA",IF(K41=0,"NE",AVERAGEIFS(Puntuacion!$G:$G,Puntuacion!$A:$A,$A41,Puntuacion!$C:$C,$C41,Puntuacion!$D:$D,"Optimizacion",Puntuacion!$G:$G,"&lt;&gt;NA",Puntuacion!$G:$G,"&lt;&gt;NE")))</f>
        <v/>
      </c>
      <c r="M41">
        <f>IF(COUNTIFS(Puntuacion!$A:$A,$A41,Puntuacion!$C:$C,$C41,Puntuacion!$D:$D,"Automatizacion",Puntuacion!$G:$G,"&lt;&gt;NA")&gt;0,1,0)</f>
        <v/>
      </c>
      <c r="N41">
        <f>IF(AND(M41=1,COUNTIFS(Puntuacion!$A:$A,$A41,Puntuacion!$C:$C,$C41,Puntuacion!$D:$D,"Automatizacion",Puntuacion!$G:$G,"NE")=0),1,0)</f>
        <v/>
      </c>
      <c r="O41" s="5">
        <f>IF(M41=0,"NA",IF(N41=0,"NE",AVERAGEIFS(Puntuacion!$G:$G,Puntuacion!$A:$A,$A41,Puntuacion!$C:$C,$C41,Puntuacion!$D:$D,"Automatizacion",Puntuacion!$G:$G,"&lt;&gt;NA",Puntuacion!$G:$G,"&lt;&gt;NE")))</f>
        <v/>
      </c>
      <c r="P41">
        <f>IF(COUNTIFS(Puntuacion!$A:$A,$A41,Puntuacion!$C:$C,$C41,Puntuacion!$D:$D,"Multicloud",Puntuacion!$G:$G,"&lt;&gt;NA")&gt;0,1,0)</f>
        <v/>
      </c>
      <c r="Q41">
        <f>IF(AND(P41=1,COUNTIFS(Puntuacion!$A:$A,$A41,Puntuacion!$C:$C,$C41,Puntuacion!$D:$D,"Multicloud",Puntuacion!$G:$G,"NE")=0),1,0)</f>
        <v/>
      </c>
      <c r="R41" s="5">
        <f>IF(P41=0,"NA",IF(Q41=0,"NE",AVERAGEIFS(Puntuacion!$G:$G,Puntuacion!$A:$A,$A41,Puntuacion!$C:$C,$C41,Puntuacion!$D:$D,"Multicloud",Puntuacion!$G:$G,"&lt;&gt;NA",Puntuacion!$G:$G,"&lt;&gt;NE")))</f>
        <v/>
      </c>
      <c r="S41">
        <f>IF(COUNTIFS(Puntuacion!$A:$A,$A41,Puntuacion!$C:$C,$C41,Puntuacion!$D:$D,"Integracion",Puntuacion!$G:$G,"&lt;&gt;NA")&gt;0,1,0)</f>
        <v/>
      </c>
      <c r="T41">
        <f>IF(AND(S41=1,COUNTIFS(Puntuacion!$A:$A,$A41,Puntuacion!$C:$C,$C41,Puntuacion!$D:$D,"Integracion",Puntuacion!$G:$G,"NE")=0),1,0)</f>
        <v/>
      </c>
      <c r="U41" s="5">
        <f>IF(S41=0,"NA",IF(T41=0,"NE",AVERAGEIFS(Puntuacion!$G:$G,Puntuacion!$A:$A,$A41,Puntuacion!$C:$C,$C41,Puntuacion!$D:$D,"Integracion",Puntuacion!$G:$G,"&lt;&gt;NA",Puntuacion!$G:$G,"&lt;&gt;NE")))</f>
        <v/>
      </c>
      <c r="V41">
        <f>IF(COUNTIFS(Puntuacion!$A:$A,$A41,Puntuacion!$C:$C,$C41,Puntuacion!$D:$D,"Adopcion",Puntuacion!$G:$G,"&lt;&gt;NA")&gt;0,1,0)</f>
        <v/>
      </c>
      <c r="W41">
        <f>IF(AND(V41=1,COUNTIFS(Puntuacion!$A:$A,$A41,Puntuacion!$C:$C,$C41,Puntuacion!$D:$D,"Adopcion",Puntuacion!$G:$G,"NE")=0),1,0)</f>
        <v/>
      </c>
      <c r="X41" s="5">
        <f>IF(V41=0,"NA",IF(W41=0,"NE",AVERAGEIFS(Puntuacion!$G:$G,Puntuacion!$A:$A,$A41,Puntuacion!$C:$C,$C41,Puntuacion!$D:$D,"Adopcion",Puntuacion!$G:$G,"&lt;&gt;NA",Puntuacion!$G:$G,"&lt;&gt;NE")))</f>
        <v/>
      </c>
      <c r="Y41">
        <f>IF(COUNTIFS(Puntuacion!$A:$A,$A41,Puntuacion!$C:$C,$C41,Puntuacion!$D:$D,"Precio",Puntuacion!$G:$G,"&lt;&gt;NA")&gt;0,1,0)</f>
        <v/>
      </c>
      <c r="Z41">
        <f>IF(AND(Y41=1,COUNTIFS(Puntuacion!$A:$A,$A41,Puntuacion!$C:$C,$C41,Puntuacion!$D:$D,"Precio",Puntuacion!$G:$G,"NE")=0),1,0)</f>
        <v/>
      </c>
      <c r="AA41" s="5">
        <f>IF(Y41=0,"NA",IF(Z41=0,"NE",AVERAGEIFS(Puntuacion!$G:$G,Puntuacion!$A:$A,$A41,Puntuacion!$C:$C,$C41,Puntuacion!$D:$D,"Precio",Puntuacion!$G:$G,"&lt;&gt;NA",Puntuacion!$G:$G,"&lt;&gt;NE")))</f>
        <v/>
      </c>
      <c r="AB41">
        <f>IF(COUNTIFS(Puntuacion!$A:$A,$A41,Puntuacion!$C:$C,$C41,Puntuacion!$D:$D,"Dependencia",Puntuacion!$G:$G,"&lt;&gt;NA")&gt;0,1,0)</f>
        <v/>
      </c>
      <c r="AC41">
        <f>IF(AND(AB41=1,COUNTIFS(Puntuacion!$A:$A,$A41,Puntuacion!$C:$C,$C41,Puntuacion!$D:$D,"Dependencia",Puntuacion!$G:$G,"NE")=0),1,0)</f>
        <v/>
      </c>
      <c r="AD41" s="5">
        <f>IF(AB41=0,"NA",IF(AC41=0,"NE",AVERAGEIFS(Puntuacion!$G:$G,Puntuacion!$A:$A,$A41,Puntuacion!$C:$C,$C41,Puntuacion!$D:$D,"Dependencia",Puntuacion!$G:$G,"&lt;&gt;NA",Puntuacion!$G:$G,"&lt;&gt;NE")))</f>
        <v/>
      </c>
      <c r="AE41" s="5">
        <f>IFERROR(100*(E41*Pesos!$B$2+H41*Pesos!$B$3+K41*Pesos!$B$4+N41*Pesos!$B$5+Q41*Pesos!$B$6+T41*Pesos!$B$7+W41*Pesos!$B$8+Z41*Pesos!$B$9+AC41*Pesos!$B$10)/(D41*Pesos!$B$2+G41*Pesos!$B$3+J41*Pesos!$B$4+M41*Pesos!$B$5+P41*Pesos!$B$6+S41*Pesos!$B$7+V41*Pesos!$B$8+Y41*Pesos!$B$9+AB41*Pesos!$B$10),"Sin criterios aplicables")</f>
        <v/>
      </c>
      <c r="AF41" s="5">
        <f>IFERROR(100*(E41*Pesos!$C$2+H41*Pesos!$C$3+K41*Pesos!$C$4+N41*Pesos!$C$5+Q41*Pesos!$C$6+T41*Pesos!$C$7+W41*Pesos!$C$8+Z41*Pesos!$C$9+AC41*Pesos!$C$10)/(D41*Pesos!$C$2+G41*Pesos!$C$3+J41*Pesos!$C$4+M41*Pesos!$C$5+P41*Pesos!$C$6+S41*Pesos!$C$7+V41*Pesos!$C$8+Y41*Pesos!$C$9+AB41*Pesos!$C$10),"Sin criterios aplicables")</f>
        <v/>
      </c>
      <c r="AG41" s="5">
        <f>IF(OR(AE41="Sin criterios aplicables",AE41&lt;70),"Insufficient evidence",100*(Pesos!$B$2*IF(E41=1,F41,0)+Pesos!$B$3*IF(H41=1,I41,0)+Pesos!$B$4*IF(K41=1,L41,0)+Pesos!$B$5*IF(N41=1,O41,0)+Pesos!$B$6*IF(Q41=1,R41,0)+Pesos!$B$7*IF(T41=1,U41,0)+Pesos!$B$8*IF(W41=1,X41,0)+Pesos!$B$9*IF(Z41=1,AA41,0)+Pesos!$B$10*IF(AC41=1,AD41,0))/(3*(Pesos!$B$2*E41+Pesos!$B$3*H41+Pesos!$B$4*K41+Pesos!$B$5*N41+Pesos!$B$6*Q41+Pesos!$B$7*T41+Pesos!$B$8*W41+Pesos!$B$9*Z41+Pesos!$B$10*AC41)))</f>
        <v/>
      </c>
      <c r="AH41" s="5">
        <f>IF(OR(AF41="Sin criterios aplicables",AF41&lt;70),"Insufficient evidence",100*(Pesos!$C$2*IF(E41=1,F41,0)+Pesos!$C$3*IF(H41=1,I41,0)+Pesos!$C$4*IF(K41=1,L41,0)+Pesos!$C$5*IF(N41=1,O41,0)+Pesos!$C$6*IF(Q41=1,R41,0)+Pesos!$C$7*IF(T41=1,U41,0)+Pesos!$C$8*IF(W41=1,X41,0)+Pesos!$C$9*IF(Z41=1,AA41,0)+Pesos!$C$10*IF(AC41=1,AD41,0))/(3*(Pesos!$C$2*E41+Pesos!$C$3*H41+Pesos!$C$4*K41+Pesos!$C$5*N41+Pesos!$C$6*Q41+Pesos!$C$7*T41+Pesos!$C$8*W41+Pesos!$C$9*Z41+Pesos!$C$10*AC41)))</f>
        <v/>
      </c>
      <c r="AI41">
        <f>IF(AG41="Insufficient evidence","Insufficient evidence (cobertura&lt;70%)",IF(AG41&lt;50/3,"Insufficient",IF(AG41&lt;50,"Basic",IF(AG41&lt;250/3,"Solid","Advanced"))))</f>
        <v/>
      </c>
      <c r="AJ41">
        <f>IF(AH41="Insufficient evidence","Insufficient evidence (cobertura&lt;70%)",IF(AH41&lt;50/3,"Insufficient",IF(AH41&lt;50,"Basic",IF(AH41&lt;250/3,"Solid","Advanced"))))</f>
        <v/>
      </c>
      <c r="AK41">
        <f>IF(TRIM(IF(AND(ISNUMBER(I41),I41&lt;1),"Asignación","") &amp; " " &amp; IF(AND(ISNUMBER(F41),F41&lt;1),"Visibilidad",""))="","Ninguno",TRIM(IF(AND(ISNUMBER(I41),I41&lt;1),"Asignación","") &amp; " " &amp; IF(AND(ISNUMBER(F41),F41&lt;1),"Visibilidad","")))</f>
        <v/>
      </c>
    </row>
    <row r="42">
      <c r="A42" t="inlineStr">
        <is>
          <t>E5</t>
        </is>
      </c>
      <c r="B42" t="inlineStr">
        <is>
          <t>Kubernetes</t>
        </is>
      </c>
      <c r="C42" t="inlineStr">
        <is>
          <t>Kubecost</t>
        </is>
      </c>
      <c r="D42">
        <f>IF(COUNTIFS(Puntuacion!$A:$A,$A42,Puntuacion!$C:$C,$C42,Puntuacion!$D:$D,"Visibilidad",Puntuacion!$G:$G,"&lt;&gt;NA")&gt;0,1,0)</f>
        <v/>
      </c>
      <c r="E42">
        <f>IF(AND(D42=1,COUNTIFS(Puntuacion!$A:$A,$A42,Puntuacion!$C:$C,$C42,Puntuacion!$D:$D,"Visibilidad",Puntuacion!$G:$G,"NE")=0),1,0)</f>
        <v/>
      </c>
      <c r="F42" s="5">
        <f>IF(D42=0,"NA",IF(E42=0,"NE",AVERAGEIFS(Puntuacion!$G:$G,Puntuacion!$A:$A,$A42,Puntuacion!$C:$C,$C42,Puntuacion!$D:$D,"Visibilidad",Puntuacion!$G:$G,"&lt;&gt;NA",Puntuacion!$G:$G,"&lt;&gt;NE")))</f>
        <v/>
      </c>
      <c r="G42">
        <f>IF(COUNTIFS(Puntuacion!$A:$A,$A42,Puntuacion!$C:$C,$C42,Puntuacion!$D:$D,"Asignacion",Puntuacion!$G:$G,"&lt;&gt;NA")&gt;0,1,0)</f>
        <v/>
      </c>
      <c r="H42">
        <f>IF(AND(G42=1,COUNTIFS(Puntuacion!$A:$A,$A42,Puntuacion!$C:$C,$C42,Puntuacion!$D:$D,"Asignacion",Puntuacion!$G:$G,"NE")=0),1,0)</f>
        <v/>
      </c>
      <c r="I42" s="5">
        <f>IF(G42=0,"NA",IF(H42=0,"NE",AVERAGEIFS(Puntuacion!$G:$G,Puntuacion!$A:$A,$A42,Puntuacion!$C:$C,$C42,Puntuacion!$D:$D,"Asignacion",Puntuacion!$G:$G,"&lt;&gt;NA",Puntuacion!$G:$G,"&lt;&gt;NE")))</f>
        <v/>
      </c>
      <c r="J42">
        <f>IF(COUNTIFS(Puntuacion!$A:$A,$A42,Puntuacion!$C:$C,$C42,Puntuacion!$D:$D,"Optimizacion",Puntuacion!$G:$G,"&lt;&gt;NA")&gt;0,1,0)</f>
        <v/>
      </c>
      <c r="K42">
        <f>IF(AND(J42=1,COUNTIFS(Puntuacion!$A:$A,$A42,Puntuacion!$C:$C,$C42,Puntuacion!$D:$D,"Optimizacion",Puntuacion!$G:$G,"NE")=0),1,0)</f>
        <v/>
      </c>
      <c r="L42" s="5">
        <f>IF(J42=0,"NA",IF(K42=0,"NE",AVERAGEIFS(Puntuacion!$G:$G,Puntuacion!$A:$A,$A42,Puntuacion!$C:$C,$C42,Puntuacion!$D:$D,"Optimizacion",Puntuacion!$G:$G,"&lt;&gt;NA",Puntuacion!$G:$G,"&lt;&gt;NE")))</f>
        <v/>
      </c>
      <c r="M42">
        <f>IF(COUNTIFS(Puntuacion!$A:$A,$A42,Puntuacion!$C:$C,$C42,Puntuacion!$D:$D,"Automatizacion",Puntuacion!$G:$G,"&lt;&gt;NA")&gt;0,1,0)</f>
        <v/>
      </c>
      <c r="N42">
        <f>IF(AND(M42=1,COUNTIFS(Puntuacion!$A:$A,$A42,Puntuacion!$C:$C,$C42,Puntuacion!$D:$D,"Automatizacion",Puntuacion!$G:$G,"NE")=0),1,0)</f>
        <v/>
      </c>
      <c r="O42" s="5">
        <f>IF(M42=0,"NA",IF(N42=0,"NE",AVERAGEIFS(Puntuacion!$G:$G,Puntuacion!$A:$A,$A42,Puntuacion!$C:$C,$C42,Puntuacion!$D:$D,"Automatizacion",Puntuacion!$G:$G,"&lt;&gt;NA",Puntuacion!$G:$G,"&lt;&gt;NE")))</f>
        <v/>
      </c>
      <c r="P42">
        <f>IF(COUNTIFS(Puntuacion!$A:$A,$A42,Puntuacion!$C:$C,$C42,Puntuacion!$D:$D,"Multicloud",Puntuacion!$G:$G,"&lt;&gt;NA")&gt;0,1,0)</f>
        <v/>
      </c>
      <c r="Q42">
        <f>IF(AND(P42=1,COUNTIFS(Puntuacion!$A:$A,$A42,Puntuacion!$C:$C,$C42,Puntuacion!$D:$D,"Multicloud",Puntuacion!$G:$G,"NE")=0),1,0)</f>
        <v/>
      </c>
      <c r="R42" s="5">
        <f>IF(P42=0,"NA",IF(Q42=0,"NE",AVERAGEIFS(Puntuacion!$G:$G,Puntuacion!$A:$A,$A42,Puntuacion!$C:$C,$C42,Puntuacion!$D:$D,"Multicloud",Puntuacion!$G:$G,"&lt;&gt;NA",Puntuacion!$G:$G,"&lt;&gt;NE")))</f>
        <v/>
      </c>
      <c r="S42">
        <f>IF(COUNTIFS(Puntuacion!$A:$A,$A42,Puntuacion!$C:$C,$C42,Puntuacion!$D:$D,"Integracion",Puntuacion!$G:$G,"&lt;&gt;NA")&gt;0,1,0)</f>
        <v/>
      </c>
      <c r="T42">
        <f>IF(AND(S42=1,COUNTIFS(Puntuacion!$A:$A,$A42,Puntuacion!$C:$C,$C42,Puntuacion!$D:$D,"Integracion",Puntuacion!$G:$G,"NE")=0),1,0)</f>
        <v/>
      </c>
      <c r="U42" s="5">
        <f>IF(S42=0,"NA",IF(T42=0,"NE",AVERAGEIFS(Puntuacion!$G:$G,Puntuacion!$A:$A,$A42,Puntuacion!$C:$C,$C42,Puntuacion!$D:$D,"Integracion",Puntuacion!$G:$G,"&lt;&gt;NA",Puntuacion!$G:$G,"&lt;&gt;NE")))</f>
        <v/>
      </c>
      <c r="V42">
        <f>IF(COUNTIFS(Puntuacion!$A:$A,$A42,Puntuacion!$C:$C,$C42,Puntuacion!$D:$D,"Adopcion",Puntuacion!$G:$G,"&lt;&gt;NA")&gt;0,1,0)</f>
        <v/>
      </c>
      <c r="W42">
        <f>IF(AND(V42=1,COUNTIFS(Puntuacion!$A:$A,$A42,Puntuacion!$C:$C,$C42,Puntuacion!$D:$D,"Adopcion",Puntuacion!$G:$G,"NE")=0),1,0)</f>
        <v/>
      </c>
      <c r="X42" s="5">
        <f>IF(V42=0,"NA",IF(W42=0,"NE",AVERAGEIFS(Puntuacion!$G:$G,Puntuacion!$A:$A,$A42,Puntuacion!$C:$C,$C42,Puntuacion!$D:$D,"Adopcion",Puntuacion!$G:$G,"&lt;&gt;NA",Puntuacion!$G:$G,"&lt;&gt;NE")))</f>
        <v/>
      </c>
      <c r="Y42">
        <f>IF(COUNTIFS(Puntuacion!$A:$A,$A42,Puntuacion!$C:$C,$C42,Puntuacion!$D:$D,"Precio",Puntuacion!$G:$G,"&lt;&gt;NA")&gt;0,1,0)</f>
        <v/>
      </c>
      <c r="Z42">
        <f>IF(AND(Y42=1,COUNTIFS(Puntuacion!$A:$A,$A42,Puntuacion!$C:$C,$C42,Puntuacion!$D:$D,"Precio",Puntuacion!$G:$G,"NE")=0),1,0)</f>
        <v/>
      </c>
      <c r="AA42" s="5">
        <f>IF(Y42=0,"NA",IF(Z42=0,"NE",AVERAGEIFS(Puntuacion!$G:$G,Puntuacion!$A:$A,$A42,Puntuacion!$C:$C,$C42,Puntuacion!$D:$D,"Precio",Puntuacion!$G:$G,"&lt;&gt;NA",Puntuacion!$G:$G,"&lt;&gt;NE")))</f>
        <v/>
      </c>
      <c r="AB42">
        <f>IF(COUNTIFS(Puntuacion!$A:$A,$A42,Puntuacion!$C:$C,$C42,Puntuacion!$D:$D,"Dependencia",Puntuacion!$G:$G,"&lt;&gt;NA")&gt;0,1,0)</f>
        <v/>
      </c>
      <c r="AC42">
        <f>IF(AND(AB42=1,COUNTIFS(Puntuacion!$A:$A,$A42,Puntuacion!$C:$C,$C42,Puntuacion!$D:$D,"Dependencia",Puntuacion!$G:$G,"NE")=0),1,0)</f>
        <v/>
      </c>
      <c r="AD42" s="5">
        <f>IF(AB42=0,"NA",IF(AC42=0,"NE",AVERAGEIFS(Puntuacion!$G:$G,Puntuacion!$A:$A,$A42,Puntuacion!$C:$C,$C42,Puntuacion!$D:$D,"Dependencia",Puntuacion!$G:$G,"&lt;&gt;NA",Puntuacion!$G:$G,"&lt;&gt;NE")))</f>
        <v/>
      </c>
      <c r="AE42" s="5">
        <f>IFERROR(100*(E42*Pesos!$B$2+H42*Pesos!$B$3+K42*Pesos!$B$4+N42*Pesos!$B$5+Q42*Pesos!$B$6+T42*Pesos!$B$7+W42*Pesos!$B$8+Z42*Pesos!$B$9+AC42*Pesos!$B$10)/(D42*Pesos!$B$2+G42*Pesos!$B$3+J42*Pesos!$B$4+M42*Pesos!$B$5+P42*Pesos!$B$6+S42*Pesos!$B$7+V42*Pesos!$B$8+Y42*Pesos!$B$9+AB42*Pesos!$B$10),"Sin criterios aplicables")</f>
        <v/>
      </c>
      <c r="AF42" s="5">
        <f>IFERROR(100*(E42*Pesos!$C$2+H42*Pesos!$C$3+K42*Pesos!$C$4+N42*Pesos!$C$5+Q42*Pesos!$C$6+T42*Pesos!$C$7+W42*Pesos!$C$8+Z42*Pesos!$C$9+AC42*Pesos!$C$10)/(D42*Pesos!$C$2+G42*Pesos!$C$3+J42*Pesos!$C$4+M42*Pesos!$C$5+P42*Pesos!$C$6+S42*Pesos!$C$7+V42*Pesos!$C$8+Y42*Pesos!$C$9+AB42*Pesos!$C$10),"Sin criterios aplicables")</f>
        <v/>
      </c>
      <c r="AG42" s="5">
        <f>IF(OR(AE42="Sin criterios aplicables",AE42&lt;70),"Insufficient evidence",100*(Pesos!$B$2*IF(E42=1,F42,0)+Pesos!$B$3*IF(H42=1,I42,0)+Pesos!$B$4*IF(K42=1,L42,0)+Pesos!$B$5*IF(N42=1,O42,0)+Pesos!$B$6*IF(Q42=1,R42,0)+Pesos!$B$7*IF(T42=1,U42,0)+Pesos!$B$8*IF(W42=1,X42,0)+Pesos!$B$9*IF(Z42=1,AA42,0)+Pesos!$B$10*IF(AC42=1,AD42,0))/(3*(Pesos!$B$2*E42+Pesos!$B$3*H42+Pesos!$B$4*K42+Pesos!$B$5*N42+Pesos!$B$6*Q42+Pesos!$B$7*T42+Pesos!$B$8*W42+Pesos!$B$9*Z42+Pesos!$B$10*AC42)))</f>
        <v/>
      </c>
      <c r="AH42" s="5">
        <f>IF(OR(AF42="Sin criterios aplicables",AF42&lt;70),"Insufficient evidence",100*(Pesos!$C$2*IF(E42=1,F42,0)+Pesos!$C$3*IF(H42=1,I42,0)+Pesos!$C$4*IF(K42=1,L42,0)+Pesos!$C$5*IF(N42=1,O42,0)+Pesos!$C$6*IF(Q42=1,R42,0)+Pesos!$C$7*IF(T42=1,U42,0)+Pesos!$C$8*IF(W42=1,X42,0)+Pesos!$C$9*IF(Z42=1,AA42,0)+Pesos!$C$10*IF(AC42=1,AD42,0))/(3*(Pesos!$C$2*E42+Pesos!$C$3*H42+Pesos!$C$4*K42+Pesos!$C$5*N42+Pesos!$C$6*Q42+Pesos!$C$7*T42+Pesos!$C$8*W42+Pesos!$C$9*Z42+Pesos!$C$10*AC42)))</f>
        <v/>
      </c>
      <c r="AI42">
        <f>IF(AG42="Insufficient evidence","Insufficient evidence (cobertura&lt;70%)",IF(AG42&lt;50/3,"Insufficient",IF(AG42&lt;50,"Basic",IF(AG42&lt;250/3,"Solid","Advanced"))))</f>
        <v/>
      </c>
      <c r="AJ42">
        <f>IF(AH42="Insufficient evidence","Insufficient evidence (cobertura&lt;70%)",IF(AH42&lt;50/3,"Insufficient",IF(AH42&lt;50,"Basic",IF(AH42&lt;250/3,"Solid","Advanced"))))</f>
        <v/>
      </c>
      <c r="AK42">
        <f>IF(TRIM(IF(AND(ISNUMBER(I42),I42&lt;1),"Asignación","") &amp; " " &amp; IF(AND(ISNUMBER(F42),F42&lt;1),"Visibilidad",""))="","Ninguno",TRIM(IF(AND(ISNUMBER(I42),I42&lt;1),"Asignación","") &amp; " " &amp; IF(AND(ISNUMBER(F42),F42&lt;1),"Visibilidad","")))</f>
        <v/>
      </c>
    </row>
    <row r="43">
      <c r="A43" t="inlineStr">
        <is>
          <t>E5</t>
        </is>
      </c>
      <c r="B43" t="inlineStr">
        <is>
          <t>Kubernetes</t>
        </is>
      </c>
      <c r="C43" t="inlineStr">
        <is>
          <t>OpenCost</t>
        </is>
      </c>
      <c r="D43">
        <f>IF(COUNTIFS(Puntuacion!$A:$A,$A43,Puntuacion!$C:$C,$C43,Puntuacion!$D:$D,"Visibilidad",Puntuacion!$G:$G,"&lt;&gt;NA")&gt;0,1,0)</f>
        <v/>
      </c>
      <c r="E43">
        <f>IF(AND(D43=1,COUNTIFS(Puntuacion!$A:$A,$A43,Puntuacion!$C:$C,$C43,Puntuacion!$D:$D,"Visibilidad",Puntuacion!$G:$G,"NE")=0),1,0)</f>
        <v/>
      </c>
      <c r="F43" s="5">
        <f>IF(D43=0,"NA",IF(E43=0,"NE",AVERAGEIFS(Puntuacion!$G:$G,Puntuacion!$A:$A,$A43,Puntuacion!$C:$C,$C43,Puntuacion!$D:$D,"Visibilidad",Puntuacion!$G:$G,"&lt;&gt;NA",Puntuacion!$G:$G,"&lt;&gt;NE")))</f>
        <v/>
      </c>
      <c r="G43">
        <f>IF(COUNTIFS(Puntuacion!$A:$A,$A43,Puntuacion!$C:$C,$C43,Puntuacion!$D:$D,"Asignacion",Puntuacion!$G:$G,"&lt;&gt;NA")&gt;0,1,0)</f>
        <v/>
      </c>
      <c r="H43">
        <f>IF(AND(G43=1,COUNTIFS(Puntuacion!$A:$A,$A43,Puntuacion!$C:$C,$C43,Puntuacion!$D:$D,"Asignacion",Puntuacion!$G:$G,"NE")=0),1,0)</f>
        <v/>
      </c>
      <c r="I43" s="5">
        <f>IF(G43=0,"NA",IF(H43=0,"NE",AVERAGEIFS(Puntuacion!$G:$G,Puntuacion!$A:$A,$A43,Puntuacion!$C:$C,$C43,Puntuacion!$D:$D,"Asignacion",Puntuacion!$G:$G,"&lt;&gt;NA",Puntuacion!$G:$G,"&lt;&gt;NE")))</f>
        <v/>
      </c>
      <c r="J43">
        <f>IF(COUNTIFS(Puntuacion!$A:$A,$A43,Puntuacion!$C:$C,$C43,Puntuacion!$D:$D,"Optimizacion",Puntuacion!$G:$G,"&lt;&gt;NA")&gt;0,1,0)</f>
        <v/>
      </c>
      <c r="K43">
        <f>IF(AND(J43=1,COUNTIFS(Puntuacion!$A:$A,$A43,Puntuacion!$C:$C,$C43,Puntuacion!$D:$D,"Optimizacion",Puntuacion!$G:$G,"NE")=0),1,0)</f>
        <v/>
      </c>
      <c r="L43" s="5">
        <f>IF(J43=0,"NA",IF(K43=0,"NE",AVERAGEIFS(Puntuacion!$G:$G,Puntuacion!$A:$A,$A43,Puntuacion!$C:$C,$C43,Puntuacion!$D:$D,"Optimizacion",Puntuacion!$G:$G,"&lt;&gt;NA",Puntuacion!$G:$G,"&lt;&gt;NE")))</f>
        <v/>
      </c>
      <c r="M43">
        <f>IF(COUNTIFS(Puntuacion!$A:$A,$A43,Puntuacion!$C:$C,$C43,Puntuacion!$D:$D,"Automatizacion",Puntuacion!$G:$G,"&lt;&gt;NA")&gt;0,1,0)</f>
        <v/>
      </c>
      <c r="N43">
        <f>IF(AND(M43=1,COUNTIFS(Puntuacion!$A:$A,$A43,Puntuacion!$C:$C,$C43,Puntuacion!$D:$D,"Automatizacion",Puntuacion!$G:$G,"NE")=0),1,0)</f>
        <v/>
      </c>
      <c r="O43" s="5">
        <f>IF(M43=0,"NA",IF(N43=0,"NE",AVERAGEIFS(Puntuacion!$G:$G,Puntuacion!$A:$A,$A43,Puntuacion!$C:$C,$C43,Puntuacion!$D:$D,"Automatizacion",Puntuacion!$G:$G,"&lt;&gt;NA",Puntuacion!$G:$G,"&lt;&gt;NE")))</f>
        <v/>
      </c>
      <c r="P43">
        <f>IF(COUNTIFS(Puntuacion!$A:$A,$A43,Puntuacion!$C:$C,$C43,Puntuacion!$D:$D,"Multicloud",Puntuacion!$G:$G,"&lt;&gt;NA")&gt;0,1,0)</f>
        <v/>
      </c>
      <c r="Q43">
        <f>IF(AND(P43=1,COUNTIFS(Puntuacion!$A:$A,$A43,Puntuacion!$C:$C,$C43,Puntuacion!$D:$D,"Multicloud",Puntuacion!$G:$G,"NE")=0),1,0)</f>
        <v/>
      </c>
      <c r="R43" s="5">
        <f>IF(P43=0,"NA",IF(Q43=0,"NE",AVERAGEIFS(Puntuacion!$G:$G,Puntuacion!$A:$A,$A43,Puntuacion!$C:$C,$C43,Puntuacion!$D:$D,"Multicloud",Puntuacion!$G:$G,"&lt;&gt;NA",Puntuacion!$G:$G,"&lt;&gt;NE")))</f>
        <v/>
      </c>
      <c r="S43">
        <f>IF(COUNTIFS(Puntuacion!$A:$A,$A43,Puntuacion!$C:$C,$C43,Puntuacion!$D:$D,"Integracion",Puntuacion!$G:$G,"&lt;&gt;NA")&gt;0,1,0)</f>
        <v/>
      </c>
      <c r="T43">
        <f>IF(AND(S43=1,COUNTIFS(Puntuacion!$A:$A,$A43,Puntuacion!$C:$C,$C43,Puntuacion!$D:$D,"Integracion",Puntuacion!$G:$G,"NE")=0),1,0)</f>
        <v/>
      </c>
      <c r="U43" s="5">
        <f>IF(S43=0,"NA",IF(T43=0,"NE",AVERAGEIFS(Puntuacion!$G:$G,Puntuacion!$A:$A,$A43,Puntuacion!$C:$C,$C43,Puntuacion!$D:$D,"Integracion",Puntuacion!$G:$G,"&lt;&gt;NA",Puntuacion!$G:$G,"&lt;&gt;NE")))</f>
        <v/>
      </c>
      <c r="V43">
        <f>IF(COUNTIFS(Puntuacion!$A:$A,$A43,Puntuacion!$C:$C,$C43,Puntuacion!$D:$D,"Adopcion",Puntuacion!$G:$G,"&lt;&gt;NA")&gt;0,1,0)</f>
        <v/>
      </c>
      <c r="W43">
        <f>IF(AND(V43=1,COUNTIFS(Puntuacion!$A:$A,$A43,Puntuacion!$C:$C,$C43,Puntuacion!$D:$D,"Adopcion",Puntuacion!$G:$G,"NE")=0),1,0)</f>
        <v/>
      </c>
      <c r="X43" s="5">
        <f>IF(V43=0,"NA",IF(W43=0,"NE",AVERAGEIFS(Puntuacion!$G:$G,Puntuacion!$A:$A,$A43,Puntuacion!$C:$C,$C43,Puntuacion!$D:$D,"Adopcion",Puntuacion!$G:$G,"&lt;&gt;NA",Puntuacion!$G:$G,"&lt;&gt;NE")))</f>
        <v/>
      </c>
      <c r="Y43">
        <f>IF(COUNTIFS(Puntuacion!$A:$A,$A43,Puntuacion!$C:$C,$C43,Puntuacion!$D:$D,"Precio",Puntuacion!$G:$G,"&lt;&gt;NA")&gt;0,1,0)</f>
        <v/>
      </c>
      <c r="Z43">
        <f>IF(AND(Y43=1,COUNTIFS(Puntuacion!$A:$A,$A43,Puntuacion!$C:$C,$C43,Puntuacion!$D:$D,"Precio",Puntuacion!$G:$G,"NE")=0),1,0)</f>
        <v/>
      </c>
      <c r="AA43" s="5">
        <f>IF(Y43=0,"NA",IF(Z43=0,"NE",AVERAGEIFS(Puntuacion!$G:$G,Puntuacion!$A:$A,$A43,Puntuacion!$C:$C,$C43,Puntuacion!$D:$D,"Precio",Puntuacion!$G:$G,"&lt;&gt;NA",Puntuacion!$G:$G,"&lt;&gt;NE")))</f>
        <v/>
      </c>
      <c r="AB43">
        <f>IF(COUNTIFS(Puntuacion!$A:$A,$A43,Puntuacion!$C:$C,$C43,Puntuacion!$D:$D,"Dependencia",Puntuacion!$G:$G,"&lt;&gt;NA")&gt;0,1,0)</f>
        <v/>
      </c>
      <c r="AC43">
        <f>IF(AND(AB43=1,COUNTIFS(Puntuacion!$A:$A,$A43,Puntuacion!$C:$C,$C43,Puntuacion!$D:$D,"Dependencia",Puntuacion!$G:$G,"NE")=0),1,0)</f>
        <v/>
      </c>
      <c r="AD43" s="5">
        <f>IF(AB43=0,"NA",IF(AC43=0,"NE",AVERAGEIFS(Puntuacion!$G:$G,Puntuacion!$A:$A,$A43,Puntuacion!$C:$C,$C43,Puntuacion!$D:$D,"Dependencia",Puntuacion!$G:$G,"&lt;&gt;NA",Puntuacion!$G:$G,"&lt;&gt;NE")))</f>
        <v/>
      </c>
      <c r="AE43" s="5">
        <f>IFERROR(100*(E43*Pesos!$B$2+H43*Pesos!$B$3+K43*Pesos!$B$4+N43*Pesos!$B$5+Q43*Pesos!$B$6+T43*Pesos!$B$7+W43*Pesos!$B$8+Z43*Pesos!$B$9+AC43*Pesos!$B$10)/(D43*Pesos!$B$2+G43*Pesos!$B$3+J43*Pesos!$B$4+M43*Pesos!$B$5+P43*Pesos!$B$6+S43*Pesos!$B$7+V43*Pesos!$B$8+Y43*Pesos!$B$9+AB43*Pesos!$B$10),"Sin criterios aplicables")</f>
        <v/>
      </c>
      <c r="AF43" s="5">
        <f>IFERROR(100*(E43*Pesos!$C$2+H43*Pesos!$C$3+K43*Pesos!$C$4+N43*Pesos!$C$5+Q43*Pesos!$C$6+T43*Pesos!$C$7+W43*Pesos!$C$8+Z43*Pesos!$C$9+AC43*Pesos!$C$10)/(D43*Pesos!$C$2+G43*Pesos!$C$3+J43*Pesos!$C$4+M43*Pesos!$C$5+P43*Pesos!$C$6+S43*Pesos!$C$7+V43*Pesos!$C$8+Y43*Pesos!$C$9+AB43*Pesos!$C$10),"Sin criterios aplicables")</f>
        <v/>
      </c>
      <c r="AG43" s="5">
        <f>IF(OR(AE43="Sin criterios aplicables",AE43&lt;70),"Insufficient evidence",100*(Pesos!$B$2*IF(E43=1,F43,0)+Pesos!$B$3*IF(H43=1,I43,0)+Pesos!$B$4*IF(K43=1,L43,0)+Pesos!$B$5*IF(N43=1,O43,0)+Pesos!$B$6*IF(Q43=1,R43,0)+Pesos!$B$7*IF(T43=1,U43,0)+Pesos!$B$8*IF(W43=1,X43,0)+Pesos!$B$9*IF(Z43=1,AA43,0)+Pesos!$B$10*IF(AC43=1,AD43,0))/(3*(Pesos!$B$2*E43+Pesos!$B$3*H43+Pesos!$B$4*K43+Pesos!$B$5*N43+Pesos!$B$6*Q43+Pesos!$B$7*T43+Pesos!$B$8*W43+Pesos!$B$9*Z43+Pesos!$B$10*AC43)))</f>
        <v/>
      </c>
      <c r="AH43" s="5">
        <f>IF(OR(AF43="Sin criterios aplicables",AF43&lt;70),"Insufficient evidence",100*(Pesos!$C$2*IF(E43=1,F43,0)+Pesos!$C$3*IF(H43=1,I43,0)+Pesos!$C$4*IF(K43=1,L43,0)+Pesos!$C$5*IF(N43=1,O43,0)+Pesos!$C$6*IF(Q43=1,R43,0)+Pesos!$C$7*IF(T43=1,U43,0)+Pesos!$C$8*IF(W43=1,X43,0)+Pesos!$C$9*IF(Z43=1,AA43,0)+Pesos!$C$10*IF(AC43=1,AD43,0))/(3*(Pesos!$C$2*E43+Pesos!$C$3*H43+Pesos!$C$4*K43+Pesos!$C$5*N43+Pesos!$C$6*Q43+Pesos!$C$7*T43+Pesos!$C$8*W43+Pesos!$C$9*Z43+Pesos!$C$10*AC43)))</f>
        <v/>
      </c>
      <c r="AI43">
        <f>IF(AG43="Insufficient evidence","Insufficient evidence (cobertura&lt;70%)",IF(AG43&lt;50/3,"Insufficient",IF(AG43&lt;50,"Basic",IF(AG43&lt;250/3,"Solid","Advanced"))))</f>
        <v/>
      </c>
      <c r="AJ43">
        <f>IF(AH43="Insufficient evidence","Insufficient evidence (cobertura&lt;70%)",IF(AH43&lt;50/3,"Insufficient",IF(AH43&lt;50,"Basic",IF(AH43&lt;250/3,"Solid","Advanced"))))</f>
        <v/>
      </c>
      <c r="AK43">
        <f>IF(TRIM(IF(AND(ISNUMBER(I43),I43&lt;1),"Asignación","") &amp; " " &amp; IF(AND(ISNUMBER(F43),F43&lt;1),"Visibilidad",""))="","Ninguno",TRIM(IF(AND(ISNUMBER(I43),I43&lt;1),"Asignación","") &amp; " " &amp; IF(AND(ISNUMBER(F43),F43&lt;1),"Visibilidad","")))</f>
        <v/>
      </c>
    </row>
    <row r="44">
      <c r="A44" t="inlineStr">
        <is>
          <t>E5</t>
        </is>
      </c>
      <c r="B44" t="inlineStr">
        <is>
          <t>Kubernetes</t>
        </is>
      </c>
      <c r="C44" t="inlineStr">
        <is>
          <t>StormForge</t>
        </is>
      </c>
      <c r="D44">
        <f>IF(COUNTIFS(Puntuacion!$A:$A,$A44,Puntuacion!$C:$C,$C44,Puntuacion!$D:$D,"Visibilidad",Puntuacion!$G:$G,"&lt;&gt;NA")&gt;0,1,0)</f>
        <v/>
      </c>
      <c r="E44">
        <f>IF(AND(D44=1,COUNTIFS(Puntuacion!$A:$A,$A44,Puntuacion!$C:$C,$C44,Puntuacion!$D:$D,"Visibilidad",Puntuacion!$G:$G,"NE")=0),1,0)</f>
        <v/>
      </c>
      <c r="F44" s="5">
        <f>IF(D44=0,"NA",IF(E44=0,"NE",AVERAGEIFS(Puntuacion!$G:$G,Puntuacion!$A:$A,$A44,Puntuacion!$C:$C,$C44,Puntuacion!$D:$D,"Visibilidad",Puntuacion!$G:$G,"&lt;&gt;NA",Puntuacion!$G:$G,"&lt;&gt;NE")))</f>
        <v/>
      </c>
      <c r="G44">
        <f>IF(COUNTIFS(Puntuacion!$A:$A,$A44,Puntuacion!$C:$C,$C44,Puntuacion!$D:$D,"Asignacion",Puntuacion!$G:$G,"&lt;&gt;NA")&gt;0,1,0)</f>
        <v/>
      </c>
      <c r="H44">
        <f>IF(AND(G44=1,COUNTIFS(Puntuacion!$A:$A,$A44,Puntuacion!$C:$C,$C44,Puntuacion!$D:$D,"Asignacion",Puntuacion!$G:$G,"NE")=0),1,0)</f>
        <v/>
      </c>
      <c r="I44" s="5">
        <f>IF(G44=0,"NA",IF(H44=0,"NE",AVERAGEIFS(Puntuacion!$G:$G,Puntuacion!$A:$A,$A44,Puntuacion!$C:$C,$C44,Puntuacion!$D:$D,"Asignacion",Puntuacion!$G:$G,"&lt;&gt;NA",Puntuacion!$G:$G,"&lt;&gt;NE")))</f>
        <v/>
      </c>
      <c r="J44">
        <f>IF(COUNTIFS(Puntuacion!$A:$A,$A44,Puntuacion!$C:$C,$C44,Puntuacion!$D:$D,"Optimizacion",Puntuacion!$G:$G,"&lt;&gt;NA")&gt;0,1,0)</f>
        <v/>
      </c>
      <c r="K44">
        <f>IF(AND(J44=1,COUNTIFS(Puntuacion!$A:$A,$A44,Puntuacion!$C:$C,$C44,Puntuacion!$D:$D,"Optimizacion",Puntuacion!$G:$G,"NE")=0),1,0)</f>
        <v/>
      </c>
      <c r="L44" s="5">
        <f>IF(J44=0,"NA",IF(K44=0,"NE",AVERAGEIFS(Puntuacion!$G:$G,Puntuacion!$A:$A,$A44,Puntuacion!$C:$C,$C44,Puntuacion!$D:$D,"Optimizacion",Puntuacion!$G:$G,"&lt;&gt;NA",Puntuacion!$G:$G,"&lt;&gt;NE")))</f>
        <v/>
      </c>
      <c r="M44">
        <f>IF(COUNTIFS(Puntuacion!$A:$A,$A44,Puntuacion!$C:$C,$C44,Puntuacion!$D:$D,"Automatizacion",Puntuacion!$G:$G,"&lt;&gt;NA")&gt;0,1,0)</f>
        <v/>
      </c>
      <c r="N44">
        <f>IF(AND(M44=1,COUNTIFS(Puntuacion!$A:$A,$A44,Puntuacion!$C:$C,$C44,Puntuacion!$D:$D,"Automatizacion",Puntuacion!$G:$G,"NE")=0),1,0)</f>
        <v/>
      </c>
      <c r="O44" s="5">
        <f>IF(M44=0,"NA",IF(N44=0,"NE",AVERAGEIFS(Puntuacion!$G:$G,Puntuacion!$A:$A,$A44,Puntuacion!$C:$C,$C44,Puntuacion!$D:$D,"Automatizacion",Puntuacion!$G:$G,"&lt;&gt;NA",Puntuacion!$G:$G,"&lt;&gt;NE")))</f>
        <v/>
      </c>
      <c r="P44">
        <f>IF(COUNTIFS(Puntuacion!$A:$A,$A44,Puntuacion!$C:$C,$C44,Puntuacion!$D:$D,"Multicloud",Puntuacion!$G:$G,"&lt;&gt;NA")&gt;0,1,0)</f>
        <v/>
      </c>
      <c r="Q44">
        <f>IF(AND(P44=1,COUNTIFS(Puntuacion!$A:$A,$A44,Puntuacion!$C:$C,$C44,Puntuacion!$D:$D,"Multicloud",Puntuacion!$G:$G,"NE")=0),1,0)</f>
        <v/>
      </c>
      <c r="R44" s="5">
        <f>IF(P44=0,"NA",IF(Q44=0,"NE",AVERAGEIFS(Puntuacion!$G:$G,Puntuacion!$A:$A,$A44,Puntuacion!$C:$C,$C44,Puntuacion!$D:$D,"Multicloud",Puntuacion!$G:$G,"&lt;&gt;NA",Puntuacion!$G:$G,"&lt;&gt;NE")))</f>
        <v/>
      </c>
      <c r="S44">
        <f>IF(COUNTIFS(Puntuacion!$A:$A,$A44,Puntuacion!$C:$C,$C44,Puntuacion!$D:$D,"Integracion",Puntuacion!$G:$G,"&lt;&gt;NA")&gt;0,1,0)</f>
        <v/>
      </c>
      <c r="T44">
        <f>IF(AND(S44=1,COUNTIFS(Puntuacion!$A:$A,$A44,Puntuacion!$C:$C,$C44,Puntuacion!$D:$D,"Integracion",Puntuacion!$G:$G,"NE")=0),1,0)</f>
        <v/>
      </c>
      <c r="U44" s="5">
        <f>IF(S44=0,"NA",IF(T44=0,"NE",AVERAGEIFS(Puntuacion!$G:$G,Puntuacion!$A:$A,$A44,Puntuacion!$C:$C,$C44,Puntuacion!$D:$D,"Integracion",Puntuacion!$G:$G,"&lt;&gt;NA",Puntuacion!$G:$G,"&lt;&gt;NE")))</f>
        <v/>
      </c>
      <c r="V44">
        <f>IF(COUNTIFS(Puntuacion!$A:$A,$A44,Puntuacion!$C:$C,$C44,Puntuacion!$D:$D,"Adopcion",Puntuacion!$G:$G,"&lt;&gt;NA")&gt;0,1,0)</f>
        <v/>
      </c>
      <c r="W44">
        <f>IF(AND(V44=1,COUNTIFS(Puntuacion!$A:$A,$A44,Puntuacion!$C:$C,$C44,Puntuacion!$D:$D,"Adopcion",Puntuacion!$G:$G,"NE")=0),1,0)</f>
        <v/>
      </c>
      <c r="X44" s="5">
        <f>IF(V44=0,"NA",IF(W44=0,"NE",AVERAGEIFS(Puntuacion!$G:$G,Puntuacion!$A:$A,$A44,Puntuacion!$C:$C,$C44,Puntuacion!$D:$D,"Adopcion",Puntuacion!$G:$G,"&lt;&gt;NA",Puntuacion!$G:$G,"&lt;&gt;NE")))</f>
        <v/>
      </c>
      <c r="Y44">
        <f>IF(COUNTIFS(Puntuacion!$A:$A,$A44,Puntuacion!$C:$C,$C44,Puntuacion!$D:$D,"Precio",Puntuacion!$G:$G,"&lt;&gt;NA")&gt;0,1,0)</f>
        <v/>
      </c>
      <c r="Z44">
        <f>IF(AND(Y44=1,COUNTIFS(Puntuacion!$A:$A,$A44,Puntuacion!$C:$C,$C44,Puntuacion!$D:$D,"Precio",Puntuacion!$G:$G,"NE")=0),1,0)</f>
        <v/>
      </c>
      <c r="AA44" s="5">
        <f>IF(Y44=0,"NA",IF(Z44=0,"NE",AVERAGEIFS(Puntuacion!$G:$G,Puntuacion!$A:$A,$A44,Puntuacion!$C:$C,$C44,Puntuacion!$D:$D,"Precio",Puntuacion!$G:$G,"&lt;&gt;NA",Puntuacion!$G:$G,"&lt;&gt;NE")))</f>
        <v/>
      </c>
      <c r="AB44">
        <f>IF(COUNTIFS(Puntuacion!$A:$A,$A44,Puntuacion!$C:$C,$C44,Puntuacion!$D:$D,"Dependencia",Puntuacion!$G:$G,"&lt;&gt;NA")&gt;0,1,0)</f>
        <v/>
      </c>
      <c r="AC44">
        <f>IF(AND(AB44=1,COUNTIFS(Puntuacion!$A:$A,$A44,Puntuacion!$C:$C,$C44,Puntuacion!$D:$D,"Dependencia",Puntuacion!$G:$G,"NE")=0),1,0)</f>
        <v/>
      </c>
      <c r="AD44" s="5">
        <f>IF(AB44=0,"NA",IF(AC44=0,"NE",AVERAGEIFS(Puntuacion!$G:$G,Puntuacion!$A:$A,$A44,Puntuacion!$C:$C,$C44,Puntuacion!$D:$D,"Dependencia",Puntuacion!$G:$G,"&lt;&gt;NA",Puntuacion!$G:$G,"&lt;&gt;NE")))</f>
        <v/>
      </c>
      <c r="AE44" s="5">
        <f>IFERROR(100*(E44*Pesos!$B$2+H44*Pesos!$B$3+K44*Pesos!$B$4+N44*Pesos!$B$5+Q44*Pesos!$B$6+T44*Pesos!$B$7+W44*Pesos!$B$8+Z44*Pesos!$B$9+AC44*Pesos!$B$10)/(D44*Pesos!$B$2+G44*Pesos!$B$3+J44*Pesos!$B$4+M44*Pesos!$B$5+P44*Pesos!$B$6+S44*Pesos!$B$7+V44*Pesos!$B$8+Y44*Pesos!$B$9+AB44*Pesos!$B$10),"Sin criterios aplicables")</f>
        <v/>
      </c>
      <c r="AF44" s="5">
        <f>IFERROR(100*(E44*Pesos!$C$2+H44*Pesos!$C$3+K44*Pesos!$C$4+N44*Pesos!$C$5+Q44*Pesos!$C$6+T44*Pesos!$C$7+W44*Pesos!$C$8+Z44*Pesos!$C$9+AC44*Pesos!$C$10)/(D44*Pesos!$C$2+G44*Pesos!$C$3+J44*Pesos!$C$4+M44*Pesos!$C$5+P44*Pesos!$C$6+S44*Pesos!$C$7+V44*Pesos!$C$8+Y44*Pesos!$C$9+AB44*Pesos!$C$10),"Sin criterios aplicables")</f>
        <v/>
      </c>
      <c r="AG44" s="5">
        <f>IF(OR(AE44="Sin criterios aplicables",AE44&lt;70),"Insufficient evidence",100*(Pesos!$B$2*IF(E44=1,F44,0)+Pesos!$B$3*IF(H44=1,I44,0)+Pesos!$B$4*IF(K44=1,L44,0)+Pesos!$B$5*IF(N44=1,O44,0)+Pesos!$B$6*IF(Q44=1,R44,0)+Pesos!$B$7*IF(T44=1,U44,0)+Pesos!$B$8*IF(W44=1,X44,0)+Pesos!$B$9*IF(Z44=1,AA44,0)+Pesos!$B$10*IF(AC44=1,AD44,0))/(3*(Pesos!$B$2*E44+Pesos!$B$3*H44+Pesos!$B$4*K44+Pesos!$B$5*N44+Pesos!$B$6*Q44+Pesos!$B$7*T44+Pesos!$B$8*W44+Pesos!$B$9*Z44+Pesos!$B$10*AC44)))</f>
        <v/>
      </c>
      <c r="AH44" s="5">
        <f>IF(OR(AF44="Sin criterios aplicables",AF44&lt;70),"Insufficient evidence",100*(Pesos!$C$2*IF(E44=1,F44,0)+Pesos!$C$3*IF(H44=1,I44,0)+Pesos!$C$4*IF(K44=1,L44,0)+Pesos!$C$5*IF(N44=1,O44,0)+Pesos!$C$6*IF(Q44=1,R44,0)+Pesos!$C$7*IF(T44=1,U44,0)+Pesos!$C$8*IF(W44=1,X44,0)+Pesos!$C$9*IF(Z44=1,AA44,0)+Pesos!$C$10*IF(AC44=1,AD44,0))/(3*(Pesos!$C$2*E44+Pesos!$C$3*H44+Pesos!$C$4*K44+Pesos!$C$5*N44+Pesos!$C$6*Q44+Pesos!$C$7*T44+Pesos!$C$8*W44+Pesos!$C$9*Z44+Pesos!$C$10*AC44)))</f>
        <v/>
      </c>
      <c r="AI44">
        <f>IF(AG44="Insufficient evidence","Insufficient evidence (cobertura&lt;70%)",IF(AG44&lt;50/3,"Insufficient",IF(AG44&lt;50,"Basic",IF(AG44&lt;250/3,"Solid","Advanced"))))</f>
        <v/>
      </c>
      <c r="AJ44">
        <f>IF(AH44="Insufficient evidence","Insufficient evidence (cobertura&lt;70%)",IF(AH44&lt;50/3,"Insufficient",IF(AH44&lt;50,"Basic",IF(AH44&lt;250/3,"Solid","Advanced"))))</f>
        <v/>
      </c>
      <c r="AK44">
        <f>IF(TRIM(IF(AND(ISNUMBER(I44),I44&lt;1),"Asignación","") &amp; " " &amp; IF(AND(ISNUMBER(F44),F44&lt;1),"Visibilidad",""))="","Ninguno",TRIM(IF(AND(ISNUMBER(I44),I44&lt;1),"Asignación","") &amp; " " &amp; IF(AND(ISNUMBER(F44),F44&lt;1),"Visibilidad","")))</f>
        <v/>
      </c>
    </row>
    <row r="45">
      <c r="A45" t="inlineStr">
        <is>
          <t>E5</t>
        </is>
      </c>
      <c r="B45" t="inlineStr">
        <is>
          <t>Multicloud</t>
        </is>
      </c>
      <c r="C45" t="inlineStr">
        <is>
          <t>CloudHealth</t>
        </is>
      </c>
      <c r="D45">
        <f>IF(COUNTIFS(Puntuacion!$A:$A,$A45,Puntuacion!$C:$C,$C45,Puntuacion!$D:$D,"Visibilidad",Puntuacion!$G:$G,"&lt;&gt;NA")&gt;0,1,0)</f>
        <v/>
      </c>
      <c r="E45">
        <f>IF(AND(D45=1,COUNTIFS(Puntuacion!$A:$A,$A45,Puntuacion!$C:$C,$C45,Puntuacion!$D:$D,"Visibilidad",Puntuacion!$G:$G,"NE")=0),1,0)</f>
        <v/>
      </c>
      <c r="F45" s="5">
        <f>IF(D45=0,"NA",IF(E45=0,"NE",AVERAGEIFS(Puntuacion!$G:$G,Puntuacion!$A:$A,$A45,Puntuacion!$C:$C,$C45,Puntuacion!$D:$D,"Visibilidad",Puntuacion!$G:$G,"&lt;&gt;NA",Puntuacion!$G:$G,"&lt;&gt;NE")))</f>
        <v/>
      </c>
      <c r="G45">
        <f>IF(COUNTIFS(Puntuacion!$A:$A,$A45,Puntuacion!$C:$C,$C45,Puntuacion!$D:$D,"Asignacion",Puntuacion!$G:$G,"&lt;&gt;NA")&gt;0,1,0)</f>
        <v/>
      </c>
      <c r="H45">
        <f>IF(AND(G45=1,COUNTIFS(Puntuacion!$A:$A,$A45,Puntuacion!$C:$C,$C45,Puntuacion!$D:$D,"Asignacion",Puntuacion!$G:$G,"NE")=0),1,0)</f>
        <v/>
      </c>
      <c r="I45" s="5">
        <f>IF(G45=0,"NA",IF(H45=0,"NE",AVERAGEIFS(Puntuacion!$G:$G,Puntuacion!$A:$A,$A45,Puntuacion!$C:$C,$C45,Puntuacion!$D:$D,"Asignacion",Puntuacion!$G:$G,"&lt;&gt;NA",Puntuacion!$G:$G,"&lt;&gt;NE")))</f>
        <v/>
      </c>
      <c r="J45">
        <f>IF(COUNTIFS(Puntuacion!$A:$A,$A45,Puntuacion!$C:$C,$C45,Puntuacion!$D:$D,"Optimizacion",Puntuacion!$G:$G,"&lt;&gt;NA")&gt;0,1,0)</f>
        <v/>
      </c>
      <c r="K45">
        <f>IF(AND(J45=1,COUNTIFS(Puntuacion!$A:$A,$A45,Puntuacion!$C:$C,$C45,Puntuacion!$D:$D,"Optimizacion",Puntuacion!$G:$G,"NE")=0),1,0)</f>
        <v/>
      </c>
      <c r="L45" s="5">
        <f>IF(J45=0,"NA",IF(K45=0,"NE",AVERAGEIFS(Puntuacion!$G:$G,Puntuacion!$A:$A,$A45,Puntuacion!$C:$C,$C45,Puntuacion!$D:$D,"Optimizacion",Puntuacion!$G:$G,"&lt;&gt;NA",Puntuacion!$G:$G,"&lt;&gt;NE")))</f>
        <v/>
      </c>
      <c r="M45">
        <f>IF(COUNTIFS(Puntuacion!$A:$A,$A45,Puntuacion!$C:$C,$C45,Puntuacion!$D:$D,"Automatizacion",Puntuacion!$G:$G,"&lt;&gt;NA")&gt;0,1,0)</f>
        <v/>
      </c>
      <c r="N45">
        <f>IF(AND(M45=1,COUNTIFS(Puntuacion!$A:$A,$A45,Puntuacion!$C:$C,$C45,Puntuacion!$D:$D,"Automatizacion",Puntuacion!$G:$G,"NE")=0),1,0)</f>
        <v/>
      </c>
      <c r="O45" s="5">
        <f>IF(M45=0,"NA",IF(N45=0,"NE",AVERAGEIFS(Puntuacion!$G:$G,Puntuacion!$A:$A,$A45,Puntuacion!$C:$C,$C45,Puntuacion!$D:$D,"Automatizacion",Puntuacion!$G:$G,"&lt;&gt;NA",Puntuacion!$G:$G,"&lt;&gt;NE")))</f>
        <v/>
      </c>
      <c r="P45">
        <f>IF(COUNTIFS(Puntuacion!$A:$A,$A45,Puntuacion!$C:$C,$C45,Puntuacion!$D:$D,"Multicloud",Puntuacion!$G:$G,"&lt;&gt;NA")&gt;0,1,0)</f>
        <v/>
      </c>
      <c r="Q45">
        <f>IF(AND(P45=1,COUNTIFS(Puntuacion!$A:$A,$A45,Puntuacion!$C:$C,$C45,Puntuacion!$D:$D,"Multicloud",Puntuacion!$G:$G,"NE")=0),1,0)</f>
        <v/>
      </c>
      <c r="R45" s="5">
        <f>IF(P45=0,"NA",IF(Q45=0,"NE",AVERAGEIFS(Puntuacion!$G:$G,Puntuacion!$A:$A,$A45,Puntuacion!$C:$C,$C45,Puntuacion!$D:$D,"Multicloud",Puntuacion!$G:$G,"&lt;&gt;NA",Puntuacion!$G:$G,"&lt;&gt;NE")))</f>
        <v/>
      </c>
      <c r="S45">
        <f>IF(COUNTIFS(Puntuacion!$A:$A,$A45,Puntuacion!$C:$C,$C45,Puntuacion!$D:$D,"Integracion",Puntuacion!$G:$G,"&lt;&gt;NA")&gt;0,1,0)</f>
        <v/>
      </c>
      <c r="T45">
        <f>IF(AND(S45=1,COUNTIFS(Puntuacion!$A:$A,$A45,Puntuacion!$C:$C,$C45,Puntuacion!$D:$D,"Integracion",Puntuacion!$G:$G,"NE")=0),1,0)</f>
        <v/>
      </c>
      <c r="U45" s="5">
        <f>IF(S45=0,"NA",IF(T45=0,"NE",AVERAGEIFS(Puntuacion!$G:$G,Puntuacion!$A:$A,$A45,Puntuacion!$C:$C,$C45,Puntuacion!$D:$D,"Integracion",Puntuacion!$G:$G,"&lt;&gt;NA",Puntuacion!$G:$G,"&lt;&gt;NE")))</f>
        <v/>
      </c>
      <c r="V45">
        <f>IF(COUNTIFS(Puntuacion!$A:$A,$A45,Puntuacion!$C:$C,$C45,Puntuacion!$D:$D,"Adopcion",Puntuacion!$G:$G,"&lt;&gt;NA")&gt;0,1,0)</f>
        <v/>
      </c>
      <c r="W45">
        <f>IF(AND(V45=1,COUNTIFS(Puntuacion!$A:$A,$A45,Puntuacion!$C:$C,$C45,Puntuacion!$D:$D,"Adopcion",Puntuacion!$G:$G,"NE")=0),1,0)</f>
        <v/>
      </c>
      <c r="X45" s="5">
        <f>IF(V45=0,"NA",IF(W45=0,"NE",AVERAGEIFS(Puntuacion!$G:$G,Puntuacion!$A:$A,$A45,Puntuacion!$C:$C,$C45,Puntuacion!$D:$D,"Adopcion",Puntuacion!$G:$G,"&lt;&gt;NA",Puntuacion!$G:$G,"&lt;&gt;NE")))</f>
        <v/>
      </c>
      <c r="Y45">
        <f>IF(COUNTIFS(Puntuacion!$A:$A,$A45,Puntuacion!$C:$C,$C45,Puntuacion!$D:$D,"Precio",Puntuacion!$G:$G,"&lt;&gt;NA")&gt;0,1,0)</f>
        <v/>
      </c>
      <c r="Z45">
        <f>IF(AND(Y45=1,COUNTIFS(Puntuacion!$A:$A,$A45,Puntuacion!$C:$C,$C45,Puntuacion!$D:$D,"Precio",Puntuacion!$G:$G,"NE")=0),1,0)</f>
        <v/>
      </c>
      <c r="AA45" s="5">
        <f>IF(Y45=0,"NA",IF(Z45=0,"NE",AVERAGEIFS(Puntuacion!$G:$G,Puntuacion!$A:$A,$A45,Puntuacion!$C:$C,$C45,Puntuacion!$D:$D,"Precio",Puntuacion!$G:$G,"&lt;&gt;NA",Puntuacion!$G:$G,"&lt;&gt;NE")))</f>
        <v/>
      </c>
      <c r="AB45">
        <f>IF(COUNTIFS(Puntuacion!$A:$A,$A45,Puntuacion!$C:$C,$C45,Puntuacion!$D:$D,"Dependencia",Puntuacion!$G:$G,"&lt;&gt;NA")&gt;0,1,0)</f>
        <v/>
      </c>
      <c r="AC45">
        <f>IF(AND(AB45=1,COUNTIFS(Puntuacion!$A:$A,$A45,Puntuacion!$C:$C,$C45,Puntuacion!$D:$D,"Dependencia",Puntuacion!$G:$G,"NE")=0),1,0)</f>
        <v/>
      </c>
      <c r="AD45" s="5">
        <f>IF(AB45=0,"NA",IF(AC45=0,"NE",AVERAGEIFS(Puntuacion!$G:$G,Puntuacion!$A:$A,$A45,Puntuacion!$C:$C,$C45,Puntuacion!$D:$D,"Dependencia",Puntuacion!$G:$G,"&lt;&gt;NA",Puntuacion!$G:$G,"&lt;&gt;NE")))</f>
        <v/>
      </c>
      <c r="AE45" s="5">
        <f>IFERROR(100*(E45*Pesos!$B$2+H45*Pesos!$B$3+K45*Pesos!$B$4+N45*Pesos!$B$5+Q45*Pesos!$B$6+T45*Pesos!$B$7+W45*Pesos!$B$8+Z45*Pesos!$B$9+AC45*Pesos!$B$10)/(D45*Pesos!$B$2+G45*Pesos!$B$3+J45*Pesos!$B$4+M45*Pesos!$B$5+P45*Pesos!$B$6+S45*Pesos!$B$7+V45*Pesos!$B$8+Y45*Pesos!$B$9+AB45*Pesos!$B$10),"Sin criterios aplicables")</f>
        <v/>
      </c>
      <c r="AF45" s="5">
        <f>IFERROR(100*(E45*Pesos!$C$2+H45*Pesos!$C$3+K45*Pesos!$C$4+N45*Pesos!$C$5+Q45*Pesos!$C$6+T45*Pesos!$C$7+W45*Pesos!$C$8+Z45*Pesos!$C$9+AC45*Pesos!$C$10)/(D45*Pesos!$C$2+G45*Pesos!$C$3+J45*Pesos!$C$4+M45*Pesos!$C$5+P45*Pesos!$C$6+S45*Pesos!$C$7+V45*Pesos!$C$8+Y45*Pesos!$C$9+AB45*Pesos!$C$10),"Sin criterios aplicables")</f>
        <v/>
      </c>
      <c r="AG45" s="5">
        <f>IF(OR(AE45="Sin criterios aplicables",AE45&lt;70),"Insufficient evidence",100*(Pesos!$B$2*IF(E45=1,F45,0)+Pesos!$B$3*IF(H45=1,I45,0)+Pesos!$B$4*IF(K45=1,L45,0)+Pesos!$B$5*IF(N45=1,O45,0)+Pesos!$B$6*IF(Q45=1,R45,0)+Pesos!$B$7*IF(T45=1,U45,0)+Pesos!$B$8*IF(W45=1,X45,0)+Pesos!$B$9*IF(Z45=1,AA45,0)+Pesos!$B$10*IF(AC45=1,AD45,0))/(3*(Pesos!$B$2*E45+Pesos!$B$3*H45+Pesos!$B$4*K45+Pesos!$B$5*N45+Pesos!$B$6*Q45+Pesos!$B$7*T45+Pesos!$B$8*W45+Pesos!$B$9*Z45+Pesos!$B$10*AC45)))</f>
        <v/>
      </c>
      <c r="AH45" s="5">
        <f>IF(OR(AF45="Sin criterios aplicables",AF45&lt;70),"Insufficient evidence",100*(Pesos!$C$2*IF(E45=1,F45,0)+Pesos!$C$3*IF(H45=1,I45,0)+Pesos!$C$4*IF(K45=1,L45,0)+Pesos!$C$5*IF(N45=1,O45,0)+Pesos!$C$6*IF(Q45=1,R45,0)+Pesos!$C$7*IF(T45=1,U45,0)+Pesos!$C$8*IF(W45=1,X45,0)+Pesos!$C$9*IF(Z45=1,AA45,0)+Pesos!$C$10*IF(AC45=1,AD45,0))/(3*(Pesos!$C$2*E45+Pesos!$C$3*H45+Pesos!$C$4*K45+Pesos!$C$5*N45+Pesos!$C$6*Q45+Pesos!$C$7*T45+Pesos!$C$8*W45+Pesos!$C$9*Z45+Pesos!$C$10*AC45)))</f>
        <v/>
      </c>
      <c r="AI45">
        <f>IF(AG45="Insufficient evidence","Insufficient evidence (cobertura&lt;70%)",IF(AG45&lt;50/3,"Insufficient",IF(AG45&lt;50,"Basic",IF(AG45&lt;250/3,"Solid","Advanced"))))</f>
        <v/>
      </c>
      <c r="AJ45">
        <f>IF(AH45="Insufficient evidence","Insufficient evidence (cobertura&lt;70%)",IF(AH45&lt;50/3,"Insufficient",IF(AH45&lt;50,"Basic",IF(AH45&lt;250/3,"Solid","Advanced"))))</f>
        <v/>
      </c>
      <c r="AK45">
        <f>IF(TRIM(IF(AND(ISNUMBER(I45),I45&lt;1),"Asignación","") &amp; " " &amp; IF(AND(ISNUMBER(F45),F45&lt;1),"Visibilidad",""))="","Ninguno",TRIM(IF(AND(ISNUMBER(I45),I45&lt;1),"Asignación","") &amp; " " &amp; IF(AND(ISNUMBER(F45),F45&lt;1),"Visibilidad","")))</f>
        <v/>
      </c>
    </row>
    <row r="46">
      <c r="A46" t="inlineStr">
        <is>
          <t>E5</t>
        </is>
      </c>
      <c r="B46" t="inlineStr">
        <is>
          <t>Multicloud</t>
        </is>
      </c>
      <c r="C46" t="inlineStr">
        <is>
          <t>CloudZero</t>
        </is>
      </c>
      <c r="D46">
        <f>IF(COUNTIFS(Puntuacion!$A:$A,$A46,Puntuacion!$C:$C,$C46,Puntuacion!$D:$D,"Visibilidad",Puntuacion!$G:$G,"&lt;&gt;NA")&gt;0,1,0)</f>
        <v/>
      </c>
      <c r="E46">
        <f>IF(AND(D46=1,COUNTIFS(Puntuacion!$A:$A,$A46,Puntuacion!$C:$C,$C46,Puntuacion!$D:$D,"Visibilidad",Puntuacion!$G:$G,"NE")=0),1,0)</f>
        <v/>
      </c>
      <c r="F46" s="5">
        <f>IF(D46=0,"NA",IF(E46=0,"NE",AVERAGEIFS(Puntuacion!$G:$G,Puntuacion!$A:$A,$A46,Puntuacion!$C:$C,$C46,Puntuacion!$D:$D,"Visibilidad",Puntuacion!$G:$G,"&lt;&gt;NA",Puntuacion!$G:$G,"&lt;&gt;NE")))</f>
        <v/>
      </c>
      <c r="G46">
        <f>IF(COUNTIFS(Puntuacion!$A:$A,$A46,Puntuacion!$C:$C,$C46,Puntuacion!$D:$D,"Asignacion",Puntuacion!$G:$G,"&lt;&gt;NA")&gt;0,1,0)</f>
        <v/>
      </c>
      <c r="H46">
        <f>IF(AND(G46=1,COUNTIFS(Puntuacion!$A:$A,$A46,Puntuacion!$C:$C,$C46,Puntuacion!$D:$D,"Asignacion",Puntuacion!$G:$G,"NE")=0),1,0)</f>
        <v/>
      </c>
      <c r="I46" s="5">
        <f>IF(G46=0,"NA",IF(H46=0,"NE",AVERAGEIFS(Puntuacion!$G:$G,Puntuacion!$A:$A,$A46,Puntuacion!$C:$C,$C46,Puntuacion!$D:$D,"Asignacion",Puntuacion!$G:$G,"&lt;&gt;NA",Puntuacion!$G:$G,"&lt;&gt;NE")))</f>
        <v/>
      </c>
      <c r="J46">
        <f>IF(COUNTIFS(Puntuacion!$A:$A,$A46,Puntuacion!$C:$C,$C46,Puntuacion!$D:$D,"Optimizacion",Puntuacion!$G:$G,"&lt;&gt;NA")&gt;0,1,0)</f>
        <v/>
      </c>
      <c r="K46">
        <f>IF(AND(J46=1,COUNTIFS(Puntuacion!$A:$A,$A46,Puntuacion!$C:$C,$C46,Puntuacion!$D:$D,"Optimizacion",Puntuacion!$G:$G,"NE")=0),1,0)</f>
        <v/>
      </c>
      <c r="L46" s="5">
        <f>IF(J46=0,"NA",IF(K46=0,"NE",AVERAGEIFS(Puntuacion!$G:$G,Puntuacion!$A:$A,$A46,Puntuacion!$C:$C,$C46,Puntuacion!$D:$D,"Optimizacion",Puntuacion!$G:$G,"&lt;&gt;NA",Puntuacion!$G:$G,"&lt;&gt;NE")))</f>
        <v/>
      </c>
      <c r="M46">
        <f>IF(COUNTIFS(Puntuacion!$A:$A,$A46,Puntuacion!$C:$C,$C46,Puntuacion!$D:$D,"Automatizacion",Puntuacion!$G:$G,"&lt;&gt;NA")&gt;0,1,0)</f>
        <v/>
      </c>
      <c r="N46">
        <f>IF(AND(M46=1,COUNTIFS(Puntuacion!$A:$A,$A46,Puntuacion!$C:$C,$C46,Puntuacion!$D:$D,"Automatizacion",Puntuacion!$G:$G,"NE")=0),1,0)</f>
        <v/>
      </c>
      <c r="O46" s="5">
        <f>IF(M46=0,"NA",IF(N46=0,"NE",AVERAGEIFS(Puntuacion!$G:$G,Puntuacion!$A:$A,$A46,Puntuacion!$C:$C,$C46,Puntuacion!$D:$D,"Automatizacion",Puntuacion!$G:$G,"&lt;&gt;NA",Puntuacion!$G:$G,"&lt;&gt;NE")))</f>
        <v/>
      </c>
      <c r="P46">
        <f>IF(COUNTIFS(Puntuacion!$A:$A,$A46,Puntuacion!$C:$C,$C46,Puntuacion!$D:$D,"Multicloud",Puntuacion!$G:$G,"&lt;&gt;NA")&gt;0,1,0)</f>
        <v/>
      </c>
      <c r="Q46">
        <f>IF(AND(P46=1,COUNTIFS(Puntuacion!$A:$A,$A46,Puntuacion!$C:$C,$C46,Puntuacion!$D:$D,"Multicloud",Puntuacion!$G:$G,"NE")=0),1,0)</f>
        <v/>
      </c>
      <c r="R46" s="5">
        <f>IF(P46=0,"NA",IF(Q46=0,"NE",AVERAGEIFS(Puntuacion!$G:$G,Puntuacion!$A:$A,$A46,Puntuacion!$C:$C,$C46,Puntuacion!$D:$D,"Multicloud",Puntuacion!$G:$G,"&lt;&gt;NA",Puntuacion!$G:$G,"&lt;&gt;NE")))</f>
        <v/>
      </c>
      <c r="S46">
        <f>IF(COUNTIFS(Puntuacion!$A:$A,$A46,Puntuacion!$C:$C,$C46,Puntuacion!$D:$D,"Integracion",Puntuacion!$G:$G,"&lt;&gt;NA")&gt;0,1,0)</f>
        <v/>
      </c>
      <c r="T46">
        <f>IF(AND(S46=1,COUNTIFS(Puntuacion!$A:$A,$A46,Puntuacion!$C:$C,$C46,Puntuacion!$D:$D,"Integracion",Puntuacion!$G:$G,"NE")=0),1,0)</f>
        <v/>
      </c>
      <c r="U46" s="5">
        <f>IF(S46=0,"NA",IF(T46=0,"NE",AVERAGEIFS(Puntuacion!$G:$G,Puntuacion!$A:$A,$A46,Puntuacion!$C:$C,$C46,Puntuacion!$D:$D,"Integracion",Puntuacion!$G:$G,"&lt;&gt;NA",Puntuacion!$G:$G,"&lt;&gt;NE")))</f>
        <v/>
      </c>
      <c r="V46">
        <f>IF(COUNTIFS(Puntuacion!$A:$A,$A46,Puntuacion!$C:$C,$C46,Puntuacion!$D:$D,"Adopcion",Puntuacion!$G:$G,"&lt;&gt;NA")&gt;0,1,0)</f>
        <v/>
      </c>
      <c r="W46">
        <f>IF(AND(V46=1,COUNTIFS(Puntuacion!$A:$A,$A46,Puntuacion!$C:$C,$C46,Puntuacion!$D:$D,"Adopcion",Puntuacion!$G:$G,"NE")=0),1,0)</f>
        <v/>
      </c>
      <c r="X46" s="5">
        <f>IF(V46=0,"NA",IF(W46=0,"NE",AVERAGEIFS(Puntuacion!$G:$G,Puntuacion!$A:$A,$A46,Puntuacion!$C:$C,$C46,Puntuacion!$D:$D,"Adopcion",Puntuacion!$G:$G,"&lt;&gt;NA",Puntuacion!$G:$G,"&lt;&gt;NE")))</f>
        <v/>
      </c>
      <c r="Y46">
        <f>IF(COUNTIFS(Puntuacion!$A:$A,$A46,Puntuacion!$C:$C,$C46,Puntuacion!$D:$D,"Precio",Puntuacion!$G:$G,"&lt;&gt;NA")&gt;0,1,0)</f>
        <v/>
      </c>
      <c r="Z46">
        <f>IF(AND(Y46=1,COUNTIFS(Puntuacion!$A:$A,$A46,Puntuacion!$C:$C,$C46,Puntuacion!$D:$D,"Precio",Puntuacion!$G:$G,"NE")=0),1,0)</f>
        <v/>
      </c>
      <c r="AA46" s="5">
        <f>IF(Y46=0,"NA",IF(Z46=0,"NE",AVERAGEIFS(Puntuacion!$G:$G,Puntuacion!$A:$A,$A46,Puntuacion!$C:$C,$C46,Puntuacion!$D:$D,"Precio",Puntuacion!$G:$G,"&lt;&gt;NA",Puntuacion!$G:$G,"&lt;&gt;NE")))</f>
        <v/>
      </c>
      <c r="AB46">
        <f>IF(COUNTIFS(Puntuacion!$A:$A,$A46,Puntuacion!$C:$C,$C46,Puntuacion!$D:$D,"Dependencia",Puntuacion!$G:$G,"&lt;&gt;NA")&gt;0,1,0)</f>
        <v/>
      </c>
      <c r="AC46">
        <f>IF(AND(AB46=1,COUNTIFS(Puntuacion!$A:$A,$A46,Puntuacion!$C:$C,$C46,Puntuacion!$D:$D,"Dependencia",Puntuacion!$G:$G,"NE")=0),1,0)</f>
        <v/>
      </c>
      <c r="AD46" s="5">
        <f>IF(AB46=0,"NA",IF(AC46=0,"NE",AVERAGEIFS(Puntuacion!$G:$G,Puntuacion!$A:$A,$A46,Puntuacion!$C:$C,$C46,Puntuacion!$D:$D,"Dependencia",Puntuacion!$G:$G,"&lt;&gt;NA",Puntuacion!$G:$G,"&lt;&gt;NE")))</f>
        <v/>
      </c>
      <c r="AE46" s="5">
        <f>IFERROR(100*(E46*Pesos!$B$2+H46*Pesos!$B$3+K46*Pesos!$B$4+N46*Pesos!$B$5+Q46*Pesos!$B$6+T46*Pesos!$B$7+W46*Pesos!$B$8+Z46*Pesos!$B$9+AC46*Pesos!$B$10)/(D46*Pesos!$B$2+G46*Pesos!$B$3+J46*Pesos!$B$4+M46*Pesos!$B$5+P46*Pesos!$B$6+S46*Pesos!$B$7+V46*Pesos!$B$8+Y46*Pesos!$B$9+AB46*Pesos!$B$10),"Sin criterios aplicables")</f>
        <v/>
      </c>
      <c r="AF46" s="5">
        <f>IFERROR(100*(E46*Pesos!$C$2+H46*Pesos!$C$3+K46*Pesos!$C$4+N46*Pesos!$C$5+Q46*Pesos!$C$6+T46*Pesos!$C$7+W46*Pesos!$C$8+Z46*Pesos!$C$9+AC46*Pesos!$C$10)/(D46*Pesos!$C$2+G46*Pesos!$C$3+J46*Pesos!$C$4+M46*Pesos!$C$5+P46*Pesos!$C$6+S46*Pesos!$C$7+V46*Pesos!$C$8+Y46*Pesos!$C$9+AB46*Pesos!$C$10),"Sin criterios aplicables")</f>
        <v/>
      </c>
      <c r="AG46" s="5">
        <f>IF(OR(AE46="Sin criterios aplicables",AE46&lt;70),"Insufficient evidence",100*(Pesos!$B$2*IF(E46=1,F46,0)+Pesos!$B$3*IF(H46=1,I46,0)+Pesos!$B$4*IF(K46=1,L46,0)+Pesos!$B$5*IF(N46=1,O46,0)+Pesos!$B$6*IF(Q46=1,R46,0)+Pesos!$B$7*IF(T46=1,U46,0)+Pesos!$B$8*IF(W46=1,X46,0)+Pesos!$B$9*IF(Z46=1,AA46,0)+Pesos!$B$10*IF(AC46=1,AD46,0))/(3*(Pesos!$B$2*E46+Pesos!$B$3*H46+Pesos!$B$4*K46+Pesos!$B$5*N46+Pesos!$B$6*Q46+Pesos!$B$7*T46+Pesos!$B$8*W46+Pesos!$B$9*Z46+Pesos!$B$10*AC46)))</f>
        <v/>
      </c>
      <c r="AH46" s="5">
        <f>IF(OR(AF46="Sin criterios aplicables",AF46&lt;70),"Insufficient evidence",100*(Pesos!$C$2*IF(E46=1,F46,0)+Pesos!$C$3*IF(H46=1,I46,0)+Pesos!$C$4*IF(K46=1,L46,0)+Pesos!$C$5*IF(N46=1,O46,0)+Pesos!$C$6*IF(Q46=1,R46,0)+Pesos!$C$7*IF(T46=1,U46,0)+Pesos!$C$8*IF(W46=1,X46,0)+Pesos!$C$9*IF(Z46=1,AA46,0)+Pesos!$C$10*IF(AC46=1,AD46,0))/(3*(Pesos!$C$2*E46+Pesos!$C$3*H46+Pesos!$C$4*K46+Pesos!$C$5*N46+Pesos!$C$6*Q46+Pesos!$C$7*T46+Pesos!$C$8*W46+Pesos!$C$9*Z46+Pesos!$C$10*AC46)))</f>
        <v/>
      </c>
      <c r="AI46">
        <f>IF(AG46="Insufficient evidence","Insufficient evidence (cobertura&lt;70%)",IF(AG46&lt;50/3,"Insufficient",IF(AG46&lt;50,"Basic",IF(AG46&lt;250/3,"Solid","Advanced"))))</f>
        <v/>
      </c>
      <c r="AJ46">
        <f>IF(AH46="Insufficient evidence","Insufficient evidence (cobertura&lt;70%)",IF(AH46&lt;50/3,"Insufficient",IF(AH46&lt;50,"Basic",IF(AH46&lt;250/3,"Solid","Advanced"))))</f>
        <v/>
      </c>
      <c r="AK46">
        <f>IF(TRIM(IF(AND(ISNUMBER(I46),I46&lt;1),"Asignación","") &amp; " " &amp; IF(AND(ISNUMBER(F46),F46&lt;1),"Visibilidad",""))="","Ninguno",TRIM(IF(AND(ISNUMBER(I46),I46&lt;1),"Asignación","") &amp; " " &amp; IF(AND(ISNUMBER(F46),F46&lt;1),"Visibilidad","")))</f>
        <v/>
      </c>
    </row>
    <row r="47">
      <c r="A47" t="inlineStr">
        <is>
          <t>E5</t>
        </is>
      </c>
      <c r="B47" t="inlineStr">
        <is>
          <t>Multicloud</t>
        </is>
      </c>
      <c r="C47" t="inlineStr">
        <is>
          <t>Cloudability</t>
        </is>
      </c>
      <c r="D47">
        <f>IF(COUNTIFS(Puntuacion!$A:$A,$A47,Puntuacion!$C:$C,$C47,Puntuacion!$D:$D,"Visibilidad",Puntuacion!$G:$G,"&lt;&gt;NA")&gt;0,1,0)</f>
        <v/>
      </c>
      <c r="E47">
        <f>IF(AND(D47=1,COUNTIFS(Puntuacion!$A:$A,$A47,Puntuacion!$C:$C,$C47,Puntuacion!$D:$D,"Visibilidad",Puntuacion!$G:$G,"NE")=0),1,0)</f>
        <v/>
      </c>
      <c r="F47" s="5">
        <f>IF(D47=0,"NA",IF(E47=0,"NE",AVERAGEIFS(Puntuacion!$G:$G,Puntuacion!$A:$A,$A47,Puntuacion!$C:$C,$C47,Puntuacion!$D:$D,"Visibilidad",Puntuacion!$G:$G,"&lt;&gt;NA",Puntuacion!$G:$G,"&lt;&gt;NE")))</f>
        <v/>
      </c>
      <c r="G47">
        <f>IF(COUNTIFS(Puntuacion!$A:$A,$A47,Puntuacion!$C:$C,$C47,Puntuacion!$D:$D,"Asignacion",Puntuacion!$G:$G,"&lt;&gt;NA")&gt;0,1,0)</f>
        <v/>
      </c>
      <c r="H47">
        <f>IF(AND(G47=1,COUNTIFS(Puntuacion!$A:$A,$A47,Puntuacion!$C:$C,$C47,Puntuacion!$D:$D,"Asignacion",Puntuacion!$G:$G,"NE")=0),1,0)</f>
        <v/>
      </c>
      <c r="I47" s="5">
        <f>IF(G47=0,"NA",IF(H47=0,"NE",AVERAGEIFS(Puntuacion!$G:$G,Puntuacion!$A:$A,$A47,Puntuacion!$C:$C,$C47,Puntuacion!$D:$D,"Asignacion",Puntuacion!$G:$G,"&lt;&gt;NA",Puntuacion!$G:$G,"&lt;&gt;NE")))</f>
        <v/>
      </c>
      <c r="J47">
        <f>IF(COUNTIFS(Puntuacion!$A:$A,$A47,Puntuacion!$C:$C,$C47,Puntuacion!$D:$D,"Optimizacion",Puntuacion!$G:$G,"&lt;&gt;NA")&gt;0,1,0)</f>
        <v/>
      </c>
      <c r="K47">
        <f>IF(AND(J47=1,COUNTIFS(Puntuacion!$A:$A,$A47,Puntuacion!$C:$C,$C47,Puntuacion!$D:$D,"Optimizacion",Puntuacion!$G:$G,"NE")=0),1,0)</f>
        <v/>
      </c>
      <c r="L47" s="5">
        <f>IF(J47=0,"NA",IF(K47=0,"NE",AVERAGEIFS(Puntuacion!$G:$G,Puntuacion!$A:$A,$A47,Puntuacion!$C:$C,$C47,Puntuacion!$D:$D,"Optimizacion",Puntuacion!$G:$G,"&lt;&gt;NA",Puntuacion!$G:$G,"&lt;&gt;NE")))</f>
        <v/>
      </c>
      <c r="M47">
        <f>IF(COUNTIFS(Puntuacion!$A:$A,$A47,Puntuacion!$C:$C,$C47,Puntuacion!$D:$D,"Automatizacion",Puntuacion!$G:$G,"&lt;&gt;NA")&gt;0,1,0)</f>
        <v/>
      </c>
      <c r="N47">
        <f>IF(AND(M47=1,COUNTIFS(Puntuacion!$A:$A,$A47,Puntuacion!$C:$C,$C47,Puntuacion!$D:$D,"Automatizacion",Puntuacion!$G:$G,"NE")=0),1,0)</f>
        <v/>
      </c>
      <c r="O47" s="5">
        <f>IF(M47=0,"NA",IF(N47=0,"NE",AVERAGEIFS(Puntuacion!$G:$G,Puntuacion!$A:$A,$A47,Puntuacion!$C:$C,$C47,Puntuacion!$D:$D,"Automatizacion",Puntuacion!$G:$G,"&lt;&gt;NA",Puntuacion!$G:$G,"&lt;&gt;NE")))</f>
        <v/>
      </c>
      <c r="P47">
        <f>IF(COUNTIFS(Puntuacion!$A:$A,$A47,Puntuacion!$C:$C,$C47,Puntuacion!$D:$D,"Multicloud",Puntuacion!$G:$G,"&lt;&gt;NA")&gt;0,1,0)</f>
        <v/>
      </c>
      <c r="Q47">
        <f>IF(AND(P47=1,COUNTIFS(Puntuacion!$A:$A,$A47,Puntuacion!$C:$C,$C47,Puntuacion!$D:$D,"Multicloud",Puntuacion!$G:$G,"NE")=0),1,0)</f>
        <v/>
      </c>
      <c r="R47" s="5">
        <f>IF(P47=0,"NA",IF(Q47=0,"NE",AVERAGEIFS(Puntuacion!$G:$G,Puntuacion!$A:$A,$A47,Puntuacion!$C:$C,$C47,Puntuacion!$D:$D,"Multicloud",Puntuacion!$G:$G,"&lt;&gt;NA",Puntuacion!$G:$G,"&lt;&gt;NE")))</f>
        <v/>
      </c>
      <c r="S47">
        <f>IF(COUNTIFS(Puntuacion!$A:$A,$A47,Puntuacion!$C:$C,$C47,Puntuacion!$D:$D,"Integracion",Puntuacion!$G:$G,"&lt;&gt;NA")&gt;0,1,0)</f>
        <v/>
      </c>
      <c r="T47">
        <f>IF(AND(S47=1,COUNTIFS(Puntuacion!$A:$A,$A47,Puntuacion!$C:$C,$C47,Puntuacion!$D:$D,"Integracion",Puntuacion!$G:$G,"NE")=0),1,0)</f>
        <v/>
      </c>
      <c r="U47" s="5">
        <f>IF(S47=0,"NA",IF(T47=0,"NE",AVERAGEIFS(Puntuacion!$G:$G,Puntuacion!$A:$A,$A47,Puntuacion!$C:$C,$C47,Puntuacion!$D:$D,"Integracion",Puntuacion!$G:$G,"&lt;&gt;NA",Puntuacion!$G:$G,"&lt;&gt;NE")))</f>
        <v/>
      </c>
      <c r="V47">
        <f>IF(COUNTIFS(Puntuacion!$A:$A,$A47,Puntuacion!$C:$C,$C47,Puntuacion!$D:$D,"Adopcion",Puntuacion!$G:$G,"&lt;&gt;NA")&gt;0,1,0)</f>
        <v/>
      </c>
      <c r="W47">
        <f>IF(AND(V47=1,COUNTIFS(Puntuacion!$A:$A,$A47,Puntuacion!$C:$C,$C47,Puntuacion!$D:$D,"Adopcion",Puntuacion!$G:$G,"NE")=0),1,0)</f>
        <v/>
      </c>
      <c r="X47" s="5">
        <f>IF(V47=0,"NA",IF(W47=0,"NE",AVERAGEIFS(Puntuacion!$G:$G,Puntuacion!$A:$A,$A47,Puntuacion!$C:$C,$C47,Puntuacion!$D:$D,"Adopcion",Puntuacion!$G:$G,"&lt;&gt;NA",Puntuacion!$G:$G,"&lt;&gt;NE")))</f>
        <v/>
      </c>
      <c r="Y47">
        <f>IF(COUNTIFS(Puntuacion!$A:$A,$A47,Puntuacion!$C:$C,$C47,Puntuacion!$D:$D,"Precio",Puntuacion!$G:$G,"&lt;&gt;NA")&gt;0,1,0)</f>
        <v/>
      </c>
      <c r="Z47">
        <f>IF(AND(Y47=1,COUNTIFS(Puntuacion!$A:$A,$A47,Puntuacion!$C:$C,$C47,Puntuacion!$D:$D,"Precio",Puntuacion!$G:$G,"NE")=0),1,0)</f>
        <v/>
      </c>
      <c r="AA47" s="5">
        <f>IF(Y47=0,"NA",IF(Z47=0,"NE",AVERAGEIFS(Puntuacion!$G:$G,Puntuacion!$A:$A,$A47,Puntuacion!$C:$C,$C47,Puntuacion!$D:$D,"Precio",Puntuacion!$G:$G,"&lt;&gt;NA",Puntuacion!$G:$G,"&lt;&gt;NE")))</f>
        <v/>
      </c>
      <c r="AB47">
        <f>IF(COUNTIFS(Puntuacion!$A:$A,$A47,Puntuacion!$C:$C,$C47,Puntuacion!$D:$D,"Dependencia",Puntuacion!$G:$G,"&lt;&gt;NA")&gt;0,1,0)</f>
        <v/>
      </c>
      <c r="AC47">
        <f>IF(AND(AB47=1,COUNTIFS(Puntuacion!$A:$A,$A47,Puntuacion!$C:$C,$C47,Puntuacion!$D:$D,"Dependencia",Puntuacion!$G:$G,"NE")=0),1,0)</f>
        <v/>
      </c>
      <c r="AD47" s="5">
        <f>IF(AB47=0,"NA",IF(AC47=0,"NE",AVERAGEIFS(Puntuacion!$G:$G,Puntuacion!$A:$A,$A47,Puntuacion!$C:$C,$C47,Puntuacion!$D:$D,"Dependencia",Puntuacion!$G:$G,"&lt;&gt;NA",Puntuacion!$G:$G,"&lt;&gt;NE")))</f>
        <v/>
      </c>
      <c r="AE47" s="5">
        <f>IFERROR(100*(E47*Pesos!$B$2+H47*Pesos!$B$3+K47*Pesos!$B$4+N47*Pesos!$B$5+Q47*Pesos!$B$6+T47*Pesos!$B$7+W47*Pesos!$B$8+Z47*Pesos!$B$9+AC47*Pesos!$B$10)/(D47*Pesos!$B$2+G47*Pesos!$B$3+J47*Pesos!$B$4+M47*Pesos!$B$5+P47*Pesos!$B$6+S47*Pesos!$B$7+V47*Pesos!$B$8+Y47*Pesos!$B$9+AB47*Pesos!$B$10),"Sin criterios aplicables")</f>
        <v/>
      </c>
      <c r="AF47" s="5">
        <f>IFERROR(100*(E47*Pesos!$C$2+H47*Pesos!$C$3+K47*Pesos!$C$4+N47*Pesos!$C$5+Q47*Pesos!$C$6+T47*Pesos!$C$7+W47*Pesos!$C$8+Z47*Pesos!$C$9+AC47*Pesos!$C$10)/(D47*Pesos!$C$2+G47*Pesos!$C$3+J47*Pesos!$C$4+M47*Pesos!$C$5+P47*Pesos!$C$6+S47*Pesos!$C$7+V47*Pesos!$C$8+Y47*Pesos!$C$9+AB47*Pesos!$C$10),"Sin criterios aplicables")</f>
        <v/>
      </c>
      <c r="AG47" s="5">
        <f>IF(OR(AE47="Sin criterios aplicables",AE47&lt;70),"Insufficient evidence",100*(Pesos!$B$2*IF(E47=1,F47,0)+Pesos!$B$3*IF(H47=1,I47,0)+Pesos!$B$4*IF(K47=1,L47,0)+Pesos!$B$5*IF(N47=1,O47,0)+Pesos!$B$6*IF(Q47=1,R47,0)+Pesos!$B$7*IF(T47=1,U47,0)+Pesos!$B$8*IF(W47=1,X47,0)+Pesos!$B$9*IF(Z47=1,AA47,0)+Pesos!$B$10*IF(AC47=1,AD47,0))/(3*(Pesos!$B$2*E47+Pesos!$B$3*H47+Pesos!$B$4*K47+Pesos!$B$5*N47+Pesos!$B$6*Q47+Pesos!$B$7*T47+Pesos!$B$8*W47+Pesos!$B$9*Z47+Pesos!$B$10*AC47)))</f>
        <v/>
      </c>
      <c r="AH47" s="5">
        <f>IF(OR(AF47="Sin criterios aplicables",AF47&lt;70),"Insufficient evidence",100*(Pesos!$C$2*IF(E47=1,F47,0)+Pesos!$C$3*IF(H47=1,I47,0)+Pesos!$C$4*IF(K47=1,L47,0)+Pesos!$C$5*IF(N47=1,O47,0)+Pesos!$C$6*IF(Q47=1,R47,0)+Pesos!$C$7*IF(T47=1,U47,0)+Pesos!$C$8*IF(W47=1,X47,0)+Pesos!$C$9*IF(Z47=1,AA47,0)+Pesos!$C$10*IF(AC47=1,AD47,0))/(3*(Pesos!$C$2*E47+Pesos!$C$3*H47+Pesos!$C$4*K47+Pesos!$C$5*N47+Pesos!$C$6*Q47+Pesos!$C$7*T47+Pesos!$C$8*W47+Pesos!$C$9*Z47+Pesos!$C$10*AC47)))</f>
        <v/>
      </c>
      <c r="AI47">
        <f>IF(AG47="Insufficient evidence","Insufficient evidence (cobertura&lt;70%)",IF(AG47&lt;50/3,"Insufficient",IF(AG47&lt;50,"Basic",IF(AG47&lt;250/3,"Solid","Advanced"))))</f>
        <v/>
      </c>
      <c r="AJ47">
        <f>IF(AH47="Insufficient evidence","Insufficient evidence (cobertura&lt;70%)",IF(AH47&lt;50/3,"Insufficient",IF(AH47&lt;50,"Basic",IF(AH47&lt;250/3,"Solid","Advanced"))))</f>
        <v/>
      </c>
      <c r="AK47">
        <f>IF(TRIM(IF(AND(ISNUMBER(I47),I47&lt;1),"Asignación","") &amp; " " &amp; IF(AND(ISNUMBER(F47),F47&lt;1),"Visibilidad",""))="","Ninguno",TRIM(IF(AND(ISNUMBER(I47),I47&lt;1),"Asignación","") &amp; " " &amp; IF(AND(ISNUMBER(F47),F47&lt;1),"Visibilidad","")))</f>
        <v/>
      </c>
    </row>
    <row r="48">
      <c r="A48" t="inlineStr">
        <is>
          <t>E5</t>
        </is>
      </c>
      <c r="B48" t="inlineStr">
        <is>
          <t>Multicloud</t>
        </is>
      </c>
      <c r="C48" t="inlineStr">
        <is>
          <t>Finout</t>
        </is>
      </c>
      <c r="D48">
        <f>IF(COUNTIFS(Puntuacion!$A:$A,$A48,Puntuacion!$C:$C,$C48,Puntuacion!$D:$D,"Visibilidad",Puntuacion!$G:$G,"&lt;&gt;NA")&gt;0,1,0)</f>
        <v/>
      </c>
      <c r="E48">
        <f>IF(AND(D48=1,COUNTIFS(Puntuacion!$A:$A,$A48,Puntuacion!$C:$C,$C48,Puntuacion!$D:$D,"Visibilidad",Puntuacion!$G:$G,"NE")=0),1,0)</f>
        <v/>
      </c>
      <c r="F48" s="5">
        <f>IF(D48=0,"NA",IF(E48=0,"NE",AVERAGEIFS(Puntuacion!$G:$G,Puntuacion!$A:$A,$A48,Puntuacion!$C:$C,$C48,Puntuacion!$D:$D,"Visibilidad",Puntuacion!$G:$G,"&lt;&gt;NA",Puntuacion!$G:$G,"&lt;&gt;NE")))</f>
        <v/>
      </c>
      <c r="G48">
        <f>IF(COUNTIFS(Puntuacion!$A:$A,$A48,Puntuacion!$C:$C,$C48,Puntuacion!$D:$D,"Asignacion",Puntuacion!$G:$G,"&lt;&gt;NA")&gt;0,1,0)</f>
        <v/>
      </c>
      <c r="H48">
        <f>IF(AND(G48=1,COUNTIFS(Puntuacion!$A:$A,$A48,Puntuacion!$C:$C,$C48,Puntuacion!$D:$D,"Asignacion",Puntuacion!$G:$G,"NE")=0),1,0)</f>
        <v/>
      </c>
      <c r="I48" s="5">
        <f>IF(G48=0,"NA",IF(H48=0,"NE",AVERAGEIFS(Puntuacion!$G:$G,Puntuacion!$A:$A,$A48,Puntuacion!$C:$C,$C48,Puntuacion!$D:$D,"Asignacion",Puntuacion!$G:$G,"&lt;&gt;NA",Puntuacion!$G:$G,"&lt;&gt;NE")))</f>
        <v/>
      </c>
      <c r="J48">
        <f>IF(COUNTIFS(Puntuacion!$A:$A,$A48,Puntuacion!$C:$C,$C48,Puntuacion!$D:$D,"Optimizacion",Puntuacion!$G:$G,"&lt;&gt;NA")&gt;0,1,0)</f>
        <v/>
      </c>
      <c r="K48">
        <f>IF(AND(J48=1,COUNTIFS(Puntuacion!$A:$A,$A48,Puntuacion!$C:$C,$C48,Puntuacion!$D:$D,"Optimizacion",Puntuacion!$G:$G,"NE")=0),1,0)</f>
        <v/>
      </c>
      <c r="L48" s="5">
        <f>IF(J48=0,"NA",IF(K48=0,"NE",AVERAGEIFS(Puntuacion!$G:$G,Puntuacion!$A:$A,$A48,Puntuacion!$C:$C,$C48,Puntuacion!$D:$D,"Optimizacion",Puntuacion!$G:$G,"&lt;&gt;NA",Puntuacion!$G:$G,"&lt;&gt;NE")))</f>
        <v/>
      </c>
      <c r="M48">
        <f>IF(COUNTIFS(Puntuacion!$A:$A,$A48,Puntuacion!$C:$C,$C48,Puntuacion!$D:$D,"Automatizacion",Puntuacion!$G:$G,"&lt;&gt;NA")&gt;0,1,0)</f>
        <v/>
      </c>
      <c r="N48">
        <f>IF(AND(M48=1,COUNTIFS(Puntuacion!$A:$A,$A48,Puntuacion!$C:$C,$C48,Puntuacion!$D:$D,"Automatizacion",Puntuacion!$G:$G,"NE")=0),1,0)</f>
        <v/>
      </c>
      <c r="O48" s="5">
        <f>IF(M48=0,"NA",IF(N48=0,"NE",AVERAGEIFS(Puntuacion!$G:$G,Puntuacion!$A:$A,$A48,Puntuacion!$C:$C,$C48,Puntuacion!$D:$D,"Automatizacion",Puntuacion!$G:$G,"&lt;&gt;NA",Puntuacion!$G:$G,"&lt;&gt;NE")))</f>
        <v/>
      </c>
      <c r="P48">
        <f>IF(COUNTIFS(Puntuacion!$A:$A,$A48,Puntuacion!$C:$C,$C48,Puntuacion!$D:$D,"Multicloud",Puntuacion!$G:$G,"&lt;&gt;NA")&gt;0,1,0)</f>
        <v/>
      </c>
      <c r="Q48">
        <f>IF(AND(P48=1,COUNTIFS(Puntuacion!$A:$A,$A48,Puntuacion!$C:$C,$C48,Puntuacion!$D:$D,"Multicloud",Puntuacion!$G:$G,"NE")=0),1,0)</f>
        <v/>
      </c>
      <c r="R48" s="5">
        <f>IF(P48=0,"NA",IF(Q48=0,"NE",AVERAGEIFS(Puntuacion!$G:$G,Puntuacion!$A:$A,$A48,Puntuacion!$C:$C,$C48,Puntuacion!$D:$D,"Multicloud",Puntuacion!$G:$G,"&lt;&gt;NA",Puntuacion!$G:$G,"&lt;&gt;NE")))</f>
        <v/>
      </c>
      <c r="S48">
        <f>IF(COUNTIFS(Puntuacion!$A:$A,$A48,Puntuacion!$C:$C,$C48,Puntuacion!$D:$D,"Integracion",Puntuacion!$G:$G,"&lt;&gt;NA")&gt;0,1,0)</f>
        <v/>
      </c>
      <c r="T48">
        <f>IF(AND(S48=1,COUNTIFS(Puntuacion!$A:$A,$A48,Puntuacion!$C:$C,$C48,Puntuacion!$D:$D,"Integracion",Puntuacion!$G:$G,"NE")=0),1,0)</f>
        <v/>
      </c>
      <c r="U48" s="5">
        <f>IF(S48=0,"NA",IF(T48=0,"NE",AVERAGEIFS(Puntuacion!$G:$G,Puntuacion!$A:$A,$A48,Puntuacion!$C:$C,$C48,Puntuacion!$D:$D,"Integracion",Puntuacion!$G:$G,"&lt;&gt;NA",Puntuacion!$G:$G,"&lt;&gt;NE")))</f>
        <v/>
      </c>
      <c r="V48">
        <f>IF(COUNTIFS(Puntuacion!$A:$A,$A48,Puntuacion!$C:$C,$C48,Puntuacion!$D:$D,"Adopcion",Puntuacion!$G:$G,"&lt;&gt;NA")&gt;0,1,0)</f>
        <v/>
      </c>
      <c r="W48">
        <f>IF(AND(V48=1,COUNTIFS(Puntuacion!$A:$A,$A48,Puntuacion!$C:$C,$C48,Puntuacion!$D:$D,"Adopcion",Puntuacion!$G:$G,"NE")=0),1,0)</f>
        <v/>
      </c>
      <c r="X48" s="5">
        <f>IF(V48=0,"NA",IF(W48=0,"NE",AVERAGEIFS(Puntuacion!$G:$G,Puntuacion!$A:$A,$A48,Puntuacion!$C:$C,$C48,Puntuacion!$D:$D,"Adopcion",Puntuacion!$G:$G,"&lt;&gt;NA",Puntuacion!$G:$G,"&lt;&gt;NE")))</f>
        <v/>
      </c>
      <c r="Y48">
        <f>IF(COUNTIFS(Puntuacion!$A:$A,$A48,Puntuacion!$C:$C,$C48,Puntuacion!$D:$D,"Precio",Puntuacion!$G:$G,"&lt;&gt;NA")&gt;0,1,0)</f>
        <v/>
      </c>
      <c r="Z48">
        <f>IF(AND(Y48=1,COUNTIFS(Puntuacion!$A:$A,$A48,Puntuacion!$C:$C,$C48,Puntuacion!$D:$D,"Precio",Puntuacion!$G:$G,"NE")=0),1,0)</f>
        <v/>
      </c>
      <c r="AA48" s="5">
        <f>IF(Y48=0,"NA",IF(Z48=0,"NE",AVERAGEIFS(Puntuacion!$G:$G,Puntuacion!$A:$A,$A48,Puntuacion!$C:$C,$C48,Puntuacion!$D:$D,"Precio",Puntuacion!$G:$G,"&lt;&gt;NA",Puntuacion!$G:$G,"&lt;&gt;NE")))</f>
        <v/>
      </c>
      <c r="AB48">
        <f>IF(COUNTIFS(Puntuacion!$A:$A,$A48,Puntuacion!$C:$C,$C48,Puntuacion!$D:$D,"Dependencia",Puntuacion!$G:$G,"&lt;&gt;NA")&gt;0,1,0)</f>
        <v/>
      </c>
      <c r="AC48">
        <f>IF(AND(AB48=1,COUNTIFS(Puntuacion!$A:$A,$A48,Puntuacion!$C:$C,$C48,Puntuacion!$D:$D,"Dependencia",Puntuacion!$G:$G,"NE")=0),1,0)</f>
        <v/>
      </c>
      <c r="AD48" s="5">
        <f>IF(AB48=0,"NA",IF(AC48=0,"NE",AVERAGEIFS(Puntuacion!$G:$G,Puntuacion!$A:$A,$A48,Puntuacion!$C:$C,$C48,Puntuacion!$D:$D,"Dependencia",Puntuacion!$G:$G,"&lt;&gt;NA",Puntuacion!$G:$G,"&lt;&gt;NE")))</f>
        <v/>
      </c>
      <c r="AE48" s="5">
        <f>IFERROR(100*(E48*Pesos!$B$2+H48*Pesos!$B$3+K48*Pesos!$B$4+N48*Pesos!$B$5+Q48*Pesos!$B$6+T48*Pesos!$B$7+W48*Pesos!$B$8+Z48*Pesos!$B$9+AC48*Pesos!$B$10)/(D48*Pesos!$B$2+G48*Pesos!$B$3+J48*Pesos!$B$4+M48*Pesos!$B$5+P48*Pesos!$B$6+S48*Pesos!$B$7+V48*Pesos!$B$8+Y48*Pesos!$B$9+AB48*Pesos!$B$10),"Sin criterios aplicables")</f>
        <v/>
      </c>
      <c r="AF48" s="5">
        <f>IFERROR(100*(E48*Pesos!$C$2+H48*Pesos!$C$3+K48*Pesos!$C$4+N48*Pesos!$C$5+Q48*Pesos!$C$6+T48*Pesos!$C$7+W48*Pesos!$C$8+Z48*Pesos!$C$9+AC48*Pesos!$C$10)/(D48*Pesos!$C$2+G48*Pesos!$C$3+J48*Pesos!$C$4+M48*Pesos!$C$5+P48*Pesos!$C$6+S48*Pesos!$C$7+V48*Pesos!$C$8+Y48*Pesos!$C$9+AB48*Pesos!$C$10),"Sin criterios aplicables")</f>
        <v/>
      </c>
      <c r="AG48" s="5">
        <f>IF(OR(AE48="Sin criterios aplicables",AE48&lt;70),"Insufficient evidence",100*(Pesos!$B$2*IF(E48=1,F48,0)+Pesos!$B$3*IF(H48=1,I48,0)+Pesos!$B$4*IF(K48=1,L48,0)+Pesos!$B$5*IF(N48=1,O48,0)+Pesos!$B$6*IF(Q48=1,R48,0)+Pesos!$B$7*IF(T48=1,U48,0)+Pesos!$B$8*IF(W48=1,X48,0)+Pesos!$B$9*IF(Z48=1,AA48,0)+Pesos!$B$10*IF(AC48=1,AD48,0))/(3*(Pesos!$B$2*E48+Pesos!$B$3*H48+Pesos!$B$4*K48+Pesos!$B$5*N48+Pesos!$B$6*Q48+Pesos!$B$7*T48+Pesos!$B$8*W48+Pesos!$B$9*Z48+Pesos!$B$10*AC48)))</f>
        <v/>
      </c>
      <c r="AH48" s="5">
        <f>IF(OR(AF48="Sin criterios aplicables",AF48&lt;70),"Insufficient evidence",100*(Pesos!$C$2*IF(E48=1,F48,0)+Pesos!$C$3*IF(H48=1,I48,0)+Pesos!$C$4*IF(K48=1,L48,0)+Pesos!$C$5*IF(N48=1,O48,0)+Pesos!$C$6*IF(Q48=1,R48,0)+Pesos!$C$7*IF(T48=1,U48,0)+Pesos!$C$8*IF(W48=1,X48,0)+Pesos!$C$9*IF(Z48=1,AA48,0)+Pesos!$C$10*IF(AC48=1,AD48,0))/(3*(Pesos!$C$2*E48+Pesos!$C$3*H48+Pesos!$C$4*K48+Pesos!$C$5*N48+Pesos!$C$6*Q48+Pesos!$C$7*T48+Pesos!$C$8*W48+Pesos!$C$9*Z48+Pesos!$C$10*AC48)))</f>
        <v/>
      </c>
      <c r="AI48">
        <f>IF(AG48="Insufficient evidence","Insufficient evidence (cobertura&lt;70%)",IF(AG48&lt;50/3,"Insufficient",IF(AG48&lt;50,"Basic",IF(AG48&lt;250/3,"Solid","Advanced"))))</f>
        <v/>
      </c>
      <c r="AJ48">
        <f>IF(AH48="Insufficient evidence","Insufficient evidence (cobertura&lt;70%)",IF(AH48&lt;50/3,"Insufficient",IF(AH48&lt;50,"Basic",IF(AH48&lt;250/3,"Solid","Advanced"))))</f>
        <v/>
      </c>
      <c r="AK48">
        <f>IF(TRIM(IF(AND(ISNUMBER(I48),I48&lt;1),"Asignación","") &amp; " " &amp; IF(AND(ISNUMBER(F48),F48&lt;1),"Visibilidad",""))="","Ninguno",TRIM(IF(AND(ISNUMBER(I48),I48&lt;1),"Asignación","") &amp; " " &amp; IF(AND(ISNUMBER(F48),F48&lt;1),"Visibilidad","")))</f>
        <v/>
      </c>
    </row>
    <row r="49">
      <c r="A49" t="inlineStr">
        <is>
          <t>E5</t>
        </is>
      </c>
      <c r="B49" t="inlineStr">
        <is>
          <t>Multicloud</t>
        </is>
      </c>
      <c r="C49" t="inlineStr">
        <is>
          <t>Vantage</t>
        </is>
      </c>
      <c r="D49">
        <f>IF(COUNTIFS(Puntuacion!$A:$A,$A49,Puntuacion!$C:$C,$C49,Puntuacion!$D:$D,"Visibilidad",Puntuacion!$G:$G,"&lt;&gt;NA")&gt;0,1,0)</f>
        <v/>
      </c>
      <c r="E49">
        <f>IF(AND(D49=1,COUNTIFS(Puntuacion!$A:$A,$A49,Puntuacion!$C:$C,$C49,Puntuacion!$D:$D,"Visibilidad",Puntuacion!$G:$G,"NE")=0),1,0)</f>
        <v/>
      </c>
      <c r="F49" s="5">
        <f>IF(D49=0,"NA",IF(E49=0,"NE",AVERAGEIFS(Puntuacion!$G:$G,Puntuacion!$A:$A,$A49,Puntuacion!$C:$C,$C49,Puntuacion!$D:$D,"Visibilidad",Puntuacion!$G:$G,"&lt;&gt;NA",Puntuacion!$G:$G,"&lt;&gt;NE")))</f>
        <v/>
      </c>
      <c r="G49">
        <f>IF(COUNTIFS(Puntuacion!$A:$A,$A49,Puntuacion!$C:$C,$C49,Puntuacion!$D:$D,"Asignacion",Puntuacion!$G:$G,"&lt;&gt;NA")&gt;0,1,0)</f>
        <v/>
      </c>
      <c r="H49">
        <f>IF(AND(G49=1,COUNTIFS(Puntuacion!$A:$A,$A49,Puntuacion!$C:$C,$C49,Puntuacion!$D:$D,"Asignacion",Puntuacion!$G:$G,"NE")=0),1,0)</f>
        <v/>
      </c>
      <c r="I49" s="5">
        <f>IF(G49=0,"NA",IF(H49=0,"NE",AVERAGEIFS(Puntuacion!$G:$G,Puntuacion!$A:$A,$A49,Puntuacion!$C:$C,$C49,Puntuacion!$D:$D,"Asignacion",Puntuacion!$G:$G,"&lt;&gt;NA",Puntuacion!$G:$G,"&lt;&gt;NE")))</f>
        <v/>
      </c>
      <c r="J49">
        <f>IF(COUNTIFS(Puntuacion!$A:$A,$A49,Puntuacion!$C:$C,$C49,Puntuacion!$D:$D,"Optimizacion",Puntuacion!$G:$G,"&lt;&gt;NA")&gt;0,1,0)</f>
        <v/>
      </c>
      <c r="K49">
        <f>IF(AND(J49=1,COUNTIFS(Puntuacion!$A:$A,$A49,Puntuacion!$C:$C,$C49,Puntuacion!$D:$D,"Optimizacion",Puntuacion!$G:$G,"NE")=0),1,0)</f>
        <v/>
      </c>
      <c r="L49" s="5">
        <f>IF(J49=0,"NA",IF(K49=0,"NE",AVERAGEIFS(Puntuacion!$G:$G,Puntuacion!$A:$A,$A49,Puntuacion!$C:$C,$C49,Puntuacion!$D:$D,"Optimizacion",Puntuacion!$G:$G,"&lt;&gt;NA",Puntuacion!$G:$G,"&lt;&gt;NE")))</f>
        <v/>
      </c>
      <c r="M49">
        <f>IF(COUNTIFS(Puntuacion!$A:$A,$A49,Puntuacion!$C:$C,$C49,Puntuacion!$D:$D,"Automatizacion",Puntuacion!$G:$G,"&lt;&gt;NA")&gt;0,1,0)</f>
        <v/>
      </c>
      <c r="N49">
        <f>IF(AND(M49=1,COUNTIFS(Puntuacion!$A:$A,$A49,Puntuacion!$C:$C,$C49,Puntuacion!$D:$D,"Automatizacion",Puntuacion!$G:$G,"NE")=0),1,0)</f>
        <v/>
      </c>
      <c r="O49" s="5">
        <f>IF(M49=0,"NA",IF(N49=0,"NE",AVERAGEIFS(Puntuacion!$G:$G,Puntuacion!$A:$A,$A49,Puntuacion!$C:$C,$C49,Puntuacion!$D:$D,"Automatizacion",Puntuacion!$G:$G,"&lt;&gt;NA",Puntuacion!$G:$G,"&lt;&gt;NE")))</f>
        <v/>
      </c>
      <c r="P49">
        <f>IF(COUNTIFS(Puntuacion!$A:$A,$A49,Puntuacion!$C:$C,$C49,Puntuacion!$D:$D,"Multicloud",Puntuacion!$G:$G,"&lt;&gt;NA")&gt;0,1,0)</f>
        <v/>
      </c>
      <c r="Q49">
        <f>IF(AND(P49=1,COUNTIFS(Puntuacion!$A:$A,$A49,Puntuacion!$C:$C,$C49,Puntuacion!$D:$D,"Multicloud",Puntuacion!$G:$G,"NE")=0),1,0)</f>
        <v/>
      </c>
      <c r="R49" s="5">
        <f>IF(P49=0,"NA",IF(Q49=0,"NE",AVERAGEIFS(Puntuacion!$G:$G,Puntuacion!$A:$A,$A49,Puntuacion!$C:$C,$C49,Puntuacion!$D:$D,"Multicloud",Puntuacion!$G:$G,"&lt;&gt;NA",Puntuacion!$G:$G,"&lt;&gt;NE")))</f>
        <v/>
      </c>
      <c r="S49">
        <f>IF(COUNTIFS(Puntuacion!$A:$A,$A49,Puntuacion!$C:$C,$C49,Puntuacion!$D:$D,"Integracion",Puntuacion!$G:$G,"&lt;&gt;NA")&gt;0,1,0)</f>
        <v/>
      </c>
      <c r="T49">
        <f>IF(AND(S49=1,COUNTIFS(Puntuacion!$A:$A,$A49,Puntuacion!$C:$C,$C49,Puntuacion!$D:$D,"Integracion",Puntuacion!$G:$G,"NE")=0),1,0)</f>
        <v/>
      </c>
      <c r="U49" s="5">
        <f>IF(S49=0,"NA",IF(T49=0,"NE",AVERAGEIFS(Puntuacion!$G:$G,Puntuacion!$A:$A,$A49,Puntuacion!$C:$C,$C49,Puntuacion!$D:$D,"Integracion",Puntuacion!$G:$G,"&lt;&gt;NA",Puntuacion!$G:$G,"&lt;&gt;NE")))</f>
        <v/>
      </c>
      <c r="V49">
        <f>IF(COUNTIFS(Puntuacion!$A:$A,$A49,Puntuacion!$C:$C,$C49,Puntuacion!$D:$D,"Adopcion",Puntuacion!$G:$G,"&lt;&gt;NA")&gt;0,1,0)</f>
        <v/>
      </c>
      <c r="W49">
        <f>IF(AND(V49=1,COUNTIFS(Puntuacion!$A:$A,$A49,Puntuacion!$C:$C,$C49,Puntuacion!$D:$D,"Adopcion",Puntuacion!$G:$G,"NE")=0),1,0)</f>
        <v/>
      </c>
      <c r="X49" s="5">
        <f>IF(V49=0,"NA",IF(W49=0,"NE",AVERAGEIFS(Puntuacion!$G:$G,Puntuacion!$A:$A,$A49,Puntuacion!$C:$C,$C49,Puntuacion!$D:$D,"Adopcion",Puntuacion!$G:$G,"&lt;&gt;NA",Puntuacion!$G:$G,"&lt;&gt;NE")))</f>
        <v/>
      </c>
      <c r="Y49">
        <f>IF(COUNTIFS(Puntuacion!$A:$A,$A49,Puntuacion!$C:$C,$C49,Puntuacion!$D:$D,"Precio",Puntuacion!$G:$G,"&lt;&gt;NA")&gt;0,1,0)</f>
        <v/>
      </c>
      <c r="Z49">
        <f>IF(AND(Y49=1,COUNTIFS(Puntuacion!$A:$A,$A49,Puntuacion!$C:$C,$C49,Puntuacion!$D:$D,"Precio",Puntuacion!$G:$G,"NE")=0),1,0)</f>
        <v/>
      </c>
      <c r="AA49" s="5">
        <f>IF(Y49=0,"NA",IF(Z49=0,"NE",AVERAGEIFS(Puntuacion!$G:$G,Puntuacion!$A:$A,$A49,Puntuacion!$C:$C,$C49,Puntuacion!$D:$D,"Precio",Puntuacion!$G:$G,"&lt;&gt;NA",Puntuacion!$G:$G,"&lt;&gt;NE")))</f>
        <v/>
      </c>
      <c r="AB49">
        <f>IF(COUNTIFS(Puntuacion!$A:$A,$A49,Puntuacion!$C:$C,$C49,Puntuacion!$D:$D,"Dependencia",Puntuacion!$G:$G,"&lt;&gt;NA")&gt;0,1,0)</f>
        <v/>
      </c>
      <c r="AC49">
        <f>IF(AND(AB49=1,COUNTIFS(Puntuacion!$A:$A,$A49,Puntuacion!$C:$C,$C49,Puntuacion!$D:$D,"Dependencia",Puntuacion!$G:$G,"NE")=0),1,0)</f>
        <v/>
      </c>
      <c r="AD49" s="5">
        <f>IF(AB49=0,"NA",IF(AC49=0,"NE",AVERAGEIFS(Puntuacion!$G:$G,Puntuacion!$A:$A,$A49,Puntuacion!$C:$C,$C49,Puntuacion!$D:$D,"Dependencia",Puntuacion!$G:$G,"&lt;&gt;NA",Puntuacion!$G:$G,"&lt;&gt;NE")))</f>
        <v/>
      </c>
      <c r="AE49" s="5">
        <f>IFERROR(100*(E49*Pesos!$B$2+H49*Pesos!$B$3+K49*Pesos!$B$4+N49*Pesos!$B$5+Q49*Pesos!$B$6+T49*Pesos!$B$7+W49*Pesos!$B$8+Z49*Pesos!$B$9+AC49*Pesos!$B$10)/(D49*Pesos!$B$2+G49*Pesos!$B$3+J49*Pesos!$B$4+M49*Pesos!$B$5+P49*Pesos!$B$6+S49*Pesos!$B$7+V49*Pesos!$B$8+Y49*Pesos!$B$9+AB49*Pesos!$B$10),"Sin criterios aplicables")</f>
        <v/>
      </c>
      <c r="AF49" s="5">
        <f>IFERROR(100*(E49*Pesos!$C$2+H49*Pesos!$C$3+K49*Pesos!$C$4+N49*Pesos!$C$5+Q49*Pesos!$C$6+T49*Pesos!$C$7+W49*Pesos!$C$8+Z49*Pesos!$C$9+AC49*Pesos!$C$10)/(D49*Pesos!$C$2+G49*Pesos!$C$3+J49*Pesos!$C$4+M49*Pesos!$C$5+P49*Pesos!$C$6+S49*Pesos!$C$7+V49*Pesos!$C$8+Y49*Pesos!$C$9+AB49*Pesos!$C$10),"Sin criterios aplicables")</f>
        <v/>
      </c>
      <c r="AG49" s="5">
        <f>IF(OR(AE49="Sin criterios aplicables",AE49&lt;70),"Insufficient evidence",100*(Pesos!$B$2*IF(E49=1,F49,0)+Pesos!$B$3*IF(H49=1,I49,0)+Pesos!$B$4*IF(K49=1,L49,0)+Pesos!$B$5*IF(N49=1,O49,0)+Pesos!$B$6*IF(Q49=1,R49,0)+Pesos!$B$7*IF(T49=1,U49,0)+Pesos!$B$8*IF(W49=1,X49,0)+Pesos!$B$9*IF(Z49=1,AA49,0)+Pesos!$B$10*IF(AC49=1,AD49,0))/(3*(Pesos!$B$2*E49+Pesos!$B$3*H49+Pesos!$B$4*K49+Pesos!$B$5*N49+Pesos!$B$6*Q49+Pesos!$B$7*T49+Pesos!$B$8*W49+Pesos!$B$9*Z49+Pesos!$B$10*AC49)))</f>
        <v/>
      </c>
      <c r="AH49" s="5">
        <f>IF(OR(AF49="Sin criterios aplicables",AF49&lt;70),"Insufficient evidence",100*(Pesos!$C$2*IF(E49=1,F49,0)+Pesos!$C$3*IF(H49=1,I49,0)+Pesos!$C$4*IF(K49=1,L49,0)+Pesos!$C$5*IF(N49=1,O49,0)+Pesos!$C$6*IF(Q49=1,R49,0)+Pesos!$C$7*IF(T49=1,U49,0)+Pesos!$C$8*IF(W49=1,X49,0)+Pesos!$C$9*IF(Z49=1,AA49,0)+Pesos!$C$10*IF(AC49=1,AD49,0))/(3*(Pesos!$C$2*E49+Pesos!$C$3*H49+Pesos!$C$4*K49+Pesos!$C$5*N49+Pesos!$C$6*Q49+Pesos!$C$7*T49+Pesos!$C$8*W49+Pesos!$C$9*Z49+Pesos!$C$10*AC49)))</f>
        <v/>
      </c>
      <c r="AI49">
        <f>IF(AG49="Insufficient evidence","Insufficient evidence (cobertura&lt;70%)",IF(AG49&lt;50/3,"Insufficient",IF(AG49&lt;50,"Basic",IF(AG49&lt;250/3,"Solid","Advanced"))))</f>
        <v/>
      </c>
      <c r="AJ49">
        <f>IF(AH49="Insufficient evidence","Insufficient evidence (cobertura&lt;70%)",IF(AH49&lt;50/3,"Insufficient",IF(AH49&lt;50,"Basic",IF(AH49&lt;250/3,"Solid","Advanced"))))</f>
        <v/>
      </c>
      <c r="AK49">
        <f>IF(TRIM(IF(AND(ISNUMBER(I49),I49&lt;1),"Asignación","") &amp; " " &amp; IF(AND(ISNUMBER(F49),F49&lt;1),"Visibilidad",""))="","Ninguno",TRIM(IF(AND(ISNUMBER(I49),I49&lt;1),"Asignación","") &amp; " " &amp; IF(AND(ISNUMBER(F49),F49&lt;1),"Visibilidad","")))</f>
        <v/>
      </c>
    </row>
    <row r="50">
      <c r="A50" t="inlineStr">
        <is>
          <t>E5</t>
        </is>
      </c>
      <c r="B50" t="inlineStr">
        <is>
          <t>Multicloud</t>
        </is>
      </c>
      <c r="C50" t="inlineStr">
        <is>
          <t>nOps</t>
        </is>
      </c>
      <c r="D50">
        <f>IF(COUNTIFS(Puntuacion!$A:$A,$A50,Puntuacion!$C:$C,$C50,Puntuacion!$D:$D,"Visibilidad",Puntuacion!$G:$G,"&lt;&gt;NA")&gt;0,1,0)</f>
        <v/>
      </c>
      <c r="E50">
        <f>IF(AND(D50=1,COUNTIFS(Puntuacion!$A:$A,$A50,Puntuacion!$C:$C,$C50,Puntuacion!$D:$D,"Visibilidad",Puntuacion!$G:$G,"NE")=0),1,0)</f>
        <v/>
      </c>
      <c r="F50" s="5">
        <f>IF(D50=0,"NA",IF(E50=0,"NE",AVERAGEIFS(Puntuacion!$G:$G,Puntuacion!$A:$A,$A50,Puntuacion!$C:$C,$C50,Puntuacion!$D:$D,"Visibilidad",Puntuacion!$G:$G,"&lt;&gt;NA",Puntuacion!$G:$G,"&lt;&gt;NE")))</f>
        <v/>
      </c>
      <c r="G50">
        <f>IF(COUNTIFS(Puntuacion!$A:$A,$A50,Puntuacion!$C:$C,$C50,Puntuacion!$D:$D,"Asignacion",Puntuacion!$G:$G,"&lt;&gt;NA")&gt;0,1,0)</f>
        <v/>
      </c>
      <c r="H50">
        <f>IF(AND(G50=1,COUNTIFS(Puntuacion!$A:$A,$A50,Puntuacion!$C:$C,$C50,Puntuacion!$D:$D,"Asignacion",Puntuacion!$G:$G,"NE")=0),1,0)</f>
        <v/>
      </c>
      <c r="I50" s="5">
        <f>IF(G50=0,"NA",IF(H50=0,"NE",AVERAGEIFS(Puntuacion!$G:$G,Puntuacion!$A:$A,$A50,Puntuacion!$C:$C,$C50,Puntuacion!$D:$D,"Asignacion",Puntuacion!$G:$G,"&lt;&gt;NA",Puntuacion!$G:$G,"&lt;&gt;NE")))</f>
        <v/>
      </c>
      <c r="J50">
        <f>IF(COUNTIFS(Puntuacion!$A:$A,$A50,Puntuacion!$C:$C,$C50,Puntuacion!$D:$D,"Optimizacion",Puntuacion!$G:$G,"&lt;&gt;NA")&gt;0,1,0)</f>
        <v/>
      </c>
      <c r="K50">
        <f>IF(AND(J50=1,COUNTIFS(Puntuacion!$A:$A,$A50,Puntuacion!$C:$C,$C50,Puntuacion!$D:$D,"Optimizacion",Puntuacion!$G:$G,"NE")=0),1,0)</f>
        <v/>
      </c>
      <c r="L50" s="5">
        <f>IF(J50=0,"NA",IF(K50=0,"NE",AVERAGEIFS(Puntuacion!$G:$G,Puntuacion!$A:$A,$A50,Puntuacion!$C:$C,$C50,Puntuacion!$D:$D,"Optimizacion",Puntuacion!$G:$G,"&lt;&gt;NA",Puntuacion!$G:$G,"&lt;&gt;NE")))</f>
        <v/>
      </c>
      <c r="M50">
        <f>IF(COUNTIFS(Puntuacion!$A:$A,$A50,Puntuacion!$C:$C,$C50,Puntuacion!$D:$D,"Automatizacion",Puntuacion!$G:$G,"&lt;&gt;NA")&gt;0,1,0)</f>
        <v/>
      </c>
      <c r="N50">
        <f>IF(AND(M50=1,COUNTIFS(Puntuacion!$A:$A,$A50,Puntuacion!$C:$C,$C50,Puntuacion!$D:$D,"Automatizacion",Puntuacion!$G:$G,"NE")=0),1,0)</f>
        <v/>
      </c>
      <c r="O50" s="5">
        <f>IF(M50=0,"NA",IF(N50=0,"NE",AVERAGEIFS(Puntuacion!$G:$G,Puntuacion!$A:$A,$A50,Puntuacion!$C:$C,$C50,Puntuacion!$D:$D,"Automatizacion",Puntuacion!$G:$G,"&lt;&gt;NA",Puntuacion!$G:$G,"&lt;&gt;NE")))</f>
        <v/>
      </c>
      <c r="P50">
        <f>IF(COUNTIFS(Puntuacion!$A:$A,$A50,Puntuacion!$C:$C,$C50,Puntuacion!$D:$D,"Multicloud",Puntuacion!$G:$G,"&lt;&gt;NA")&gt;0,1,0)</f>
        <v/>
      </c>
      <c r="Q50">
        <f>IF(AND(P50=1,COUNTIFS(Puntuacion!$A:$A,$A50,Puntuacion!$C:$C,$C50,Puntuacion!$D:$D,"Multicloud",Puntuacion!$G:$G,"NE")=0),1,0)</f>
        <v/>
      </c>
      <c r="R50" s="5">
        <f>IF(P50=0,"NA",IF(Q50=0,"NE",AVERAGEIFS(Puntuacion!$G:$G,Puntuacion!$A:$A,$A50,Puntuacion!$C:$C,$C50,Puntuacion!$D:$D,"Multicloud",Puntuacion!$G:$G,"&lt;&gt;NA",Puntuacion!$G:$G,"&lt;&gt;NE")))</f>
        <v/>
      </c>
      <c r="S50">
        <f>IF(COUNTIFS(Puntuacion!$A:$A,$A50,Puntuacion!$C:$C,$C50,Puntuacion!$D:$D,"Integracion",Puntuacion!$G:$G,"&lt;&gt;NA")&gt;0,1,0)</f>
        <v/>
      </c>
      <c r="T50">
        <f>IF(AND(S50=1,COUNTIFS(Puntuacion!$A:$A,$A50,Puntuacion!$C:$C,$C50,Puntuacion!$D:$D,"Integracion",Puntuacion!$G:$G,"NE")=0),1,0)</f>
        <v/>
      </c>
      <c r="U50" s="5">
        <f>IF(S50=0,"NA",IF(T50=0,"NE",AVERAGEIFS(Puntuacion!$G:$G,Puntuacion!$A:$A,$A50,Puntuacion!$C:$C,$C50,Puntuacion!$D:$D,"Integracion",Puntuacion!$G:$G,"&lt;&gt;NA",Puntuacion!$G:$G,"&lt;&gt;NE")))</f>
        <v/>
      </c>
      <c r="V50">
        <f>IF(COUNTIFS(Puntuacion!$A:$A,$A50,Puntuacion!$C:$C,$C50,Puntuacion!$D:$D,"Adopcion",Puntuacion!$G:$G,"&lt;&gt;NA")&gt;0,1,0)</f>
        <v/>
      </c>
      <c r="W50">
        <f>IF(AND(V50=1,COUNTIFS(Puntuacion!$A:$A,$A50,Puntuacion!$C:$C,$C50,Puntuacion!$D:$D,"Adopcion",Puntuacion!$G:$G,"NE")=0),1,0)</f>
        <v/>
      </c>
      <c r="X50" s="5">
        <f>IF(V50=0,"NA",IF(W50=0,"NE",AVERAGEIFS(Puntuacion!$G:$G,Puntuacion!$A:$A,$A50,Puntuacion!$C:$C,$C50,Puntuacion!$D:$D,"Adopcion",Puntuacion!$G:$G,"&lt;&gt;NA",Puntuacion!$G:$G,"&lt;&gt;NE")))</f>
        <v/>
      </c>
      <c r="Y50">
        <f>IF(COUNTIFS(Puntuacion!$A:$A,$A50,Puntuacion!$C:$C,$C50,Puntuacion!$D:$D,"Precio",Puntuacion!$G:$G,"&lt;&gt;NA")&gt;0,1,0)</f>
        <v/>
      </c>
      <c r="Z50">
        <f>IF(AND(Y50=1,COUNTIFS(Puntuacion!$A:$A,$A50,Puntuacion!$C:$C,$C50,Puntuacion!$D:$D,"Precio",Puntuacion!$G:$G,"NE")=0),1,0)</f>
        <v/>
      </c>
      <c r="AA50" s="5">
        <f>IF(Y50=0,"NA",IF(Z50=0,"NE",AVERAGEIFS(Puntuacion!$G:$G,Puntuacion!$A:$A,$A50,Puntuacion!$C:$C,$C50,Puntuacion!$D:$D,"Precio",Puntuacion!$G:$G,"&lt;&gt;NA",Puntuacion!$G:$G,"&lt;&gt;NE")))</f>
        <v/>
      </c>
      <c r="AB50">
        <f>IF(COUNTIFS(Puntuacion!$A:$A,$A50,Puntuacion!$C:$C,$C50,Puntuacion!$D:$D,"Dependencia",Puntuacion!$G:$G,"&lt;&gt;NA")&gt;0,1,0)</f>
        <v/>
      </c>
      <c r="AC50">
        <f>IF(AND(AB50=1,COUNTIFS(Puntuacion!$A:$A,$A50,Puntuacion!$C:$C,$C50,Puntuacion!$D:$D,"Dependencia",Puntuacion!$G:$G,"NE")=0),1,0)</f>
        <v/>
      </c>
      <c r="AD50" s="5">
        <f>IF(AB50=0,"NA",IF(AC50=0,"NE",AVERAGEIFS(Puntuacion!$G:$G,Puntuacion!$A:$A,$A50,Puntuacion!$C:$C,$C50,Puntuacion!$D:$D,"Dependencia",Puntuacion!$G:$G,"&lt;&gt;NA",Puntuacion!$G:$G,"&lt;&gt;NE")))</f>
        <v/>
      </c>
      <c r="AE50" s="5">
        <f>IFERROR(100*(E50*Pesos!$B$2+H50*Pesos!$B$3+K50*Pesos!$B$4+N50*Pesos!$B$5+Q50*Pesos!$B$6+T50*Pesos!$B$7+W50*Pesos!$B$8+Z50*Pesos!$B$9+AC50*Pesos!$B$10)/(D50*Pesos!$B$2+G50*Pesos!$B$3+J50*Pesos!$B$4+M50*Pesos!$B$5+P50*Pesos!$B$6+S50*Pesos!$B$7+V50*Pesos!$B$8+Y50*Pesos!$B$9+AB50*Pesos!$B$10),"Sin criterios aplicables")</f>
        <v/>
      </c>
      <c r="AF50" s="5">
        <f>IFERROR(100*(E50*Pesos!$C$2+H50*Pesos!$C$3+K50*Pesos!$C$4+N50*Pesos!$C$5+Q50*Pesos!$C$6+T50*Pesos!$C$7+W50*Pesos!$C$8+Z50*Pesos!$C$9+AC50*Pesos!$C$10)/(D50*Pesos!$C$2+G50*Pesos!$C$3+J50*Pesos!$C$4+M50*Pesos!$C$5+P50*Pesos!$C$6+S50*Pesos!$C$7+V50*Pesos!$C$8+Y50*Pesos!$C$9+AB50*Pesos!$C$10),"Sin criterios aplicables")</f>
        <v/>
      </c>
      <c r="AG50" s="5">
        <f>IF(OR(AE50="Sin criterios aplicables",AE50&lt;70),"Insufficient evidence",100*(Pesos!$B$2*IF(E50=1,F50,0)+Pesos!$B$3*IF(H50=1,I50,0)+Pesos!$B$4*IF(K50=1,L50,0)+Pesos!$B$5*IF(N50=1,O50,0)+Pesos!$B$6*IF(Q50=1,R50,0)+Pesos!$B$7*IF(T50=1,U50,0)+Pesos!$B$8*IF(W50=1,X50,0)+Pesos!$B$9*IF(Z50=1,AA50,0)+Pesos!$B$10*IF(AC50=1,AD50,0))/(3*(Pesos!$B$2*E50+Pesos!$B$3*H50+Pesos!$B$4*K50+Pesos!$B$5*N50+Pesos!$B$6*Q50+Pesos!$B$7*T50+Pesos!$B$8*W50+Pesos!$B$9*Z50+Pesos!$B$10*AC50)))</f>
        <v/>
      </c>
      <c r="AH50" s="5">
        <f>IF(OR(AF50="Sin criterios aplicables",AF50&lt;70),"Insufficient evidence",100*(Pesos!$C$2*IF(E50=1,F50,0)+Pesos!$C$3*IF(H50=1,I50,0)+Pesos!$C$4*IF(K50=1,L50,0)+Pesos!$C$5*IF(N50=1,O50,0)+Pesos!$C$6*IF(Q50=1,R50,0)+Pesos!$C$7*IF(T50=1,U50,0)+Pesos!$C$8*IF(W50=1,X50,0)+Pesos!$C$9*IF(Z50=1,AA50,0)+Pesos!$C$10*IF(AC50=1,AD50,0))/(3*(Pesos!$C$2*E50+Pesos!$C$3*H50+Pesos!$C$4*K50+Pesos!$C$5*N50+Pesos!$C$6*Q50+Pesos!$C$7*T50+Pesos!$C$8*W50+Pesos!$C$9*Z50+Pesos!$C$10*AC50)))</f>
        <v/>
      </c>
      <c r="AI50">
        <f>IF(AG50="Insufficient evidence","Insufficient evidence (cobertura&lt;70%)",IF(AG50&lt;50/3,"Insufficient",IF(AG50&lt;50,"Basic",IF(AG50&lt;250/3,"Solid","Advanced"))))</f>
        <v/>
      </c>
      <c r="AJ50">
        <f>IF(AH50="Insufficient evidence","Insufficient evidence (cobertura&lt;70%)",IF(AH50&lt;50/3,"Insufficient",IF(AH50&lt;50,"Basic",IF(AH50&lt;250/3,"Solid","Advanced"))))</f>
        <v/>
      </c>
      <c r="AK50">
        <f>IF(TRIM(IF(AND(ISNUMBER(I50),I50&lt;1),"Asignación","") &amp; " " &amp; IF(AND(ISNUMBER(F50),F50&lt;1),"Visibilidad",""))="","Ninguno",TRIM(IF(AND(ISNUMBER(I50),I50&lt;1),"Asignación","") &amp; " " &amp; IF(AND(ISNUMBER(F50),F50&lt;1),"Visibilidad","")))</f>
        <v/>
      </c>
    </row>
    <row r="51">
      <c r="A51" t="inlineStr">
        <is>
          <t>E6</t>
        </is>
      </c>
      <c r="B51" t="inlineStr">
        <is>
          <t>Cloud nativa</t>
        </is>
      </c>
      <c r="C51" t="inlineStr">
        <is>
          <t>AWS Cost Explorer</t>
        </is>
      </c>
      <c r="D51">
        <f>IF(COUNTIFS(Puntuacion!$A:$A,$A51,Puntuacion!$C:$C,$C51,Puntuacion!$D:$D,"Visibilidad",Puntuacion!$G:$G,"&lt;&gt;NA")&gt;0,1,0)</f>
        <v/>
      </c>
      <c r="E51">
        <f>IF(AND(D51=1,COUNTIFS(Puntuacion!$A:$A,$A51,Puntuacion!$C:$C,$C51,Puntuacion!$D:$D,"Visibilidad",Puntuacion!$G:$G,"NE")=0),1,0)</f>
        <v/>
      </c>
      <c r="F51" s="5">
        <f>IF(D51=0,"NA",IF(E51=0,"NE",AVERAGEIFS(Puntuacion!$G:$G,Puntuacion!$A:$A,$A51,Puntuacion!$C:$C,$C51,Puntuacion!$D:$D,"Visibilidad",Puntuacion!$G:$G,"&lt;&gt;NA",Puntuacion!$G:$G,"&lt;&gt;NE")))</f>
        <v/>
      </c>
      <c r="G51">
        <f>IF(COUNTIFS(Puntuacion!$A:$A,$A51,Puntuacion!$C:$C,$C51,Puntuacion!$D:$D,"Asignacion",Puntuacion!$G:$G,"&lt;&gt;NA")&gt;0,1,0)</f>
        <v/>
      </c>
      <c r="H51">
        <f>IF(AND(G51=1,COUNTIFS(Puntuacion!$A:$A,$A51,Puntuacion!$C:$C,$C51,Puntuacion!$D:$D,"Asignacion",Puntuacion!$G:$G,"NE")=0),1,0)</f>
        <v/>
      </c>
      <c r="I51" s="5">
        <f>IF(G51=0,"NA",IF(H51=0,"NE",AVERAGEIFS(Puntuacion!$G:$G,Puntuacion!$A:$A,$A51,Puntuacion!$C:$C,$C51,Puntuacion!$D:$D,"Asignacion",Puntuacion!$G:$G,"&lt;&gt;NA",Puntuacion!$G:$G,"&lt;&gt;NE")))</f>
        <v/>
      </c>
      <c r="J51">
        <f>IF(COUNTIFS(Puntuacion!$A:$A,$A51,Puntuacion!$C:$C,$C51,Puntuacion!$D:$D,"Optimizacion",Puntuacion!$G:$G,"&lt;&gt;NA")&gt;0,1,0)</f>
        <v/>
      </c>
      <c r="K51">
        <f>IF(AND(J51=1,COUNTIFS(Puntuacion!$A:$A,$A51,Puntuacion!$C:$C,$C51,Puntuacion!$D:$D,"Optimizacion",Puntuacion!$G:$G,"NE")=0),1,0)</f>
        <v/>
      </c>
      <c r="L51" s="5">
        <f>IF(J51=0,"NA",IF(K51=0,"NE",AVERAGEIFS(Puntuacion!$G:$G,Puntuacion!$A:$A,$A51,Puntuacion!$C:$C,$C51,Puntuacion!$D:$D,"Optimizacion",Puntuacion!$G:$G,"&lt;&gt;NA",Puntuacion!$G:$G,"&lt;&gt;NE")))</f>
        <v/>
      </c>
      <c r="M51">
        <f>IF(COUNTIFS(Puntuacion!$A:$A,$A51,Puntuacion!$C:$C,$C51,Puntuacion!$D:$D,"Automatizacion",Puntuacion!$G:$G,"&lt;&gt;NA")&gt;0,1,0)</f>
        <v/>
      </c>
      <c r="N51">
        <f>IF(AND(M51=1,COUNTIFS(Puntuacion!$A:$A,$A51,Puntuacion!$C:$C,$C51,Puntuacion!$D:$D,"Automatizacion",Puntuacion!$G:$G,"NE")=0),1,0)</f>
        <v/>
      </c>
      <c r="O51" s="5">
        <f>IF(M51=0,"NA",IF(N51=0,"NE",AVERAGEIFS(Puntuacion!$G:$G,Puntuacion!$A:$A,$A51,Puntuacion!$C:$C,$C51,Puntuacion!$D:$D,"Automatizacion",Puntuacion!$G:$G,"&lt;&gt;NA",Puntuacion!$G:$G,"&lt;&gt;NE")))</f>
        <v/>
      </c>
      <c r="P51">
        <f>IF(COUNTIFS(Puntuacion!$A:$A,$A51,Puntuacion!$C:$C,$C51,Puntuacion!$D:$D,"Multicloud",Puntuacion!$G:$G,"&lt;&gt;NA")&gt;0,1,0)</f>
        <v/>
      </c>
      <c r="Q51">
        <f>IF(AND(P51=1,COUNTIFS(Puntuacion!$A:$A,$A51,Puntuacion!$C:$C,$C51,Puntuacion!$D:$D,"Multicloud",Puntuacion!$G:$G,"NE")=0),1,0)</f>
        <v/>
      </c>
      <c r="R51" s="5">
        <f>IF(P51=0,"NA",IF(Q51=0,"NE",AVERAGEIFS(Puntuacion!$G:$G,Puntuacion!$A:$A,$A51,Puntuacion!$C:$C,$C51,Puntuacion!$D:$D,"Multicloud",Puntuacion!$G:$G,"&lt;&gt;NA",Puntuacion!$G:$G,"&lt;&gt;NE")))</f>
        <v/>
      </c>
      <c r="S51">
        <f>IF(COUNTIFS(Puntuacion!$A:$A,$A51,Puntuacion!$C:$C,$C51,Puntuacion!$D:$D,"Integracion",Puntuacion!$G:$G,"&lt;&gt;NA")&gt;0,1,0)</f>
        <v/>
      </c>
      <c r="T51">
        <f>IF(AND(S51=1,COUNTIFS(Puntuacion!$A:$A,$A51,Puntuacion!$C:$C,$C51,Puntuacion!$D:$D,"Integracion",Puntuacion!$G:$G,"NE")=0),1,0)</f>
        <v/>
      </c>
      <c r="U51" s="5">
        <f>IF(S51=0,"NA",IF(T51=0,"NE",AVERAGEIFS(Puntuacion!$G:$G,Puntuacion!$A:$A,$A51,Puntuacion!$C:$C,$C51,Puntuacion!$D:$D,"Integracion",Puntuacion!$G:$G,"&lt;&gt;NA",Puntuacion!$G:$G,"&lt;&gt;NE")))</f>
        <v/>
      </c>
      <c r="V51">
        <f>IF(COUNTIFS(Puntuacion!$A:$A,$A51,Puntuacion!$C:$C,$C51,Puntuacion!$D:$D,"Adopcion",Puntuacion!$G:$G,"&lt;&gt;NA")&gt;0,1,0)</f>
        <v/>
      </c>
      <c r="W51">
        <f>IF(AND(V51=1,COUNTIFS(Puntuacion!$A:$A,$A51,Puntuacion!$C:$C,$C51,Puntuacion!$D:$D,"Adopcion",Puntuacion!$G:$G,"NE")=0),1,0)</f>
        <v/>
      </c>
      <c r="X51" s="5">
        <f>IF(V51=0,"NA",IF(W51=0,"NE",AVERAGEIFS(Puntuacion!$G:$G,Puntuacion!$A:$A,$A51,Puntuacion!$C:$C,$C51,Puntuacion!$D:$D,"Adopcion",Puntuacion!$G:$G,"&lt;&gt;NA",Puntuacion!$G:$G,"&lt;&gt;NE")))</f>
        <v/>
      </c>
      <c r="Y51">
        <f>IF(COUNTIFS(Puntuacion!$A:$A,$A51,Puntuacion!$C:$C,$C51,Puntuacion!$D:$D,"Precio",Puntuacion!$G:$G,"&lt;&gt;NA")&gt;0,1,0)</f>
        <v/>
      </c>
      <c r="Z51">
        <f>IF(AND(Y51=1,COUNTIFS(Puntuacion!$A:$A,$A51,Puntuacion!$C:$C,$C51,Puntuacion!$D:$D,"Precio",Puntuacion!$G:$G,"NE")=0),1,0)</f>
        <v/>
      </c>
      <c r="AA51" s="5">
        <f>IF(Y51=0,"NA",IF(Z51=0,"NE",AVERAGEIFS(Puntuacion!$G:$G,Puntuacion!$A:$A,$A51,Puntuacion!$C:$C,$C51,Puntuacion!$D:$D,"Precio",Puntuacion!$G:$G,"&lt;&gt;NA",Puntuacion!$G:$G,"&lt;&gt;NE")))</f>
        <v/>
      </c>
      <c r="AB51">
        <f>IF(COUNTIFS(Puntuacion!$A:$A,$A51,Puntuacion!$C:$C,$C51,Puntuacion!$D:$D,"Dependencia",Puntuacion!$G:$G,"&lt;&gt;NA")&gt;0,1,0)</f>
        <v/>
      </c>
      <c r="AC51">
        <f>IF(AND(AB51=1,COUNTIFS(Puntuacion!$A:$A,$A51,Puntuacion!$C:$C,$C51,Puntuacion!$D:$D,"Dependencia",Puntuacion!$G:$G,"NE")=0),1,0)</f>
        <v/>
      </c>
      <c r="AD51" s="5">
        <f>IF(AB51=0,"NA",IF(AC51=0,"NE",AVERAGEIFS(Puntuacion!$G:$G,Puntuacion!$A:$A,$A51,Puntuacion!$C:$C,$C51,Puntuacion!$D:$D,"Dependencia",Puntuacion!$G:$G,"&lt;&gt;NA",Puntuacion!$G:$G,"&lt;&gt;NE")))</f>
        <v/>
      </c>
      <c r="AE51" s="5">
        <f>IFERROR(100*(E51*Pesos!$B$2+H51*Pesos!$B$3+K51*Pesos!$B$4+N51*Pesos!$B$5+Q51*Pesos!$B$6+T51*Pesos!$B$7+W51*Pesos!$B$8+Z51*Pesos!$B$9+AC51*Pesos!$B$10)/(D51*Pesos!$B$2+G51*Pesos!$B$3+J51*Pesos!$B$4+M51*Pesos!$B$5+P51*Pesos!$B$6+S51*Pesos!$B$7+V51*Pesos!$B$8+Y51*Pesos!$B$9+AB51*Pesos!$B$10),"Sin criterios aplicables")</f>
        <v/>
      </c>
      <c r="AF51" s="5">
        <f>IFERROR(100*(E51*Pesos!$C$2+H51*Pesos!$C$3+K51*Pesos!$C$4+N51*Pesos!$C$5+Q51*Pesos!$C$6+T51*Pesos!$C$7+W51*Pesos!$C$8+Z51*Pesos!$C$9+AC51*Pesos!$C$10)/(D51*Pesos!$C$2+G51*Pesos!$C$3+J51*Pesos!$C$4+M51*Pesos!$C$5+P51*Pesos!$C$6+S51*Pesos!$C$7+V51*Pesos!$C$8+Y51*Pesos!$C$9+AB51*Pesos!$C$10),"Sin criterios aplicables")</f>
        <v/>
      </c>
      <c r="AG51" s="5">
        <f>IF(OR(AE51="Sin criterios aplicables",AE51&lt;70),"Insufficient evidence",100*(Pesos!$B$2*IF(E51=1,F51,0)+Pesos!$B$3*IF(H51=1,I51,0)+Pesos!$B$4*IF(K51=1,L51,0)+Pesos!$B$5*IF(N51=1,O51,0)+Pesos!$B$6*IF(Q51=1,R51,0)+Pesos!$B$7*IF(T51=1,U51,0)+Pesos!$B$8*IF(W51=1,X51,0)+Pesos!$B$9*IF(Z51=1,AA51,0)+Pesos!$B$10*IF(AC51=1,AD51,0))/(3*(Pesos!$B$2*E51+Pesos!$B$3*H51+Pesos!$B$4*K51+Pesos!$B$5*N51+Pesos!$B$6*Q51+Pesos!$B$7*T51+Pesos!$B$8*W51+Pesos!$B$9*Z51+Pesos!$B$10*AC51)))</f>
        <v/>
      </c>
      <c r="AH51" s="5">
        <f>IF(OR(AF51="Sin criterios aplicables",AF51&lt;70),"Insufficient evidence",100*(Pesos!$C$2*IF(E51=1,F51,0)+Pesos!$C$3*IF(H51=1,I51,0)+Pesos!$C$4*IF(K51=1,L51,0)+Pesos!$C$5*IF(N51=1,O51,0)+Pesos!$C$6*IF(Q51=1,R51,0)+Pesos!$C$7*IF(T51=1,U51,0)+Pesos!$C$8*IF(W51=1,X51,0)+Pesos!$C$9*IF(Z51=1,AA51,0)+Pesos!$C$10*IF(AC51=1,AD51,0))/(3*(Pesos!$C$2*E51+Pesos!$C$3*H51+Pesos!$C$4*K51+Pesos!$C$5*N51+Pesos!$C$6*Q51+Pesos!$C$7*T51+Pesos!$C$8*W51+Pesos!$C$9*Z51+Pesos!$C$10*AC51)))</f>
        <v/>
      </c>
      <c r="AI51">
        <f>IF(AG51="Insufficient evidence","Insufficient evidence (cobertura&lt;70%)",IF(AG51&lt;50/3,"Insufficient",IF(AG51&lt;50,"Basic",IF(AG51&lt;250/3,"Solid","Advanced"))))</f>
        <v/>
      </c>
      <c r="AJ51">
        <f>IF(AH51="Insufficient evidence","Insufficient evidence (cobertura&lt;70%)",IF(AH51&lt;50/3,"Insufficient",IF(AH51&lt;50,"Basic",IF(AH51&lt;250/3,"Solid","Advanced"))))</f>
        <v/>
      </c>
      <c r="AK51">
        <f>IF(TRIM(IF(AND(ISNUMBER(F51),F51&lt;1),"Visibilidad","") &amp; " " &amp; IF(AND(ISNUMBER(U51),U51&lt;1),"Integración",""))="","Ninguno",TRIM(IF(AND(ISNUMBER(F51),F51&lt;1),"Visibilidad","") &amp; " " &amp; IF(AND(ISNUMBER(U51),U51&lt;1),"Integración","")))</f>
        <v/>
      </c>
    </row>
    <row r="52">
      <c r="A52" t="inlineStr">
        <is>
          <t>E6</t>
        </is>
      </c>
      <c r="B52" t="inlineStr">
        <is>
          <t>Cloud nativa</t>
        </is>
      </c>
      <c r="C52" t="inlineStr">
        <is>
          <t>AWS Cost Optimization Hub</t>
        </is>
      </c>
      <c r="D52">
        <f>IF(COUNTIFS(Puntuacion!$A:$A,$A52,Puntuacion!$C:$C,$C52,Puntuacion!$D:$D,"Visibilidad",Puntuacion!$G:$G,"&lt;&gt;NA")&gt;0,1,0)</f>
        <v/>
      </c>
      <c r="E52">
        <f>IF(AND(D52=1,COUNTIFS(Puntuacion!$A:$A,$A52,Puntuacion!$C:$C,$C52,Puntuacion!$D:$D,"Visibilidad",Puntuacion!$G:$G,"NE")=0),1,0)</f>
        <v/>
      </c>
      <c r="F52" s="5">
        <f>IF(D52=0,"NA",IF(E52=0,"NE",AVERAGEIFS(Puntuacion!$G:$G,Puntuacion!$A:$A,$A52,Puntuacion!$C:$C,$C52,Puntuacion!$D:$D,"Visibilidad",Puntuacion!$G:$G,"&lt;&gt;NA",Puntuacion!$G:$G,"&lt;&gt;NE")))</f>
        <v/>
      </c>
      <c r="G52">
        <f>IF(COUNTIFS(Puntuacion!$A:$A,$A52,Puntuacion!$C:$C,$C52,Puntuacion!$D:$D,"Asignacion",Puntuacion!$G:$G,"&lt;&gt;NA")&gt;0,1,0)</f>
        <v/>
      </c>
      <c r="H52">
        <f>IF(AND(G52=1,COUNTIFS(Puntuacion!$A:$A,$A52,Puntuacion!$C:$C,$C52,Puntuacion!$D:$D,"Asignacion",Puntuacion!$G:$G,"NE")=0),1,0)</f>
        <v/>
      </c>
      <c r="I52" s="5">
        <f>IF(G52=0,"NA",IF(H52=0,"NE",AVERAGEIFS(Puntuacion!$G:$G,Puntuacion!$A:$A,$A52,Puntuacion!$C:$C,$C52,Puntuacion!$D:$D,"Asignacion",Puntuacion!$G:$G,"&lt;&gt;NA",Puntuacion!$G:$G,"&lt;&gt;NE")))</f>
        <v/>
      </c>
      <c r="J52">
        <f>IF(COUNTIFS(Puntuacion!$A:$A,$A52,Puntuacion!$C:$C,$C52,Puntuacion!$D:$D,"Optimizacion",Puntuacion!$G:$G,"&lt;&gt;NA")&gt;0,1,0)</f>
        <v/>
      </c>
      <c r="K52">
        <f>IF(AND(J52=1,COUNTIFS(Puntuacion!$A:$A,$A52,Puntuacion!$C:$C,$C52,Puntuacion!$D:$D,"Optimizacion",Puntuacion!$G:$G,"NE")=0),1,0)</f>
        <v/>
      </c>
      <c r="L52" s="5">
        <f>IF(J52=0,"NA",IF(K52=0,"NE",AVERAGEIFS(Puntuacion!$G:$G,Puntuacion!$A:$A,$A52,Puntuacion!$C:$C,$C52,Puntuacion!$D:$D,"Optimizacion",Puntuacion!$G:$G,"&lt;&gt;NA",Puntuacion!$G:$G,"&lt;&gt;NE")))</f>
        <v/>
      </c>
      <c r="M52">
        <f>IF(COUNTIFS(Puntuacion!$A:$A,$A52,Puntuacion!$C:$C,$C52,Puntuacion!$D:$D,"Automatizacion",Puntuacion!$G:$G,"&lt;&gt;NA")&gt;0,1,0)</f>
        <v/>
      </c>
      <c r="N52">
        <f>IF(AND(M52=1,COUNTIFS(Puntuacion!$A:$A,$A52,Puntuacion!$C:$C,$C52,Puntuacion!$D:$D,"Automatizacion",Puntuacion!$G:$G,"NE")=0),1,0)</f>
        <v/>
      </c>
      <c r="O52" s="5">
        <f>IF(M52=0,"NA",IF(N52=0,"NE",AVERAGEIFS(Puntuacion!$G:$G,Puntuacion!$A:$A,$A52,Puntuacion!$C:$C,$C52,Puntuacion!$D:$D,"Automatizacion",Puntuacion!$G:$G,"&lt;&gt;NA",Puntuacion!$G:$G,"&lt;&gt;NE")))</f>
        <v/>
      </c>
      <c r="P52">
        <f>IF(COUNTIFS(Puntuacion!$A:$A,$A52,Puntuacion!$C:$C,$C52,Puntuacion!$D:$D,"Multicloud",Puntuacion!$G:$G,"&lt;&gt;NA")&gt;0,1,0)</f>
        <v/>
      </c>
      <c r="Q52">
        <f>IF(AND(P52=1,COUNTIFS(Puntuacion!$A:$A,$A52,Puntuacion!$C:$C,$C52,Puntuacion!$D:$D,"Multicloud",Puntuacion!$G:$G,"NE")=0),1,0)</f>
        <v/>
      </c>
      <c r="R52" s="5">
        <f>IF(P52=0,"NA",IF(Q52=0,"NE",AVERAGEIFS(Puntuacion!$G:$G,Puntuacion!$A:$A,$A52,Puntuacion!$C:$C,$C52,Puntuacion!$D:$D,"Multicloud",Puntuacion!$G:$G,"&lt;&gt;NA",Puntuacion!$G:$G,"&lt;&gt;NE")))</f>
        <v/>
      </c>
      <c r="S52">
        <f>IF(COUNTIFS(Puntuacion!$A:$A,$A52,Puntuacion!$C:$C,$C52,Puntuacion!$D:$D,"Integracion",Puntuacion!$G:$G,"&lt;&gt;NA")&gt;0,1,0)</f>
        <v/>
      </c>
      <c r="T52">
        <f>IF(AND(S52=1,COUNTIFS(Puntuacion!$A:$A,$A52,Puntuacion!$C:$C,$C52,Puntuacion!$D:$D,"Integracion",Puntuacion!$G:$G,"NE")=0),1,0)</f>
        <v/>
      </c>
      <c r="U52" s="5">
        <f>IF(S52=0,"NA",IF(T52=0,"NE",AVERAGEIFS(Puntuacion!$G:$G,Puntuacion!$A:$A,$A52,Puntuacion!$C:$C,$C52,Puntuacion!$D:$D,"Integracion",Puntuacion!$G:$G,"&lt;&gt;NA",Puntuacion!$G:$G,"&lt;&gt;NE")))</f>
        <v/>
      </c>
      <c r="V52">
        <f>IF(COUNTIFS(Puntuacion!$A:$A,$A52,Puntuacion!$C:$C,$C52,Puntuacion!$D:$D,"Adopcion",Puntuacion!$G:$G,"&lt;&gt;NA")&gt;0,1,0)</f>
        <v/>
      </c>
      <c r="W52">
        <f>IF(AND(V52=1,COUNTIFS(Puntuacion!$A:$A,$A52,Puntuacion!$C:$C,$C52,Puntuacion!$D:$D,"Adopcion",Puntuacion!$G:$G,"NE")=0),1,0)</f>
        <v/>
      </c>
      <c r="X52" s="5">
        <f>IF(V52=0,"NA",IF(W52=0,"NE",AVERAGEIFS(Puntuacion!$G:$G,Puntuacion!$A:$A,$A52,Puntuacion!$C:$C,$C52,Puntuacion!$D:$D,"Adopcion",Puntuacion!$G:$G,"&lt;&gt;NA",Puntuacion!$G:$G,"&lt;&gt;NE")))</f>
        <v/>
      </c>
      <c r="Y52">
        <f>IF(COUNTIFS(Puntuacion!$A:$A,$A52,Puntuacion!$C:$C,$C52,Puntuacion!$D:$D,"Precio",Puntuacion!$G:$G,"&lt;&gt;NA")&gt;0,1,0)</f>
        <v/>
      </c>
      <c r="Z52">
        <f>IF(AND(Y52=1,COUNTIFS(Puntuacion!$A:$A,$A52,Puntuacion!$C:$C,$C52,Puntuacion!$D:$D,"Precio",Puntuacion!$G:$G,"NE")=0),1,0)</f>
        <v/>
      </c>
      <c r="AA52" s="5">
        <f>IF(Y52=0,"NA",IF(Z52=0,"NE",AVERAGEIFS(Puntuacion!$G:$G,Puntuacion!$A:$A,$A52,Puntuacion!$C:$C,$C52,Puntuacion!$D:$D,"Precio",Puntuacion!$G:$G,"&lt;&gt;NA",Puntuacion!$G:$G,"&lt;&gt;NE")))</f>
        <v/>
      </c>
      <c r="AB52">
        <f>IF(COUNTIFS(Puntuacion!$A:$A,$A52,Puntuacion!$C:$C,$C52,Puntuacion!$D:$D,"Dependencia",Puntuacion!$G:$G,"&lt;&gt;NA")&gt;0,1,0)</f>
        <v/>
      </c>
      <c r="AC52">
        <f>IF(AND(AB52=1,COUNTIFS(Puntuacion!$A:$A,$A52,Puntuacion!$C:$C,$C52,Puntuacion!$D:$D,"Dependencia",Puntuacion!$G:$G,"NE")=0),1,0)</f>
        <v/>
      </c>
      <c r="AD52" s="5">
        <f>IF(AB52=0,"NA",IF(AC52=0,"NE",AVERAGEIFS(Puntuacion!$G:$G,Puntuacion!$A:$A,$A52,Puntuacion!$C:$C,$C52,Puntuacion!$D:$D,"Dependencia",Puntuacion!$G:$G,"&lt;&gt;NA",Puntuacion!$G:$G,"&lt;&gt;NE")))</f>
        <v/>
      </c>
      <c r="AE52" s="5">
        <f>IFERROR(100*(E52*Pesos!$B$2+H52*Pesos!$B$3+K52*Pesos!$B$4+N52*Pesos!$B$5+Q52*Pesos!$B$6+T52*Pesos!$B$7+W52*Pesos!$B$8+Z52*Pesos!$B$9+AC52*Pesos!$B$10)/(D52*Pesos!$B$2+G52*Pesos!$B$3+J52*Pesos!$B$4+M52*Pesos!$B$5+P52*Pesos!$B$6+S52*Pesos!$B$7+V52*Pesos!$B$8+Y52*Pesos!$B$9+AB52*Pesos!$B$10),"Sin criterios aplicables")</f>
        <v/>
      </c>
      <c r="AF52" s="5">
        <f>IFERROR(100*(E52*Pesos!$C$2+H52*Pesos!$C$3+K52*Pesos!$C$4+N52*Pesos!$C$5+Q52*Pesos!$C$6+T52*Pesos!$C$7+W52*Pesos!$C$8+Z52*Pesos!$C$9+AC52*Pesos!$C$10)/(D52*Pesos!$C$2+G52*Pesos!$C$3+J52*Pesos!$C$4+M52*Pesos!$C$5+P52*Pesos!$C$6+S52*Pesos!$C$7+V52*Pesos!$C$8+Y52*Pesos!$C$9+AB52*Pesos!$C$10),"Sin criterios aplicables")</f>
        <v/>
      </c>
      <c r="AG52" s="5">
        <f>IF(OR(AE52="Sin criterios aplicables",AE52&lt;70),"Insufficient evidence",100*(Pesos!$B$2*IF(E52=1,F52,0)+Pesos!$B$3*IF(H52=1,I52,0)+Pesos!$B$4*IF(K52=1,L52,0)+Pesos!$B$5*IF(N52=1,O52,0)+Pesos!$B$6*IF(Q52=1,R52,0)+Pesos!$B$7*IF(T52=1,U52,0)+Pesos!$B$8*IF(W52=1,X52,0)+Pesos!$B$9*IF(Z52=1,AA52,0)+Pesos!$B$10*IF(AC52=1,AD52,0))/(3*(Pesos!$B$2*E52+Pesos!$B$3*H52+Pesos!$B$4*K52+Pesos!$B$5*N52+Pesos!$B$6*Q52+Pesos!$B$7*T52+Pesos!$B$8*W52+Pesos!$B$9*Z52+Pesos!$B$10*AC52)))</f>
        <v/>
      </c>
      <c r="AH52" s="5">
        <f>IF(OR(AF52="Sin criterios aplicables",AF52&lt;70),"Insufficient evidence",100*(Pesos!$C$2*IF(E52=1,F52,0)+Pesos!$C$3*IF(H52=1,I52,0)+Pesos!$C$4*IF(K52=1,L52,0)+Pesos!$C$5*IF(N52=1,O52,0)+Pesos!$C$6*IF(Q52=1,R52,0)+Pesos!$C$7*IF(T52=1,U52,0)+Pesos!$C$8*IF(W52=1,X52,0)+Pesos!$C$9*IF(Z52=1,AA52,0)+Pesos!$C$10*IF(AC52=1,AD52,0))/(3*(Pesos!$C$2*E52+Pesos!$C$3*H52+Pesos!$C$4*K52+Pesos!$C$5*N52+Pesos!$C$6*Q52+Pesos!$C$7*T52+Pesos!$C$8*W52+Pesos!$C$9*Z52+Pesos!$C$10*AC52)))</f>
        <v/>
      </c>
      <c r="AI52">
        <f>IF(AG52="Insufficient evidence","Insufficient evidence (cobertura&lt;70%)",IF(AG52&lt;50/3,"Insufficient",IF(AG52&lt;50,"Basic",IF(AG52&lt;250/3,"Solid","Advanced"))))</f>
        <v/>
      </c>
      <c r="AJ52">
        <f>IF(AH52="Insufficient evidence","Insufficient evidence (cobertura&lt;70%)",IF(AH52&lt;50/3,"Insufficient",IF(AH52&lt;50,"Basic",IF(AH52&lt;250/3,"Solid","Advanced"))))</f>
        <v/>
      </c>
      <c r="AK52">
        <f>IF(TRIM(IF(AND(ISNUMBER(F52),F52&lt;1),"Visibilidad","") &amp; " " &amp; IF(AND(ISNUMBER(U52),U52&lt;1),"Integración",""))="","Ninguno",TRIM(IF(AND(ISNUMBER(F52),F52&lt;1),"Visibilidad","") &amp; " " &amp; IF(AND(ISNUMBER(U52),U52&lt;1),"Integración","")))</f>
        <v/>
      </c>
    </row>
    <row r="53">
      <c r="A53" t="inlineStr">
        <is>
          <t>E6</t>
        </is>
      </c>
      <c r="B53" t="inlineStr">
        <is>
          <t>Cloud nativa</t>
        </is>
      </c>
      <c r="C53" t="inlineStr">
        <is>
          <t>Azure Cost Management</t>
        </is>
      </c>
      <c r="D53">
        <f>IF(COUNTIFS(Puntuacion!$A:$A,$A53,Puntuacion!$C:$C,$C53,Puntuacion!$D:$D,"Visibilidad",Puntuacion!$G:$G,"&lt;&gt;NA")&gt;0,1,0)</f>
        <v/>
      </c>
      <c r="E53">
        <f>IF(AND(D53=1,COUNTIFS(Puntuacion!$A:$A,$A53,Puntuacion!$C:$C,$C53,Puntuacion!$D:$D,"Visibilidad",Puntuacion!$G:$G,"NE")=0),1,0)</f>
        <v/>
      </c>
      <c r="F53" s="5">
        <f>IF(D53=0,"NA",IF(E53=0,"NE",AVERAGEIFS(Puntuacion!$G:$G,Puntuacion!$A:$A,$A53,Puntuacion!$C:$C,$C53,Puntuacion!$D:$D,"Visibilidad",Puntuacion!$G:$G,"&lt;&gt;NA",Puntuacion!$G:$G,"&lt;&gt;NE")))</f>
        <v/>
      </c>
      <c r="G53">
        <f>IF(COUNTIFS(Puntuacion!$A:$A,$A53,Puntuacion!$C:$C,$C53,Puntuacion!$D:$D,"Asignacion",Puntuacion!$G:$G,"&lt;&gt;NA")&gt;0,1,0)</f>
        <v/>
      </c>
      <c r="H53">
        <f>IF(AND(G53=1,COUNTIFS(Puntuacion!$A:$A,$A53,Puntuacion!$C:$C,$C53,Puntuacion!$D:$D,"Asignacion",Puntuacion!$G:$G,"NE")=0),1,0)</f>
        <v/>
      </c>
      <c r="I53" s="5">
        <f>IF(G53=0,"NA",IF(H53=0,"NE",AVERAGEIFS(Puntuacion!$G:$G,Puntuacion!$A:$A,$A53,Puntuacion!$C:$C,$C53,Puntuacion!$D:$D,"Asignacion",Puntuacion!$G:$G,"&lt;&gt;NA",Puntuacion!$G:$G,"&lt;&gt;NE")))</f>
        <v/>
      </c>
      <c r="J53">
        <f>IF(COUNTIFS(Puntuacion!$A:$A,$A53,Puntuacion!$C:$C,$C53,Puntuacion!$D:$D,"Optimizacion",Puntuacion!$G:$G,"&lt;&gt;NA")&gt;0,1,0)</f>
        <v/>
      </c>
      <c r="K53">
        <f>IF(AND(J53=1,COUNTIFS(Puntuacion!$A:$A,$A53,Puntuacion!$C:$C,$C53,Puntuacion!$D:$D,"Optimizacion",Puntuacion!$G:$G,"NE")=0),1,0)</f>
        <v/>
      </c>
      <c r="L53" s="5">
        <f>IF(J53=0,"NA",IF(K53=0,"NE",AVERAGEIFS(Puntuacion!$G:$G,Puntuacion!$A:$A,$A53,Puntuacion!$C:$C,$C53,Puntuacion!$D:$D,"Optimizacion",Puntuacion!$G:$G,"&lt;&gt;NA",Puntuacion!$G:$G,"&lt;&gt;NE")))</f>
        <v/>
      </c>
      <c r="M53">
        <f>IF(COUNTIFS(Puntuacion!$A:$A,$A53,Puntuacion!$C:$C,$C53,Puntuacion!$D:$D,"Automatizacion",Puntuacion!$G:$G,"&lt;&gt;NA")&gt;0,1,0)</f>
        <v/>
      </c>
      <c r="N53">
        <f>IF(AND(M53=1,COUNTIFS(Puntuacion!$A:$A,$A53,Puntuacion!$C:$C,$C53,Puntuacion!$D:$D,"Automatizacion",Puntuacion!$G:$G,"NE")=0),1,0)</f>
        <v/>
      </c>
      <c r="O53" s="5">
        <f>IF(M53=0,"NA",IF(N53=0,"NE",AVERAGEIFS(Puntuacion!$G:$G,Puntuacion!$A:$A,$A53,Puntuacion!$C:$C,$C53,Puntuacion!$D:$D,"Automatizacion",Puntuacion!$G:$G,"&lt;&gt;NA",Puntuacion!$G:$G,"&lt;&gt;NE")))</f>
        <v/>
      </c>
      <c r="P53">
        <f>IF(COUNTIFS(Puntuacion!$A:$A,$A53,Puntuacion!$C:$C,$C53,Puntuacion!$D:$D,"Multicloud",Puntuacion!$G:$G,"&lt;&gt;NA")&gt;0,1,0)</f>
        <v/>
      </c>
      <c r="Q53">
        <f>IF(AND(P53=1,COUNTIFS(Puntuacion!$A:$A,$A53,Puntuacion!$C:$C,$C53,Puntuacion!$D:$D,"Multicloud",Puntuacion!$G:$G,"NE")=0),1,0)</f>
        <v/>
      </c>
      <c r="R53" s="5">
        <f>IF(P53=0,"NA",IF(Q53=0,"NE",AVERAGEIFS(Puntuacion!$G:$G,Puntuacion!$A:$A,$A53,Puntuacion!$C:$C,$C53,Puntuacion!$D:$D,"Multicloud",Puntuacion!$G:$G,"&lt;&gt;NA",Puntuacion!$G:$G,"&lt;&gt;NE")))</f>
        <v/>
      </c>
      <c r="S53">
        <f>IF(COUNTIFS(Puntuacion!$A:$A,$A53,Puntuacion!$C:$C,$C53,Puntuacion!$D:$D,"Integracion",Puntuacion!$G:$G,"&lt;&gt;NA")&gt;0,1,0)</f>
        <v/>
      </c>
      <c r="T53">
        <f>IF(AND(S53=1,COUNTIFS(Puntuacion!$A:$A,$A53,Puntuacion!$C:$C,$C53,Puntuacion!$D:$D,"Integracion",Puntuacion!$G:$G,"NE")=0),1,0)</f>
        <v/>
      </c>
      <c r="U53" s="5">
        <f>IF(S53=0,"NA",IF(T53=0,"NE",AVERAGEIFS(Puntuacion!$G:$G,Puntuacion!$A:$A,$A53,Puntuacion!$C:$C,$C53,Puntuacion!$D:$D,"Integracion",Puntuacion!$G:$G,"&lt;&gt;NA",Puntuacion!$G:$G,"&lt;&gt;NE")))</f>
        <v/>
      </c>
      <c r="V53">
        <f>IF(COUNTIFS(Puntuacion!$A:$A,$A53,Puntuacion!$C:$C,$C53,Puntuacion!$D:$D,"Adopcion",Puntuacion!$G:$G,"&lt;&gt;NA")&gt;0,1,0)</f>
        <v/>
      </c>
      <c r="W53">
        <f>IF(AND(V53=1,COUNTIFS(Puntuacion!$A:$A,$A53,Puntuacion!$C:$C,$C53,Puntuacion!$D:$D,"Adopcion",Puntuacion!$G:$G,"NE")=0),1,0)</f>
        <v/>
      </c>
      <c r="X53" s="5">
        <f>IF(V53=0,"NA",IF(W53=0,"NE",AVERAGEIFS(Puntuacion!$G:$G,Puntuacion!$A:$A,$A53,Puntuacion!$C:$C,$C53,Puntuacion!$D:$D,"Adopcion",Puntuacion!$G:$G,"&lt;&gt;NA",Puntuacion!$G:$G,"&lt;&gt;NE")))</f>
        <v/>
      </c>
      <c r="Y53">
        <f>IF(COUNTIFS(Puntuacion!$A:$A,$A53,Puntuacion!$C:$C,$C53,Puntuacion!$D:$D,"Precio",Puntuacion!$G:$G,"&lt;&gt;NA")&gt;0,1,0)</f>
        <v/>
      </c>
      <c r="Z53">
        <f>IF(AND(Y53=1,COUNTIFS(Puntuacion!$A:$A,$A53,Puntuacion!$C:$C,$C53,Puntuacion!$D:$D,"Precio",Puntuacion!$G:$G,"NE")=0),1,0)</f>
        <v/>
      </c>
      <c r="AA53" s="5">
        <f>IF(Y53=0,"NA",IF(Z53=0,"NE",AVERAGEIFS(Puntuacion!$G:$G,Puntuacion!$A:$A,$A53,Puntuacion!$C:$C,$C53,Puntuacion!$D:$D,"Precio",Puntuacion!$G:$G,"&lt;&gt;NA",Puntuacion!$G:$G,"&lt;&gt;NE")))</f>
        <v/>
      </c>
      <c r="AB53">
        <f>IF(COUNTIFS(Puntuacion!$A:$A,$A53,Puntuacion!$C:$C,$C53,Puntuacion!$D:$D,"Dependencia",Puntuacion!$G:$G,"&lt;&gt;NA")&gt;0,1,0)</f>
        <v/>
      </c>
      <c r="AC53">
        <f>IF(AND(AB53=1,COUNTIFS(Puntuacion!$A:$A,$A53,Puntuacion!$C:$C,$C53,Puntuacion!$D:$D,"Dependencia",Puntuacion!$G:$G,"NE")=0),1,0)</f>
        <v/>
      </c>
      <c r="AD53" s="5">
        <f>IF(AB53=0,"NA",IF(AC53=0,"NE",AVERAGEIFS(Puntuacion!$G:$G,Puntuacion!$A:$A,$A53,Puntuacion!$C:$C,$C53,Puntuacion!$D:$D,"Dependencia",Puntuacion!$G:$G,"&lt;&gt;NA",Puntuacion!$G:$G,"&lt;&gt;NE")))</f>
        <v/>
      </c>
      <c r="AE53" s="5">
        <f>IFERROR(100*(E53*Pesos!$B$2+H53*Pesos!$B$3+K53*Pesos!$B$4+N53*Pesos!$B$5+Q53*Pesos!$B$6+T53*Pesos!$B$7+W53*Pesos!$B$8+Z53*Pesos!$B$9+AC53*Pesos!$B$10)/(D53*Pesos!$B$2+G53*Pesos!$B$3+J53*Pesos!$B$4+M53*Pesos!$B$5+P53*Pesos!$B$6+S53*Pesos!$B$7+V53*Pesos!$B$8+Y53*Pesos!$B$9+AB53*Pesos!$B$10),"Sin criterios aplicables")</f>
        <v/>
      </c>
      <c r="AF53" s="5">
        <f>IFERROR(100*(E53*Pesos!$C$2+H53*Pesos!$C$3+K53*Pesos!$C$4+N53*Pesos!$C$5+Q53*Pesos!$C$6+T53*Pesos!$C$7+W53*Pesos!$C$8+Z53*Pesos!$C$9+AC53*Pesos!$C$10)/(D53*Pesos!$C$2+G53*Pesos!$C$3+J53*Pesos!$C$4+M53*Pesos!$C$5+P53*Pesos!$C$6+S53*Pesos!$C$7+V53*Pesos!$C$8+Y53*Pesos!$C$9+AB53*Pesos!$C$10),"Sin criterios aplicables")</f>
        <v/>
      </c>
      <c r="AG53" s="5">
        <f>IF(OR(AE53="Sin criterios aplicables",AE53&lt;70),"Insufficient evidence",100*(Pesos!$B$2*IF(E53=1,F53,0)+Pesos!$B$3*IF(H53=1,I53,0)+Pesos!$B$4*IF(K53=1,L53,0)+Pesos!$B$5*IF(N53=1,O53,0)+Pesos!$B$6*IF(Q53=1,R53,0)+Pesos!$B$7*IF(T53=1,U53,0)+Pesos!$B$8*IF(W53=1,X53,0)+Pesos!$B$9*IF(Z53=1,AA53,0)+Pesos!$B$10*IF(AC53=1,AD53,0))/(3*(Pesos!$B$2*E53+Pesos!$B$3*H53+Pesos!$B$4*K53+Pesos!$B$5*N53+Pesos!$B$6*Q53+Pesos!$B$7*T53+Pesos!$B$8*W53+Pesos!$B$9*Z53+Pesos!$B$10*AC53)))</f>
        <v/>
      </c>
      <c r="AH53" s="5">
        <f>IF(OR(AF53="Sin criterios aplicables",AF53&lt;70),"Insufficient evidence",100*(Pesos!$C$2*IF(E53=1,F53,0)+Pesos!$C$3*IF(H53=1,I53,0)+Pesos!$C$4*IF(K53=1,L53,0)+Pesos!$C$5*IF(N53=1,O53,0)+Pesos!$C$6*IF(Q53=1,R53,0)+Pesos!$C$7*IF(T53=1,U53,0)+Pesos!$C$8*IF(W53=1,X53,0)+Pesos!$C$9*IF(Z53=1,AA53,0)+Pesos!$C$10*IF(AC53=1,AD53,0))/(3*(Pesos!$C$2*E53+Pesos!$C$3*H53+Pesos!$C$4*K53+Pesos!$C$5*N53+Pesos!$C$6*Q53+Pesos!$C$7*T53+Pesos!$C$8*W53+Pesos!$C$9*Z53+Pesos!$C$10*AC53)))</f>
        <v/>
      </c>
      <c r="AI53">
        <f>IF(AG53="Insufficient evidence","Insufficient evidence (cobertura&lt;70%)",IF(AG53&lt;50/3,"Insufficient",IF(AG53&lt;50,"Basic",IF(AG53&lt;250/3,"Solid","Advanced"))))</f>
        <v/>
      </c>
      <c r="AJ53">
        <f>IF(AH53="Insufficient evidence","Insufficient evidence (cobertura&lt;70%)",IF(AH53&lt;50/3,"Insufficient",IF(AH53&lt;50,"Basic",IF(AH53&lt;250/3,"Solid","Advanced"))))</f>
        <v/>
      </c>
      <c r="AK53">
        <f>IF(TRIM(IF(AND(ISNUMBER(F53),F53&lt;1),"Visibilidad","") &amp; " " &amp; IF(AND(ISNUMBER(U53),U53&lt;1),"Integración",""))="","Ninguno",TRIM(IF(AND(ISNUMBER(F53),F53&lt;1),"Visibilidad","") &amp; " " &amp; IF(AND(ISNUMBER(U53),U53&lt;1),"Integración","")))</f>
        <v/>
      </c>
    </row>
    <row r="54">
      <c r="A54" t="inlineStr">
        <is>
          <t>E6</t>
        </is>
      </c>
      <c r="B54" t="inlineStr">
        <is>
          <t>Cloud nativa</t>
        </is>
      </c>
      <c r="C54" t="inlineStr">
        <is>
          <t>Google Cloud Billing</t>
        </is>
      </c>
      <c r="D54">
        <f>IF(COUNTIFS(Puntuacion!$A:$A,$A54,Puntuacion!$C:$C,$C54,Puntuacion!$D:$D,"Visibilidad",Puntuacion!$G:$G,"&lt;&gt;NA")&gt;0,1,0)</f>
        <v/>
      </c>
      <c r="E54">
        <f>IF(AND(D54=1,COUNTIFS(Puntuacion!$A:$A,$A54,Puntuacion!$C:$C,$C54,Puntuacion!$D:$D,"Visibilidad",Puntuacion!$G:$G,"NE")=0),1,0)</f>
        <v/>
      </c>
      <c r="F54" s="5">
        <f>IF(D54=0,"NA",IF(E54=0,"NE",AVERAGEIFS(Puntuacion!$G:$G,Puntuacion!$A:$A,$A54,Puntuacion!$C:$C,$C54,Puntuacion!$D:$D,"Visibilidad",Puntuacion!$G:$G,"&lt;&gt;NA",Puntuacion!$G:$G,"&lt;&gt;NE")))</f>
        <v/>
      </c>
      <c r="G54">
        <f>IF(COUNTIFS(Puntuacion!$A:$A,$A54,Puntuacion!$C:$C,$C54,Puntuacion!$D:$D,"Asignacion",Puntuacion!$G:$G,"&lt;&gt;NA")&gt;0,1,0)</f>
        <v/>
      </c>
      <c r="H54">
        <f>IF(AND(G54=1,COUNTIFS(Puntuacion!$A:$A,$A54,Puntuacion!$C:$C,$C54,Puntuacion!$D:$D,"Asignacion",Puntuacion!$G:$G,"NE")=0),1,0)</f>
        <v/>
      </c>
      <c r="I54" s="5">
        <f>IF(G54=0,"NA",IF(H54=0,"NE",AVERAGEIFS(Puntuacion!$G:$G,Puntuacion!$A:$A,$A54,Puntuacion!$C:$C,$C54,Puntuacion!$D:$D,"Asignacion",Puntuacion!$G:$G,"&lt;&gt;NA",Puntuacion!$G:$G,"&lt;&gt;NE")))</f>
        <v/>
      </c>
      <c r="J54">
        <f>IF(COUNTIFS(Puntuacion!$A:$A,$A54,Puntuacion!$C:$C,$C54,Puntuacion!$D:$D,"Optimizacion",Puntuacion!$G:$G,"&lt;&gt;NA")&gt;0,1,0)</f>
        <v/>
      </c>
      <c r="K54">
        <f>IF(AND(J54=1,COUNTIFS(Puntuacion!$A:$A,$A54,Puntuacion!$C:$C,$C54,Puntuacion!$D:$D,"Optimizacion",Puntuacion!$G:$G,"NE")=0),1,0)</f>
        <v/>
      </c>
      <c r="L54" s="5">
        <f>IF(J54=0,"NA",IF(K54=0,"NE",AVERAGEIFS(Puntuacion!$G:$G,Puntuacion!$A:$A,$A54,Puntuacion!$C:$C,$C54,Puntuacion!$D:$D,"Optimizacion",Puntuacion!$G:$G,"&lt;&gt;NA",Puntuacion!$G:$G,"&lt;&gt;NE")))</f>
        <v/>
      </c>
      <c r="M54">
        <f>IF(COUNTIFS(Puntuacion!$A:$A,$A54,Puntuacion!$C:$C,$C54,Puntuacion!$D:$D,"Automatizacion",Puntuacion!$G:$G,"&lt;&gt;NA")&gt;0,1,0)</f>
        <v/>
      </c>
      <c r="N54">
        <f>IF(AND(M54=1,COUNTIFS(Puntuacion!$A:$A,$A54,Puntuacion!$C:$C,$C54,Puntuacion!$D:$D,"Automatizacion",Puntuacion!$G:$G,"NE")=0),1,0)</f>
        <v/>
      </c>
      <c r="O54" s="5">
        <f>IF(M54=0,"NA",IF(N54=0,"NE",AVERAGEIFS(Puntuacion!$G:$G,Puntuacion!$A:$A,$A54,Puntuacion!$C:$C,$C54,Puntuacion!$D:$D,"Automatizacion",Puntuacion!$G:$G,"&lt;&gt;NA",Puntuacion!$G:$G,"&lt;&gt;NE")))</f>
        <v/>
      </c>
      <c r="P54">
        <f>IF(COUNTIFS(Puntuacion!$A:$A,$A54,Puntuacion!$C:$C,$C54,Puntuacion!$D:$D,"Multicloud",Puntuacion!$G:$G,"&lt;&gt;NA")&gt;0,1,0)</f>
        <v/>
      </c>
      <c r="Q54">
        <f>IF(AND(P54=1,COUNTIFS(Puntuacion!$A:$A,$A54,Puntuacion!$C:$C,$C54,Puntuacion!$D:$D,"Multicloud",Puntuacion!$G:$G,"NE")=0),1,0)</f>
        <v/>
      </c>
      <c r="R54" s="5">
        <f>IF(P54=0,"NA",IF(Q54=0,"NE",AVERAGEIFS(Puntuacion!$G:$G,Puntuacion!$A:$A,$A54,Puntuacion!$C:$C,$C54,Puntuacion!$D:$D,"Multicloud",Puntuacion!$G:$G,"&lt;&gt;NA",Puntuacion!$G:$G,"&lt;&gt;NE")))</f>
        <v/>
      </c>
      <c r="S54">
        <f>IF(COUNTIFS(Puntuacion!$A:$A,$A54,Puntuacion!$C:$C,$C54,Puntuacion!$D:$D,"Integracion",Puntuacion!$G:$G,"&lt;&gt;NA")&gt;0,1,0)</f>
        <v/>
      </c>
      <c r="T54">
        <f>IF(AND(S54=1,COUNTIFS(Puntuacion!$A:$A,$A54,Puntuacion!$C:$C,$C54,Puntuacion!$D:$D,"Integracion",Puntuacion!$G:$G,"NE")=0),1,0)</f>
        <v/>
      </c>
      <c r="U54" s="5">
        <f>IF(S54=0,"NA",IF(T54=0,"NE",AVERAGEIFS(Puntuacion!$G:$G,Puntuacion!$A:$A,$A54,Puntuacion!$C:$C,$C54,Puntuacion!$D:$D,"Integracion",Puntuacion!$G:$G,"&lt;&gt;NA",Puntuacion!$G:$G,"&lt;&gt;NE")))</f>
        <v/>
      </c>
      <c r="V54">
        <f>IF(COUNTIFS(Puntuacion!$A:$A,$A54,Puntuacion!$C:$C,$C54,Puntuacion!$D:$D,"Adopcion",Puntuacion!$G:$G,"&lt;&gt;NA")&gt;0,1,0)</f>
        <v/>
      </c>
      <c r="W54">
        <f>IF(AND(V54=1,COUNTIFS(Puntuacion!$A:$A,$A54,Puntuacion!$C:$C,$C54,Puntuacion!$D:$D,"Adopcion",Puntuacion!$G:$G,"NE")=0),1,0)</f>
        <v/>
      </c>
      <c r="X54" s="5">
        <f>IF(V54=0,"NA",IF(W54=0,"NE",AVERAGEIFS(Puntuacion!$G:$G,Puntuacion!$A:$A,$A54,Puntuacion!$C:$C,$C54,Puntuacion!$D:$D,"Adopcion",Puntuacion!$G:$G,"&lt;&gt;NA",Puntuacion!$G:$G,"&lt;&gt;NE")))</f>
        <v/>
      </c>
      <c r="Y54">
        <f>IF(COUNTIFS(Puntuacion!$A:$A,$A54,Puntuacion!$C:$C,$C54,Puntuacion!$D:$D,"Precio",Puntuacion!$G:$G,"&lt;&gt;NA")&gt;0,1,0)</f>
        <v/>
      </c>
      <c r="Z54">
        <f>IF(AND(Y54=1,COUNTIFS(Puntuacion!$A:$A,$A54,Puntuacion!$C:$C,$C54,Puntuacion!$D:$D,"Precio",Puntuacion!$G:$G,"NE")=0),1,0)</f>
        <v/>
      </c>
      <c r="AA54" s="5">
        <f>IF(Y54=0,"NA",IF(Z54=0,"NE",AVERAGEIFS(Puntuacion!$G:$G,Puntuacion!$A:$A,$A54,Puntuacion!$C:$C,$C54,Puntuacion!$D:$D,"Precio",Puntuacion!$G:$G,"&lt;&gt;NA",Puntuacion!$G:$G,"&lt;&gt;NE")))</f>
        <v/>
      </c>
      <c r="AB54">
        <f>IF(COUNTIFS(Puntuacion!$A:$A,$A54,Puntuacion!$C:$C,$C54,Puntuacion!$D:$D,"Dependencia",Puntuacion!$G:$G,"&lt;&gt;NA")&gt;0,1,0)</f>
        <v/>
      </c>
      <c r="AC54">
        <f>IF(AND(AB54=1,COUNTIFS(Puntuacion!$A:$A,$A54,Puntuacion!$C:$C,$C54,Puntuacion!$D:$D,"Dependencia",Puntuacion!$G:$G,"NE")=0),1,0)</f>
        <v/>
      </c>
      <c r="AD54" s="5">
        <f>IF(AB54=0,"NA",IF(AC54=0,"NE",AVERAGEIFS(Puntuacion!$G:$G,Puntuacion!$A:$A,$A54,Puntuacion!$C:$C,$C54,Puntuacion!$D:$D,"Dependencia",Puntuacion!$G:$G,"&lt;&gt;NA",Puntuacion!$G:$G,"&lt;&gt;NE")))</f>
        <v/>
      </c>
      <c r="AE54" s="5">
        <f>IFERROR(100*(E54*Pesos!$B$2+H54*Pesos!$B$3+K54*Pesos!$B$4+N54*Pesos!$B$5+Q54*Pesos!$B$6+T54*Pesos!$B$7+W54*Pesos!$B$8+Z54*Pesos!$B$9+AC54*Pesos!$B$10)/(D54*Pesos!$B$2+G54*Pesos!$B$3+J54*Pesos!$B$4+M54*Pesos!$B$5+P54*Pesos!$B$6+S54*Pesos!$B$7+V54*Pesos!$B$8+Y54*Pesos!$B$9+AB54*Pesos!$B$10),"Sin criterios aplicables")</f>
        <v/>
      </c>
      <c r="AF54" s="5">
        <f>IFERROR(100*(E54*Pesos!$C$2+H54*Pesos!$C$3+K54*Pesos!$C$4+N54*Pesos!$C$5+Q54*Pesos!$C$6+T54*Pesos!$C$7+W54*Pesos!$C$8+Z54*Pesos!$C$9+AC54*Pesos!$C$10)/(D54*Pesos!$C$2+G54*Pesos!$C$3+J54*Pesos!$C$4+M54*Pesos!$C$5+P54*Pesos!$C$6+S54*Pesos!$C$7+V54*Pesos!$C$8+Y54*Pesos!$C$9+AB54*Pesos!$C$10),"Sin criterios aplicables")</f>
        <v/>
      </c>
      <c r="AG54" s="5">
        <f>IF(OR(AE54="Sin criterios aplicables",AE54&lt;70),"Insufficient evidence",100*(Pesos!$B$2*IF(E54=1,F54,0)+Pesos!$B$3*IF(H54=1,I54,0)+Pesos!$B$4*IF(K54=1,L54,0)+Pesos!$B$5*IF(N54=1,O54,0)+Pesos!$B$6*IF(Q54=1,R54,0)+Pesos!$B$7*IF(T54=1,U54,0)+Pesos!$B$8*IF(W54=1,X54,0)+Pesos!$B$9*IF(Z54=1,AA54,0)+Pesos!$B$10*IF(AC54=1,AD54,0))/(3*(Pesos!$B$2*E54+Pesos!$B$3*H54+Pesos!$B$4*K54+Pesos!$B$5*N54+Pesos!$B$6*Q54+Pesos!$B$7*T54+Pesos!$B$8*W54+Pesos!$B$9*Z54+Pesos!$B$10*AC54)))</f>
        <v/>
      </c>
      <c r="AH54" s="5">
        <f>IF(OR(AF54="Sin criterios aplicables",AF54&lt;70),"Insufficient evidence",100*(Pesos!$C$2*IF(E54=1,F54,0)+Pesos!$C$3*IF(H54=1,I54,0)+Pesos!$C$4*IF(K54=1,L54,0)+Pesos!$C$5*IF(N54=1,O54,0)+Pesos!$C$6*IF(Q54=1,R54,0)+Pesos!$C$7*IF(T54=1,U54,0)+Pesos!$C$8*IF(W54=1,X54,0)+Pesos!$C$9*IF(Z54=1,AA54,0)+Pesos!$C$10*IF(AC54=1,AD54,0))/(3*(Pesos!$C$2*E54+Pesos!$C$3*H54+Pesos!$C$4*K54+Pesos!$C$5*N54+Pesos!$C$6*Q54+Pesos!$C$7*T54+Pesos!$C$8*W54+Pesos!$C$9*Z54+Pesos!$C$10*AC54)))</f>
        <v/>
      </c>
      <c r="AI54">
        <f>IF(AG54="Insufficient evidence","Insufficient evidence (cobertura&lt;70%)",IF(AG54&lt;50/3,"Insufficient",IF(AG54&lt;50,"Basic",IF(AG54&lt;250/3,"Solid","Advanced"))))</f>
        <v/>
      </c>
      <c r="AJ54">
        <f>IF(AH54="Insufficient evidence","Insufficient evidence (cobertura&lt;70%)",IF(AH54&lt;50/3,"Insufficient",IF(AH54&lt;50,"Basic",IF(AH54&lt;250/3,"Solid","Advanced"))))</f>
        <v/>
      </c>
      <c r="AK54">
        <f>IF(TRIM(IF(AND(ISNUMBER(F54),F54&lt;1),"Visibilidad","") &amp; " " &amp; IF(AND(ISNUMBER(U54),U54&lt;1),"Integración",""))="","Ninguno",TRIM(IF(AND(ISNUMBER(F54),F54&lt;1),"Visibilidad","") &amp; " " &amp; IF(AND(ISNUMBER(U54),U54&lt;1),"Integración","")))</f>
        <v/>
      </c>
    </row>
    <row r="55">
      <c r="A55" t="inlineStr">
        <is>
          <t>E6</t>
        </is>
      </c>
      <c r="B55" t="inlineStr">
        <is>
          <t>Cloud nativa</t>
        </is>
      </c>
      <c r="C55" t="inlineStr">
        <is>
          <t>Google Cloud FinOps Hub</t>
        </is>
      </c>
      <c r="D55">
        <f>IF(COUNTIFS(Puntuacion!$A:$A,$A55,Puntuacion!$C:$C,$C55,Puntuacion!$D:$D,"Visibilidad",Puntuacion!$G:$G,"&lt;&gt;NA")&gt;0,1,0)</f>
        <v/>
      </c>
      <c r="E55">
        <f>IF(AND(D55=1,COUNTIFS(Puntuacion!$A:$A,$A55,Puntuacion!$C:$C,$C55,Puntuacion!$D:$D,"Visibilidad",Puntuacion!$G:$G,"NE")=0),1,0)</f>
        <v/>
      </c>
      <c r="F55" s="5">
        <f>IF(D55=0,"NA",IF(E55=0,"NE",AVERAGEIFS(Puntuacion!$G:$G,Puntuacion!$A:$A,$A55,Puntuacion!$C:$C,$C55,Puntuacion!$D:$D,"Visibilidad",Puntuacion!$G:$G,"&lt;&gt;NA",Puntuacion!$G:$G,"&lt;&gt;NE")))</f>
        <v/>
      </c>
      <c r="G55">
        <f>IF(COUNTIFS(Puntuacion!$A:$A,$A55,Puntuacion!$C:$C,$C55,Puntuacion!$D:$D,"Asignacion",Puntuacion!$G:$G,"&lt;&gt;NA")&gt;0,1,0)</f>
        <v/>
      </c>
      <c r="H55">
        <f>IF(AND(G55=1,COUNTIFS(Puntuacion!$A:$A,$A55,Puntuacion!$C:$C,$C55,Puntuacion!$D:$D,"Asignacion",Puntuacion!$G:$G,"NE")=0),1,0)</f>
        <v/>
      </c>
      <c r="I55" s="5">
        <f>IF(G55=0,"NA",IF(H55=0,"NE",AVERAGEIFS(Puntuacion!$G:$G,Puntuacion!$A:$A,$A55,Puntuacion!$C:$C,$C55,Puntuacion!$D:$D,"Asignacion",Puntuacion!$G:$G,"&lt;&gt;NA",Puntuacion!$G:$G,"&lt;&gt;NE")))</f>
        <v/>
      </c>
      <c r="J55">
        <f>IF(COUNTIFS(Puntuacion!$A:$A,$A55,Puntuacion!$C:$C,$C55,Puntuacion!$D:$D,"Optimizacion",Puntuacion!$G:$G,"&lt;&gt;NA")&gt;0,1,0)</f>
        <v/>
      </c>
      <c r="K55">
        <f>IF(AND(J55=1,COUNTIFS(Puntuacion!$A:$A,$A55,Puntuacion!$C:$C,$C55,Puntuacion!$D:$D,"Optimizacion",Puntuacion!$G:$G,"NE")=0),1,0)</f>
        <v/>
      </c>
      <c r="L55" s="5">
        <f>IF(J55=0,"NA",IF(K55=0,"NE",AVERAGEIFS(Puntuacion!$G:$G,Puntuacion!$A:$A,$A55,Puntuacion!$C:$C,$C55,Puntuacion!$D:$D,"Optimizacion",Puntuacion!$G:$G,"&lt;&gt;NA",Puntuacion!$G:$G,"&lt;&gt;NE")))</f>
        <v/>
      </c>
      <c r="M55">
        <f>IF(COUNTIFS(Puntuacion!$A:$A,$A55,Puntuacion!$C:$C,$C55,Puntuacion!$D:$D,"Automatizacion",Puntuacion!$G:$G,"&lt;&gt;NA")&gt;0,1,0)</f>
        <v/>
      </c>
      <c r="N55">
        <f>IF(AND(M55=1,COUNTIFS(Puntuacion!$A:$A,$A55,Puntuacion!$C:$C,$C55,Puntuacion!$D:$D,"Automatizacion",Puntuacion!$G:$G,"NE")=0),1,0)</f>
        <v/>
      </c>
      <c r="O55" s="5">
        <f>IF(M55=0,"NA",IF(N55=0,"NE",AVERAGEIFS(Puntuacion!$G:$G,Puntuacion!$A:$A,$A55,Puntuacion!$C:$C,$C55,Puntuacion!$D:$D,"Automatizacion",Puntuacion!$G:$G,"&lt;&gt;NA",Puntuacion!$G:$G,"&lt;&gt;NE")))</f>
        <v/>
      </c>
      <c r="P55">
        <f>IF(COUNTIFS(Puntuacion!$A:$A,$A55,Puntuacion!$C:$C,$C55,Puntuacion!$D:$D,"Multicloud",Puntuacion!$G:$G,"&lt;&gt;NA")&gt;0,1,0)</f>
        <v/>
      </c>
      <c r="Q55">
        <f>IF(AND(P55=1,COUNTIFS(Puntuacion!$A:$A,$A55,Puntuacion!$C:$C,$C55,Puntuacion!$D:$D,"Multicloud",Puntuacion!$G:$G,"NE")=0),1,0)</f>
        <v/>
      </c>
      <c r="R55" s="5">
        <f>IF(P55=0,"NA",IF(Q55=0,"NE",AVERAGEIFS(Puntuacion!$G:$G,Puntuacion!$A:$A,$A55,Puntuacion!$C:$C,$C55,Puntuacion!$D:$D,"Multicloud",Puntuacion!$G:$G,"&lt;&gt;NA",Puntuacion!$G:$G,"&lt;&gt;NE")))</f>
        <v/>
      </c>
      <c r="S55">
        <f>IF(COUNTIFS(Puntuacion!$A:$A,$A55,Puntuacion!$C:$C,$C55,Puntuacion!$D:$D,"Integracion",Puntuacion!$G:$G,"&lt;&gt;NA")&gt;0,1,0)</f>
        <v/>
      </c>
      <c r="T55">
        <f>IF(AND(S55=1,COUNTIFS(Puntuacion!$A:$A,$A55,Puntuacion!$C:$C,$C55,Puntuacion!$D:$D,"Integracion",Puntuacion!$G:$G,"NE")=0),1,0)</f>
        <v/>
      </c>
      <c r="U55" s="5">
        <f>IF(S55=0,"NA",IF(T55=0,"NE",AVERAGEIFS(Puntuacion!$G:$G,Puntuacion!$A:$A,$A55,Puntuacion!$C:$C,$C55,Puntuacion!$D:$D,"Integracion",Puntuacion!$G:$G,"&lt;&gt;NA",Puntuacion!$G:$G,"&lt;&gt;NE")))</f>
        <v/>
      </c>
      <c r="V55">
        <f>IF(COUNTIFS(Puntuacion!$A:$A,$A55,Puntuacion!$C:$C,$C55,Puntuacion!$D:$D,"Adopcion",Puntuacion!$G:$G,"&lt;&gt;NA")&gt;0,1,0)</f>
        <v/>
      </c>
      <c r="W55">
        <f>IF(AND(V55=1,COUNTIFS(Puntuacion!$A:$A,$A55,Puntuacion!$C:$C,$C55,Puntuacion!$D:$D,"Adopcion",Puntuacion!$G:$G,"NE")=0),1,0)</f>
        <v/>
      </c>
      <c r="X55" s="5">
        <f>IF(V55=0,"NA",IF(W55=0,"NE",AVERAGEIFS(Puntuacion!$G:$G,Puntuacion!$A:$A,$A55,Puntuacion!$C:$C,$C55,Puntuacion!$D:$D,"Adopcion",Puntuacion!$G:$G,"&lt;&gt;NA",Puntuacion!$G:$G,"&lt;&gt;NE")))</f>
        <v/>
      </c>
      <c r="Y55">
        <f>IF(COUNTIFS(Puntuacion!$A:$A,$A55,Puntuacion!$C:$C,$C55,Puntuacion!$D:$D,"Precio",Puntuacion!$G:$G,"&lt;&gt;NA")&gt;0,1,0)</f>
        <v/>
      </c>
      <c r="Z55">
        <f>IF(AND(Y55=1,COUNTIFS(Puntuacion!$A:$A,$A55,Puntuacion!$C:$C,$C55,Puntuacion!$D:$D,"Precio",Puntuacion!$G:$G,"NE")=0),1,0)</f>
        <v/>
      </c>
      <c r="AA55" s="5">
        <f>IF(Y55=0,"NA",IF(Z55=0,"NE",AVERAGEIFS(Puntuacion!$G:$G,Puntuacion!$A:$A,$A55,Puntuacion!$C:$C,$C55,Puntuacion!$D:$D,"Precio",Puntuacion!$G:$G,"&lt;&gt;NA",Puntuacion!$G:$G,"&lt;&gt;NE")))</f>
        <v/>
      </c>
      <c r="AB55">
        <f>IF(COUNTIFS(Puntuacion!$A:$A,$A55,Puntuacion!$C:$C,$C55,Puntuacion!$D:$D,"Dependencia",Puntuacion!$G:$G,"&lt;&gt;NA")&gt;0,1,0)</f>
        <v/>
      </c>
      <c r="AC55">
        <f>IF(AND(AB55=1,COUNTIFS(Puntuacion!$A:$A,$A55,Puntuacion!$C:$C,$C55,Puntuacion!$D:$D,"Dependencia",Puntuacion!$G:$G,"NE")=0),1,0)</f>
        <v/>
      </c>
      <c r="AD55" s="5">
        <f>IF(AB55=0,"NA",IF(AC55=0,"NE",AVERAGEIFS(Puntuacion!$G:$G,Puntuacion!$A:$A,$A55,Puntuacion!$C:$C,$C55,Puntuacion!$D:$D,"Dependencia",Puntuacion!$G:$G,"&lt;&gt;NA",Puntuacion!$G:$G,"&lt;&gt;NE")))</f>
        <v/>
      </c>
      <c r="AE55" s="5">
        <f>IFERROR(100*(E55*Pesos!$B$2+H55*Pesos!$B$3+K55*Pesos!$B$4+N55*Pesos!$B$5+Q55*Pesos!$B$6+T55*Pesos!$B$7+W55*Pesos!$B$8+Z55*Pesos!$B$9+AC55*Pesos!$B$10)/(D55*Pesos!$B$2+G55*Pesos!$B$3+J55*Pesos!$B$4+M55*Pesos!$B$5+P55*Pesos!$B$6+S55*Pesos!$B$7+V55*Pesos!$B$8+Y55*Pesos!$B$9+AB55*Pesos!$B$10),"Sin criterios aplicables")</f>
        <v/>
      </c>
      <c r="AF55" s="5">
        <f>IFERROR(100*(E55*Pesos!$C$2+H55*Pesos!$C$3+K55*Pesos!$C$4+N55*Pesos!$C$5+Q55*Pesos!$C$6+T55*Pesos!$C$7+W55*Pesos!$C$8+Z55*Pesos!$C$9+AC55*Pesos!$C$10)/(D55*Pesos!$C$2+G55*Pesos!$C$3+J55*Pesos!$C$4+M55*Pesos!$C$5+P55*Pesos!$C$6+S55*Pesos!$C$7+V55*Pesos!$C$8+Y55*Pesos!$C$9+AB55*Pesos!$C$10),"Sin criterios aplicables")</f>
        <v/>
      </c>
      <c r="AG55" s="5">
        <f>IF(OR(AE55="Sin criterios aplicables",AE55&lt;70),"Insufficient evidence",100*(Pesos!$B$2*IF(E55=1,F55,0)+Pesos!$B$3*IF(H55=1,I55,0)+Pesos!$B$4*IF(K55=1,L55,0)+Pesos!$B$5*IF(N55=1,O55,0)+Pesos!$B$6*IF(Q55=1,R55,0)+Pesos!$B$7*IF(T55=1,U55,0)+Pesos!$B$8*IF(W55=1,X55,0)+Pesos!$B$9*IF(Z55=1,AA55,0)+Pesos!$B$10*IF(AC55=1,AD55,0))/(3*(Pesos!$B$2*E55+Pesos!$B$3*H55+Pesos!$B$4*K55+Pesos!$B$5*N55+Pesos!$B$6*Q55+Pesos!$B$7*T55+Pesos!$B$8*W55+Pesos!$B$9*Z55+Pesos!$B$10*AC55)))</f>
        <v/>
      </c>
      <c r="AH55" s="5">
        <f>IF(OR(AF55="Sin criterios aplicables",AF55&lt;70),"Insufficient evidence",100*(Pesos!$C$2*IF(E55=1,F55,0)+Pesos!$C$3*IF(H55=1,I55,0)+Pesos!$C$4*IF(K55=1,L55,0)+Pesos!$C$5*IF(N55=1,O55,0)+Pesos!$C$6*IF(Q55=1,R55,0)+Pesos!$C$7*IF(T55=1,U55,0)+Pesos!$C$8*IF(W55=1,X55,0)+Pesos!$C$9*IF(Z55=1,AA55,0)+Pesos!$C$10*IF(AC55=1,AD55,0))/(3*(Pesos!$C$2*E55+Pesos!$C$3*H55+Pesos!$C$4*K55+Pesos!$C$5*N55+Pesos!$C$6*Q55+Pesos!$C$7*T55+Pesos!$C$8*W55+Pesos!$C$9*Z55+Pesos!$C$10*AC55)))</f>
        <v/>
      </c>
      <c r="AI55">
        <f>IF(AG55="Insufficient evidence","Insufficient evidence (cobertura&lt;70%)",IF(AG55&lt;50/3,"Insufficient",IF(AG55&lt;50,"Basic",IF(AG55&lt;250/3,"Solid","Advanced"))))</f>
        <v/>
      </c>
      <c r="AJ55">
        <f>IF(AH55="Insufficient evidence","Insufficient evidence (cobertura&lt;70%)",IF(AH55&lt;50/3,"Insufficient",IF(AH55&lt;50,"Basic",IF(AH55&lt;250/3,"Solid","Advanced"))))</f>
        <v/>
      </c>
      <c r="AK55">
        <f>IF(TRIM(IF(AND(ISNUMBER(F55),F55&lt;1),"Visibilidad","") &amp; " " &amp; IF(AND(ISNUMBER(U55),U55&lt;1),"Integración",""))="","Ninguno",TRIM(IF(AND(ISNUMBER(F55),F55&lt;1),"Visibilidad","") &amp; " " &amp; IF(AND(ISNUMBER(U55),U55&lt;1),"Integración","")))</f>
        <v/>
      </c>
    </row>
    <row r="56">
      <c r="A56" t="inlineStr">
        <is>
          <t>E6</t>
        </is>
      </c>
      <c r="B56" t="inlineStr">
        <is>
          <t>Multicloud</t>
        </is>
      </c>
      <c r="C56" t="inlineStr">
        <is>
          <t>CloudHealth</t>
        </is>
      </c>
      <c r="D56">
        <f>IF(COUNTIFS(Puntuacion!$A:$A,$A56,Puntuacion!$C:$C,$C56,Puntuacion!$D:$D,"Visibilidad",Puntuacion!$G:$G,"&lt;&gt;NA")&gt;0,1,0)</f>
        <v/>
      </c>
      <c r="E56">
        <f>IF(AND(D56=1,COUNTIFS(Puntuacion!$A:$A,$A56,Puntuacion!$C:$C,$C56,Puntuacion!$D:$D,"Visibilidad",Puntuacion!$G:$G,"NE")=0),1,0)</f>
        <v/>
      </c>
      <c r="F56" s="5">
        <f>IF(D56=0,"NA",IF(E56=0,"NE",AVERAGEIFS(Puntuacion!$G:$G,Puntuacion!$A:$A,$A56,Puntuacion!$C:$C,$C56,Puntuacion!$D:$D,"Visibilidad",Puntuacion!$G:$G,"&lt;&gt;NA",Puntuacion!$G:$G,"&lt;&gt;NE")))</f>
        <v/>
      </c>
      <c r="G56">
        <f>IF(COUNTIFS(Puntuacion!$A:$A,$A56,Puntuacion!$C:$C,$C56,Puntuacion!$D:$D,"Asignacion",Puntuacion!$G:$G,"&lt;&gt;NA")&gt;0,1,0)</f>
        <v/>
      </c>
      <c r="H56">
        <f>IF(AND(G56=1,COUNTIFS(Puntuacion!$A:$A,$A56,Puntuacion!$C:$C,$C56,Puntuacion!$D:$D,"Asignacion",Puntuacion!$G:$G,"NE")=0),1,0)</f>
        <v/>
      </c>
      <c r="I56" s="5">
        <f>IF(G56=0,"NA",IF(H56=0,"NE",AVERAGEIFS(Puntuacion!$G:$G,Puntuacion!$A:$A,$A56,Puntuacion!$C:$C,$C56,Puntuacion!$D:$D,"Asignacion",Puntuacion!$G:$G,"&lt;&gt;NA",Puntuacion!$G:$G,"&lt;&gt;NE")))</f>
        <v/>
      </c>
      <c r="J56">
        <f>IF(COUNTIFS(Puntuacion!$A:$A,$A56,Puntuacion!$C:$C,$C56,Puntuacion!$D:$D,"Optimizacion",Puntuacion!$G:$G,"&lt;&gt;NA")&gt;0,1,0)</f>
        <v/>
      </c>
      <c r="K56">
        <f>IF(AND(J56=1,COUNTIFS(Puntuacion!$A:$A,$A56,Puntuacion!$C:$C,$C56,Puntuacion!$D:$D,"Optimizacion",Puntuacion!$G:$G,"NE")=0),1,0)</f>
        <v/>
      </c>
      <c r="L56" s="5">
        <f>IF(J56=0,"NA",IF(K56=0,"NE",AVERAGEIFS(Puntuacion!$G:$G,Puntuacion!$A:$A,$A56,Puntuacion!$C:$C,$C56,Puntuacion!$D:$D,"Optimizacion",Puntuacion!$G:$G,"&lt;&gt;NA",Puntuacion!$G:$G,"&lt;&gt;NE")))</f>
        <v/>
      </c>
      <c r="M56">
        <f>IF(COUNTIFS(Puntuacion!$A:$A,$A56,Puntuacion!$C:$C,$C56,Puntuacion!$D:$D,"Automatizacion",Puntuacion!$G:$G,"&lt;&gt;NA")&gt;0,1,0)</f>
        <v/>
      </c>
      <c r="N56">
        <f>IF(AND(M56=1,COUNTIFS(Puntuacion!$A:$A,$A56,Puntuacion!$C:$C,$C56,Puntuacion!$D:$D,"Automatizacion",Puntuacion!$G:$G,"NE")=0),1,0)</f>
        <v/>
      </c>
      <c r="O56" s="5">
        <f>IF(M56=0,"NA",IF(N56=0,"NE",AVERAGEIFS(Puntuacion!$G:$G,Puntuacion!$A:$A,$A56,Puntuacion!$C:$C,$C56,Puntuacion!$D:$D,"Automatizacion",Puntuacion!$G:$G,"&lt;&gt;NA",Puntuacion!$G:$G,"&lt;&gt;NE")))</f>
        <v/>
      </c>
      <c r="P56">
        <f>IF(COUNTIFS(Puntuacion!$A:$A,$A56,Puntuacion!$C:$C,$C56,Puntuacion!$D:$D,"Multicloud",Puntuacion!$G:$G,"&lt;&gt;NA")&gt;0,1,0)</f>
        <v/>
      </c>
      <c r="Q56">
        <f>IF(AND(P56=1,COUNTIFS(Puntuacion!$A:$A,$A56,Puntuacion!$C:$C,$C56,Puntuacion!$D:$D,"Multicloud",Puntuacion!$G:$G,"NE")=0),1,0)</f>
        <v/>
      </c>
      <c r="R56" s="5">
        <f>IF(P56=0,"NA",IF(Q56=0,"NE",AVERAGEIFS(Puntuacion!$G:$G,Puntuacion!$A:$A,$A56,Puntuacion!$C:$C,$C56,Puntuacion!$D:$D,"Multicloud",Puntuacion!$G:$G,"&lt;&gt;NA",Puntuacion!$G:$G,"&lt;&gt;NE")))</f>
        <v/>
      </c>
      <c r="S56">
        <f>IF(COUNTIFS(Puntuacion!$A:$A,$A56,Puntuacion!$C:$C,$C56,Puntuacion!$D:$D,"Integracion",Puntuacion!$G:$G,"&lt;&gt;NA")&gt;0,1,0)</f>
        <v/>
      </c>
      <c r="T56">
        <f>IF(AND(S56=1,COUNTIFS(Puntuacion!$A:$A,$A56,Puntuacion!$C:$C,$C56,Puntuacion!$D:$D,"Integracion",Puntuacion!$G:$G,"NE")=0),1,0)</f>
        <v/>
      </c>
      <c r="U56" s="5">
        <f>IF(S56=0,"NA",IF(T56=0,"NE",AVERAGEIFS(Puntuacion!$G:$G,Puntuacion!$A:$A,$A56,Puntuacion!$C:$C,$C56,Puntuacion!$D:$D,"Integracion",Puntuacion!$G:$G,"&lt;&gt;NA",Puntuacion!$G:$G,"&lt;&gt;NE")))</f>
        <v/>
      </c>
      <c r="V56">
        <f>IF(COUNTIFS(Puntuacion!$A:$A,$A56,Puntuacion!$C:$C,$C56,Puntuacion!$D:$D,"Adopcion",Puntuacion!$G:$G,"&lt;&gt;NA")&gt;0,1,0)</f>
        <v/>
      </c>
      <c r="W56">
        <f>IF(AND(V56=1,COUNTIFS(Puntuacion!$A:$A,$A56,Puntuacion!$C:$C,$C56,Puntuacion!$D:$D,"Adopcion",Puntuacion!$G:$G,"NE")=0),1,0)</f>
        <v/>
      </c>
      <c r="X56" s="5">
        <f>IF(V56=0,"NA",IF(W56=0,"NE",AVERAGEIFS(Puntuacion!$G:$G,Puntuacion!$A:$A,$A56,Puntuacion!$C:$C,$C56,Puntuacion!$D:$D,"Adopcion",Puntuacion!$G:$G,"&lt;&gt;NA",Puntuacion!$G:$G,"&lt;&gt;NE")))</f>
        <v/>
      </c>
      <c r="Y56">
        <f>IF(COUNTIFS(Puntuacion!$A:$A,$A56,Puntuacion!$C:$C,$C56,Puntuacion!$D:$D,"Precio",Puntuacion!$G:$G,"&lt;&gt;NA")&gt;0,1,0)</f>
        <v/>
      </c>
      <c r="Z56">
        <f>IF(AND(Y56=1,COUNTIFS(Puntuacion!$A:$A,$A56,Puntuacion!$C:$C,$C56,Puntuacion!$D:$D,"Precio",Puntuacion!$G:$G,"NE")=0),1,0)</f>
        <v/>
      </c>
      <c r="AA56" s="5">
        <f>IF(Y56=0,"NA",IF(Z56=0,"NE",AVERAGEIFS(Puntuacion!$G:$G,Puntuacion!$A:$A,$A56,Puntuacion!$C:$C,$C56,Puntuacion!$D:$D,"Precio",Puntuacion!$G:$G,"&lt;&gt;NA",Puntuacion!$G:$G,"&lt;&gt;NE")))</f>
        <v/>
      </c>
      <c r="AB56">
        <f>IF(COUNTIFS(Puntuacion!$A:$A,$A56,Puntuacion!$C:$C,$C56,Puntuacion!$D:$D,"Dependencia",Puntuacion!$G:$G,"&lt;&gt;NA")&gt;0,1,0)</f>
        <v/>
      </c>
      <c r="AC56">
        <f>IF(AND(AB56=1,COUNTIFS(Puntuacion!$A:$A,$A56,Puntuacion!$C:$C,$C56,Puntuacion!$D:$D,"Dependencia",Puntuacion!$G:$G,"NE")=0),1,0)</f>
        <v/>
      </c>
      <c r="AD56" s="5">
        <f>IF(AB56=0,"NA",IF(AC56=0,"NE",AVERAGEIFS(Puntuacion!$G:$G,Puntuacion!$A:$A,$A56,Puntuacion!$C:$C,$C56,Puntuacion!$D:$D,"Dependencia",Puntuacion!$G:$G,"&lt;&gt;NA",Puntuacion!$G:$G,"&lt;&gt;NE")))</f>
        <v/>
      </c>
      <c r="AE56" s="5">
        <f>IFERROR(100*(E56*Pesos!$B$2+H56*Pesos!$B$3+K56*Pesos!$B$4+N56*Pesos!$B$5+Q56*Pesos!$B$6+T56*Pesos!$B$7+W56*Pesos!$B$8+Z56*Pesos!$B$9+AC56*Pesos!$B$10)/(D56*Pesos!$B$2+G56*Pesos!$B$3+J56*Pesos!$B$4+M56*Pesos!$B$5+P56*Pesos!$B$6+S56*Pesos!$B$7+V56*Pesos!$B$8+Y56*Pesos!$B$9+AB56*Pesos!$B$10),"Sin criterios aplicables")</f>
        <v/>
      </c>
      <c r="AF56" s="5">
        <f>IFERROR(100*(E56*Pesos!$C$2+H56*Pesos!$C$3+K56*Pesos!$C$4+N56*Pesos!$C$5+Q56*Pesos!$C$6+T56*Pesos!$C$7+W56*Pesos!$C$8+Z56*Pesos!$C$9+AC56*Pesos!$C$10)/(D56*Pesos!$C$2+G56*Pesos!$C$3+J56*Pesos!$C$4+M56*Pesos!$C$5+P56*Pesos!$C$6+S56*Pesos!$C$7+V56*Pesos!$C$8+Y56*Pesos!$C$9+AB56*Pesos!$C$10),"Sin criterios aplicables")</f>
        <v/>
      </c>
      <c r="AG56" s="5">
        <f>IF(OR(AE56="Sin criterios aplicables",AE56&lt;70),"Insufficient evidence",100*(Pesos!$B$2*IF(E56=1,F56,0)+Pesos!$B$3*IF(H56=1,I56,0)+Pesos!$B$4*IF(K56=1,L56,0)+Pesos!$B$5*IF(N56=1,O56,0)+Pesos!$B$6*IF(Q56=1,R56,0)+Pesos!$B$7*IF(T56=1,U56,0)+Pesos!$B$8*IF(W56=1,X56,0)+Pesos!$B$9*IF(Z56=1,AA56,0)+Pesos!$B$10*IF(AC56=1,AD56,0))/(3*(Pesos!$B$2*E56+Pesos!$B$3*H56+Pesos!$B$4*K56+Pesos!$B$5*N56+Pesos!$B$6*Q56+Pesos!$B$7*T56+Pesos!$B$8*W56+Pesos!$B$9*Z56+Pesos!$B$10*AC56)))</f>
        <v/>
      </c>
      <c r="AH56" s="5">
        <f>IF(OR(AF56="Sin criterios aplicables",AF56&lt;70),"Insufficient evidence",100*(Pesos!$C$2*IF(E56=1,F56,0)+Pesos!$C$3*IF(H56=1,I56,0)+Pesos!$C$4*IF(K56=1,L56,0)+Pesos!$C$5*IF(N56=1,O56,0)+Pesos!$C$6*IF(Q56=1,R56,0)+Pesos!$C$7*IF(T56=1,U56,0)+Pesos!$C$8*IF(W56=1,X56,0)+Pesos!$C$9*IF(Z56=1,AA56,0)+Pesos!$C$10*IF(AC56=1,AD56,0))/(3*(Pesos!$C$2*E56+Pesos!$C$3*H56+Pesos!$C$4*K56+Pesos!$C$5*N56+Pesos!$C$6*Q56+Pesos!$C$7*T56+Pesos!$C$8*W56+Pesos!$C$9*Z56+Pesos!$C$10*AC56)))</f>
        <v/>
      </c>
      <c r="AI56">
        <f>IF(AG56="Insufficient evidence","Insufficient evidence (cobertura&lt;70%)",IF(AG56&lt;50/3,"Insufficient",IF(AG56&lt;50,"Basic",IF(AG56&lt;250/3,"Solid","Advanced"))))</f>
        <v/>
      </c>
      <c r="AJ56">
        <f>IF(AH56="Insufficient evidence","Insufficient evidence (cobertura&lt;70%)",IF(AH56&lt;50/3,"Insufficient",IF(AH56&lt;50,"Basic",IF(AH56&lt;250/3,"Solid","Advanced"))))</f>
        <v/>
      </c>
      <c r="AK56">
        <f>IF(TRIM(IF(AND(ISNUMBER(F56),F56&lt;1),"Visibilidad","") &amp; " " &amp; IF(AND(ISNUMBER(U56),U56&lt;1),"Integración",""))="","Ninguno",TRIM(IF(AND(ISNUMBER(F56),F56&lt;1),"Visibilidad","") &amp; " " &amp; IF(AND(ISNUMBER(U56),U56&lt;1),"Integración","")))</f>
        <v/>
      </c>
    </row>
    <row r="57">
      <c r="A57" t="inlineStr">
        <is>
          <t>E6</t>
        </is>
      </c>
      <c r="B57" t="inlineStr">
        <is>
          <t>Multicloud</t>
        </is>
      </c>
      <c r="C57" t="inlineStr">
        <is>
          <t>CloudZero</t>
        </is>
      </c>
      <c r="D57">
        <f>IF(COUNTIFS(Puntuacion!$A:$A,$A57,Puntuacion!$C:$C,$C57,Puntuacion!$D:$D,"Visibilidad",Puntuacion!$G:$G,"&lt;&gt;NA")&gt;0,1,0)</f>
        <v/>
      </c>
      <c r="E57">
        <f>IF(AND(D57=1,COUNTIFS(Puntuacion!$A:$A,$A57,Puntuacion!$C:$C,$C57,Puntuacion!$D:$D,"Visibilidad",Puntuacion!$G:$G,"NE")=0),1,0)</f>
        <v/>
      </c>
      <c r="F57" s="5">
        <f>IF(D57=0,"NA",IF(E57=0,"NE",AVERAGEIFS(Puntuacion!$G:$G,Puntuacion!$A:$A,$A57,Puntuacion!$C:$C,$C57,Puntuacion!$D:$D,"Visibilidad",Puntuacion!$G:$G,"&lt;&gt;NA",Puntuacion!$G:$G,"&lt;&gt;NE")))</f>
        <v/>
      </c>
      <c r="G57">
        <f>IF(COUNTIFS(Puntuacion!$A:$A,$A57,Puntuacion!$C:$C,$C57,Puntuacion!$D:$D,"Asignacion",Puntuacion!$G:$G,"&lt;&gt;NA")&gt;0,1,0)</f>
        <v/>
      </c>
      <c r="H57">
        <f>IF(AND(G57=1,COUNTIFS(Puntuacion!$A:$A,$A57,Puntuacion!$C:$C,$C57,Puntuacion!$D:$D,"Asignacion",Puntuacion!$G:$G,"NE")=0),1,0)</f>
        <v/>
      </c>
      <c r="I57" s="5">
        <f>IF(G57=0,"NA",IF(H57=0,"NE",AVERAGEIFS(Puntuacion!$G:$G,Puntuacion!$A:$A,$A57,Puntuacion!$C:$C,$C57,Puntuacion!$D:$D,"Asignacion",Puntuacion!$G:$G,"&lt;&gt;NA",Puntuacion!$G:$G,"&lt;&gt;NE")))</f>
        <v/>
      </c>
      <c r="J57">
        <f>IF(COUNTIFS(Puntuacion!$A:$A,$A57,Puntuacion!$C:$C,$C57,Puntuacion!$D:$D,"Optimizacion",Puntuacion!$G:$G,"&lt;&gt;NA")&gt;0,1,0)</f>
        <v/>
      </c>
      <c r="K57">
        <f>IF(AND(J57=1,COUNTIFS(Puntuacion!$A:$A,$A57,Puntuacion!$C:$C,$C57,Puntuacion!$D:$D,"Optimizacion",Puntuacion!$G:$G,"NE")=0),1,0)</f>
        <v/>
      </c>
      <c r="L57" s="5">
        <f>IF(J57=0,"NA",IF(K57=0,"NE",AVERAGEIFS(Puntuacion!$G:$G,Puntuacion!$A:$A,$A57,Puntuacion!$C:$C,$C57,Puntuacion!$D:$D,"Optimizacion",Puntuacion!$G:$G,"&lt;&gt;NA",Puntuacion!$G:$G,"&lt;&gt;NE")))</f>
        <v/>
      </c>
      <c r="M57">
        <f>IF(COUNTIFS(Puntuacion!$A:$A,$A57,Puntuacion!$C:$C,$C57,Puntuacion!$D:$D,"Automatizacion",Puntuacion!$G:$G,"&lt;&gt;NA")&gt;0,1,0)</f>
        <v/>
      </c>
      <c r="N57">
        <f>IF(AND(M57=1,COUNTIFS(Puntuacion!$A:$A,$A57,Puntuacion!$C:$C,$C57,Puntuacion!$D:$D,"Automatizacion",Puntuacion!$G:$G,"NE")=0),1,0)</f>
        <v/>
      </c>
      <c r="O57" s="5">
        <f>IF(M57=0,"NA",IF(N57=0,"NE",AVERAGEIFS(Puntuacion!$G:$G,Puntuacion!$A:$A,$A57,Puntuacion!$C:$C,$C57,Puntuacion!$D:$D,"Automatizacion",Puntuacion!$G:$G,"&lt;&gt;NA",Puntuacion!$G:$G,"&lt;&gt;NE")))</f>
        <v/>
      </c>
      <c r="P57">
        <f>IF(COUNTIFS(Puntuacion!$A:$A,$A57,Puntuacion!$C:$C,$C57,Puntuacion!$D:$D,"Multicloud",Puntuacion!$G:$G,"&lt;&gt;NA")&gt;0,1,0)</f>
        <v/>
      </c>
      <c r="Q57">
        <f>IF(AND(P57=1,COUNTIFS(Puntuacion!$A:$A,$A57,Puntuacion!$C:$C,$C57,Puntuacion!$D:$D,"Multicloud",Puntuacion!$G:$G,"NE")=0),1,0)</f>
        <v/>
      </c>
      <c r="R57" s="5">
        <f>IF(P57=0,"NA",IF(Q57=0,"NE",AVERAGEIFS(Puntuacion!$G:$G,Puntuacion!$A:$A,$A57,Puntuacion!$C:$C,$C57,Puntuacion!$D:$D,"Multicloud",Puntuacion!$G:$G,"&lt;&gt;NA",Puntuacion!$G:$G,"&lt;&gt;NE")))</f>
        <v/>
      </c>
      <c r="S57">
        <f>IF(COUNTIFS(Puntuacion!$A:$A,$A57,Puntuacion!$C:$C,$C57,Puntuacion!$D:$D,"Integracion",Puntuacion!$G:$G,"&lt;&gt;NA")&gt;0,1,0)</f>
        <v/>
      </c>
      <c r="T57">
        <f>IF(AND(S57=1,COUNTIFS(Puntuacion!$A:$A,$A57,Puntuacion!$C:$C,$C57,Puntuacion!$D:$D,"Integracion",Puntuacion!$G:$G,"NE")=0),1,0)</f>
        <v/>
      </c>
      <c r="U57" s="5">
        <f>IF(S57=0,"NA",IF(T57=0,"NE",AVERAGEIFS(Puntuacion!$G:$G,Puntuacion!$A:$A,$A57,Puntuacion!$C:$C,$C57,Puntuacion!$D:$D,"Integracion",Puntuacion!$G:$G,"&lt;&gt;NA",Puntuacion!$G:$G,"&lt;&gt;NE")))</f>
        <v/>
      </c>
      <c r="V57">
        <f>IF(COUNTIFS(Puntuacion!$A:$A,$A57,Puntuacion!$C:$C,$C57,Puntuacion!$D:$D,"Adopcion",Puntuacion!$G:$G,"&lt;&gt;NA")&gt;0,1,0)</f>
        <v/>
      </c>
      <c r="W57">
        <f>IF(AND(V57=1,COUNTIFS(Puntuacion!$A:$A,$A57,Puntuacion!$C:$C,$C57,Puntuacion!$D:$D,"Adopcion",Puntuacion!$G:$G,"NE")=0),1,0)</f>
        <v/>
      </c>
      <c r="X57" s="5">
        <f>IF(V57=0,"NA",IF(W57=0,"NE",AVERAGEIFS(Puntuacion!$G:$G,Puntuacion!$A:$A,$A57,Puntuacion!$C:$C,$C57,Puntuacion!$D:$D,"Adopcion",Puntuacion!$G:$G,"&lt;&gt;NA",Puntuacion!$G:$G,"&lt;&gt;NE")))</f>
        <v/>
      </c>
      <c r="Y57">
        <f>IF(COUNTIFS(Puntuacion!$A:$A,$A57,Puntuacion!$C:$C,$C57,Puntuacion!$D:$D,"Precio",Puntuacion!$G:$G,"&lt;&gt;NA")&gt;0,1,0)</f>
        <v/>
      </c>
      <c r="Z57">
        <f>IF(AND(Y57=1,COUNTIFS(Puntuacion!$A:$A,$A57,Puntuacion!$C:$C,$C57,Puntuacion!$D:$D,"Precio",Puntuacion!$G:$G,"NE")=0),1,0)</f>
        <v/>
      </c>
      <c r="AA57" s="5">
        <f>IF(Y57=0,"NA",IF(Z57=0,"NE",AVERAGEIFS(Puntuacion!$G:$G,Puntuacion!$A:$A,$A57,Puntuacion!$C:$C,$C57,Puntuacion!$D:$D,"Precio",Puntuacion!$G:$G,"&lt;&gt;NA",Puntuacion!$G:$G,"&lt;&gt;NE")))</f>
        <v/>
      </c>
      <c r="AB57">
        <f>IF(COUNTIFS(Puntuacion!$A:$A,$A57,Puntuacion!$C:$C,$C57,Puntuacion!$D:$D,"Dependencia",Puntuacion!$G:$G,"&lt;&gt;NA")&gt;0,1,0)</f>
        <v/>
      </c>
      <c r="AC57">
        <f>IF(AND(AB57=1,COUNTIFS(Puntuacion!$A:$A,$A57,Puntuacion!$C:$C,$C57,Puntuacion!$D:$D,"Dependencia",Puntuacion!$G:$G,"NE")=0),1,0)</f>
        <v/>
      </c>
      <c r="AD57" s="5">
        <f>IF(AB57=0,"NA",IF(AC57=0,"NE",AVERAGEIFS(Puntuacion!$G:$G,Puntuacion!$A:$A,$A57,Puntuacion!$C:$C,$C57,Puntuacion!$D:$D,"Dependencia",Puntuacion!$G:$G,"&lt;&gt;NA",Puntuacion!$G:$G,"&lt;&gt;NE")))</f>
        <v/>
      </c>
      <c r="AE57" s="5">
        <f>IFERROR(100*(E57*Pesos!$B$2+H57*Pesos!$B$3+K57*Pesos!$B$4+N57*Pesos!$B$5+Q57*Pesos!$B$6+T57*Pesos!$B$7+W57*Pesos!$B$8+Z57*Pesos!$B$9+AC57*Pesos!$B$10)/(D57*Pesos!$B$2+G57*Pesos!$B$3+J57*Pesos!$B$4+M57*Pesos!$B$5+P57*Pesos!$B$6+S57*Pesos!$B$7+V57*Pesos!$B$8+Y57*Pesos!$B$9+AB57*Pesos!$B$10),"Sin criterios aplicables")</f>
        <v/>
      </c>
      <c r="AF57" s="5">
        <f>IFERROR(100*(E57*Pesos!$C$2+H57*Pesos!$C$3+K57*Pesos!$C$4+N57*Pesos!$C$5+Q57*Pesos!$C$6+T57*Pesos!$C$7+W57*Pesos!$C$8+Z57*Pesos!$C$9+AC57*Pesos!$C$10)/(D57*Pesos!$C$2+G57*Pesos!$C$3+J57*Pesos!$C$4+M57*Pesos!$C$5+P57*Pesos!$C$6+S57*Pesos!$C$7+V57*Pesos!$C$8+Y57*Pesos!$C$9+AB57*Pesos!$C$10),"Sin criterios aplicables")</f>
        <v/>
      </c>
      <c r="AG57" s="5">
        <f>IF(OR(AE57="Sin criterios aplicables",AE57&lt;70),"Insufficient evidence",100*(Pesos!$B$2*IF(E57=1,F57,0)+Pesos!$B$3*IF(H57=1,I57,0)+Pesos!$B$4*IF(K57=1,L57,0)+Pesos!$B$5*IF(N57=1,O57,0)+Pesos!$B$6*IF(Q57=1,R57,0)+Pesos!$B$7*IF(T57=1,U57,0)+Pesos!$B$8*IF(W57=1,X57,0)+Pesos!$B$9*IF(Z57=1,AA57,0)+Pesos!$B$10*IF(AC57=1,AD57,0))/(3*(Pesos!$B$2*E57+Pesos!$B$3*H57+Pesos!$B$4*K57+Pesos!$B$5*N57+Pesos!$B$6*Q57+Pesos!$B$7*T57+Pesos!$B$8*W57+Pesos!$B$9*Z57+Pesos!$B$10*AC57)))</f>
        <v/>
      </c>
      <c r="AH57" s="5">
        <f>IF(OR(AF57="Sin criterios aplicables",AF57&lt;70),"Insufficient evidence",100*(Pesos!$C$2*IF(E57=1,F57,0)+Pesos!$C$3*IF(H57=1,I57,0)+Pesos!$C$4*IF(K57=1,L57,0)+Pesos!$C$5*IF(N57=1,O57,0)+Pesos!$C$6*IF(Q57=1,R57,0)+Pesos!$C$7*IF(T57=1,U57,0)+Pesos!$C$8*IF(W57=1,X57,0)+Pesos!$C$9*IF(Z57=1,AA57,0)+Pesos!$C$10*IF(AC57=1,AD57,0))/(3*(Pesos!$C$2*E57+Pesos!$C$3*H57+Pesos!$C$4*K57+Pesos!$C$5*N57+Pesos!$C$6*Q57+Pesos!$C$7*T57+Pesos!$C$8*W57+Pesos!$C$9*Z57+Pesos!$C$10*AC57)))</f>
        <v/>
      </c>
      <c r="AI57">
        <f>IF(AG57="Insufficient evidence","Insufficient evidence (cobertura&lt;70%)",IF(AG57&lt;50/3,"Insufficient",IF(AG57&lt;50,"Basic",IF(AG57&lt;250/3,"Solid","Advanced"))))</f>
        <v/>
      </c>
      <c r="AJ57">
        <f>IF(AH57="Insufficient evidence","Insufficient evidence (cobertura&lt;70%)",IF(AH57&lt;50/3,"Insufficient",IF(AH57&lt;50,"Basic",IF(AH57&lt;250/3,"Solid","Advanced"))))</f>
        <v/>
      </c>
      <c r="AK57">
        <f>IF(TRIM(IF(AND(ISNUMBER(F57),F57&lt;1),"Visibilidad","") &amp; " " &amp; IF(AND(ISNUMBER(U57),U57&lt;1),"Integración",""))="","Ninguno",TRIM(IF(AND(ISNUMBER(F57),F57&lt;1),"Visibilidad","") &amp; " " &amp; IF(AND(ISNUMBER(U57),U57&lt;1),"Integración","")))</f>
        <v/>
      </c>
    </row>
    <row r="58">
      <c r="A58" t="inlineStr">
        <is>
          <t>E6</t>
        </is>
      </c>
      <c r="B58" t="inlineStr">
        <is>
          <t>Multicloud</t>
        </is>
      </c>
      <c r="C58" t="inlineStr">
        <is>
          <t>Cloudability</t>
        </is>
      </c>
      <c r="D58">
        <f>IF(COUNTIFS(Puntuacion!$A:$A,$A58,Puntuacion!$C:$C,$C58,Puntuacion!$D:$D,"Visibilidad",Puntuacion!$G:$G,"&lt;&gt;NA")&gt;0,1,0)</f>
        <v/>
      </c>
      <c r="E58">
        <f>IF(AND(D58=1,COUNTIFS(Puntuacion!$A:$A,$A58,Puntuacion!$C:$C,$C58,Puntuacion!$D:$D,"Visibilidad",Puntuacion!$G:$G,"NE")=0),1,0)</f>
        <v/>
      </c>
      <c r="F58" s="5">
        <f>IF(D58=0,"NA",IF(E58=0,"NE",AVERAGEIFS(Puntuacion!$G:$G,Puntuacion!$A:$A,$A58,Puntuacion!$C:$C,$C58,Puntuacion!$D:$D,"Visibilidad",Puntuacion!$G:$G,"&lt;&gt;NA",Puntuacion!$G:$G,"&lt;&gt;NE")))</f>
        <v/>
      </c>
      <c r="G58">
        <f>IF(COUNTIFS(Puntuacion!$A:$A,$A58,Puntuacion!$C:$C,$C58,Puntuacion!$D:$D,"Asignacion",Puntuacion!$G:$G,"&lt;&gt;NA")&gt;0,1,0)</f>
        <v/>
      </c>
      <c r="H58">
        <f>IF(AND(G58=1,COUNTIFS(Puntuacion!$A:$A,$A58,Puntuacion!$C:$C,$C58,Puntuacion!$D:$D,"Asignacion",Puntuacion!$G:$G,"NE")=0),1,0)</f>
        <v/>
      </c>
      <c r="I58" s="5">
        <f>IF(G58=0,"NA",IF(H58=0,"NE",AVERAGEIFS(Puntuacion!$G:$G,Puntuacion!$A:$A,$A58,Puntuacion!$C:$C,$C58,Puntuacion!$D:$D,"Asignacion",Puntuacion!$G:$G,"&lt;&gt;NA",Puntuacion!$G:$G,"&lt;&gt;NE")))</f>
        <v/>
      </c>
      <c r="J58">
        <f>IF(COUNTIFS(Puntuacion!$A:$A,$A58,Puntuacion!$C:$C,$C58,Puntuacion!$D:$D,"Optimizacion",Puntuacion!$G:$G,"&lt;&gt;NA")&gt;0,1,0)</f>
        <v/>
      </c>
      <c r="K58">
        <f>IF(AND(J58=1,COUNTIFS(Puntuacion!$A:$A,$A58,Puntuacion!$C:$C,$C58,Puntuacion!$D:$D,"Optimizacion",Puntuacion!$G:$G,"NE")=0),1,0)</f>
        <v/>
      </c>
      <c r="L58" s="5">
        <f>IF(J58=0,"NA",IF(K58=0,"NE",AVERAGEIFS(Puntuacion!$G:$G,Puntuacion!$A:$A,$A58,Puntuacion!$C:$C,$C58,Puntuacion!$D:$D,"Optimizacion",Puntuacion!$G:$G,"&lt;&gt;NA",Puntuacion!$G:$G,"&lt;&gt;NE")))</f>
        <v/>
      </c>
      <c r="M58">
        <f>IF(COUNTIFS(Puntuacion!$A:$A,$A58,Puntuacion!$C:$C,$C58,Puntuacion!$D:$D,"Automatizacion",Puntuacion!$G:$G,"&lt;&gt;NA")&gt;0,1,0)</f>
        <v/>
      </c>
      <c r="N58">
        <f>IF(AND(M58=1,COUNTIFS(Puntuacion!$A:$A,$A58,Puntuacion!$C:$C,$C58,Puntuacion!$D:$D,"Automatizacion",Puntuacion!$G:$G,"NE")=0),1,0)</f>
        <v/>
      </c>
      <c r="O58" s="5">
        <f>IF(M58=0,"NA",IF(N58=0,"NE",AVERAGEIFS(Puntuacion!$G:$G,Puntuacion!$A:$A,$A58,Puntuacion!$C:$C,$C58,Puntuacion!$D:$D,"Automatizacion",Puntuacion!$G:$G,"&lt;&gt;NA",Puntuacion!$G:$G,"&lt;&gt;NE")))</f>
        <v/>
      </c>
      <c r="P58">
        <f>IF(COUNTIFS(Puntuacion!$A:$A,$A58,Puntuacion!$C:$C,$C58,Puntuacion!$D:$D,"Multicloud",Puntuacion!$G:$G,"&lt;&gt;NA")&gt;0,1,0)</f>
        <v/>
      </c>
      <c r="Q58">
        <f>IF(AND(P58=1,COUNTIFS(Puntuacion!$A:$A,$A58,Puntuacion!$C:$C,$C58,Puntuacion!$D:$D,"Multicloud",Puntuacion!$G:$G,"NE")=0),1,0)</f>
        <v/>
      </c>
      <c r="R58" s="5">
        <f>IF(P58=0,"NA",IF(Q58=0,"NE",AVERAGEIFS(Puntuacion!$G:$G,Puntuacion!$A:$A,$A58,Puntuacion!$C:$C,$C58,Puntuacion!$D:$D,"Multicloud",Puntuacion!$G:$G,"&lt;&gt;NA",Puntuacion!$G:$G,"&lt;&gt;NE")))</f>
        <v/>
      </c>
      <c r="S58">
        <f>IF(COUNTIFS(Puntuacion!$A:$A,$A58,Puntuacion!$C:$C,$C58,Puntuacion!$D:$D,"Integracion",Puntuacion!$G:$G,"&lt;&gt;NA")&gt;0,1,0)</f>
        <v/>
      </c>
      <c r="T58">
        <f>IF(AND(S58=1,COUNTIFS(Puntuacion!$A:$A,$A58,Puntuacion!$C:$C,$C58,Puntuacion!$D:$D,"Integracion",Puntuacion!$G:$G,"NE")=0),1,0)</f>
        <v/>
      </c>
      <c r="U58" s="5">
        <f>IF(S58=0,"NA",IF(T58=0,"NE",AVERAGEIFS(Puntuacion!$G:$G,Puntuacion!$A:$A,$A58,Puntuacion!$C:$C,$C58,Puntuacion!$D:$D,"Integracion",Puntuacion!$G:$G,"&lt;&gt;NA",Puntuacion!$G:$G,"&lt;&gt;NE")))</f>
        <v/>
      </c>
      <c r="V58">
        <f>IF(COUNTIFS(Puntuacion!$A:$A,$A58,Puntuacion!$C:$C,$C58,Puntuacion!$D:$D,"Adopcion",Puntuacion!$G:$G,"&lt;&gt;NA")&gt;0,1,0)</f>
        <v/>
      </c>
      <c r="W58">
        <f>IF(AND(V58=1,COUNTIFS(Puntuacion!$A:$A,$A58,Puntuacion!$C:$C,$C58,Puntuacion!$D:$D,"Adopcion",Puntuacion!$G:$G,"NE")=0),1,0)</f>
        <v/>
      </c>
      <c r="X58" s="5">
        <f>IF(V58=0,"NA",IF(W58=0,"NE",AVERAGEIFS(Puntuacion!$G:$G,Puntuacion!$A:$A,$A58,Puntuacion!$C:$C,$C58,Puntuacion!$D:$D,"Adopcion",Puntuacion!$G:$G,"&lt;&gt;NA",Puntuacion!$G:$G,"&lt;&gt;NE")))</f>
        <v/>
      </c>
      <c r="Y58">
        <f>IF(COUNTIFS(Puntuacion!$A:$A,$A58,Puntuacion!$C:$C,$C58,Puntuacion!$D:$D,"Precio",Puntuacion!$G:$G,"&lt;&gt;NA")&gt;0,1,0)</f>
        <v/>
      </c>
      <c r="Z58">
        <f>IF(AND(Y58=1,COUNTIFS(Puntuacion!$A:$A,$A58,Puntuacion!$C:$C,$C58,Puntuacion!$D:$D,"Precio",Puntuacion!$G:$G,"NE")=0),1,0)</f>
        <v/>
      </c>
      <c r="AA58" s="5">
        <f>IF(Y58=0,"NA",IF(Z58=0,"NE",AVERAGEIFS(Puntuacion!$G:$G,Puntuacion!$A:$A,$A58,Puntuacion!$C:$C,$C58,Puntuacion!$D:$D,"Precio",Puntuacion!$G:$G,"&lt;&gt;NA",Puntuacion!$G:$G,"&lt;&gt;NE")))</f>
        <v/>
      </c>
      <c r="AB58">
        <f>IF(COUNTIFS(Puntuacion!$A:$A,$A58,Puntuacion!$C:$C,$C58,Puntuacion!$D:$D,"Dependencia",Puntuacion!$G:$G,"&lt;&gt;NA")&gt;0,1,0)</f>
        <v/>
      </c>
      <c r="AC58">
        <f>IF(AND(AB58=1,COUNTIFS(Puntuacion!$A:$A,$A58,Puntuacion!$C:$C,$C58,Puntuacion!$D:$D,"Dependencia",Puntuacion!$G:$G,"NE")=0),1,0)</f>
        <v/>
      </c>
      <c r="AD58" s="5">
        <f>IF(AB58=0,"NA",IF(AC58=0,"NE",AVERAGEIFS(Puntuacion!$G:$G,Puntuacion!$A:$A,$A58,Puntuacion!$C:$C,$C58,Puntuacion!$D:$D,"Dependencia",Puntuacion!$G:$G,"&lt;&gt;NA",Puntuacion!$G:$G,"&lt;&gt;NE")))</f>
        <v/>
      </c>
      <c r="AE58" s="5">
        <f>IFERROR(100*(E58*Pesos!$B$2+H58*Pesos!$B$3+K58*Pesos!$B$4+N58*Pesos!$B$5+Q58*Pesos!$B$6+T58*Pesos!$B$7+W58*Pesos!$B$8+Z58*Pesos!$B$9+AC58*Pesos!$B$10)/(D58*Pesos!$B$2+G58*Pesos!$B$3+J58*Pesos!$B$4+M58*Pesos!$B$5+P58*Pesos!$B$6+S58*Pesos!$B$7+V58*Pesos!$B$8+Y58*Pesos!$B$9+AB58*Pesos!$B$10),"Sin criterios aplicables")</f>
        <v/>
      </c>
      <c r="AF58" s="5">
        <f>IFERROR(100*(E58*Pesos!$C$2+H58*Pesos!$C$3+K58*Pesos!$C$4+N58*Pesos!$C$5+Q58*Pesos!$C$6+T58*Pesos!$C$7+W58*Pesos!$C$8+Z58*Pesos!$C$9+AC58*Pesos!$C$10)/(D58*Pesos!$C$2+G58*Pesos!$C$3+J58*Pesos!$C$4+M58*Pesos!$C$5+P58*Pesos!$C$6+S58*Pesos!$C$7+V58*Pesos!$C$8+Y58*Pesos!$C$9+AB58*Pesos!$C$10),"Sin criterios aplicables")</f>
        <v/>
      </c>
      <c r="AG58" s="5">
        <f>IF(OR(AE58="Sin criterios aplicables",AE58&lt;70),"Insufficient evidence",100*(Pesos!$B$2*IF(E58=1,F58,0)+Pesos!$B$3*IF(H58=1,I58,0)+Pesos!$B$4*IF(K58=1,L58,0)+Pesos!$B$5*IF(N58=1,O58,0)+Pesos!$B$6*IF(Q58=1,R58,0)+Pesos!$B$7*IF(T58=1,U58,0)+Pesos!$B$8*IF(W58=1,X58,0)+Pesos!$B$9*IF(Z58=1,AA58,0)+Pesos!$B$10*IF(AC58=1,AD58,0))/(3*(Pesos!$B$2*E58+Pesos!$B$3*H58+Pesos!$B$4*K58+Pesos!$B$5*N58+Pesos!$B$6*Q58+Pesos!$B$7*T58+Pesos!$B$8*W58+Pesos!$B$9*Z58+Pesos!$B$10*AC58)))</f>
        <v/>
      </c>
      <c r="AH58" s="5">
        <f>IF(OR(AF58="Sin criterios aplicables",AF58&lt;70),"Insufficient evidence",100*(Pesos!$C$2*IF(E58=1,F58,0)+Pesos!$C$3*IF(H58=1,I58,0)+Pesos!$C$4*IF(K58=1,L58,0)+Pesos!$C$5*IF(N58=1,O58,0)+Pesos!$C$6*IF(Q58=1,R58,0)+Pesos!$C$7*IF(T58=1,U58,0)+Pesos!$C$8*IF(W58=1,X58,0)+Pesos!$C$9*IF(Z58=1,AA58,0)+Pesos!$C$10*IF(AC58=1,AD58,0))/(3*(Pesos!$C$2*E58+Pesos!$C$3*H58+Pesos!$C$4*K58+Pesos!$C$5*N58+Pesos!$C$6*Q58+Pesos!$C$7*T58+Pesos!$C$8*W58+Pesos!$C$9*Z58+Pesos!$C$10*AC58)))</f>
        <v/>
      </c>
      <c r="AI58">
        <f>IF(AG58="Insufficient evidence","Insufficient evidence (cobertura&lt;70%)",IF(AG58&lt;50/3,"Insufficient",IF(AG58&lt;50,"Basic",IF(AG58&lt;250/3,"Solid","Advanced"))))</f>
        <v/>
      </c>
      <c r="AJ58">
        <f>IF(AH58="Insufficient evidence","Insufficient evidence (cobertura&lt;70%)",IF(AH58&lt;50/3,"Insufficient",IF(AH58&lt;50,"Basic",IF(AH58&lt;250/3,"Solid","Advanced"))))</f>
        <v/>
      </c>
      <c r="AK58">
        <f>IF(TRIM(IF(AND(ISNUMBER(F58),F58&lt;1),"Visibilidad","") &amp; " " &amp; IF(AND(ISNUMBER(U58),U58&lt;1),"Integración",""))="","Ninguno",TRIM(IF(AND(ISNUMBER(F58),F58&lt;1),"Visibilidad","") &amp; " " &amp; IF(AND(ISNUMBER(U58),U58&lt;1),"Integración","")))</f>
        <v/>
      </c>
    </row>
    <row r="59">
      <c r="A59" t="inlineStr">
        <is>
          <t>E6</t>
        </is>
      </c>
      <c r="B59" t="inlineStr">
        <is>
          <t>Multicloud</t>
        </is>
      </c>
      <c r="C59" t="inlineStr">
        <is>
          <t>Finout</t>
        </is>
      </c>
      <c r="D59">
        <f>IF(COUNTIFS(Puntuacion!$A:$A,$A59,Puntuacion!$C:$C,$C59,Puntuacion!$D:$D,"Visibilidad",Puntuacion!$G:$G,"&lt;&gt;NA")&gt;0,1,0)</f>
        <v/>
      </c>
      <c r="E59">
        <f>IF(AND(D59=1,COUNTIFS(Puntuacion!$A:$A,$A59,Puntuacion!$C:$C,$C59,Puntuacion!$D:$D,"Visibilidad",Puntuacion!$G:$G,"NE")=0),1,0)</f>
        <v/>
      </c>
      <c r="F59" s="5">
        <f>IF(D59=0,"NA",IF(E59=0,"NE",AVERAGEIFS(Puntuacion!$G:$G,Puntuacion!$A:$A,$A59,Puntuacion!$C:$C,$C59,Puntuacion!$D:$D,"Visibilidad",Puntuacion!$G:$G,"&lt;&gt;NA",Puntuacion!$G:$G,"&lt;&gt;NE")))</f>
        <v/>
      </c>
      <c r="G59">
        <f>IF(COUNTIFS(Puntuacion!$A:$A,$A59,Puntuacion!$C:$C,$C59,Puntuacion!$D:$D,"Asignacion",Puntuacion!$G:$G,"&lt;&gt;NA")&gt;0,1,0)</f>
        <v/>
      </c>
      <c r="H59">
        <f>IF(AND(G59=1,COUNTIFS(Puntuacion!$A:$A,$A59,Puntuacion!$C:$C,$C59,Puntuacion!$D:$D,"Asignacion",Puntuacion!$G:$G,"NE")=0),1,0)</f>
        <v/>
      </c>
      <c r="I59" s="5">
        <f>IF(G59=0,"NA",IF(H59=0,"NE",AVERAGEIFS(Puntuacion!$G:$G,Puntuacion!$A:$A,$A59,Puntuacion!$C:$C,$C59,Puntuacion!$D:$D,"Asignacion",Puntuacion!$G:$G,"&lt;&gt;NA",Puntuacion!$G:$G,"&lt;&gt;NE")))</f>
        <v/>
      </c>
      <c r="J59">
        <f>IF(COUNTIFS(Puntuacion!$A:$A,$A59,Puntuacion!$C:$C,$C59,Puntuacion!$D:$D,"Optimizacion",Puntuacion!$G:$G,"&lt;&gt;NA")&gt;0,1,0)</f>
        <v/>
      </c>
      <c r="K59">
        <f>IF(AND(J59=1,COUNTIFS(Puntuacion!$A:$A,$A59,Puntuacion!$C:$C,$C59,Puntuacion!$D:$D,"Optimizacion",Puntuacion!$G:$G,"NE")=0),1,0)</f>
        <v/>
      </c>
      <c r="L59" s="5">
        <f>IF(J59=0,"NA",IF(K59=0,"NE",AVERAGEIFS(Puntuacion!$G:$G,Puntuacion!$A:$A,$A59,Puntuacion!$C:$C,$C59,Puntuacion!$D:$D,"Optimizacion",Puntuacion!$G:$G,"&lt;&gt;NA",Puntuacion!$G:$G,"&lt;&gt;NE")))</f>
        <v/>
      </c>
      <c r="M59">
        <f>IF(COUNTIFS(Puntuacion!$A:$A,$A59,Puntuacion!$C:$C,$C59,Puntuacion!$D:$D,"Automatizacion",Puntuacion!$G:$G,"&lt;&gt;NA")&gt;0,1,0)</f>
        <v/>
      </c>
      <c r="N59">
        <f>IF(AND(M59=1,COUNTIFS(Puntuacion!$A:$A,$A59,Puntuacion!$C:$C,$C59,Puntuacion!$D:$D,"Automatizacion",Puntuacion!$G:$G,"NE")=0),1,0)</f>
        <v/>
      </c>
      <c r="O59" s="5">
        <f>IF(M59=0,"NA",IF(N59=0,"NE",AVERAGEIFS(Puntuacion!$G:$G,Puntuacion!$A:$A,$A59,Puntuacion!$C:$C,$C59,Puntuacion!$D:$D,"Automatizacion",Puntuacion!$G:$G,"&lt;&gt;NA",Puntuacion!$G:$G,"&lt;&gt;NE")))</f>
        <v/>
      </c>
      <c r="P59">
        <f>IF(COUNTIFS(Puntuacion!$A:$A,$A59,Puntuacion!$C:$C,$C59,Puntuacion!$D:$D,"Multicloud",Puntuacion!$G:$G,"&lt;&gt;NA")&gt;0,1,0)</f>
        <v/>
      </c>
      <c r="Q59">
        <f>IF(AND(P59=1,COUNTIFS(Puntuacion!$A:$A,$A59,Puntuacion!$C:$C,$C59,Puntuacion!$D:$D,"Multicloud",Puntuacion!$G:$G,"NE")=0),1,0)</f>
        <v/>
      </c>
      <c r="R59" s="5">
        <f>IF(P59=0,"NA",IF(Q59=0,"NE",AVERAGEIFS(Puntuacion!$G:$G,Puntuacion!$A:$A,$A59,Puntuacion!$C:$C,$C59,Puntuacion!$D:$D,"Multicloud",Puntuacion!$G:$G,"&lt;&gt;NA",Puntuacion!$G:$G,"&lt;&gt;NE")))</f>
        <v/>
      </c>
      <c r="S59">
        <f>IF(COUNTIFS(Puntuacion!$A:$A,$A59,Puntuacion!$C:$C,$C59,Puntuacion!$D:$D,"Integracion",Puntuacion!$G:$G,"&lt;&gt;NA")&gt;0,1,0)</f>
        <v/>
      </c>
      <c r="T59">
        <f>IF(AND(S59=1,COUNTIFS(Puntuacion!$A:$A,$A59,Puntuacion!$C:$C,$C59,Puntuacion!$D:$D,"Integracion",Puntuacion!$G:$G,"NE")=0),1,0)</f>
        <v/>
      </c>
      <c r="U59" s="5">
        <f>IF(S59=0,"NA",IF(T59=0,"NE",AVERAGEIFS(Puntuacion!$G:$G,Puntuacion!$A:$A,$A59,Puntuacion!$C:$C,$C59,Puntuacion!$D:$D,"Integracion",Puntuacion!$G:$G,"&lt;&gt;NA",Puntuacion!$G:$G,"&lt;&gt;NE")))</f>
        <v/>
      </c>
      <c r="V59">
        <f>IF(COUNTIFS(Puntuacion!$A:$A,$A59,Puntuacion!$C:$C,$C59,Puntuacion!$D:$D,"Adopcion",Puntuacion!$G:$G,"&lt;&gt;NA")&gt;0,1,0)</f>
        <v/>
      </c>
      <c r="W59">
        <f>IF(AND(V59=1,COUNTIFS(Puntuacion!$A:$A,$A59,Puntuacion!$C:$C,$C59,Puntuacion!$D:$D,"Adopcion",Puntuacion!$G:$G,"NE")=0),1,0)</f>
        <v/>
      </c>
      <c r="X59" s="5">
        <f>IF(V59=0,"NA",IF(W59=0,"NE",AVERAGEIFS(Puntuacion!$G:$G,Puntuacion!$A:$A,$A59,Puntuacion!$C:$C,$C59,Puntuacion!$D:$D,"Adopcion",Puntuacion!$G:$G,"&lt;&gt;NA",Puntuacion!$G:$G,"&lt;&gt;NE")))</f>
        <v/>
      </c>
      <c r="Y59">
        <f>IF(COUNTIFS(Puntuacion!$A:$A,$A59,Puntuacion!$C:$C,$C59,Puntuacion!$D:$D,"Precio",Puntuacion!$G:$G,"&lt;&gt;NA")&gt;0,1,0)</f>
        <v/>
      </c>
      <c r="Z59">
        <f>IF(AND(Y59=1,COUNTIFS(Puntuacion!$A:$A,$A59,Puntuacion!$C:$C,$C59,Puntuacion!$D:$D,"Precio",Puntuacion!$G:$G,"NE")=0),1,0)</f>
        <v/>
      </c>
      <c r="AA59" s="5">
        <f>IF(Y59=0,"NA",IF(Z59=0,"NE",AVERAGEIFS(Puntuacion!$G:$G,Puntuacion!$A:$A,$A59,Puntuacion!$C:$C,$C59,Puntuacion!$D:$D,"Precio",Puntuacion!$G:$G,"&lt;&gt;NA",Puntuacion!$G:$G,"&lt;&gt;NE")))</f>
        <v/>
      </c>
      <c r="AB59">
        <f>IF(COUNTIFS(Puntuacion!$A:$A,$A59,Puntuacion!$C:$C,$C59,Puntuacion!$D:$D,"Dependencia",Puntuacion!$G:$G,"&lt;&gt;NA")&gt;0,1,0)</f>
        <v/>
      </c>
      <c r="AC59">
        <f>IF(AND(AB59=1,COUNTIFS(Puntuacion!$A:$A,$A59,Puntuacion!$C:$C,$C59,Puntuacion!$D:$D,"Dependencia",Puntuacion!$G:$G,"NE")=0),1,0)</f>
        <v/>
      </c>
      <c r="AD59" s="5">
        <f>IF(AB59=0,"NA",IF(AC59=0,"NE",AVERAGEIFS(Puntuacion!$G:$G,Puntuacion!$A:$A,$A59,Puntuacion!$C:$C,$C59,Puntuacion!$D:$D,"Dependencia",Puntuacion!$G:$G,"&lt;&gt;NA",Puntuacion!$G:$G,"&lt;&gt;NE")))</f>
        <v/>
      </c>
      <c r="AE59" s="5">
        <f>IFERROR(100*(E59*Pesos!$B$2+H59*Pesos!$B$3+K59*Pesos!$B$4+N59*Pesos!$B$5+Q59*Pesos!$B$6+T59*Pesos!$B$7+W59*Pesos!$B$8+Z59*Pesos!$B$9+AC59*Pesos!$B$10)/(D59*Pesos!$B$2+G59*Pesos!$B$3+J59*Pesos!$B$4+M59*Pesos!$B$5+P59*Pesos!$B$6+S59*Pesos!$B$7+V59*Pesos!$B$8+Y59*Pesos!$B$9+AB59*Pesos!$B$10),"Sin criterios aplicables")</f>
        <v/>
      </c>
      <c r="AF59" s="5">
        <f>IFERROR(100*(E59*Pesos!$C$2+H59*Pesos!$C$3+K59*Pesos!$C$4+N59*Pesos!$C$5+Q59*Pesos!$C$6+T59*Pesos!$C$7+W59*Pesos!$C$8+Z59*Pesos!$C$9+AC59*Pesos!$C$10)/(D59*Pesos!$C$2+G59*Pesos!$C$3+J59*Pesos!$C$4+M59*Pesos!$C$5+P59*Pesos!$C$6+S59*Pesos!$C$7+V59*Pesos!$C$8+Y59*Pesos!$C$9+AB59*Pesos!$C$10),"Sin criterios aplicables")</f>
        <v/>
      </c>
      <c r="AG59" s="5">
        <f>IF(OR(AE59="Sin criterios aplicables",AE59&lt;70),"Insufficient evidence",100*(Pesos!$B$2*IF(E59=1,F59,0)+Pesos!$B$3*IF(H59=1,I59,0)+Pesos!$B$4*IF(K59=1,L59,0)+Pesos!$B$5*IF(N59=1,O59,0)+Pesos!$B$6*IF(Q59=1,R59,0)+Pesos!$B$7*IF(T59=1,U59,0)+Pesos!$B$8*IF(W59=1,X59,0)+Pesos!$B$9*IF(Z59=1,AA59,0)+Pesos!$B$10*IF(AC59=1,AD59,0))/(3*(Pesos!$B$2*E59+Pesos!$B$3*H59+Pesos!$B$4*K59+Pesos!$B$5*N59+Pesos!$B$6*Q59+Pesos!$B$7*T59+Pesos!$B$8*W59+Pesos!$B$9*Z59+Pesos!$B$10*AC59)))</f>
        <v/>
      </c>
      <c r="AH59" s="5">
        <f>IF(OR(AF59="Sin criterios aplicables",AF59&lt;70),"Insufficient evidence",100*(Pesos!$C$2*IF(E59=1,F59,0)+Pesos!$C$3*IF(H59=1,I59,0)+Pesos!$C$4*IF(K59=1,L59,0)+Pesos!$C$5*IF(N59=1,O59,0)+Pesos!$C$6*IF(Q59=1,R59,0)+Pesos!$C$7*IF(T59=1,U59,0)+Pesos!$C$8*IF(W59=1,X59,0)+Pesos!$C$9*IF(Z59=1,AA59,0)+Pesos!$C$10*IF(AC59=1,AD59,0))/(3*(Pesos!$C$2*E59+Pesos!$C$3*H59+Pesos!$C$4*K59+Pesos!$C$5*N59+Pesos!$C$6*Q59+Pesos!$C$7*T59+Pesos!$C$8*W59+Pesos!$C$9*Z59+Pesos!$C$10*AC59)))</f>
        <v/>
      </c>
      <c r="AI59">
        <f>IF(AG59="Insufficient evidence","Insufficient evidence (cobertura&lt;70%)",IF(AG59&lt;50/3,"Insufficient",IF(AG59&lt;50,"Basic",IF(AG59&lt;250/3,"Solid","Advanced"))))</f>
        <v/>
      </c>
      <c r="AJ59">
        <f>IF(AH59="Insufficient evidence","Insufficient evidence (cobertura&lt;70%)",IF(AH59&lt;50/3,"Insufficient",IF(AH59&lt;50,"Basic",IF(AH59&lt;250/3,"Solid","Advanced"))))</f>
        <v/>
      </c>
      <c r="AK59">
        <f>IF(TRIM(IF(AND(ISNUMBER(F59),F59&lt;1),"Visibilidad","") &amp; " " &amp; IF(AND(ISNUMBER(U59),U59&lt;1),"Integración",""))="","Ninguno",TRIM(IF(AND(ISNUMBER(F59),F59&lt;1),"Visibilidad","") &amp; " " &amp; IF(AND(ISNUMBER(U59),U59&lt;1),"Integración","")))</f>
        <v/>
      </c>
    </row>
    <row r="60">
      <c r="A60" t="inlineStr">
        <is>
          <t>E6</t>
        </is>
      </c>
      <c r="B60" t="inlineStr">
        <is>
          <t>Multicloud</t>
        </is>
      </c>
      <c r="C60" t="inlineStr">
        <is>
          <t>Vantage</t>
        </is>
      </c>
      <c r="D60">
        <f>IF(COUNTIFS(Puntuacion!$A:$A,$A60,Puntuacion!$C:$C,$C60,Puntuacion!$D:$D,"Visibilidad",Puntuacion!$G:$G,"&lt;&gt;NA")&gt;0,1,0)</f>
        <v/>
      </c>
      <c r="E60">
        <f>IF(AND(D60=1,COUNTIFS(Puntuacion!$A:$A,$A60,Puntuacion!$C:$C,$C60,Puntuacion!$D:$D,"Visibilidad",Puntuacion!$G:$G,"NE")=0),1,0)</f>
        <v/>
      </c>
      <c r="F60" s="5">
        <f>IF(D60=0,"NA",IF(E60=0,"NE",AVERAGEIFS(Puntuacion!$G:$G,Puntuacion!$A:$A,$A60,Puntuacion!$C:$C,$C60,Puntuacion!$D:$D,"Visibilidad",Puntuacion!$G:$G,"&lt;&gt;NA",Puntuacion!$G:$G,"&lt;&gt;NE")))</f>
        <v/>
      </c>
      <c r="G60">
        <f>IF(COUNTIFS(Puntuacion!$A:$A,$A60,Puntuacion!$C:$C,$C60,Puntuacion!$D:$D,"Asignacion",Puntuacion!$G:$G,"&lt;&gt;NA")&gt;0,1,0)</f>
        <v/>
      </c>
      <c r="H60">
        <f>IF(AND(G60=1,COUNTIFS(Puntuacion!$A:$A,$A60,Puntuacion!$C:$C,$C60,Puntuacion!$D:$D,"Asignacion",Puntuacion!$G:$G,"NE")=0),1,0)</f>
        <v/>
      </c>
      <c r="I60" s="5">
        <f>IF(G60=0,"NA",IF(H60=0,"NE",AVERAGEIFS(Puntuacion!$G:$G,Puntuacion!$A:$A,$A60,Puntuacion!$C:$C,$C60,Puntuacion!$D:$D,"Asignacion",Puntuacion!$G:$G,"&lt;&gt;NA",Puntuacion!$G:$G,"&lt;&gt;NE")))</f>
        <v/>
      </c>
      <c r="J60">
        <f>IF(COUNTIFS(Puntuacion!$A:$A,$A60,Puntuacion!$C:$C,$C60,Puntuacion!$D:$D,"Optimizacion",Puntuacion!$G:$G,"&lt;&gt;NA")&gt;0,1,0)</f>
        <v/>
      </c>
      <c r="K60">
        <f>IF(AND(J60=1,COUNTIFS(Puntuacion!$A:$A,$A60,Puntuacion!$C:$C,$C60,Puntuacion!$D:$D,"Optimizacion",Puntuacion!$G:$G,"NE")=0),1,0)</f>
        <v/>
      </c>
      <c r="L60" s="5">
        <f>IF(J60=0,"NA",IF(K60=0,"NE",AVERAGEIFS(Puntuacion!$G:$G,Puntuacion!$A:$A,$A60,Puntuacion!$C:$C,$C60,Puntuacion!$D:$D,"Optimizacion",Puntuacion!$G:$G,"&lt;&gt;NA",Puntuacion!$G:$G,"&lt;&gt;NE")))</f>
        <v/>
      </c>
      <c r="M60">
        <f>IF(COUNTIFS(Puntuacion!$A:$A,$A60,Puntuacion!$C:$C,$C60,Puntuacion!$D:$D,"Automatizacion",Puntuacion!$G:$G,"&lt;&gt;NA")&gt;0,1,0)</f>
        <v/>
      </c>
      <c r="N60">
        <f>IF(AND(M60=1,COUNTIFS(Puntuacion!$A:$A,$A60,Puntuacion!$C:$C,$C60,Puntuacion!$D:$D,"Automatizacion",Puntuacion!$G:$G,"NE")=0),1,0)</f>
        <v/>
      </c>
      <c r="O60" s="5">
        <f>IF(M60=0,"NA",IF(N60=0,"NE",AVERAGEIFS(Puntuacion!$G:$G,Puntuacion!$A:$A,$A60,Puntuacion!$C:$C,$C60,Puntuacion!$D:$D,"Automatizacion",Puntuacion!$G:$G,"&lt;&gt;NA",Puntuacion!$G:$G,"&lt;&gt;NE")))</f>
        <v/>
      </c>
      <c r="P60">
        <f>IF(COUNTIFS(Puntuacion!$A:$A,$A60,Puntuacion!$C:$C,$C60,Puntuacion!$D:$D,"Multicloud",Puntuacion!$G:$G,"&lt;&gt;NA")&gt;0,1,0)</f>
        <v/>
      </c>
      <c r="Q60">
        <f>IF(AND(P60=1,COUNTIFS(Puntuacion!$A:$A,$A60,Puntuacion!$C:$C,$C60,Puntuacion!$D:$D,"Multicloud",Puntuacion!$G:$G,"NE")=0),1,0)</f>
        <v/>
      </c>
      <c r="R60" s="5">
        <f>IF(P60=0,"NA",IF(Q60=0,"NE",AVERAGEIFS(Puntuacion!$G:$G,Puntuacion!$A:$A,$A60,Puntuacion!$C:$C,$C60,Puntuacion!$D:$D,"Multicloud",Puntuacion!$G:$G,"&lt;&gt;NA",Puntuacion!$G:$G,"&lt;&gt;NE")))</f>
        <v/>
      </c>
      <c r="S60">
        <f>IF(COUNTIFS(Puntuacion!$A:$A,$A60,Puntuacion!$C:$C,$C60,Puntuacion!$D:$D,"Integracion",Puntuacion!$G:$G,"&lt;&gt;NA")&gt;0,1,0)</f>
        <v/>
      </c>
      <c r="T60">
        <f>IF(AND(S60=1,COUNTIFS(Puntuacion!$A:$A,$A60,Puntuacion!$C:$C,$C60,Puntuacion!$D:$D,"Integracion",Puntuacion!$G:$G,"NE")=0),1,0)</f>
        <v/>
      </c>
      <c r="U60" s="5">
        <f>IF(S60=0,"NA",IF(T60=0,"NE",AVERAGEIFS(Puntuacion!$G:$G,Puntuacion!$A:$A,$A60,Puntuacion!$C:$C,$C60,Puntuacion!$D:$D,"Integracion",Puntuacion!$G:$G,"&lt;&gt;NA",Puntuacion!$G:$G,"&lt;&gt;NE")))</f>
        <v/>
      </c>
      <c r="V60">
        <f>IF(COUNTIFS(Puntuacion!$A:$A,$A60,Puntuacion!$C:$C,$C60,Puntuacion!$D:$D,"Adopcion",Puntuacion!$G:$G,"&lt;&gt;NA")&gt;0,1,0)</f>
        <v/>
      </c>
      <c r="W60">
        <f>IF(AND(V60=1,COUNTIFS(Puntuacion!$A:$A,$A60,Puntuacion!$C:$C,$C60,Puntuacion!$D:$D,"Adopcion",Puntuacion!$G:$G,"NE")=0),1,0)</f>
        <v/>
      </c>
      <c r="X60" s="5">
        <f>IF(V60=0,"NA",IF(W60=0,"NE",AVERAGEIFS(Puntuacion!$G:$G,Puntuacion!$A:$A,$A60,Puntuacion!$C:$C,$C60,Puntuacion!$D:$D,"Adopcion",Puntuacion!$G:$G,"&lt;&gt;NA",Puntuacion!$G:$G,"&lt;&gt;NE")))</f>
        <v/>
      </c>
      <c r="Y60">
        <f>IF(COUNTIFS(Puntuacion!$A:$A,$A60,Puntuacion!$C:$C,$C60,Puntuacion!$D:$D,"Precio",Puntuacion!$G:$G,"&lt;&gt;NA")&gt;0,1,0)</f>
        <v/>
      </c>
      <c r="Z60">
        <f>IF(AND(Y60=1,COUNTIFS(Puntuacion!$A:$A,$A60,Puntuacion!$C:$C,$C60,Puntuacion!$D:$D,"Precio",Puntuacion!$G:$G,"NE")=0),1,0)</f>
        <v/>
      </c>
      <c r="AA60" s="5">
        <f>IF(Y60=0,"NA",IF(Z60=0,"NE",AVERAGEIFS(Puntuacion!$G:$G,Puntuacion!$A:$A,$A60,Puntuacion!$C:$C,$C60,Puntuacion!$D:$D,"Precio",Puntuacion!$G:$G,"&lt;&gt;NA",Puntuacion!$G:$G,"&lt;&gt;NE")))</f>
        <v/>
      </c>
      <c r="AB60">
        <f>IF(COUNTIFS(Puntuacion!$A:$A,$A60,Puntuacion!$C:$C,$C60,Puntuacion!$D:$D,"Dependencia",Puntuacion!$G:$G,"&lt;&gt;NA")&gt;0,1,0)</f>
        <v/>
      </c>
      <c r="AC60">
        <f>IF(AND(AB60=1,COUNTIFS(Puntuacion!$A:$A,$A60,Puntuacion!$C:$C,$C60,Puntuacion!$D:$D,"Dependencia",Puntuacion!$G:$G,"NE")=0),1,0)</f>
        <v/>
      </c>
      <c r="AD60" s="5">
        <f>IF(AB60=0,"NA",IF(AC60=0,"NE",AVERAGEIFS(Puntuacion!$G:$G,Puntuacion!$A:$A,$A60,Puntuacion!$C:$C,$C60,Puntuacion!$D:$D,"Dependencia",Puntuacion!$G:$G,"&lt;&gt;NA",Puntuacion!$G:$G,"&lt;&gt;NE")))</f>
        <v/>
      </c>
      <c r="AE60" s="5">
        <f>IFERROR(100*(E60*Pesos!$B$2+H60*Pesos!$B$3+K60*Pesos!$B$4+N60*Pesos!$B$5+Q60*Pesos!$B$6+T60*Pesos!$B$7+W60*Pesos!$B$8+Z60*Pesos!$B$9+AC60*Pesos!$B$10)/(D60*Pesos!$B$2+G60*Pesos!$B$3+J60*Pesos!$B$4+M60*Pesos!$B$5+P60*Pesos!$B$6+S60*Pesos!$B$7+V60*Pesos!$B$8+Y60*Pesos!$B$9+AB60*Pesos!$B$10),"Sin criterios aplicables")</f>
        <v/>
      </c>
      <c r="AF60" s="5">
        <f>IFERROR(100*(E60*Pesos!$C$2+H60*Pesos!$C$3+K60*Pesos!$C$4+N60*Pesos!$C$5+Q60*Pesos!$C$6+T60*Pesos!$C$7+W60*Pesos!$C$8+Z60*Pesos!$C$9+AC60*Pesos!$C$10)/(D60*Pesos!$C$2+G60*Pesos!$C$3+J60*Pesos!$C$4+M60*Pesos!$C$5+P60*Pesos!$C$6+S60*Pesos!$C$7+V60*Pesos!$C$8+Y60*Pesos!$C$9+AB60*Pesos!$C$10),"Sin criterios aplicables")</f>
        <v/>
      </c>
      <c r="AG60" s="5">
        <f>IF(OR(AE60="Sin criterios aplicables",AE60&lt;70),"Insufficient evidence",100*(Pesos!$B$2*IF(E60=1,F60,0)+Pesos!$B$3*IF(H60=1,I60,0)+Pesos!$B$4*IF(K60=1,L60,0)+Pesos!$B$5*IF(N60=1,O60,0)+Pesos!$B$6*IF(Q60=1,R60,0)+Pesos!$B$7*IF(T60=1,U60,0)+Pesos!$B$8*IF(W60=1,X60,0)+Pesos!$B$9*IF(Z60=1,AA60,0)+Pesos!$B$10*IF(AC60=1,AD60,0))/(3*(Pesos!$B$2*E60+Pesos!$B$3*H60+Pesos!$B$4*K60+Pesos!$B$5*N60+Pesos!$B$6*Q60+Pesos!$B$7*T60+Pesos!$B$8*W60+Pesos!$B$9*Z60+Pesos!$B$10*AC60)))</f>
        <v/>
      </c>
      <c r="AH60" s="5">
        <f>IF(OR(AF60="Sin criterios aplicables",AF60&lt;70),"Insufficient evidence",100*(Pesos!$C$2*IF(E60=1,F60,0)+Pesos!$C$3*IF(H60=1,I60,0)+Pesos!$C$4*IF(K60=1,L60,0)+Pesos!$C$5*IF(N60=1,O60,0)+Pesos!$C$6*IF(Q60=1,R60,0)+Pesos!$C$7*IF(T60=1,U60,0)+Pesos!$C$8*IF(W60=1,X60,0)+Pesos!$C$9*IF(Z60=1,AA60,0)+Pesos!$C$10*IF(AC60=1,AD60,0))/(3*(Pesos!$C$2*E60+Pesos!$C$3*H60+Pesos!$C$4*K60+Pesos!$C$5*N60+Pesos!$C$6*Q60+Pesos!$C$7*T60+Pesos!$C$8*W60+Pesos!$C$9*Z60+Pesos!$C$10*AC60)))</f>
        <v/>
      </c>
      <c r="AI60">
        <f>IF(AG60="Insufficient evidence","Insufficient evidence (cobertura&lt;70%)",IF(AG60&lt;50/3,"Insufficient",IF(AG60&lt;50,"Basic",IF(AG60&lt;250/3,"Solid","Advanced"))))</f>
        <v/>
      </c>
      <c r="AJ60">
        <f>IF(AH60="Insufficient evidence","Insufficient evidence (cobertura&lt;70%)",IF(AH60&lt;50/3,"Insufficient",IF(AH60&lt;50,"Basic",IF(AH60&lt;250/3,"Solid","Advanced"))))</f>
        <v/>
      </c>
      <c r="AK60">
        <f>IF(TRIM(IF(AND(ISNUMBER(F60),F60&lt;1),"Visibilidad","") &amp; " " &amp; IF(AND(ISNUMBER(U60),U60&lt;1),"Integración",""))="","Ninguno",TRIM(IF(AND(ISNUMBER(F60),F60&lt;1),"Visibilidad","") &amp; " " &amp; IF(AND(ISNUMBER(U60),U60&lt;1),"Integración","")))</f>
        <v/>
      </c>
    </row>
    <row r="61">
      <c r="A61" t="inlineStr">
        <is>
          <t>E6</t>
        </is>
      </c>
      <c r="B61" t="inlineStr">
        <is>
          <t>Multicloud</t>
        </is>
      </c>
      <c r="C61" t="inlineStr">
        <is>
          <t>nOps</t>
        </is>
      </c>
      <c r="D61">
        <f>IF(COUNTIFS(Puntuacion!$A:$A,$A61,Puntuacion!$C:$C,$C61,Puntuacion!$D:$D,"Visibilidad",Puntuacion!$G:$G,"&lt;&gt;NA")&gt;0,1,0)</f>
        <v/>
      </c>
      <c r="E61">
        <f>IF(AND(D61=1,COUNTIFS(Puntuacion!$A:$A,$A61,Puntuacion!$C:$C,$C61,Puntuacion!$D:$D,"Visibilidad",Puntuacion!$G:$G,"NE")=0),1,0)</f>
        <v/>
      </c>
      <c r="F61" s="5">
        <f>IF(D61=0,"NA",IF(E61=0,"NE",AVERAGEIFS(Puntuacion!$G:$G,Puntuacion!$A:$A,$A61,Puntuacion!$C:$C,$C61,Puntuacion!$D:$D,"Visibilidad",Puntuacion!$G:$G,"&lt;&gt;NA",Puntuacion!$G:$G,"&lt;&gt;NE")))</f>
        <v/>
      </c>
      <c r="G61">
        <f>IF(COUNTIFS(Puntuacion!$A:$A,$A61,Puntuacion!$C:$C,$C61,Puntuacion!$D:$D,"Asignacion",Puntuacion!$G:$G,"&lt;&gt;NA")&gt;0,1,0)</f>
        <v/>
      </c>
      <c r="H61">
        <f>IF(AND(G61=1,COUNTIFS(Puntuacion!$A:$A,$A61,Puntuacion!$C:$C,$C61,Puntuacion!$D:$D,"Asignacion",Puntuacion!$G:$G,"NE")=0),1,0)</f>
        <v/>
      </c>
      <c r="I61" s="5">
        <f>IF(G61=0,"NA",IF(H61=0,"NE",AVERAGEIFS(Puntuacion!$G:$G,Puntuacion!$A:$A,$A61,Puntuacion!$C:$C,$C61,Puntuacion!$D:$D,"Asignacion",Puntuacion!$G:$G,"&lt;&gt;NA",Puntuacion!$G:$G,"&lt;&gt;NE")))</f>
        <v/>
      </c>
      <c r="J61">
        <f>IF(COUNTIFS(Puntuacion!$A:$A,$A61,Puntuacion!$C:$C,$C61,Puntuacion!$D:$D,"Optimizacion",Puntuacion!$G:$G,"&lt;&gt;NA")&gt;0,1,0)</f>
        <v/>
      </c>
      <c r="K61">
        <f>IF(AND(J61=1,COUNTIFS(Puntuacion!$A:$A,$A61,Puntuacion!$C:$C,$C61,Puntuacion!$D:$D,"Optimizacion",Puntuacion!$G:$G,"NE")=0),1,0)</f>
        <v/>
      </c>
      <c r="L61" s="5">
        <f>IF(J61=0,"NA",IF(K61=0,"NE",AVERAGEIFS(Puntuacion!$G:$G,Puntuacion!$A:$A,$A61,Puntuacion!$C:$C,$C61,Puntuacion!$D:$D,"Optimizacion",Puntuacion!$G:$G,"&lt;&gt;NA",Puntuacion!$G:$G,"&lt;&gt;NE")))</f>
        <v/>
      </c>
      <c r="M61">
        <f>IF(COUNTIFS(Puntuacion!$A:$A,$A61,Puntuacion!$C:$C,$C61,Puntuacion!$D:$D,"Automatizacion",Puntuacion!$G:$G,"&lt;&gt;NA")&gt;0,1,0)</f>
        <v/>
      </c>
      <c r="N61">
        <f>IF(AND(M61=1,COUNTIFS(Puntuacion!$A:$A,$A61,Puntuacion!$C:$C,$C61,Puntuacion!$D:$D,"Automatizacion",Puntuacion!$G:$G,"NE")=0),1,0)</f>
        <v/>
      </c>
      <c r="O61" s="5">
        <f>IF(M61=0,"NA",IF(N61=0,"NE",AVERAGEIFS(Puntuacion!$G:$G,Puntuacion!$A:$A,$A61,Puntuacion!$C:$C,$C61,Puntuacion!$D:$D,"Automatizacion",Puntuacion!$G:$G,"&lt;&gt;NA",Puntuacion!$G:$G,"&lt;&gt;NE")))</f>
        <v/>
      </c>
      <c r="P61">
        <f>IF(COUNTIFS(Puntuacion!$A:$A,$A61,Puntuacion!$C:$C,$C61,Puntuacion!$D:$D,"Multicloud",Puntuacion!$G:$G,"&lt;&gt;NA")&gt;0,1,0)</f>
        <v/>
      </c>
      <c r="Q61">
        <f>IF(AND(P61=1,COUNTIFS(Puntuacion!$A:$A,$A61,Puntuacion!$C:$C,$C61,Puntuacion!$D:$D,"Multicloud",Puntuacion!$G:$G,"NE")=0),1,0)</f>
        <v/>
      </c>
      <c r="R61" s="5">
        <f>IF(P61=0,"NA",IF(Q61=0,"NE",AVERAGEIFS(Puntuacion!$G:$G,Puntuacion!$A:$A,$A61,Puntuacion!$C:$C,$C61,Puntuacion!$D:$D,"Multicloud",Puntuacion!$G:$G,"&lt;&gt;NA",Puntuacion!$G:$G,"&lt;&gt;NE")))</f>
        <v/>
      </c>
      <c r="S61">
        <f>IF(COUNTIFS(Puntuacion!$A:$A,$A61,Puntuacion!$C:$C,$C61,Puntuacion!$D:$D,"Integracion",Puntuacion!$G:$G,"&lt;&gt;NA")&gt;0,1,0)</f>
        <v/>
      </c>
      <c r="T61">
        <f>IF(AND(S61=1,COUNTIFS(Puntuacion!$A:$A,$A61,Puntuacion!$C:$C,$C61,Puntuacion!$D:$D,"Integracion",Puntuacion!$G:$G,"NE")=0),1,0)</f>
        <v/>
      </c>
      <c r="U61" s="5">
        <f>IF(S61=0,"NA",IF(T61=0,"NE",AVERAGEIFS(Puntuacion!$G:$G,Puntuacion!$A:$A,$A61,Puntuacion!$C:$C,$C61,Puntuacion!$D:$D,"Integracion",Puntuacion!$G:$G,"&lt;&gt;NA",Puntuacion!$G:$G,"&lt;&gt;NE")))</f>
        <v/>
      </c>
      <c r="V61">
        <f>IF(COUNTIFS(Puntuacion!$A:$A,$A61,Puntuacion!$C:$C,$C61,Puntuacion!$D:$D,"Adopcion",Puntuacion!$G:$G,"&lt;&gt;NA")&gt;0,1,0)</f>
        <v/>
      </c>
      <c r="W61">
        <f>IF(AND(V61=1,COUNTIFS(Puntuacion!$A:$A,$A61,Puntuacion!$C:$C,$C61,Puntuacion!$D:$D,"Adopcion",Puntuacion!$G:$G,"NE")=0),1,0)</f>
        <v/>
      </c>
      <c r="X61" s="5">
        <f>IF(V61=0,"NA",IF(W61=0,"NE",AVERAGEIFS(Puntuacion!$G:$G,Puntuacion!$A:$A,$A61,Puntuacion!$C:$C,$C61,Puntuacion!$D:$D,"Adopcion",Puntuacion!$G:$G,"&lt;&gt;NA",Puntuacion!$G:$G,"&lt;&gt;NE")))</f>
        <v/>
      </c>
      <c r="Y61">
        <f>IF(COUNTIFS(Puntuacion!$A:$A,$A61,Puntuacion!$C:$C,$C61,Puntuacion!$D:$D,"Precio",Puntuacion!$G:$G,"&lt;&gt;NA")&gt;0,1,0)</f>
        <v/>
      </c>
      <c r="Z61">
        <f>IF(AND(Y61=1,COUNTIFS(Puntuacion!$A:$A,$A61,Puntuacion!$C:$C,$C61,Puntuacion!$D:$D,"Precio",Puntuacion!$G:$G,"NE")=0),1,0)</f>
        <v/>
      </c>
      <c r="AA61" s="5">
        <f>IF(Y61=0,"NA",IF(Z61=0,"NE",AVERAGEIFS(Puntuacion!$G:$G,Puntuacion!$A:$A,$A61,Puntuacion!$C:$C,$C61,Puntuacion!$D:$D,"Precio",Puntuacion!$G:$G,"&lt;&gt;NA",Puntuacion!$G:$G,"&lt;&gt;NE")))</f>
        <v/>
      </c>
      <c r="AB61">
        <f>IF(COUNTIFS(Puntuacion!$A:$A,$A61,Puntuacion!$C:$C,$C61,Puntuacion!$D:$D,"Dependencia",Puntuacion!$G:$G,"&lt;&gt;NA")&gt;0,1,0)</f>
        <v/>
      </c>
      <c r="AC61">
        <f>IF(AND(AB61=1,COUNTIFS(Puntuacion!$A:$A,$A61,Puntuacion!$C:$C,$C61,Puntuacion!$D:$D,"Dependencia",Puntuacion!$G:$G,"NE")=0),1,0)</f>
        <v/>
      </c>
      <c r="AD61" s="5">
        <f>IF(AB61=0,"NA",IF(AC61=0,"NE",AVERAGEIFS(Puntuacion!$G:$G,Puntuacion!$A:$A,$A61,Puntuacion!$C:$C,$C61,Puntuacion!$D:$D,"Dependencia",Puntuacion!$G:$G,"&lt;&gt;NA",Puntuacion!$G:$G,"&lt;&gt;NE")))</f>
        <v/>
      </c>
      <c r="AE61" s="5">
        <f>IFERROR(100*(E61*Pesos!$B$2+H61*Pesos!$B$3+K61*Pesos!$B$4+N61*Pesos!$B$5+Q61*Pesos!$B$6+T61*Pesos!$B$7+W61*Pesos!$B$8+Z61*Pesos!$B$9+AC61*Pesos!$B$10)/(D61*Pesos!$B$2+G61*Pesos!$B$3+J61*Pesos!$B$4+M61*Pesos!$B$5+P61*Pesos!$B$6+S61*Pesos!$B$7+V61*Pesos!$B$8+Y61*Pesos!$B$9+AB61*Pesos!$B$10),"Sin criterios aplicables")</f>
        <v/>
      </c>
      <c r="AF61" s="5">
        <f>IFERROR(100*(E61*Pesos!$C$2+H61*Pesos!$C$3+K61*Pesos!$C$4+N61*Pesos!$C$5+Q61*Pesos!$C$6+T61*Pesos!$C$7+W61*Pesos!$C$8+Z61*Pesos!$C$9+AC61*Pesos!$C$10)/(D61*Pesos!$C$2+G61*Pesos!$C$3+J61*Pesos!$C$4+M61*Pesos!$C$5+P61*Pesos!$C$6+S61*Pesos!$C$7+V61*Pesos!$C$8+Y61*Pesos!$C$9+AB61*Pesos!$C$10),"Sin criterios aplicables")</f>
        <v/>
      </c>
      <c r="AG61" s="5">
        <f>IF(OR(AE61="Sin criterios aplicables",AE61&lt;70),"Insufficient evidence",100*(Pesos!$B$2*IF(E61=1,F61,0)+Pesos!$B$3*IF(H61=1,I61,0)+Pesos!$B$4*IF(K61=1,L61,0)+Pesos!$B$5*IF(N61=1,O61,0)+Pesos!$B$6*IF(Q61=1,R61,0)+Pesos!$B$7*IF(T61=1,U61,0)+Pesos!$B$8*IF(W61=1,X61,0)+Pesos!$B$9*IF(Z61=1,AA61,0)+Pesos!$B$10*IF(AC61=1,AD61,0))/(3*(Pesos!$B$2*E61+Pesos!$B$3*H61+Pesos!$B$4*K61+Pesos!$B$5*N61+Pesos!$B$6*Q61+Pesos!$B$7*T61+Pesos!$B$8*W61+Pesos!$B$9*Z61+Pesos!$B$10*AC61)))</f>
        <v/>
      </c>
      <c r="AH61" s="5">
        <f>IF(OR(AF61="Sin criterios aplicables",AF61&lt;70),"Insufficient evidence",100*(Pesos!$C$2*IF(E61=1,F61,0)+Pesos!$C$3*IF(H61=1,I61,0)+Pesos!$C$4*IF(K61=1,L61,0)+Pesos!$C$5*IF(N61=1,O61,0)+Pesos!$C$6*IF(Q61=1,R61,0)+Pesos!$C$7*IF(T61=1,U61,0)+Pesos!$C$8*IF(W61=1,X61,0)+Pesos!$C$9*IF(Z61=1,AA61,0)+Pesos!$C$10*IF(AC61=1,AD61,0))/(3*(Pesos!$C$2*E61+Pesos!$C$3*H61+Pesos!$C$4*K61+Pesos!$C$5*N61+Pesos!$C$6*Q61+Pesos!$C$7*T61+Pesos!$C$8*W61+Pesos!$C$9*Z61+Pesos!$C$10*AC61)))</f>
        <v/>
      </c>
      <c r="AI61">
        <f>IF(AG61="Insufficient evidence","Insufficient evidence (cobertura&lt;70%)",IF(AG61&lt;50/3,"Insufficient",IF(AG61&lt;50,"Basic",IF(AG61&lt;250/3,"Solid","Advanced"))))</f>
        <v/>
      </c>
      <c r="AJ61">
        <f>IF(AH61="Insufficient evidence","Insufficient evidence (cobertura&lt;70%)",IF(AH61&lt;50/3,"Insufficient",IF(AH61&lt;50,"Basic",IF(AH61&lt;250/3,"Solid","Advanced"))))</f>
        <v/>
      </c>
      <c r="AK61">
        <f>IF(TRIM(IF(AND(ISNUMBER(F61),F61&lt;1),"Visibilidad","") &amp; " " &amp; IF(AND(ISNUMBER(U61),U61&lt;1),"Integración",""))="","Ninguno",TRIM(IF(AND(ISNUMBER(F61),F61&lt;1),"Visibilidad","") &amp; " " &amp; IF(AND(ISNUMBER(U61),U61&lt;1),"Integración","")))</f>
        <v/>
      </c>
    </row>
    <row r="62">
      <c r="A62" t="inlineStr">
        <is>
          <t>VALIDACION</t>
        </is>
      </c>
      <c r="B62" t="inlineStr">
        <is>
          <t>Ejemplo sintético FP-177</t>
        </is>
      </c>
      <c r="C62" t="inlineStr">
        <is>
          <t>Herramienta Aurora (no es un producto real)</t>
        </is>
      </c>
      <c r="D62">
        <f>IF(COUNTIFS(Puntuacion!$A:$A,$A62,Puntuacion!$C:$C,$C62,Puntuacion!$D:$D,"Visibilidad",Puntuacion!$G:$G,"&lt;&gt;NA")&gt;0,1,0)</f>
        <v/>
      </c>
      <c r="E62">
        <f>IF(AND(D62=1,COUNTIFS(Puntuacion!$A:$A,$A62,Puntuacion!$C:$C,$C62,Puntuacion!$D:$D,"Visibilidad",Puntuacion!$G:$G,"NE")=0),1,0)</f>
        <v/>
      </c>
      <c r="F62" s="5">
        <f>IF(D62=0,"NA",IF(E62=0,"NE",AVERAGEIFS(Puntuacion!$G:$G,Puntuacion!$A:$A,$A62,Puntuacion!$C:$C,$C62,Puntuacion!$D:$D,"Visibilidad",Puntuacion!$G:$G,"&lt;&gt;NA",Puntuacion!$G:$G,"&lt;&gt;NE")))</f>
        <v/>
      </c>
      <c r="G62">
        <f>IF(COUNTIFS(Puntuacion!$A:$A,$A62,Puntuacion!$C:$C,$C62,Puntuacion!$D:$D,"Asignacion",Puntuacion!$G:$G,"&lt;&gt;NA")&gt;0,1,0)</f>
        <v/>
      </c>
      <c r="H62">
        <f>IF(AND(G62=1,COUNTIFS(Puntuacion!$A:$A,$A62,Puntuacion!$C:$C,$C62,Puntuacion!$D:$D,"Asignacion",Puntuacion!$G:$G,"NE")=0),1,0)</f>
        <v/>
      </c>
      <c r="I62" s="5">
        <f>IF(G62=0,"NA",IF(H62=0,"NE",AVERAGEIFS(Puntuacion!$G:$G,Puntuacion!$A:$A,$A62,Puntuacion!$C:$C,$C62,Puntuacion!$D:$D,"Asignacion",Puntuacion!$G:$G,"&lt;&gt;NA",Puntuacion!$G:$G,"&lt;&gt;NE")))</f>
        <v/>
      </c>
      <c r="J62">
        <f>IF(COUNTIFS(Puntuacion!$A:$A,$A62,Puntuacion!$C:$C,$C62,Puntuacion!$D:$D,"Optimizacion",Puntuacion!$G:$G,"&lt;&gt;NA")&gt;0,1,0)</f>
        <v/>
      </c>
      <c r="K62">
        <f>IF(AND(J62=1,COUNTIFS(Puntuacion!$A:$A,$A62,Puntuacion!$C:$C,$C62,Puntuacion!$D:$D,"Optimizacion",Puntuacion!$G:$G,"NE")=0),1,0)</f>
        <v/>
      </c>
      <c r="L62" s="5">
        <f>IF(J62=0,"NA",IF(K62=0,"NE",AVERAGEIFS(Puntuacion!$G:$G,Puntuacion!$A:$A,$A62,Puntuacion!$C:$C,$C62,Puntuacion!$D:$D,"Optimizacion",Puntuacion!$G:$G,"&lt;&gt;NA",Puntuacion!$G:$G,"&lt;&gt;NE")))</f>
        <v/>
      </c>
      <c r="M62">
        <f>IF(COUNTIFS(Puntuacion!$A:$A,$A62,Puntuacion!$C:$C,$C62,Puntuacion!$D:$D,"Automatizacion",Puntuacion!$G:$G,"&lt;&gt;NA")&gt;0,1,0)</f>
        <v/>
      </c>
      <c r="N62">
        <f>IF(AND(M62=1,COUNTIFS(Puntuacion!$A:$A,$A62,Puntuacion!$C:$C,$C62,Puntuacion!$D:$D,"Automatizacion",Puntuacion!$G:$G,"NE")=0),1,0)</f>
        <v/>
      </c>
      <c r="O62" s="5">
        <f>IF(M62=0,"NA",IF(N62=0,"NE",AVERAGEIFS(Puntuacion!$G:$G,Puntuacion!$A:$A,$A62,Puntuacion!$C:$C,$C62,Puntuacion!$D:$D,"Automatizacion",Puntuacion!$G:$G,"&lt;&gt;NA",Puntuacion!$G:$G,"&lt;&gt;NE")))</f>
        <v/>
      </c>
      <c r="P62">
        <f>IF(COUNTIFS(Puntuacion!$A:$A,$A62,Puntuacion!$C:$C,$C62,Puntuacion!$D:$D,"Multicloud",Puntuacion!$G:$G,"&lt;&gt;NA")&gt;0,1,0)</f>
        <v/>
      </c>
      <c r="Q62">
        <f>IF(AND(P62=1,COUNTIFS(Puntuacion!$A:$A,$A62,Puntuacion!$C:$C,$C62,Puntuacion!$D:$D,"Multicloud",Puntuacion!$G:$G,"NE")=0),1,0)</f>
        <v/>
      </c>
      <c r="R62" s="5">
        <f>IF(P62=0,"NA",IF(Q62=0,"NE",AVERAGEIFS(Puntuacion!$G:$G,Puntuacion!$A:$A,$A62,Puntuacion!$C:$C,$C62,Puntuacion!$D:$D,"Multicloud",Puntuacion!$G:$G,"&lt;&gt;NA",Puntuacion!$G:$G,"&lt;&gt;NE")))</f>
        <v/>
      </c>
      <c r="S62">
        <f>IF(COUNTIFS(Puntuacion!$A:$A,$A62,Puntuacion!$C:$C,$C62,Puntuacion!$D:$D,"Integracion",Puntuacion!$G:$G,"&lt;&gt;NA")&gt;0,1,0)</f>
        <v/>
      </c>
      <c r="T62">
        <f>IF(AND(S62=1,COUNTIFS(Puntuacion!$A:$A,$A62,Puntuacion!$C:$C,$C62,Puntuacion!$D:$D,"Integracion",Puntuacion!$G:$G,"NE")=0),1,0)</f>
        <v/>
      </c>
      <c r="U62" s="5">
        <f>IF(S62=0,"NA",IF(T62=0,"NE",AVERAGEIFS(Puntuacion!$G:$G,Puntuacion!$A:$A,$A62,Puntuacion!$C:$C,$C62,Puntuacion!$D:$D,"Integracion",Puntuacion!$G:$G,"&lt;&gt;NA",Puntuacion!$G:$G,"&lt;&gt;NE")))</f>
        <v/>
      </c>
      <c r="V62">
        <f>IF(COUNTIFS(Puntuacion!$A:$A,$A62,Puntuacion!$C:$C,$C62,Puntuacion!$D:$D,"Adopcion",Puntuacion!$G:$G,"&lt;&gt;NA")&gt;0,1,0)</f>
        <v/>
      </c>
      <c r="W62">
        <f>IF(AND(V62=1,COUNTIFS(Puntuacion!$A:$A,$A62,Puntuacion!$C:$C,$C62,Puntuacion!$D:$D,"Adopcion",Puntuacion!$G:$G,"NE")=0),1,0)</f>
        <v/>
      </c>
      <c r="X62" s="5">
        <f>IF(V62=0,"NA",IF(W62=0,"NE",AVERAGEIFS(Puntuacion!$G:$G,Puntuacion!$A:$A,$A62,Puntuacion!$C:$C,$C62,Puntuacion!$D:$D,"Adopcion",Puntuacion!$G:$G,"&lt;&gt;NA",Puntuacion!$G:$G,"&lt;&gt;NE")))</f>
        <v/>
      </c>
      <c r="Y62">
        <f>IF(COUNTIFS(Puntuacion!$A:$A,$A62,Puntuacion!$C:$C,$C62,Puntuacion!$D:$D,"Precio",Puntuacion!$G:$G,"&lt;&gt;NA")&gt;0,1,0)</f>
        <v/>
      </c>
      <c r="Z62">
        <f>IF(AND(Y62=1,COUNTIFS(Puntuacion!$A:$A,$A62,Puntuacion!$C:$C,$C62,Puntuacion!$D:$D,"Precio",Puntuacion!$G:$G,"NE")=0),1,0)</f>
        <v/>
      </c>
      <c r="AA62" s="5">
        <f>IF(Y62=0,"NA",IF(Z62=0,"NE",AVERAGEIFS(Puntuacion!$G:$G,Puntuacion!$A:$A,$A62,Puntuacion!$C:$C,$C62,Puntuacion!$D:$D,"Precio",Puntuacion!$G:$G,"&lt;&gt;NA",Puntuacion!$G:$G,"&lt;&gt;NE")))</f>
        <v/>
      </c>
      <c r="AB62">
        <f>IF(COUNTIFS(Puntuacion!$A:$A,$A62,Puntuacion!$C:$C,$C62,Puntuacion!$D:$D,"Dependencia",Puntuacion!$G:$G,"&lt;&gt;NA")&gt;0,1,0)</f>
        <v/>
      </c>
      <c r="AC62">
        <f>IF(AND(AB62=1,COUNTIFS(Puntuacion!$A:$A,$A62,Puntuacion!$C:$C,$C62,Puntuacion!$D:$D,"Dependencia",Puntuacion!$G:$G,"NE")=0),1,0)</f>
        <v/>
      </c>
      <c r="AD62" s="5">
        <f>IF(AB62=0,"NA",IF(AC62=0,"NE",AVERAGEIFS(Puntuacion!$G:$G,Puntuacion!$A:$A,$A62,Puntuacion!$C:$C,$C62,Puntuacion!$D:$D,"Dependencia",Puntuacion!$G:$G,"&lt;&gt;NA",Puntuacion!$G:$G,"&lt;&gt;NE")))</f>
        <v/>
      </c>
      <c r="AE62" s="5">
        <f>IFERROR(100*(E62*Pesos!$B$2+H62*Pesos!$B$3+K62*Pesos!$B$4+N62*Pesos!$B$5+Q62*Pesos!$B$6+T62*Pesos!$B$7+W62*Pesos!$B$8+Z62*Pesos!$B$9+AC62*Pesos!$B$10)/(D62*Pesos!$B$2+G62*Pesos!$B$3+J62*Pesos!$B$4+M62*Pesos!$B$5+P62*Pesos!$B$6+S62*Pesos!$B$7+V62*Pesos!$B$8+Y62*Pesos!$B$9+AB62*Pesos!$B$10),"Sin criterios aplicables")</f>
        <v/>
      </c>
      <c r="AF62" s="5">
        <f>IFERROR(100*(E62*Pesos!$C$2+H62*Pesos!$C$3+K62*Pesos!$C$4+N62*Pesos!$C$5+Q62*Pesos!$C$6+T62*Pesos!$C$7+W62*Pesos!$C$8+Z62*Pesos!$C$9+AC62*Pesos!$C$10)/(D62*Pesos!$C$2+G62*Pesos!$C$3+J62*Pesos!$C$4+M62*Pesos!$C$5+P62*Pesos!$C$6+S62*Pesos!$C$7+V62*Pesos!$C$8+Y62*Pesos!$C$9+AB62*Pesos!$C$10),"Sin criterios aplicables")</f>
        <v/>
      </c>
      <c r="AG62" s="5">
        <f>IF(OR(AE62="Sin criterios aplicables",AE62&lt;70),"Insufficient evidence",100*(Pesos!$B$2*IF(E62=1,F62,0)+Pesos!$B$3*IF(H62=1,I62,0)+Pesos!$B$4*IF(K62=1,L62,0)+Pesos!$B$5*IF(N62=1,O62,0)+Pesos!$B$6*IF(Q62=1,R62,0)+Pesos!$B$7*IF(T62=1,U62,0)+Pesos!$B$8*IF(W62=1,X62,0)+Pesos!$B$9*IF(Z62=1,AA62,0)+Pesos!$B$10*IF(AC62=1,AD62,0))/(3*(Pesos!$B$2*E62+Pesos!$B$3*H62+Pesos!$B$4*K62+Pesos!$B$5*N62+Pesos!$B$6*Q62+Pesos!$B$7*T62+Pesos!$B$8*W62+Pesos!$B$9*Z62+Pesos!$B$10*AC62)))</f>
        <v/>
      </c>
      <c r="AH62" s="5">
        <f>IF(OR(AF62="Sin criterios aplicables",AF62&lt;70),"Insufficient evidence",100*(Pesos!$C$2*IF(E62=1,F62,0)+Pesos!$C$3*IF(H62=1,I62,0)+Pesos!$C$4*IF(K62=1,L62,0)+Pesos!$C$5*IF(N62=1,O62,0)+Pesos!$C$6*IF(Q62=1,R62,0)+Pesos!$C$7*IF(T62=1,U62,0)+Pesos!$C$8*IF(W62=1,X62,0)+Pesos!$C$9*IF(Z62=1,AA62,0)+Pesos!$C$10*IF(AC62=1,AD62,0))/(3*(Pesos!$C$2*E62+Pesos!$C$3*H62+Pesos!$C$4*K62+Pesos!$C$5*N62+Pesos!$C$6*Q62+Pesos!$C$7*T62+Pesos!$C$8*W62+Pesos!$C$9*Z62+Pesos!$C$10*AC62)))</f>
        <v/>
      </c>
      <c r="AI62">
        <f>IF(AG62="Insufficient evidence","Insufficient evidence (cobertura&lt;70%)",IF(AG62&lt;50/3,"Insufficient",IF(AG62&lt;50,"Basic",IF(AG62&lt;250/3,"Solid","Advanced"))))</f>
        <v/>
      </c>
      <c r="AJ62">
        <f>IF(AH62="Insufficient evidence","Insufficient evidence (cobertura&lt;70%)",IF(AH62&lt;50/3,"Insufficient",IF(AH62&lt;50,"Basic",IF(AH62&lt;250/3,"Solid","Advanced"))))</f>
        <v/>
      </c>
      <c r="AK62" t="inlineStr">
        <is>
          <t>N/A (no es escenario E1-E6)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30" customWidth="1" min="3" max="3"/>
    <col width="18" customWidth="1" min="4" max="4"/>
    <col width="22" customWidth="1" min="5" max="5"/>
    <col width="20" customWidth="1" min="6" max="6"/>
    <col width="20" customWidth="1" min="7" max="7"/>
    <col width="22" customWidth="1" min="8" max="8"/>
    <col width="22" customWidth="1" min="9" max="9"/>
    <col width="46" customWidth="1" min="10" max="10"/>
  </cols>
  <sheetData>
    <row r="1">
      <c r="A1" t="inlineStr">
        <is>
          <t>Escenario</t>
        </is>
      </c>
      <c r="B1" t="inlineStr">
        <is>
          <t>Categoria</t>
        </is>
      </c>
      <c r="C1" t="inlineStr">
        <is>
          <t>Producto</t>
        </is>
      </c>
      <c r="D1" t="inlineStr">
        <is>
          <t>Cobertura base (%)</t>
        </is>
      </c>
      <c r="E1" t="inlineStr">
        <is>
          <t>Cobertura sensibilidad (%)</t>
        </is>
      </c>
      <c r="F1" t="inlineStr">
        <is>
          <t>S linea base (0-100)</t>
        </is>
      </c>
      <c r="G1" t="inlineStr">
        <is>
          <t>S sensibilidad (0-100)</t>
        </is>
      </c>
      <c r="H1" t="inlineStr">
        <is>
          <t>Banda linea base</t>
        </is>
      </c>
      <c r="I1" t="inlineStr">
        <is>
          <t>Banda sensibilidad</t>
        </is>
      </c>
      <c r="J1" t="inlineStr">
        <is>
          <t>Criterios criticos incumplidos</t>
        </is>
      </c>
    </row>
    <row r="2">
      <c r="A2" t="inlineStr">
        <is>
          <t>E1</t>
        </is>
      </c>
      <c r="B2" t="inlineStr">
        <is>
          <t>Cloud nativa</t>
        </is>
      </c>
      <c r="C2" t="inlineStr">
        <is>
          <t>AWS Cost Explorer</t>
        </is>
      </c>
      <c r="D2" t="n">
        <v>100</v>
      </c>
      <c r="E2" t="n">
        <v>100</v>
      </c>
      <c r="F2" t="n">
        <v>51.85</v>
      </c>
      <c r="G2" t="n">
        <v>53.17</v>
      </c>
      <c r="H2" t="inlineStr">
        <is>
          <t>Solid</t>
        </is>
      </c>
      <c r="I2" t="inlineStr">
        <is>
          <t>Solid</t>
        </is>
      </c>
      <c r="J2" t="inlineStr">
        <is>
          <t>-</t>
        </is>
      </c>
    </row>
    <row r="3">
      <c r="A3" t="inlineStr">
        <is>
          <t>E2</t>
        </is>
      </c>
      <c r="B3" t="inlineStr">
        <is>
          <t>Cloud nativa</t>
        </is>
      </c>
      <c r="C3" t="inlineStr">
        <is>
          <t>AWS Cost Explorer</t>
        </is>
      </c>
      <c r="D3" t="n">
        <v>22.22</v>
      </c>
      <c r="E3" t="n">
        <v>15</v>
      </c>
      <c r="F3" t="inlineStr">
        <is>
          <t>Insufficient evidence</t>
        </is>
      </c>
      <c r="G3" t="inlineStr">
        <is>
          <t>Insufficient evidence</t>
        </is>
      </c>
      <c r="H3" t="inlineStr">
        <is>
          <t>Insufficient evidence</t>
        </is>
      </c>
      <c r="I3" t="inlineStr">
        <is>
          <t>Insufficient evidence</t>
        </is>
      </c>
      <c r="J3" t="inlineStr">
        <is>
          <t>Multicloud | sin criterio evaluable: Precio</t>
        </is>
      </c>
    </row>
    <row r="4">
      <c r="A4" t="inlineStr">
        <is>
          <t>E3</t>
        </is>
      </c>
      <c r="B4" t="inlineStr">
        <is>
          <t>Cloud nativa</t>
        </is>
      </c>
      <c r="C4" t="inlineStr">
        <is>
          <t>AWS Cost Explorer</t>
        </is>
      </c>
      <c r="D4" t="n">
        <v>22.22</v>
      </c>
      <c r="E4" t="n">
        <v>15</v>
      </c>
      <c r="F4" t="inlineStr">
        <is>
          <t>Insufficient evidence</t>
        </is>
      </c>
      <c r="G4" t="inlineStr">
        <is>
          <t>Insufficient evidence</t>
        </is>
      </c>
      <c r="H4" t="inlineStr">
        <is>
          <t>Insufficient evidence</t>
        </is>
      </c>
      <c r="I4" t="inlineStr">
        <is>
          <t>Insufficient evidence</t>
        </is>
      </c>
      <c r="J4" t="inlineStr">
        <is>
          <t>sin criterio evaluable: Optimizacion, Automatizacion</t>
        </is>
      </c>
    </row>
    <row r="5">
      <c r="A5" t="inlineStr">
        <is>
          <t>E5</t>
        </is>
      </c>
      <c r="B5" t="inlineStr">
        <is>
          <t>Cloud nativa</t>
        </is>
      </c>
      <c r="C5" t="inlineStr">
        <is>
          <t>AWS Cost Explorer</t>
        </is>
      </c>
      <c r="D5" t="n">
        <v>22.22</v>
      </c>
      <c r="E5" t="n">
        <v>15</v>
      </c>
      <c r="F5" t="inlineStr">
        <is>
          <t>Insufficient evidence</t>
        </is>
      </c>
      <c r="G5" t="inlineStr">
        <is>
          <t>Insufficient evidence</t>
        </is>
      </c>
      <c r="H5" t="inlineStr">
        <is>
          <t>Insufficient evidence</t>
        </is>
      </c>
      <c r="I5" t="inlineStr">
        <is>
          <t>Insufficient evidence</t>
        </is>
      </c>
      <c r="J5" t="inlineStr">
        <is>
          <t>sin criterio evaluable: Asignacion, Visibilidad</t>
        </is>
      </c>
    </row>
    <row r="6">
      <c r="A6" t="inlineStr">
        <is>
          <t>E6</t>
        </is>
      </c>
      <c r="B6" t="inlineStr">
        <is>
          <t>Cloud nativa</t>
        </is>
      </c>
      <c r="C6" t="inlineStr">
        <is>
          <t>AWS Cost Explorer</t>
        </is>
      </c>
      <c r="D6" t="n">
        <v>22.22</v>
      </c>
      <c r="E6" t="n">
        <v>15</v>
      </c>
      <c r="F6" t="inlineStr">
        <is>
          <t>Insufficient evidence</t>
        </is>
      </c>
      <c r="G6" t="inlineStr">
        <is>
          <t>Insufficient evidence</t>
        </is>
      </c>
      <c r="H6" t="inlineStr">
        <is>
          <t>Insufficient evidence</t>
        </is>
      </c>
      <c r="I6" t="inlineStr">
        <is>
          <t>Insufficient evidence</t>
        </is>
      </c>
      <c r="J6" t="inlineStr">
        <is>
          <t>sin criterio evaluable: Visibilidad, Integracion</t>
        </is>
      </c>
    </row>
    <row r="7">
      <c r="A7" t="inlineStr">
        <is>
          <t>E1</t>
        </is>
      </c>
      <c r="B7" t="inlineStr">
        <is>
          <t>Cloud nativa</t>
        </is>
      </c>
      <c r="C7" t="inlineStr">
        <is>
          <t>AWS Cost Optimization Hub</t>
        </is>
      </c>
      <c r="D7" t="n">
        <v>77.78</v>
      </c>
      <c r="E7" t="n">
        <v>85</v>
      </c>
      <c r="F7" t="n">
        <v>19.05</v>
      </c>
      <c r="G7" t="n">
        <v>19.61</v>
      </c>
      <c r="H7" t="inlineStr">
        <is>
          <t>Basic</t>
        </is>
      </c>
      <c r="I7" t="inlineStr">
        <is>
          <t>Basic</t>
        </is>
      </c>
      <c r="J7" t="inlineStr">
        <is>
          <t>Visibilidad, Asignacion</t>
        </is>
      </c>
    </row>
    <row r="8">
      <c r="A8" t="inlineStr">
        <is>
          <t>E2</t>
        </is>
      </c>
      <c r="B8" t="inlineStr">
        <is>
          <t>Cloud nativa</t>
        </is>
      </c>
      <c r="C8" t="inlineStr">
        <is>
          <t>AWS Cost Optimization Hub</t>
        </is>
      </c>
      <c r="D8" t="n">
        <v>11.11</v>
      </c>
      <c r="E8" t="n">
        <v>8</v>
      </c>
      <c r="F8" t="inlineStr">
        <is>
          <t>Insufficient evidence</t>
        </is>
      </c>
      <c r="G8" t="inlineStr">
        <is>
          <t>Insufficient evidence</t>
        </is>
      </c>
      <c r="H8" t="inlineStr">
        <is>
          <t>Insufficient evidence</t>
        </is>
      </c>
      <c r="I8" t="inlineStr">
        <is>
          <t>Insufficient evidence</t>
        </is>
      </c>
      <c r="J8" t="inlineStr">
        <is>
          <t>Multicloud | sin criterio evaluable: Precio</t>
        </is>
      </c>
    </row>
    <row r="9">
      <c r="A9" t="inlineStr">
        <is>
          <t>E3</t>
        </is>
      </c>
      <c r="B9" t="inlineStr">
        <is>
          <t>Cloud nativa</t>
        </is>
      </c>
      <c r="C9" t="inlineStr">
        <is>
          <t>AWS Cost Optimization Hub</t>
        </is>
      </c>
      <c r="D9" t="n">
        <v>11.11</v>
      </c>
      <c r="E9" t="n">
        <v>8</v>
      </c>
      <c r="F9" t="inlineStr">
        <is>
          <t>Insufficient evidence</t>
        </is>
      </c>
      <c r="G9" t="inlineStr">
        <is>
          <t>Insufficient evidence</t>
        </is>
      </c>
      <c r="H9" t="inlineStr">
        <is>
          <t>Insufficient evidence</t>
        </is>
      </c>
      <c r="I9" t="inlineStr">
        <is>
          <t>Insufficient evidence</t>
        </is>
      </c>
      <c r="J9" t="inlineStr">
        <is>
          <t>sin criterio evaluable: Optimizacion, Automatizacion</t>
        </is>
      </c>
    </row>
    <row r="10">
      <c r="A10" t="inlineStr">
        <is>
          <t>E5</t>
        </is>
      </c>
      <c r="B10" t="inlineStr">
        <is>
          <t>Cloud nativa</t>
        </is>
      </c>
      <c r="C10" t="inlineStr">
        <is>
          <t>AWS Cost Optimization Hub</t>
        </is>
      </c>
      <c r="D10" t="n">
        <v>11.11</v>
      </c>
      <c r="E10" t="n">
        <v>8</v>
      </c>
      <c r="F10" t="inlineStr">
        <is>
          <t>Insufficient evidence</t>
        </is>
      </c>
      <c r="G10" t="inlineStr">
        <is>
          <t>Insufficient evidence</t>
        </is>
      </c>
      <c r="H10" t="inlineStr">
        <is>
          <t>Insufficient evidence</t>
        </is>
      </c>
      <c r="I10" t="inlineStr">
        <is>
          <t>Insufficient evidence</t>
        </is>
      </c>
      <c r="J10" t="inlineStr">
        <is>
          <t>sin criterio evaluable: Asignacion, Visibilidad</t>
        </is>
      </c>
    </row>
    <row r="11">
      <c r="A11" t="inlineStr">
        <is>
          <t>E6</t>
        </is>
      </c>
      <c r="B11" t="inlineStr">
        <is>
          <t>Cloud nativa</t>
        </is>
      </c>
      <c r="C11" t="inlineStr">
        <is>
          <t>AWS Cost Optimization Hub</t>
        </is>
      </c>
      <c r="D11" t="n">
        <v>11.11</v>
      </c>
      <c r="E11" t="n">
        <v>8</v>
      </c>
      <c r="F11" t="inlineStr">
        <is>
          <t>Insufficient evidence</t>
        </is>
      </c>
      <c r="G11" t="inlineStr">
        <is>
          <t>Insufficient evidence</t>
        </is>
      </c>
      <c r="H11" t="inlineStr">
        <is>
          <t>Insufficient evidence</t>
        </is>
      </c>
      <c r="I11" t="inlineStr">
        <is>
          <t>Insufficient evidence</t>
        </is>
      </c>
      <c r="J11" t="inlineStr">
        <is>
          <t>sin criterio evaluable: Visibilidad, Integracion</t>
        </is>
      </c>
    </row>
    <row r="12">
      <c r="A12" t="inlineStr">
        <is>
          <t>E1</t>
        </is>
      </c>
      <c r="B12" t="inlineStr">
        <is>
          <t>Cloud nativa</t>
        </is>
      </c>
      <c r="C12" t="inlineStr">
        <is>
          <t>Azure Cost Management</t>
        </is>
      </c>
      <c r="D12" t="n">
        <v>100</v>
      </c>
      <c r="E12" t="n">
        <v>100</v>
      </c>
      <c r="F12" t="n">
        <v>51.85</v>
      </c>
      <c r="G12" t="n">
        <v>54</v>
      </c>
      <c r="H12" t="inlineStr">
        <is>
          <t>Solid</t>
        </is>
      </c>
      <c r="I12" t="inlineStr">
        <is>
          <t>Solid</t>
        </is>
      </c>
      <c r="J12" t="inlineStr">
        <is>
          <t>-</t>
        </is>
      </c>
    </row>
    <row r="13">
      <c r="A13" t="inlineStr">
        <is>
          <t>E2</t>
        </is>
      </c>
      <c r="B13" t="inlineStr">
        <is>
          <t>Cloud nativa</t>
        </is>
      </c>
      <c r="C13" t="inlineStr">
        <is>
          <t>Azure Cost Management</t>
        </is>
      </c>
      <c r="D13" t="n">
        <v>22.22</v>
      </c>
      <c r="E13" t="n">
        <v>15</v>
      </c>
      <c r="F13" t="inlineStr">
        <is>
          <t>Insufficient evidence</t>
        </is>
      </c>
      <c r="G13" t="inlineStr">
        <is>
          <t>Insufficient evidence</t>
        </is>
      </c>
      <c r="H13" t="inlineStr">
        <is>
          <t>Insufficient evidence</t>
        </is>
      </c>
      <c r="I13" t="inlineStr">
        <is>
          <t>Insufficient evidence</t>
        </is>
      </c>
      <c r="J13" t="inlineStr">
        <is>
          <t>Multicloud | sin criterio evaluable: Precio</t>
        </is>
      </c>
    </row>
    <row r="14">
      <c r="A14" t="inlineStr">
        <is>
          <t>E3</t>
        </is>
      </c>
      <c r="B14" t="inlineStr">
        <is>
          <t>Cloud nativa</t>
        </is>
      </c>
      <c r="C14" t="inlineStr">
        <is>
          <t>Azure Cost Management</t>
        </is>
      </c>
      <c r="D14" t="n">
        <v>22.22</v>
      </c>
      <c r="E14" t="n">
        <v>15</v>
      </c>
      <c r="F14" t="inlineStr">
        <is>
          <t>Insufficient evidence</t>
        </is>
      </c>
      <c r="G14" t="inlineStr">
        <is>
          <t>Insufficient evidence</t>
        </is>
      </c>
      <c r="H14" t="inlineStr">
        <is>
          <t>Insufficient evidence</t>
        </is>
      </c>
      <c r="I14" t="inlineStr">
        <is>
          <t>Insufficient evidence</t>
        </is>
      </c>
      <c r="J14" t="inlineStr">
        <is>
          <t>sin criterio evaluable: Optimizacion, Automatizacion</t>
        </is>
      </c>
    </row>
    <row r="15">
      <c r="A15" t="inlineStr">
        <is>
          <t>E5</t>
        </is>
      </c>
      <c r="B15" t="inlineStr">
        <is>
          <t>Cloud nativa</t>
        </is>
      </c>
      <c r="C15" t="inlineStr">
        <is>
          <t>Azure Cost Management</t>
        </is>
      </c>
      <c r="D15" t="n">
        <v>22.22</v>
      </c>
      <c r="E15" t="n">
        <v>15</v>
      </c>
      <c r="F15" t="inlineStr">
        <is>
          <t>Insufficient evidence</t>
        </is>
      </c>
      <c r="G15" t="inlineStr">
        <is>
          <t>Insufficient evidence</t>
        </is>
      </c>
      <c r="H15" t="inlineStr">
        <is>
          <t>Insufficient evidence</t>
        </is>
      </c>
      <c r="I15" t="inlineStr">
        <is>
          <t>Insufficient evidence</t>
        </is>
      </c>
      <c r="J15" t="inlineStr">
        <is>
          <t>sin criterio evaluable: Asignacion, Visibilidad</t>
        </is>
      </c>
    </row>
    <row r="16">
      <c r="A16" t="inlineStr">
        <is>
          <t>E6</t>
        </is>
      </c>
      <c r="B16" t="inlineStr">
        <is>
          <t>Cloud nativa</t>
        </is>
      </c>
      <c r="C16" t="inlineStr">
        <is>
          <t>Azure Cost Management</t>
        </is>
      </c>
      <c r="D16" t="n">
        <v>22.22</v>
      </c>
      <c r="E16" t="n">
        <v>15</v>
      </c>
      <c r="F16" t="inlineStr">
        <is>
          <t>Insufficient evidence</t>
        </is>
      </c>
      <c r="G16" t="inlineStr">
        <is>
          <t>Insufficient evidence</t>
        </is>
      </c>
      <c r="H16" t="inlineStr">
        <is>
          <t>Insufficient evidence</t>
        </is>
      </c>
      <c r="I16" t="inlineStr">
        <is>
          <t>Insufficient evidence</t>
        </is>
      </c>
      <c r="J16" t="inlineStr">
        <is>
          <t>sin criterio evaluable: Visibilidad, Integracion</t>
        </is>
      </c>
    </row>
    <row r="17">
      <c r="A17" t="inlineStr">
        <is>
          <t>E1</t>
        </is>
      </c>
      <c r="B17" t="inlineStr">
        <is>
          <t>Cloud nativa</t>
        </is>
      </c>
      <c r="C17" t="inlineStr">
        <is>
          <t>Google Cloud Billing</t>
        </is>
      </c>
      <c r="D17" t="n">
        <v>100</v>
      </c>
      <c r="E17" t="n">
        <v>100</v>
      </c>
      <c r="F17" t="n">
        <v>38.89</v>
      </c>
      <c r="G17" t="n">
        <v>37.67</v>
      </c>
      <c r="H17" t="inlineStr">
        <is>
          <t>Basic</t>
        </is>
      </c>
      <c r="I17" t="inlineStr">
        <is>
          <t>Basic</t>
        </is>
      </c>
      <c r="J17" t="inlineStr">
        <is>
          <t>Asignacion</t>
        </is>
      </c>
    </row>
    <row r="18">
      <c r="A18" t="inlineStr">
        <is>
          <t>E2</t>
        </is>
      </c>
      <c r="B18" t="inlineStr">
        <is>
          <t>Cloud nativa</t>
        </is>
      </c>
      <c r="C18" t="inlineStr">
        <is>
          <t>Google Cloud Billing</t>
        </is>
      </c>
      <c r="D18" t="n">
        <v>22.22</v>
      </c>
      <c r="E18" t="n">
        <v>15</v>
      </c>
      <c r="F18" t="inlineStr">
        <is>
          <t>Insufficient evidence</t>
        </is>
      </c>
      <c r="G18" t="inlineStr">
        <is>
          <t>Insufficient evidence</t>
        </is>
      </c>
      <c r="H18" t="inlineStr">
        <is>
          <t>Insufficient evidence</t>
        </is>
      </c>
      <c r="I18" t="inlineStr">
        <is>
          <t>Insufficient evidence</t>
        </is>
      </c>
      <c r="J18" t="inlineStr">
        <is>
          <t>Multicloud | sin criterio evaluable: Precio</t>
        </is>
      </c>
    </row>
    <row r="19">
      <c r="A19" t="inlineStr">
        <is>
          <t>E3</t>
        </is>
      </c>
      <c r="B19" t="inlineStr">
        <is>
          <t>Cloud nativa</t>
        </is>
      </c>
      <c r="C19" t="inlineStr">
        <is>
          <t>Google Cloud Billing</t>
        </is>
      </c>
      <c r="D19" t="n">
        <v>22.22</v>
      </c>
      <c r="E19" t="n">
        <v>15</v>
      </c>
      <c r="F19" t="inlineStr">
        <is>
          <t>Insufficient evidence</t>
        </is>
      </c>
      <c r="G19" t="inlineStr">
        <is>
          <t>Insufficient evidence</t>
        </is>
      </c>
      <c r="H19" t="inlineStr">
        <is>
          <t>Insufficient evidence</t>
        </is>
      </c>
      <c r="I19" t="inlineStr">
        <is>
          <t>Insufficient evidence</t>
        </is>
      </c>
      <c r="J19" t="inlineStr">
        <is>
          <t>sin criterio evaluable: Optimizacion, Automatizacion</t>
        </is>
      </c>
    </row>
    <row r="20">
      <c r="A20" t="inlineStr">
        <is>
          <t>E5</t>
        </is>
      </c>
      <c r="B20" t="inlineStr">
        <is>
          <t>Cloud nativa</t>
        </is>
      </c>
      <c r="C20" t="inlineStr">
        <is>
          <t>Google Cloud Billing</t>
        </is>
      </c>
      <c r="D20" t="n">
        <v>22.22</v>
      </c>
      <c r="E20" t="n">
        <v>15</v>
      </c>
      <c r="F20" t="inlineStr">
        <is>
          <t>Insufficient evidence</t>
        </is>
      </c>
      <c r="G20" t="inlineStr">
        <is>
          <t>Insufficient evidence</t>
        </is>
      </c>
      <c r="H20" t="inlineStr">
        <is>
          <t>Insufficient evidence</t>
        </is>
      </c>
      <c r="I20" t="inlineStr">
        <is>
          <t>Insufficient evidence</t>
        </is>
      </c>
      <c r="J20" t="inlineStr">
        <is>
          <t>sin criterio evaluable: Asignacion, Visibilidad</t>
        </is>
      </c>
    </row>
    <row r="21">
      <c r="A21" t="inlineStr">
        <is>
          <t>E6</t>
        </is>
      </c>
      <c r="B21" t="inlineStr">
        <is>
          <t>Cloud nativa</t>
        </is>
      </c>
      <c r="C21" t="inlineStr">
        <is>
          <t>Google Cloud Billing</t>
        </is>
      </c>
      <c r="D21" t="n">
        <v>22.22</v>
      </c>
      <c r="E21" t="n">
        <v>15</v>
      </c>
      <c r="F21" t="inlineStr">
        <is>
          <t>Insufficient evidence</t>
        </is>
      </c>
      <c r="G21" t="inlineStr">
        <is>
          <t>Insufficient evidence</t>
        </is>
      </c>
      <c r="H21" t="inlineStr">
        <is>
          <t>Insufficient evidence</t>
        </is>
      </c>
      <c r="I21" t="inlineStr">
        <is>
          <t>Insufficient evidence</t>
        </is>
      </c>
      <c r="J21" t="inlineStr">
        <is>
          <t>sin criterio evaluable: Visibilidad, Integracion</t>
        </is>
      </c>
    </row>
    <row r="22">
      <c r="A22" t="inlineStr">
        <is>
          <t>E1</t>
        </is>
      </c>
      <c r="B22" t="inlineStr">
        <is>
          <t>Cloud nativa</t>
        </is>
      </c>
      <c r="C22" t="inlineStr">
        <is>
          <t>Google Cloud FinOps Hub</t>
        </is>
      </c>
      <c r="D22" t="n">
        <v>77.78</v>
      </c>
      <c r="E22" t="n">
        <v>83</v>
      </c>
      <c r="F22" t="n">
        <v>23.81</v>
      </c>
      <c r="G22" t="n">
        <v>22.89</v>
      </c>
      <c r="H22" t="inlineStr">
        <is>
          <t>Basic</t>
        </is>
      </c>
      <c r="I22" t="inlineStr">
        <is>
          <t>Basic</t>
        </is>
      </c>
      <c r="J22" t="inlineStr">
        <is>
          <t>Visibilidad, Asignacion</t>
        </is>
      </c>
    </row>
    <row r="23">
      <c r="A23" t="inlineStr">
        <is>
          <t>E2</t>
        </is>
      </c>
      <c r="B23" t="inlineStr">
        <is>
          <t>Cloud nativa</t>
        </is>
      </c>
      <c r="C23" t="inlineStr">
        <is>
          <t>Google Cloud FinOps Hub</t>
        </is>
      </c>
      <c r="D23" t="n">
        <v>11.11</v>
      </c>
      <c r="E23" t="n">
        <v>8</v>
      </c>
      <c r="F23" t="inlineStr">
        <is>
          <t>Insufficient evidence</t>
        </is>
      </c>
      <c r="G23" t="inlineStr">
        <is>
          <t>Insufficient evidence</t>
        </is>
      </c>
      <c r="H23" t="inlineStr">
        <is>
          <t>Insufficient evidence</t>
        </is>
      </c>
      <c r="I23" t="inlineStr">
        <is>
          <t>Insufficient evidence</t>
        </is>
      </c>
      <c r="J23" t="inlineStr">
        <is>
          <t>Multicloud | sin criterio evaluable: Precio</t>
        </is>
      </c>
    </row>
    <row r="24">
      <c r="A24" t="inlineStr">
        <is>
          <t>E3</t>
        </is>
      </c>
      <c r="B24" t="inlineStr">
        <is>
          <t>Cloud nativa</t>
        </is>
      </c>
      <c r="C24" t="inlineStr">
        <is>
          <t>Google Cloud FinOps Hub</t>
        </is>
      </c>
      <c r="D24" t="n">
        <v>11.11</v>
      </c>
      <c r="E24" t="n">
        <v>8</v>
      </c>
      <c r="F24" t="inlineStr">
        <is>
          <t>Insufficient evidence</t>
        </is>
      </c>
      <c r="G24" t="inlineStr">
        <is>
          <t>Insufficient evidence</t>
        </is>
      </c>
      <c r="H24" t="inlineStr">
        <is>
          <t>Insufficient evidence</t>
        </is>
      </c>
      <c r="I24" t="inlineStr">
        <is>
          <t>Insufficient evidence</t>
        </is>
      </c>
      <c r="J24" t="inlineStr">
        <is>
          <t>sin criterio evaluable: Optimizacion, Automatizacion</t>
        </is>
      </c>
    </row>
    <row r="25">
      <c r="A25" t="inlineStr">
        <is>
          <t>E5</t>
        </is>
      </c>
      <c r="B25" t="inlineStr">
        <is>
          <t>Cloud nativa</t>
        </is>
      </c>
      <c r="C25" t="inlineStr">
        <is>
          <t>Google Cloud FinOps Hub</t>
        </is>
      </c>
      <c r="D25" t="n">
        <v>11.11</v>
      </c>
      <c r="E25" t="n">
        <v>8</v>
      </c>
      <c r="F25" t="inlineStr">
        <is>
          <t>Insufficient evidence</t>
        </is>
      </c>
      <c r="G25" t="inlineStr">
        <is>
          <t>Insufficient evidence</t>
        </is>
      </c>
      <c r="H25" t="inlineStr">
        <is>
          <t>Insufficient evidence</t>
        </is>
      </c>
      <c r="I25" t="inlineStr">
        <is>
          <t>Insufficient evidence</t>
        </is>
      </c>
      <c r="J25" t="inlineStr">
        <is>
          <t>sin criterio evaluable: Asignacion, Visibilidad</t>
        </is>
      </c>
    </row>
    <row r="26">
      <c r="A26" t="inlineStr">
        <is>
          <t>E6</t>
        </is>
      </c>
      <c r="B26" t="inlineStr">
        <is>
          <t>Cloud nativa</t>
        </is>
      </c>
      <c r="C26" t="inlineStr">
        <is>
          <t>Google Cloud FinOps Hub</t>
        </is>
      </c>
      <c r="D26" t="n">
        <v>11.11</v>
      </c>
      <c r="E26" t="n">
        <v>8</v>
      </c>
      <c r="F26" t="inlineStr">
        <is>
          <t>Insufficient evidence</t>
        </is>
      </c>
      <c r="G26" t="inlineStr">
        <is>
          <t>Insufficient evidence</t>
        </is>
      </c>
      <c r="H26" t="inlineStr">
        <is>
          <t>Insufficient evidence</t>
        </is>
      </c>
      <c r="I26" t="inlineStr">
        <is>
          <t>Insufficient evidence</t>
        </is>
      </c>
      <c r="J26" t="inlineStr">
        <is>
          <t>sin criterio evaluable: Visibilidad, Integracion</t>
        </is>
      </c>
    </row>
    <row r="27">
      <c r="A27" t="inlineStr">
        <is>
          <t>E1</t>
        </is>
      </c>
      <c r="B27" t="inlineStr">
        <is>
          <t>Multicloud</t>
        </is>
      </c>
      <c r="C27" t="inlineStr">
        <is>
          <t>Cloudability</t>
        </is>
      </c>
      <c r="D27" t="n">
        <v>0</v>
      </c>
      <c r="E27" t="n">
        <v>0</v>
      </c>
      <c r="F27" t="inlineStr">
        <is>
          <t>Insufficient evidence</t>
        </is>
      </c>
      <c r="G27" t="inlineStr">
        <is>
          <t>Insufficient evidence</t>
        </is>
      </c>
      <c r="H27" t="inlineStr">
        <is>
          <t>Insufficient evidence</t>
        </is>
      </c>
      <c r="I27" t="inlineStr">
        <is>
          <t>Insufficient evidence</t>
        </is>
      </c>
      <c r="J27" t="inlineStr">
        <is>
          <t>sin criterio evaluable: Visibilidad, Asignacion</t>
        </is>
      </c>
    </row>
    <row r="28">
      <c r="A28" t="inlineStr">
        <is>
          <t>E2</t>
        </is>
      </c>
      <c r="B28" t="inlineStr">
        <is>
          <t>Multicloud</t>
        </is>
      </c>
      <c r="C28" t="inlineStr">
        <is>
          <t>Cloudability</t>
        </is>
      </c>
      <c r="D28" t="n">
        <v>44.44</v>
      </c>
      <c r="E28" t="n">
        <v>48</v>
      </c>
      <c r="F28" t="inlineStr">
        <is>
          <t>Insufficient evidence</t>
        </is>
      </c>
      <c r="G28" t="inlineStr">
        <is>
          <t>Insufficient evidence</t>
        </is>
      </c>
      <c r="H28" t="inlineStr">
        <is>
          <t>Insufficient evidence</t>
        </is>
      </c>
      <c r="I28" t="inlineStr">
        <is>
          <t>Insufficient evidence</t>
        </is>
      </c>
      <c r="J28" t="inlineStr">
        <is>
          <t>sin criterio evaluable: Multicloud, Precio</t>
        </is>
      </c>
    </row>
    <row r="29">
      <c r="A29" t="inlineStr">
        <is>
          <t>E5</t>
        </is>
      </c>
      <c r="B29" t="inlineStr">
        <is>
          <t>Multicloud</t>
        </is>
      </c>
      <c r="C29" t="inlineStr">
        <is>
          <t>Cloudability</t>
        </is>
      </c>
      <c r="D29" t="n">
        <v>0</v>
      </c>
      <c r="E29" t="n">
        <v>0</v>
      </c>
      <c r="F29" t="inlineStr">
        <is>
          <t>Insufficient evidence</t>
        </is>
      </c>
      <c r="G29" t="inlineStr">
        <is>
          <t>Insufficient evidence</t>
        </is>
      </c>
      <c r="H29" t="inlineStr">
        <is>
          <t>Insufficient evidence</t>
        </is>
      </c>
      <c r="I29" t="inlineStr">
        <is>
          <t>Insufficient evidence</t>
        </is>
      </c>
      <c r="J29" t="inlineStr">
        <is>
          <t>sin criterio evaluable: Asignacion, Visibilidad</t>
        </is>
      </c>
    </row>
    <row r="30">
      <c r="A30" t="inlineStr">
        <is>
          <t>E6</t>
        </is>
      </c>
      <c r="B30" t="inlineStr">
        <is>
          <t>Multicloud</t>
        </is>
      </c>
      <c r="C30" t="inlineStr">
        <is>
          <t>Cloudability</t>
        </is>
      </c>
      <c r="D30" t="n">
        <v>0</v>
      </c>
      <c r="E30" t="n">
        <v>0</v>
      </c>
      <c r="F30" t="inlineStr">
        <is>
          <t>Insufficient evidence</t>
        </is>
      </c>
      <c r="G30" t="inlineStr">
        <is>
          <t>Insufficient evidence</t>
        </is>
      </c>
      <c r="H30" t="inlineStr">
        <is>
          <t>Insufficient evidence</t>
        </is>
      </c>
      <c r="I30" t="inlineStr">
        <is>
          <t>Insufficient evidence</t>
        </is>
      </c>
      <c r="J30" t="inlineStr">
        <is>
          <t>sin criterio evaluable: Visibilidad, Integracion</t>
        </is>
      </c>
    </row>
    <row r="31">
      <c r="A31" t="inlineStr">
        <is>
          <t>E1</t>
        </is>
      </c>
      <c r="B31" t="inlineStr">
        <is>
          <t>Multicloud</t>
        </is>
      </c>
      <c r="C31" t="inlineStr">
        <is>
          <t>CloudHealth</t>
        </is>
      </c>
      <c r="D31" t="n">
        <v>11.11</v>
      </c>
      <c r="E31" t="n">
        <v>8</v>
      </c>
      <c r="F31" t="inlineStr">
        <is>
          <t>Insufficient evidence</t>
        </is>
      </c>
      <c r="G31" t="inlineStr">
        <is>
          <t>Insufficient evidence</t>
        </is>
      </c>
      <c r="H31" t="inlineStr">
        <is>
          <t>Insufficient evidence</t>
        </is>
      </c>
      <c r="I31" t="inlineStr">
        <is>
          <t>Insufficient evidence</t>
        </is>
      </c>
      <c r="J31" t="inlineStr">
        <is>
          <t>sin criterio evaluable: Visibilidad, Asignacion</t>
        </is>
      </c>
    </row>
    <row r="32">
      <c r="A32" t="inlineStr">
        <is>
          <t>E2</t>
        </is>
      </c>
      <c r="B32" t="inlineStr">
        <is>
          <t>Multicloud</t>
        </is>
      </c>
      <c r="C32" t="inlineStr">
        <is>
          <t>CloudHealth</t>
        </is>
      </c>
      <c r="D32" t="n">
        <v>77.78</v>
      </c>
      <c r="E32" t="n">
        <v>81</v>
      </c>
      <c r="F32" t="n">
        <v>54.76</v>
      </c>
      <c r="G32" t="n">
        <v>55.14</v>
      </c>
      <c r="H32" t="inlineStr">
        <is>
          <t>Solid</t>
        </is>
      </c>
      <c r="I32" t="inlineStr">
        <is>
          <t>Solid</t>
        </is>
      </c>
      <c r="J32" t="inlineStr">
        <is>
          <t>sin criterio evaluable: Precio</t>
        </is>
      </c>
    </row>
    <row r="33">
      <c r="A33" t="inlineStr">
        <is>
          <t>E5</t>
        </is>
      </c>
      <c r="B33" t="inlineStr">
        <is>
          <t>Multicloud</t>
        </is>
      </c>
      <c r="C33" t="inlineStr">
        <is>
          <t>CloudHealth</t>
        </is>
      </c>
      <c r="D33" t="n">
        <v>11.11</v>
      </c>
      <c r="E33" t="n">
        <v>8</v>
      </c>
      <c r="F33" t="inlineStr">
        <is>
          <t>Insufficient evidence</t>
        </is>
      </c>
      <c r="G33" t="inlineStr">
        <is>
          <t>Insufficient evidence</t>
        </is>
      </c>
      <c r="H33" t="inlineStr">
        <is>
          <t>Insufficient evidence</t>
        </is>
      </c>
      <c r="I33" t="inlineStr">
        <is>
          <t>Insufficient evidence</t>
        </is>
      </c>
      <c r="J33" t="inlineStr">
        <is>
          <t>sin criterio evaluable: Asignacion, Visibilidad</t>
        </is>
      </c>
    </row>
    <row r="34">
      <c r="A34" t="inlineStr">
        <is>
          <t>E6</t>
        </is>
      </c>
      <c r="B34" t="inlineStr">
        <is>
          <t>Multicloud</t>
        </is>
      </c>
      <c r="C34" t="inlineStr">
        <is>
          <t>CloudHealth</t>
        </is>
      </c>
      <c r="D34" t="n">
        <v>11.11</v>
      </c>
      <c r="E34" t="n">
        <v>8</v>
      </c>
      <c r="F34" t="inlineStr">
        <is>
          <t>Insufficient evidence</t>
        </is>
      </c>
      <c r="G34" t="inlineStr">
        <is>
          <t>Insufficient evidence</t>
        </is>
      </c>
      <c r="H34" t="inlineStr">
        <is>
          <t>Insufficient evidence</t>
        </is>
      </c>
      <c r="I34" t="inlineStr">
        <is>
          <t>Insufficient evidence</t>
        </is>
      </c>
      <c r="J34" t="inlineStr">
        <is>
          <t>sin criterio evaluable: Visibilidad, Integracion</t>
        </is>
      </c>
    </row>
    <row r="35">
      <c r="A35" t="inlineStr">
        <is>
          <t>E1</t>
        </is>
      </c>
      <c r="B35" t="inlineStr">
        <is>
          <t>Multicloud</t>
        </is>
      </c>
      <c r="C35" t="inlineStr">
        <is>
          <t>CloudZero</t>
        </is>
      </c>
      <c r="D35" t="n">
        <v>11.11</v>
      </c>
      <c r="E35" t="n">
        <v>8</v>
      </c>
      <c r="F35" t="inlineStr">
        <is>
          <t>Insufficient evidence</t>
        </is>
      </c>
      <c r="G35" t="inlineStr">
        <is>
          <t>Insufficient evidence</t>
        </is>
      </c>
      <c r="H35" t="inlineStr">
        <is>
          <t>Insufficient evidence</t>
        </is>
      </c>
      <c r="I35" t="inlineStr">
        <is>
          <t>Insufficient evidence</t>
        </is>
      </c>
      <c r="J35" t="inlineStr">
        <is>
          <t>sin criterio evaluable: Visibilidad, Asignacion</t>
        </is>
      </c>
    </row>
    <row r="36">
      <c r="A36" t="inlineStr">
        <is>
          <t>E2</t>
        </is>
      </c>
      <c r="B36" t="inlineStr">
        <is>
          <t>Multicloud</t>
        </is>
      </c>
      <c r="C36" t="inlineStr">
        <is>
          <t>CloudZero</t>
        </is>
      </c>
      <c r="D36" t="n">
        <v>77.78</v>
      </c>
      <c r="E36" t="n">
        <v>81</v>
      </c>
      <c r="F36" t="n">
        <v>57.14</v>
      </c>
      <c r="G36" t="n">
        <v>58.44</v>
      </c>
      <c r="H36" t="inlineStr">
        <is>
          <t>Solid</t>
        </is>
      </c>
      <c r="I36" t="inlineStr">
        <is>
          <t>Solid</t>
        </is>
      </c>
      <c r="J36" t="inlineStr">
        <is>
          <t>sin criterio evaluable: Precio</t>
        </is>
      </c>
    </row>
    <row r="37">
      <c r="A37" t="inlineStr">
        <is>
          <t>E3</t>
        </is>
      </c>
      <c r="B37" t="inlineStr">
        <is>
          <t>Multicloud</t>
        </is>
      </c>
      <c r="C37" t="inlineStr">
        <is>
          <t>CloudZero</t>
        </is>
      </c>
      <c r="D37" t="n">
        <v>11.11</v>
      </c>
      <c r="E37" t="n">
        <v>8</v>
      </c>
      <c r="F37" t="inlineStr">
        <is>
          <t>Insufficient evidence</t>
        </is>
      </c>
      <c r="G37" t="inlineStr">
        <is>
          <t>Insufficient evidence</t>
        </is>
      </c>
      <c r="H37" t="inlineStr">
        <is>
          <t>Insufficient evidence</t>
        </is>
      </c>
      <c r="I37" t="inlineStr">
        <is>
          <t>Insufficient evidence</t>
        </is>
      </c>
      <c r="J37" t="inlineStr">
        <is>
          <t>sin criterio evaluable: Optimizacion, Automatizacion</t>
        </is>
      </c>
    </row>
    <row r="38">
      <c r="A38" t="inlineStr">
        <is>
          <t>E5</t>
        </is>
      </c>
      <c r="B38" t="inlineStr">
        <is>
          <t>Multicloud</t>
        </is>
      </c>
      <c r="C38" t="inlineStr">
        <is>
          <t>CloudZero</t>
        </is>
      </c>
      <c r="D38" t="n">
        <v>11.11</v>
      </c>
      <c r="E38" t="n">
        <v>8</v>
      </c>
      <c r="F38" t="inlineStr">
        <is>
          <t>Insufficient evidence</t>
        </is>
      </c>
      <c r="G38" t="inlineStr">
        <is>
          <t>Insufficient evidence</t>
        </is>
      </c>
      <c r="H38" t="inlineStr">
        <is>
          <t>Insufficient evidence</t>
        </is>
      </c>
      <c r="I38" t="inlineStr">
        <is>
          <t>Insufficient evidence</t>
        </is>
      </c>
      <c r="J38" t="inlineStr">
        <is>
          <t>sin criterio evaluable: Asignacion, Visibilidad</t>
        </is>
      </c>
    </row>
    <row r="39">
      <c r="A39" t="inlineStr">
        <is>
          <t>E6</t>
        </is>
      </c>
      <c r="B39" t="inlineStr">
        <is>
          <t>Multicloud</t>
        </is>
      </c>
      <c r="C39" t="inlineStr">
        <is>
          <t>CloudZero</t>
        </is>
      </c>
      <c r="D39" t="n">
        <v>11.11</v>
      </c>
      <c r="E39" t="n">
        <v>8</v>
      </c>
      <c r="F39" t="inlineStr">
        <is>
          <t>Insufficient evidence</t>
        </is>
      </c>
      <c r="G39" t="inlineStr">
        <is>
          <t>Insufficient evidence</t>
        </is>
      </c>
      <c r="H39" t="inlineStr">
        <is>
          <t>Insufficient evidence</t>
        </is>
      </c>
      <c r="I39" t="inlineStr">
        <is>
          <t>Insufficient evidence</t>
        </is>
      </c>
      <c r="J39" t="inlineStr">
        <is>
          <t>sin criterio evaluable: Visibilidad, Integracion</t>
        </is>
      </c>
    </row>
    <row r="40">
      <c r="A40" t="inlineStr">
        <is>
          <t>E1</t>
        </is>
      </c>
      <c r="B40" t="inlineStr">
        <is>
          <t>Multicloud</t>
        </is>
      </c>
      <c r="C40" t="inlineStr">
        <is>
          <t>Vantage</t>
        </is>
      </c>
      <c r="D40" t="n">
        <v>11.11</v>
      </c>
      <c r="E40" t="n">
        <v>8</v>
      </c>
      <c r="F40" t="inlineStr">
        <is>
          <t>Insufficient evidence</t>
        </is>
      </c>
      <c r="G40" t="inlineStr">
        <is>
          <t>Insufficient evidence</t>
        </is>
      </c>
      <c r="H40" t="inlineStr">
        <is>
          <t>Insufficient evidence</t>
        </is>
      </c>
      <c r="I40" t="inlineStr">
        <is>
          <t>Insufficient evidence</t>
        </is>
      </c>
      <c r="J40" t="inlineStr">
        <is>
          <t>sin criterio evaluable: Visibilidad, Asignacion</t>
        </is>
      </c>
    </row>
    <row r="41">
      <c r="A41" t="inlineStr">
        <is>
          <t>E2</t>
        </is>
      </c>
      <c r="B41" t="inlineStr">
        <is>
          <t>Multicloud</t>
        </is>
      </c>
      <c r="C41" t="inlineStr">
        <is>
          <t>Vantage</t>
        </is>
      </c>
      <c r="D41" t="n">
        <v>77.78</v>
      </c>
      <c r="E41" t="n">
        <v>81</v>
      </c>
      <c r="F41" t="n">
        <v>66.67</v>
      </c>
      <c r="G41" t="n">
        <v>66.67</v>
      </c>
      <c r="H41" t="inlineStr">
        <is>
          <t>Solid</t>
        </is>
      </c>
      <c r="I41" t="inlineStr">
        <is>
          <t>Solid</t>
        </is>
      </c>
      <c r="J41" t="inlineStr">
        <is>
          <t>sin criterio evaluable: Precio</t>
        </is>
      </c>
    </row>
    <row r="42">
      <c r="A42" t="inlineStr">
        <is>
          <t>E5</t>
        </is>
      </c>
      <c r="B42" t="inlineStr">
        <is>
          <t>Multicloud</t>
        </is>
      </c>
      <c r="C42" t="inlineStr">
        <is>
          <t>Vantage</t>
        </is>
      </c>
      <c r="D42" t="n">
        <v>11.11</v>
      </c>
      <c r="E42" t="n">
        <v>8</v>
      </c>
      <c r="F42" t="inlineStr">
        <is>
          <t>Insufficient evidence</t>
        </is>
      </c>
      <c r="G42" t="inlineStr">
        <is>
          <t>Insufficient evidence</t>
        </is>
      </c>
      <c r="H42" t="inlineStr">
        <is>
          <t>Insufficient evidence</t>
        </is>
      </c>
      <c r="I42" t="inlineStr">
        <is>
          <t>Insufficient evidence</t>
        </is>
      </c>
      <c r="J42" t="inlineStr">
        <is>
          <t>sin criterio evaluable: Asignacion, Visibilidad</t>
        </is>
      </c>
    </row>
    <row r="43">
      <c r="A43" t="inlineStr">
        <is>
          <t>E6</t>
        </is>
      </c>
      <c r="B43" t="inlineStr">
        <is>
          <t>Multicloud</t>
        </is>
      </c>
      <c r="C43" t="inlineStr">
        <is>
          <t>Vantage</t>
        </is>
      </c>
      <c r="D43" t="n">
        <v>11.11</v>
      </c>
      <c r="E43" t="n">
        <v>8</v>
      </c>
      <c r="F43" t="inlineStr">
        <is>
          <t>Insufficient evidence</t>
        </is>
      </c>
      <c r="G43" t="inlineStr">
        <is>
          <t>Insufficient evidence</t>
        </is>
      </c>
      <c r="H43" t="inlineStr">
        <is>
          <t>Insufficient evidence</t>
        </is>
      </c>
      <c r="I43" t="inlineStr">
        <is>
          <t>Insufficient evidence</t>
        </is>
      </c>
      <c r="J43" t="inlineStr">
        <is>
          <t>sin criterio evaluable: Visibilidad, Integracion</t>
        </is>
      </c>
    </row>
    <row r="44">
      <c r="A44" t="inlineStr">
        <is>
          <t>E1</t>
        </is>
      </c>
      <c r="B44" t="inlineStr">
        <is>
          <t>Multicloud</t>
        </is>
      </c>
      <c r="C44" t="inlineStr">
        <is>
          <t>Finout</t>
        </is>
      </c>
      <c r="D44" t="n">
        <v>11.11</v>
      </c>
      <c r="E44" t="n">
        <v>8</v>
      </c>
      <c r="F44" t="inlineStr">
        <is>
          <t>Insufficient evidence</t>
        </is>
      </c>
      <c r="G44" t="inlineStr">
        <is>
          <t>Insufficient evidence</t>
        </is>
      </c>
      <c r="H44" t="inlineStr">
        <is>
          <t>Insufficient evidence</t>
        </is>
      </c>
      <c r="I44" t="inlineStr">
        <is>
          <t>Insufficient evidence</t>
        </is>
      </c>
      <c r="J44" t="inlineStr">
        <is>
          <t>sin criterio evaluable: Visibilidad, Asignacion</t>
        </is>
      </c>
    </row>
    <row r="45">
      <c r="A45" t="inlineStr">
        <is>
          <t>E2</t>
        </is>
      </c>
      <c r="B45" t="inlineStr">
        <is>
          <t>Multicloud</t>
        </is>
      </c>
      <c r="C45" t="inlineStr">
        <is>
          <t>Finout</t>
        </is>
      </c>
      <c r="D45" t="n">
        <v>66.67</v>
      </c>
      <c r="E45" t="n">
        <v>71</v>
      </c>
      <c r="F45" t="inlineStr">
        <is>
          <t>Insufficient evidence</t>
        </is>
      </c>
      <c r="G45" t="n">
        <v>60.8</v>
      </c>
      <c r="H45" t="inlineStr">
        <is>
          <t>Insufficient evidence</t>
        </is>
      </c>
      <c r="I45" t="inlineStr">
        <is>
          <t>Solid</t>
        </is>
      </c>
      <c r="J45" t="inlineStr">
        <is>
          <t>sin criterio evaluable: Precio</t>
        </is>
      </c>
    </row>
    <row r="46">
      <c r="A46" t="inlineStr">
        <is>
          <t>E5</t>
        </is>
      </c>
      <c r="B46" t="inlineStr">
        <is>
          <t>Multicloud</t>
        </is>
      </c>
      <c r="C46" t="inlineStr">
        <is>
          <t>Finout</t>
        </is>
      </c>
      <c r="D46" t="n">
        <v>11.11</v>
      </c>
      <c r="E46" t="n">
        <v>8</v>
      </c>
      <c r="F46" t="inlineStr">
        <is>
          <t>Insufficient evidence</t>
        </is>
      </c>
      <c r="G46" t="inlineStr">
        <is>
          <t>Insufficient evidence</t>
        </is>
      </c>
      <c r="H46" t="inlineStr">
        <is>
          <t>Insufficient evidence</t>
        </is>
      </c>
      <c r="I46" t="inlineStr">
        <is>
          <t>Insufficient evidence</t>
        </is>
      </c>
      <c r="J46" t="inlineStr">
        <is>
          <t>sin criterio evaluable: Asignacion, Visibilidad</t>
        </is>
      </c>
    </row>
    <row r="47">
      <c r="A47" t="inlineStr">
        <is>
          <t>E6</t>
        </is>
      </c>
      <c r="B47" t="inlineStr">
        <is>
          <t>Multicloud</t>
        </is>
      </c>
      <c r="C47" t="inlineStr">
        <is>
          <t>Finout</t>
        </is>
      </c>
      <c r="D47" t="n">
        <v>11.11</v>
      </c>
      <c r="E47" t="n">
        <v>8</v>
      </c>
      <c r="F47" t="inlineStr">
        <is>
          <t>Insufficient evidence</t>
        </is>
      </c>
      <c r="G47" t="inlineStr">
        <is>
          <t>Insufficient evidence</t>
        </is>
      </c>
      <c r="H47" t="inlineStr">
        <is>
          <t>Insufficient evidence</t>
        </is>
      </c>
      <c r="I47" t="inlineStr">
        <is>
          <t>Insufficient evidence</t>
        </is>
      </c>
      <c r="J47" t="inlineStr">
        <is>
          <t>sin criterio evaluable: Visibilidad, Integracion</t>
        </is>
      </c>
    </row>
    <row r="48">
      <c r="A48" t="inlineStr">
        <is>
          <t>E1</t>
        </is>
      </c>
      <c r="B48" t="inlineStr">
        <is>
          <t>Multicloud</t>
        </is>
      </c>
      <c r="C48" t="inlineStr">
        <is>
          <t>nOps</t>
        </is>
      </c>
      <c r="D48" t="n">
        <v>11.11</v>
      </c>
      <c r="E48" t="n">
        <v>8</v>
      </c>
      <c r="F48" t="inlineStr">
        <is>
          <t>Insufficient evidence</t>
        </is>
      </c>
      <c r="G48" t="inlineStr">
        <is>
          <t>Insufficient evidence</t>
        </is>
      </c>
      <c r="H48" t="inlineStr">
        <is>
          <t>Insufficient evidence</t>
        </is>
      </c>
      <c r="I48" t="inlineStr">
        <is>
          <t>Insufficient evidence</t>
        </is>
      </c>
      <c r="J48" t="inlineStr">
        <is>
          <t>sin criterio evaluable: Visibilidad, Asignacion</t>
        </is>
      </c>
    </row>
    <row r="49">
      <c r="A49" t="inlineStr">
        <is>
          <t>E2</t>
        </is>
      </c>
      <c r="B49" t="inlineStr">
        <is>
          <t>Multicloud</t>
        </is>
      </c>
      <c r="C49" t="inlineStr">
        <is>
          <t>nOps</t>
        </is>
      </c>
      <c r="D49" t="n">
        <v>77.78</v>
      </c>
      <c r="E49" t="n">
        <v>83</v>
      </c>
      <c r="F49" t="n">
        <v>59.52</v>
      </c>
      <c r="G49" t="n">
        <v>58.84</v>
      </c>
      <c r="H49" t="inlineStr">
        <is>
          <t>Solid</t>
        </is>
      </c>
      <c r="I49" t="inlineStr">
        <is>
          <t>Solid</t>
        </is>
      </c>
      <c r="J49" t="inlineStr">
        <is>
          <t>-</t>
        </is>
      </c>
    </row>
    <row r="50">
      <c r="A50" t="inlineStr">
        <is>
          <t>E5</t>
        </is>
      </c>
      <c r="B50" t="inlineStr">
        <is>
          <t>Multicloud</t>
        </is>
      </c>
      <c r="C50" t="inlineStr">
        <is>
          <t>nOps</t>
        </is>
      </c>
      <c r="D50" t="n">
        <v>11.11</v>
      </c>
      <c r="E50" t="n">
        <v>8</v>
      </c>
      <c r="F50" t="inlineStr">
        <is>
          <t>Insufficient evidence</t>
        </is>
      </c>
      <c r="G50" t="inlineStr">
        <is>
          <t>Insufficient evidence</t>
        </is>
      </c>
      <c r="H50" t="inlineStr">
        <is>
          <t>Insufficient evidence</t>
        </is>
      </c>
      <c r="I50" t="inlineStr">
        <is>
          <t>Insufficient evidence</t>
        </is>
      </c>
      <c r="J50" t="inlineStr">
        <is>
          <t>sin criterio evaluable: Asignacion, Visibilidad</t>
        </is>
      </c>
    </row>
    <row r="51">
      <c r="A51" t="inlineStr">
        <is>
          <t>E6</t>
        </is>
      </c>
      <c r="B51" t="inlineStr">
        <is>
          <t>Multicloud</t>
        </is>
      </c>
      <c r="C51" t="inlineStr">
        <is>
          <t>nOps</t>
        </is>
      </c>
      <c r="D51" t="n">
        <v>11.11</v>
      </c>
      <c r="E51" t="n">
        <v>8</v>
      </c>
      <c r="F51" t="inlineStr">
        <is>
          <t>Insufficient evidence</t>
        </is>
      </c>
      <c r="G51" t="inlineStr">
        <is>
          <t>Insufficient evidence</t>
        </is>
      </c>
      <c r="H51" t="inlineStr">
        <is>
          <t>Insufficient evidence</t>
        </is>
      </c>
      <c r="I51" t="inlineStr">
        <is>
          <t>Insufficient evidence</t>
        </is>
      </c>
      <c r="J51" t="inlineStr">
        <is>
          <t>sin criterio evaluable: Visibilidad, Integracion</t>
        </is>
      </c>
    </row>
    <row r="52">
      <c r="A52" t="inlineStr">
        <is>
          <t>E3</t>
        </is>
      </c>
      <c r="B52" t="inlineStr">
        <is>
          <t>Kubernetes</t>
        </is>
      </c>
      <c r="C52" t="inlineStr">
        <is>
          <t>OpenCost</t>
        </is>
      </c>
      <c r="D52" t="n">
        <v>77.78</v>
      </c>
      <c r="E52" t="n">
        <v>80</v>
      </c>
      <c r="F52" t="n">
        <v>33.33</v>
      </c>
      <c r="G52" t="n">
        <v>34.58</v>
      </c>
      <c r="H52" t="inlineStr">
        <is>
          <t>Basic</t>
        </is>
      </c>
      <c r="I52" t="inlineStr">
        <is>
          <t>Basic</t>
        </is>
      </c>
      <c r="J52" t="inlineStr">
        <is>
          <t>Optimizacion, Automatizacion</t>
        </is>
      </c>
    </row>
    <row r="53">
      <c r="A53" t="inlineStr">
        <is>
          <t>E5</t>
        </is>
      </c>
      <c r="B53" t="inlineStr">
        <is>
          <t>Kubernetes</t>
        </is>
      </c>
      <c r="C53" t="inlineStr">
        <is>
          <t>OpenCost</t>
        </is>
      </c>
      <c r="D53" t="n">
        <v>22.22</v>
      </c>
      <c r="E53" t="n">
        <v>15</v>
      </c>
      <c r="F53" t="inlineStr">
        <is>
          <t>Insufficient evidence</t>
        </is>
      </c>
      <c r="G53" t="inlineStr">
        <is>
          <t>Insufficient evidence</t>
        </is>
      </c>
      <c r="H53" t="inlineStr">
        <is>
          <t>Insufficient evidence</t>
        </is>
      </c>
      <c r="I53" t="inlineStr">
        <is>
          <t>Insufficient evidence</t>
        </is>
      </c>
      <c r="J53" t="inlineStr">
        <is>
          <t>sin criterio evaluable: Asignacion, Visibilidad</t>
        </is>
      </c>
    </row>
    <row r="54">
      <c r="A54" t="inlineStr">
        <is>
          <t>E3</t>
        </is>
      </c>
      <c r="B54" t="inlineStr">
        <is>
          <t>Kubernetes</t>
        </is>
      </c>
      <c r="C54" t="inlineStr">
        <is>
          <t>Kubecost</t>
        </is>
      </c>
      <c r="D54" t="n">
        <v>55.56</v>
      </c>
      <c r="E54" t="n">
        <v>63</v>
      </c>
      <c r="F54" t="inlineStr">
        <is>
          <t>Insufficient evidence</t>
        </is>
      </c>
      <c r="G54" t="inlineStr">
        <is>
          <t>Insufficient evidence</t>
        </is>
      </c>
      <c r="H54" t="inlineStr">
        <is>
          <t>Insufficient evidence</t>
        </is>
      </c>
      <c r="I54" t="inlineStr">
        <is>
          <t>Insufficient evidence</t>
        </is>
      </c>
      <c r="J54" t="inlineStr">
        <is>
          <t>sin criterio evaluable: Automatizacion</t>
        </is>
      </c>
    </row>
    <row r="55">
      <c r="A55" t="inlineStr">
        <is>
          <t>E5</t>
        </is>
      </c>
      <c r="B55" t="inlineStr">
        <is>
          <t>Kubernetes</t>
        </is>
      </c>
      <c r="C55" t="inlineStr">
        <is>
          <t>Kubecost</t>
        </is>
      </c>
      <c r="D55" t="n">
        <v>11.11</v>
      </c>
      <c r="E55" t="n">
        <v>8</v>
      </c>
      <c r="F55" t="inlineStr">
        <is>
          <t>Insufficient evidence</t>
        </is>
      </c>
      <c r="G55" t="inlineStr">
        <is>
          <t>Insufficient evidence</t>
        </is>
      </c>
      <c r="H55" t="inlineStr">
        <is>
          <t>Insufficient evidence</t>
        </is>
      </c>
      <c r="I55" t="inlineStr">
        <is>
          <t>Insufficient evidence</t>
        </is>
      </c>
      <c r="J55" t="inlineStr">
        <is>
          <t>sin criterio evaluable: Asignacion, Visibilidad</t>
        </is>
      </c>
    </row>
    <row r="56">
      <c r="A56" t="inlineStr">
        <is>
          <t>E3</t>
        </is>
      </c>
      <c r="B56" t="inlineStr">
        <is>
          <t>Kubernetes</t>
        </is>
      </c>
      <c r="C56" t="inlineStr">
        <is>
          <t>Cast AI</t>
        </is>
      </c>
      <c r="D56" t="n">
        <v>33.33</v>
      </c>
      <c r="E56" t="n">
        <v>33</v>
      </c>
      <c r="F56" t="inlineStr">
        <is>
          <t>Insufficient evidence</t>
        </is>
      </c>
      <c r="G56" t="inlineStr">
        <is>
          <t>Insufficient evidence</t>
        </is>
      </c>
      <c r="H56" t="inlineStr">
        <is>
          <t>Insufficient evidence</t>
        </is>
      </c>
      <c r="I56" t="inlineStr">
        <is>
          <t>Insufficient evidence</t>
        </is>
      </c>
      <c r="J56" t="inlineStr">
        <is>
          <t>-</t>
        </is>
      </c>
    </row>
    <row r="57">
      <c r="A57" t="inlineStr">
        <is>
          <t>E5</t>
        </is>
      </c>
      <c r="B57" t="inlineStr">
        <is>
          <t>Kubernetes</t>
        </is>
      </c>
      <c r="C57" t="inlineStr">
        <is>
          <t>Cast AI</t>
        </is>
      </c>
      <c r="D57" t="n">
        <v>11.11</v>
      </c>
      <c r="E57" t="n">
        <v>8</v>
      </c>
      <c r="F57" t="inlineStr">
        <is>
          <t>Insufficient evidence</t>
        </is>
      </c>
      <c r="G57" t="inlineStr">
        <is>
          <t>Insufficient evidence</t>
        </is>
      </c>
      <c r="H57" t="inlineStr">
        <is>
          <t>Insufficient evidence</t>
        </is>
      </c>
      <c r="I57" t="inlineStr">
        <is>
          <t>Insufficient evidence</t>
        </is>
      </c>
      <c r="J57" t="inlineStr">
        <is>
          <t>sin criterio evaluable: Asignacion, Visibilidad</t>
        </is>
      </c>
    </row>
    <row r="58">
      <c r="A58" t="inlineStr">
        <is>
          <t>E3</t>
        </is>
      </c>
      <c r="B58" t="inlineStr">
        <is>
          <t>Kubernetes</t>
        </is>
      </c>
      <c r="C58" t="inlineStr">
        <is>
          <t>StormForge</t>
        </is>
      </c>
      <c r="D58" t="n">
        <v>33.33</v>
      </c>
      <c r="E58" t="n">
        <v>35</v>
      </c>
      <c r="F58" t="inlineStr">
        <is>
          <t>Insufficient evidence</t>
        </is>
      </c>
      <c r="G58" t="inlineStr">
        <is>
          <t>Insufficient evidence</t>
        </is>
      </c>
      <c r="H58" t="inlineStr">
        <is>
          <t>Insufficient evidence</t>
        </is>
      </c>
      <c r="I58" t="inlineStr">
        <is>
          <t>Insufficient evidence</t>
        </is>
      </c>
      <c r="J58" t="inlineStr">
        <is>
          <t>-</t>
        </is>
      </c>
    </row>
    <row r="59">
      <c r="A59" t="inlineStr">
        <is>
          <t>E5</t>
        </is>
      </c>
      <c r="B59" t="inlineStr">
        <is>
          <t>Kubernetes</t>
        </is>
      </c>
      <c r="C59" t="inlineStr">
        <is>
          <t>StormForge</t>
        </is>
      </c>
      <c r="D59" t="n">
        <v>0</v>
      </c>
      <c r="E59" t="n">
        <v>0</v>
      </c>
      <c r="F59" t="inlineStr">
        <is>
          <t>Insufficient evidence</t>
        </is>
      </c>
      <c r="G59" t="inlineStr">
        <is>
          <t>Insufficient evidence</t>
        </is>
      </c>
      <c r="H59" t="inlineStr">
        <is>
          <t>Insufficient evidence</t>
        </is>
      </c>
      <c r="I59" t="inlineStr">
        <is>
          <t>Insufficient evidence</t>
        </is>
      </c>
      <c r="J59" t="inlineStr">
        <is>
          <t>sin criterio evaluable: Asignacion, Visibilidad</t>
        </is>
      </c>
    </row>
    <row r="60">
      <c r="A60" t="inlineStr">
        <is>
          <t>E4</t>
        </is>
      </c>
      <c r="B60" t="inlineStr">
        <is>
          <t>Estimacion temprana</t>
        </is>
      </c>
      <c r="C60" t="inlineStr">
        <is>
          <t>Infracost</t>
        </is>
      </c>
      <c r="D60" t="n">
        <v>75</v>
      </c>
      <c r="E60" t="n">
        <v>82.34999999999999</v>
      </c>
      <c r="F60" t="n">
        <v>47.22</v>
      </c>
      <c r="G60" t="n">
        <v>49.76</v>
      </c>
      <c r="H60" t="inlineStr">
        <is>
          <t>Basic</t>
        </is>
      </c>
      <c r="I60" t="inlineStr">
        <is>
          <t>Basic</t>
        </is>
      </c>
      <c r="J60" t="inlineStr">
        <is>
          <t>-</t>
        </is>
      </c>
    </row>
    <row r="61">
      <c r="A61" t="inlineStr">
        <is>
          <t>E4</t>
        </is>
      </c>
      <c r="B61" t="inlineStr">
        <is>
          <t>Estimacion temprana</t>
        </is>
      </c>
      <c r="C61" t="inlineStr">
        <is>
          <t>Cloud Custodian</t>
        </is>
      </c>
      <c r="D61" t="n">
        <v>77.78</v>
      </c>
      <c r="E61" t="n">
        <v>85</v>
      </c>
      <c r="F61" t="n">
        <v>19.05</v>
      </c>
      <c r="G61" t="n">
        <v>16.67</v>
      </c>
      <c r="H61" t="inlineStr">
        <is>
          <t>Basic</t>
        </is>
      </c>
      <c r="I61" t="inlineStr">
        <is>
          <t>Basic</t>
        </is>
      </c>
      <c r="J61" t="inlineStr">
        <is>
          <t>Precio</t>
        </is>
      </c>
    </row>
    <row r="62">
      <c r="A62" t="inlineStr">
        <is>
          <t>VALIDACION</t>
        </is>
      </c>
      <c r="B62" t="inlineStr">
        <is>
          <t>Ejemplo sintético FP-177</t>
        </is>
      </c>
      <c r="C62" t="inlineStr">
        <is>
          <t>Herramienta Aurora (no es un producto real)</t>
        </is>
      </c>
      <c r="D62" t="n">
        <v>100</v>
      </c>
      <c r="E62" t="n">
        <v>100</v>
      </c>
      <c r="F62" t="n">
        <v>51.85</v>
      </c>
      <c r="G62" t="n">
        <v>54</v>
      </c>
      <c r="H62" t="inlineStr">
        <is>
          <t>Solid</t>
        </is>
      </c>
      <c r="I62" t="inlineStr">
        <is>
          <t>Solid</t>
        </is>
      </c>
      <c r="J6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Graficos de S por escenario, vinculados a la hoja Resultados. Los pares marcados 'Insufficient evidence' no aparecen con barra: esa ausencia es el resultado, no un dato faltante.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2026-09-16T17:02:52Z</dcterms:created>
  <dcterms:modified xmlns:dcterms="http://purl.org/dc/terms/" xmlns:xsi="http://www.w3.org/2001/XMLSchema-instance" xsi:type="dcterms:W3CDTF">2026-09-16T21:44:51Z</dcterms:modified>
</cp:coreProperties>
</file>