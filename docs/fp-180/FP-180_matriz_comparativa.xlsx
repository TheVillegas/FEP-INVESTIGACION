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esos" sheetId="2" state="visible" r:id="rId2"/>
    <sheet xmlns:r="http://schemas.openxmlformats.org/officeDocument/2006/relationships" name="Puntuacion" sheetId="3" state="visible" r:id="rId3"/>
    <sheet xmlns:r="http://schemas.openxmlformats.org/officeDocument/2006/relationships" name="Calculo" sheetId="4" state="visible" r:id="rId4"/>
    <sheet xmlns:r="http://schemas.openxmlformats.org/officeDocument/2006/relationships" name="Resultados" sheetId="5" state="visible" r:id="rId5"/>
    <sheet xmlns:r="http://schemas.openxmlformats.org/officeDocument/2006/relationships" name="Graficos" sheetId="6" state="visible" r:id="rId6"/>
  </sheets>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sz val="14"/>
    </font>
    <font>
      <b val="1"/>
      <color rgb="00FFFFFF"/>
    </font>
    <font>
      <b val="1"/>
      <sz val="13"/>
    </font>
  </fonts>
  <fills count="3">
    <fill>
      <patternFill/>
    </fill>
    <fill>
      <patternFill patternType="gray125"/>
    </fill>
    <fill>
      <patternFill patternType="solid">
        <fgColor rgb="001F4E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164" fontId="0" fillId="0" borderId="0" pivotButton="0" quotePrefix="0" xfId="0"/>
    <xf numFmtId="2"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'Resultados'!$C$2:$C$77</f>
            </numRef>
          </cat>
          <val>
            <numRef>
              <f>'Resultados'!$F$2:$F$77</f>
            </numRef>
          </val>
        </ser>
        <ser>
          <idx val="1"/>
          <order val="1"/>
          <tx>
            <strRef>
              <f>'Resultados'!G1</f>
            </strRef>
          </tx>
          <spPr>
            <a:ln xmlns:a="http://schemas.openxmlformats.org/drawingml/2006/main">
              <a:prstDash val="solid"/>
            </a:ln>
          </spPr>
          <cat>
            <numRef>
              <f>'Resultados'!$C$2:$C$77</f>
            </numRef>
          </cat>
          <val>
            <numRef>
              <f>'Resultados'!$G$2:$G$77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E2 -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'Resultados'!$C$3:$C$78</f>
            </numRef>
          </cat>
          <val>
            <numRef>
              <f>'Resultados'!$F$2:$F$78</f>
            </numRef>
          </val>
        </ser>
        <ser>
          <idx val="1"/>
          <order val="1"/>
          <tx>
            <strRef>
              <f>'Resultados'!G1</f>
            </strRef>
          </tx>
          <spPr>
            <a:ln xmlns:a="http://schemas.openxmlformats.org/drawingml/2006/main">
              <a:prstDash val="solid"/>
            </a:ln>
          </spPr>
          <cat>
            <numRef>
              <f>'Resultados'!$C$3:$C$78</f>
            </numRef>
          </cat>
          <val>
            <numRef>
              <f>'Resultados'!$G$2:$G$78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E3 -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'Resultados'!$C$4:$C$83</f>
            </numRef>
          </cat>
          <val>
            <numRef>
              <f>'Resultados'!$F$2:$F$83</f>
            </numRef>
          </val>
        </ser>
        <ser>
          <idx val="1"/>
          <order val="1"/>
          <tx>
            <strRef>
              <f>'Resultados'!G1</f>
            </strRef>
          </tx>
          <spPr>
            <a:ln xmlns:a="http://schemas.openxmlformats.org/drawingml/2006/main">
              <a:prstDash val="solid"/>
            </a:ln>
          </spPr>
          <cat>
            <numRef>
              <f>'Resultados'!$C$4:$C$83</f>
            </numRef>
          </cat>
          <val>
            <numRef>
              <f>'Resultados'!$G$2:$G$83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E4 -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'Resultados'!$C$60:$C$87</f>
            </numRef>
          </cat>
          <val>
            <numRef>
              <f>'Resultados'!$F$2:$F$87</f>
            </numRef>
          </val>
        </ser>
        <ser>
          <idx val="1"/>
          <order val="1"/>
          <tx>
            <strRef>
              <f>'Resultados'!G1</f>
            </strRef>
          </tx>
          <spPr>
            <a:ln xmlns:a="http://schemas.openxmlformats.org/drawingml/2006/main">
              <a:prstDash val="solid"/>
            </a:ln>
          </spPr>
          <cat>
            <numRef>
              <f>'Resultados'!$C$60:$C$87</f>
            </numRef>
          </cat>
          <val>
            <numRef>
              <f>'Resultados'!$G$2:$G$87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E5 -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'Resultados'!$C$5:$C$84</f>
            </numRef>
          </cat>
          <val>
            <numRef>
              <f>'Resultados'!$F$2:$F$84</f>
            </numRef>
          </val>
        </ser>
        <ser>
          <idx val="1"/>
          <order val="1"/>
          <tx>
            <strRef>
              <f>'Resultados'!G1</f>
            </strRef>
          </tx>
          <spPr>
            <a:ln xmlns:a="http://schemas.openxmlformats.org/drawingml/2006/main">
              <a:prstDash val="solid"/>
            </a:ln>
          </spPr>
          <cat>
            <numRef>
              <f>'Resultados'!$C$5:$C$84</f>
            </numRef>
          </cat>
          <val>
            <numRef>
              <f>'Resultados'!$G$2:$G$84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E6 - S linea base y S sensibilidad por producto</a:t>
            </a:r>
          </a:p>
        </rich>
      </tx>
    </title>
    <plotArea>
      <barChart>
        <barDir val="col"/>
        <grouping val="clustered"/>
        <ser>
          <idx val="0"/>
          <order val="0"/>
          <tx>
            <strRef>
              <f>'Resultados'!F1</f>
            </strRef>
          </tx>
          <spPr>
            <a:ln xmlns:a="http://schemas.openxmlformats.org/drawingml/2006/main">
              <a:prstDash val="solid"/>
            </a:ln>
          </spPr>
          <cat>
            <numRef>
              <f>'Resultados'!$C$6:$C$80</f>
            </numRef>
          </cat>
          <val>
            <numRef>
              <f>'Resultados'!$F$2:$F$80</f>
            </numRef>
          </val>
        </ser>
        <ser>
          <idx val="1"/>
          <order val="1"/>
          <tx>
            <strRef>
              <f>'Resultados'!G1</f>
            </strRef>
          </tx>
          <spPr>
            <a:ln xmlns:a="http://schemas.openxmlformats.org/drawingml/2006/main">
              <a:prstDash val="solid"/>
            </a:ln>
          </spPr>
          <cat>
            <numRef>
              <f>'Resultados'!$C$6:$C$80</f>
            </numRef>
          </cat>
          <val>
            <numRef>
              <f>'Resultados'!$G$2:$G$80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2</row>
      <rowOff>0</rowOff>
    </from>
    <ext cx="86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19</row>
      <rowOff>0</rowOff>
    </from>
    <ext cx="864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36</row>
      <rowOff>0</rowOff>
    </from>
    <ext cx="864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53</row>
      <rowOff>0</rowOff>
    </from>
    <ext cx="86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70</row>
      <rowOff>0</rowOff>
    </from>
    <ext cx="864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87</row>
      <rowOff>0</rowOff>
    </from>
    <ext cx="864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0" customWidth="1" min="1" max="1"/>
  </cols>
  <sheetData>
    <row r="1" ht="30" customHeight="1">
      <c r="A1" s="1" t="inlineStr">
        <is>
          <t>FP-180 — Matriz comparativa y cálculo de resultados (TINV-05 / FP-51)</t>
        </is>
      </c>
    </row>
    <row r="2" ht="30" customHeight="1">
      <c r="A2" s="2" t="inlineStr"/>
    </row>
    <row r="3" ht="30" customHeight="1">
      <c r="A3" s="2" t="inlineStr">
        <is>
          <t>Estado: Motor de cálculo terminado y validado contra el ejemplo sintético de FP-177. Las 17 herramientas de la población de FP-51/FP-179 están investigadas con evidencia real, citada e individual, en sus escenarios elegibles: 5 herramientas cloud nativas (AWS Cost Explorer, AWS Cost Optimization Hub, Azure Cost Management, Google Cloud Billing, Google Cloud FinOps Hub), 6 plataformas multicloud (Cloudability, CloudHealth, CloudZero, Vantage, Finout, nOps), 4 herramientas de Kubernetes (OpenCost, Kubecost, Cast AI, StormForge) y 2 de estimación temprana (Infracost, Cloud Custodian). Documento estructurado con asistencia de IA; queda a validación humana del equipo antes de dar por cumplidos los criterios de término de FP-180.</t>
        </is>
      </c>
    </row>
    <row r="4" ht="30" customHeight="1">
      <c r="A4" s="2" t="inlineStr"/>
    </row>
    <row r="5" ht="30" customHeight="1">
      <c r="A5" s="2" t="inlineStr">
        <is>
          <t>Este libro aplica, como fórmulas reproducibles de Excel, la metodología aprobada en docs/fp-177/metodologia-comparativa-borrador.md y la matriz de indicadores de docs/fp-177/matriz-criterios-y-ponderaciones-borrador.md. No sustituye esos documentos: ante cualquier discrepancia, prevalece el texto aprobado por el equipo.</t>
        </is>
      </c>
    </row>
    <row r="6" ht="30" customHeight="1">
      <c r="A6" s="2" t="inlineStr"/>
    </row>
    <row r="7" ht="30" customHeight="1">
      <c r="A7" s="2" t="inlineStr">
        <is>
          <t>Límite metodológico de esta investigación: la verificación se hizo contra documentación oficial publicada, sin acceso práctico a una cuenta real de AWS/Azure/GCP ni a las consolas de los productos comerciales. Por eso ningún indicador recibe el valor 3: la metodología exige doble evidencia (documentación primaria + estudio independiente, demostración reproducible o verificación práctica del equipo) para ese valor, y aquí solo se dispone de la primera. El equipo puede subir cualquier valor a 3 si aporta esa segunda evidencia.</t>
        </is>
      </c>
    </row>
    <row r="8" ht="30" customHeight="1">
      <c r="A8" s="2" t="inlineStr"/>
    </row>
    <row r="9" ht="30" customHeight="1">
      <c r="A9" s="2" t="inlineStr">
        <is>
          <t>Dos limitaciones puntuales quedan registradas para revisión del equipo: (1) la documentación técnica oficial de IBM Docs para Cloudability devolvió error 403 en todos los intentos de acceso durante esta investigación (2026-09-16); toda su evidencia proviene de páginas comerciales de apptio.com, por lo que, según la propia metodología, ningún indicador de Cloudability supera el valor 1 (ver columna Notas de sus filas). (2) Cloud Custodian está incluido en la población de FP-179 dentro de "herramientas de estimación temprana" (escenario E4), pero la evidencia oficial revisada muestra que es un motor de políticas/remediación sobre recursos YA desplegados, no una herramienta que estime costo antes del despliegue como Infracost; sus indicadores de Precio (P1, P2) y Visibilidad/Asignación se marcaron NA con esa justificación explícita, y se deja anotado por si el equipo prefiere revisar su clasificación en la población.</t>
        </is>
      </c>
    </row>
    <row r="10" ht="30" customHeight="1">
      <c r="A10" s="2" t="inlineStr"/>
    </row>
    <row r="11" ht="30" customHeight="1">
      <c r="A11" s="2" t="inlineStr">
        <is>
          <t>Hojas de este libro:</t>
        </is>
      </c>
    </row>
    <row r="12" ht="30" customHeight="1">
      <c r="A12" s="2" t="inlineStr">
        <is>
          <t xml:space="preserve">  • Pesos — pesos de línea base y de sensibilidad por criterio (editable; todo el cálculo lee de aquí).</t>
        </is>
      </c>
    </row>
    <row r="13" ht="30" customHeight="1">
      <c r="A13" s="2" t="inlineStr">
        <is>
          <t xml:space="preserve">  • Puntuacion — una fila por Escenario x Producto x Indicador. Columnas: Valor (0-3/NE/NA), tipo de evidencia, evidencia, fuente, fecha de verificación y notas. Editar aquí para cargar nueva evidencia.</t>
        </is>
      </c>
    </row>
    <row r="14" ht="30" customHeight="1">
      <c r="A14" s="2" t="inlineStr">
        <is>
          <t xml:space="preserve">  • Calculo — una fila por Escenario x Producto. Calcula C_c por criterio, cobertura, renormalización, S (línea base y sensibilidad), banda e incumplimientos críticos, mediante fórmulas que leen directamente de Puntuacion y Pesos. No escribir valores fijos en esta hoja.</t>
        </is>
      </c>
    </row>
    <row r="15" ht="30" customHeight="1">
      <c r="A15" s="2" t="inlineStr">
        <is>
          <t xml:space="preserve">  • Graficos — gráficos de barras (S por producto y escenario) vinculados a la hoja Calculo.</t>
        </is>
      </c>
    </row>
    <row r="16" ht="30" customHeight="1">
      <c r="A16" s="2" t="inlineStr"/>
    </row>
    <row r="17" ht="30" customHeight="1">
      <c r="A17" s="2" t="inlineStr">
        <is>
          <t>Reglas de puntuación (resumen; ver metodologia-comparativa-borrador.md para el detalle):</t>
        </is>
      </c>
    </row>
    <row r="18" ht="30" customHeight="1">
      <c r="A18" s="2" t="inlineStr">
        <is>
          <t xml:space="preserve">  • Escala 0-3: 0 ausencia/incumplimiento verificado; 1 práctica básica/manual; 2 práctica definida y proactiva; 3 práctica integrada y automatizada con doble evidencia.</t>
        </is>
      </c>
    </row>
    <row r="19" ht="30" customHeight="1">
      <c r="A19" s="2" t="inlineStr">
        <is>
          <t xml:space="preserve">  • NE = no evidenciado (no cero): se excluye del cálculo pero reduce la cobertura del criterio.</t>
        </is>
      </c>
    </row>
    <row r="20" ht="30" customHeight="1">
      <c r="A20" s="2" t="inlineStr">
        <is>
          <t xml:space="preserve">  • NA = no aplicable: requiere justificación previa; excluye el criterio completo y activa renormalización de pesos.</t>
        </is>
      </c>
    </row>
    <row r="21" ht="30" customHeight="1">
      <c r="A21" s="2" t="inlineStr">
        <is>
          <t xml:space="preserve">  • Si la cobertura de un producto-escenario es menor a 70%, el resultado se marca "Insufficient evidence" y no recibe banda.</t>
        </is>
      </c>
    </row>
    <row r="22" ht="30" customHeight="1">
      <c r="A22" s="2" t="inlineStr">
        <is>
          <t xml:space="preserve">  • Bandas (sobre S 0-100, sin redondear): [0,50/3) Insufficient; [50/3,50) Basic; [50,250/3) Solid; [250/3,100] Advanced.</t>
        </is>
      </c>
    </row>
    <row r="23" ht="30" customHeight="1">
      <c r="A23" s="2" t="inlineStr">
        <is>
          <t xml:space="preserve">  • Cada escenario tiene dos criterios críticos (C_c &gt;= 1 exigido); un incumplimiento se informa junto al puntaje, no se oculta con el promedio.</t>
        </is>
      </c>
    </row>
    <row r="24" ht="30" customHeight="1">
      <c r="A24" s="2" t="inlineStr"/>
    </row>
    <row r="25" ht="30" customHeight="1">
      <c r="A25" s="2" t="inlineStr">
        <is>
          <t>Fila «VALIDACION»: no es un producto real. Es el ejemplo sintético «Herramienta Aurora» de la sección 6 de metodologia-comparativa-borrador.md, cargado para comprobar que el motor de cálculo reproduce S=51,85 (línea base) y S=54,00 (sensibilidad). Ver hoja Calculo, última fila.</t>
        </is>
      </c>
    </row>
    <row r="26" ht="30" customHeight="1">
      <c r="A26" s="2" t="inlineStr"/>
    </row>
    <row r="27" ht="30" customHeight="1">
      <c r="A27" s="2" t="inlineStr">
        <is>
          <t>Cruce con los papers académicos de FP-48 (revisión explícita a pedido del equipo): se revisaron los 13 PDF de "FP-48 TINV02/Papers academicos - FP-48/". Solo un paper nombra herramientas de la población de FP-51 -- Manurung y Aji (2025), que registra a 6 organizaciones reales usando AWS Cost Explorer, Cast.ai e Infracost, y encuentra que el 100% carece de showback/chargeback pese a ello. Según la propia metodología de FP-177 ("se excluye inferir resultados de herramientas desde evidencia académica que estudia prácticas... no el producto evaluado"), esa evidencia describe uso y brechas organizacionales, no verifica una capacidad del producto: se registró como nota de contexto en las filas de Puntuacion (columna Notas) para AWS Cost Explorer y se reutilizará para Cast AI / Infracost, pero no cambia ningún puntaje numérico. Los demás 12 papers ya están reflejados en docs/fp-177/ (metodología, criterios y escenarios) y no nombran productos comerciales adicionales.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22" customWidth="1" min="1" max="1"/>
    <col width="20" customWidth="1" min="2" max="2"/>
    <col width="22" customWidth="1" min="3" max="3"/>
  </cols>
  <sheetData>
    <row r="1">
      <c r="A1" s="3" t="inlineStr">
        <is>
          <t>Criterio</t>
        </is>
      </c>
      <c r="B1" s="3" t="inlineStr">
        <is>
          <t>Peso linea base (%)</t>
        </is>
      </c>
      <c r="C1" s="3" t="inlineStr">
        <is>
          <t>Peso sensibilidad (%)</t>
        </is>
      </c>
    </row>
    <row r="2">
      <c r="A2" t="inlineStr">
        <is>
          <t>Visibilidad</t>
        </is>
      </c>
      <c r="B2" s="4" t="n">
        <v>11.1111111111</v>
      </c>
      <c r="C2" s="4" t="n">
        <v>15</v>
      </c>
    </row>
    <row r="3">
      <c r="A3" t="inlineStr">
        <is>
          <t>Asignación</t>
        </is>
      </c>
      <c r="B3" s="4" t="n">
        <v>11.1111111111</v>
      </c>
      <c r="C3" s="4" t="n">
        <v>15</v>
      </c>
    </row>
    <row r="4">
      <c r="A4" t="inlineStr">
        <is>
          <t>Optimización</t>
        </is>
      </c>
      <c r="B4" s="4" t="n">
        <v>11.1111111111</v>
      </c>
      <c r="C4" s="4" t="n">
        <v>15</v>
      </c>
    </row>
    <row r="5">
      <c r="A5" t="inlineStr">
        <is>
          <t>Automatización</t>
        </is>
      </c>
      <c r="B5" s="4" t="n">
        <v>11.1111111111</v>
      </c>
      <c r="C5" s="4" t="n">
        <v>10</v>
      </c>
    </row>
    <row r="6">
      <c r="A6" t="inlineStr">
        <is>
          <t>Multicloud</t>
        </is>
      </c>
      <c r="B6" s="4" t="n">
        <v>11.1111111111</v>
      </c>
      <c r="C6" s="4" t="n">
        <v>8</v>
      </c>
    </row>
    <row r="7">
      <c r="A7" t="inlineStr">
        <is>
          <t>Integración</t>
        </is>
      </c>
      <c r="B7" s="4" t="n">
        <v>11.1111111111</v>
      </c>
      <c r="C7" s="4" t="n">
        <v>10</v>
      </c>
    </row>
    <row r="8">
      <c r="A8" t="inlineStr">
        <is>
          <t>Adopción</t>
        </is>
      </c>
      <c r="B8" s="4" t="n">
        <v>11.1111111111</v>
      </c>
      <c r="C8" s="4" t="n">
        <v>8</v>
      </c>
    </row>
    <row r="9">
      <c r="A9" t="inlineStr">
        <is>
          <t>Precio</t>
        </is>
      </c>
      <c r="B9" s="4" t="n">
        <v>11.1111111111</v>
      </c>
      <c r="C9" s="4" t="n">
        <v>12</v>
      </c>
    </row>
    <row r="10">
      <c r="A10" t="inlineStr">
        <is>
          <t>Dependencia</t>
        </is>
      </c>
      <c r="B10" s="4" t="n">
        <v>11.1111111111</v>
      </c>
      <c r="C10" s="4" t="n">
        <v>7</v>
      </c>
    </row>
    <row r="11">
      <c r="A11" t="inlineStr">
        <is>
          <t>Total</t>
        </is>
      </c>
      <c r="B11">
        <f>SUM(B2:B10)</f>
        <v/>
      </c>
      <c r="C11">
        <f>SUM(C2:C10)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549"/>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30" customWidth="1" min="3" max="3"/>
    <col width="14" customWidth="1" min="4" max="4"/>
    <col width="10" customWidth="1" min="5" max="5"/>
    <col width="34" customWidth="1" min="6" max="6"/>
    <col width="14" customWidth="1" min="7" max="7"/>
    <col width="16" customWidth="1" min="8" max="8"/>
    <col width="55" customWidth="1" min="9" max="9"/>
    <col width="40" customWidth="1" min="10" max="10"/>
    <col width="18" customWidth="1" min="11" max="11"/>
    <col width="45" customWidth="1" min="12" max="12"/>
  </cols>
  <sheetData>
    <row r="1">
      <c r="A1" s="3" t="inlineStr">
        <is>
          <t>Escenario</t>
        </is>
      </c>
      <c r="B1" s="3" t="inlineStr">
        <is>
          <t>Categoria</t>
        </is>
      </c>
      <c r="C1" s="3" t="inlineStr">
        <is>
          <t>Producto</t>
        </is>
      </c>
      <c r="D1" s="3" t="inlineStr">
        <is>
          <t>Criterio</t>
        </is>
      </c>
      <c r="E1" s="3" t="inlineStr">
        <is>
          <t>Indicador</t>
        </is>
      </c>
      <c r="F1" s="3" t="inlineStr">
        <is>
          <t>Pregunta observable</t>
        </is>
      </c>
      <c r="G1" s="3" t="inlineStr">
        <is>
          <t>Valor (0-3/NE/NA)</t>
        </is>
      </c>
      <c r="H1" s="3" t="inlineStr">
        <is>
          <t>Tipo de evidencia</t>
        </is>
      </c>
      <c r="I1" s="3" t="inlineStr">
        <is>
          <t>Evidencia</t>
        </is>
      </c>
      <c r="J1" s="3" t="inlineStr">
        <is>
          <t>Fuente</t>
        </is>
      </c>
      <c r="K1" s="3" t="inlineStr">
        <is>
          <t>Fecha de verificacion</t>
        </is>
      </c>
      <c r="L1" s="3" t="inlineStr">
        <is>
          <t>Notas</t>
        </is>
      </c>
    </row>
    <row r="2">
      <c r="A2" t="inlineStr">
        <is>
          <t>E1</t>
        </is>
      </c>
      <c r="B2" t="inlineStr">
        <is>
          <t>Cloud nativa</t>
        </is>
      </c>
      <c r="C2" t="inlineStr">
        <is>
          <t>AWS Cost Explorer</t>
        </is>
      </c>
      <c r="D2" t="inlineStr">
        <is>
          <t>Visibilidad</t>
        </is>
      </c>
      <c r="E2" t="inlineStr">
        <is>
          <t>V1</t>
        </is>
      </c>
      <c r="F2" s="2" t="inlineStr">
        <is>
          <t>¿Desagrega costo y uso por cuenta/proyecto, servicio y período?</t>
        </is>
      </c>
      <c r="G2" t="n">
        <v>2</v>
      </c>
      <c r="H2" t="inlineStr">
        <is>
          <t>Oficial</t>
        </is>
      </c>
      <c r="I2"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2" t="inlineStr">
        <is>
          <t>https://docs.aws.amazon.com/awsaccountbilling/latest/aboutv2/cost-alloc-tags.html</t>
        </is>
      </c>
      <c r="K2" t="inlineStr">
        <is>
          <t>2026-09-16</t>
        </is>
      </c>
      <c r="L2" s="2" t="inlineStr"/>
    </row>
    <row r="3">
      <c r="A3" t="inlineStr">
        <is>
          <t>E1</t>
        </is>
      </c>
      <c r="B3" t="inlineStr">
        <is>
          <t>Cloud nativa</t>
        </is>
      </c>
      <c r="C3" t="inlineStr">
        <is>
          <t>AWS Cost Explorer</t>
        </is>
      </c>
      <c r="D3" t="inlineStr">
        <is>
          <t>Visibilidad</t>
        </is>
      </c>
      <c r="E3" t="inlineStr">
        <is>
          <t>V2</t>
        </is>
      </c>
      <c r="F3" s="2" t="inlineStr">
        <is>
          <t>¿Permite rastrear un total hasta registros o fuente de facturación?</t>
        </is>
      </c>
      <c r="G3" t="n">
        <v>2</v>
      </c>
      <c r="H3" t="inlineStr">
        <is>
          <t>Oficial</t>
        </is>
      </c>
      <c r="I3" s="2" t="inlineStr">
        <is>
          <t>El Cost and Usage Report (CUR) entrega detalle por línea de facturación y "reconciles with the total charges on your Bills page", permitiendo rastrear un total hasta el registro fuente.</t>
        </is>
      </c>
      <c r="J3" t="inlineStr">
        <is>
          <t>https://docs.aws.amazon.com/cur/latest/userguide/what-is-cur.html</t>
        </is>
      </c>
      <c r="K3" t="inlineStr">
        <is>
          <t>2026-09-16</t>
        </is>
      </c>
      <c r="L3" s="2" t="inlineStr"/>
    </row>
    <row r="4">
      <c r="A4" t="inlineStr">
        <is>
          <t>E1</t>
        </is>
      </c>
      <c r="B4" t="inlineStr">
        <is>
          <t>Cloud nativa</t>
        </is>
      </c>
      <c r="C4" t="inlineStr">
        <is>
          <t>AWS Cost Explorer</t>
        </is>
      </c>
      <c r="D4" t="inlineStr">
        <is>
          <t>Asignacion</t>
        </is>
      </c>
      <c r="E4" t="inlineStr">
        <is>
          <t>A1</t>
        </is>
      </c>
      <c r="F4" s="2" t="inlineStr">
        <is>
          <t>¿Calcula gasto asignado/no asignado por responsable, centro o entidad?</t>
        </is>
      </c>
      <c r="G4" t="n">
        <v>2</v>
      </c>
      <c r="H4" t="inlineStr">
        <is>
          <t>Oficial</t>
        </is>
      </c>
      <c r="I4" s="2" t="inlineStr">
        <is>
          <t>Cost Categories es "a cost allocation service to help you map your AWS costs to your unique internal business structures" mediante reglas; expone una categoría de costos no mapeados.</t>
        </is>
      </c>
      <c r="J4" t="inlineStr">
        <is>
          <t>https://docs.aws.amazon.com/awsaccountbilling/latest/aboutv2/manage-cost-categories.html</t>
        </is>
      </c>
      <c r="K4" t="inlineStr">
        <is>
          <t>2026-09-16</t>
        </is>
      </c>
      <c r="L4"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5">
      <c r="A5" t="inlineStr">
        <is>
          <t>E1</t>
        </is>
      </c>
      <c r="B5" t="inlineStr">
        <is>
          <t>Cloud nativa</t>
        </is>
      </c>
      <c r="C5" t="inlineStr">
        <is>
          <t>AWS Cost Explorer</t>
        </is>
      </c>
      <c r="D5" t="inlineStr">
        <is>
          <t>Asignacion</t>
        </is>
      </c>
      <c r="E5" t="inlineStr">
        <is>
          <t>A2</t>
        </is>
      </c>
      <c r="F5" s="2" t="inlineStr">
        <is>
          <t>¿Explicita y aplica reglas para costo compartido/multi-tenant?</t>
        </is>
      </c>
      <c r="G5" t="n">
        <v>2</v>
      </c>
      <c r="H5" t="inlineStr">
        <is>
          <t>Oficial</t>
        </is>
      </c>
      <c r="I5" s="2" t="inlineStr">
        <is>
          <t>Cost Categories admite "Splitting charges within cost categories" (split charge rules) para repartir costos compartidos entre categorías/equipos.</t>
        </is>
      </c>
      <c r="J5" t="inlineStr">
        <is>
          <t>https://docs.aws.amazon.com/awsaccountbilling/latest/aboutv2/manage-cost-categories.html</t>
        </is>
      </c>
      <c r="K5" t="inlineStr">
        <is>
          <t>2026-09-16</t>
        </is>
      </c>
      <c r="L5" s="2" t="inlineStr"/>
    </row>
    <row r="6">
      <c r="A6" t="inlineStr">
        <is>
          <t>E1</t>
        </is>
      </c>
      <c r="B6" t="inlineStr">
        <is>
          <t>Cloud nativa</t>
        </is>
      </c>
      <c r="C6" t="inlineStr">
        <is>
          <t>AWS Cost Explorer</t>
        </is>
      </c>
      <c r="D6" t="inlineStr">
        <is>
          <t>Optimizacion</t>
        </is>
      </c>
      <c r="E6" t="inlineStr">
        <is>
          <t>O1</t>
        </is>
      </c>
      <c r="F6" s="2" t="inlineStr">
        <is>
          <t>¿Detecta desperdicio, rightsizing o compromiso relevante al escenario?</t>
        </is>
      </c>
      <c r="G6" t="n">
        <v>1</v>
      </c>
      <c r="H6" t="inlineStr">
        <is>
          <t>Oficial</t>
        </is>
      </c>
      <c r="I6" s="2" t="inlineStr">
        <is>
          <t>Cost Explorer conserva una vista propia de "rightsizing recommendations" (principalmente EC2), de alcance más acotado que Cost Optimization Hub.</t>
        </is>
      </c>
      <c r="J6" t="inlineStr">
        <is>
          <t>https://docs.aws.amazon.com/cost-management/latest/userguide/ce-rightsizing.html</t>
        </is>
      </c>
      <c r="K6" t="inlineStr">
        <is>
          <t>2026-09-16</t>
        </is>
      </c>
      <c r="L6" s="2" t="inlineStr"/>
    </row>
    <row r="7">
      <c r="A7" t="inlineStr">
        <is>
          <t>E1</t>
        </is>
      </c>
      <c r="B7" t="inlineStr">
        <is>
          <t>Cloud nativa</t>
        </is>
      </c>
      <c r="C7" t="inlineStr">
        <is>
          <t>AWS Cost Explorer</t>
        </is>
      </c>
      <c r="D7" t="inlineStr">
        <is>
          <t>Optimizacion</t>
        </is>
      </c>
      <c r="E7" t="inlineStr">
        <is>
          <t>O2</t>
        </is>
      </c>
      <c r="F7" s="2" t="inlineStr">
        <is>
          <t>¿Explica supuesto/impacto y permite seguir una recomendación?</t>
        </is>
      </c>
      <c r="G7" t="n">
        <v>1</v>
      </c>
      <c r="H7" t="inlineStr">
        <is>
          <t>Oficial</t>
        </is>
      </c>
      <c r="I7" s="2" t="inlineStr">
        <is>
          <t>La vista de rightsizing de Cost Explorer muestra el ahorro estimado por recomendación, sin el ciclo de seguimiento/objetivos que sí documenta Cost Optimization Hub.</t>
        </is>
      </c>
      <c r="J7" t="inlineStr">
        <is>
          <t>https://docs.aws.amazon.com/cost-management/latest/userguide/ce-rightsizing.html</t>
        </is>
      </c>
      <c r="K7" t="inlineStr">
        <is>
          <t>2026-09-16</t>
        </is>
      </c>
      <c r="L7" s="2" t="inlineStr"/>
    </row>
    <row r="8">
      <c r="A8" t="inlineStr">
        <is>
          <t>E1</t>
        </is>
      </c>
      <c r="B8" t="inlineStr">
        <is>
          <t>Cloud nativa</t>
        </is>
      </c>
      <c r="C8" t="inlineStr">
        <is>
          <t>AWS Cost Explorer</t>
        </is>
      </c>
      <c r="D8" t="inlineStr">
        <is>
          <t>Automatizacion</t>
        </is>
      </c>
      <c r="E8" t="inlineStr">
        <is>
          <t>AU1</t>
        </is>
      </c>
      <c r="F8" s="2" t="inlineStr">
        <is>
          <t>¿Ejecuta o bloquea acciones/políticas de costo con control verificable?</t>
        </is>
      </c>
      <c r="G8" t="n">
        <v>2</v>
      </c>
      <c r="H8" t="inlineStr">
        <is>
          <t>Oficial</t>
        </is>
      </c>
      <c r="I8" s="2" t="inlineStr">
        <is>
          <t>AWS Budgets puede ejecutar "budget actions" (política IAM Deny, SCP, detener instancias EC2/RDS) "either automatically or after your manual approval".</t>
        </is>
      </c>
      <c r="J8" t="inlineStr">
        <is>
          <t>https://docs.aws.amazon.com/cost-management/latest/userguide/budgets-controls.html</t>
        </is>
      </c>
      <c r="K8" t="inlineStr">
        <is>
          <t>2026-09-16</t>
        </is>
      </c>
      <c r="L8" s="2" t="inlineStr"/>
    </row>
    <row r="9">
      <c r="A9" t="inlineStr">
        <is>
          <t>E1</t>
        </is>
      </c>
      <c r="B9" t="inlineStr">
        <is>
          <t>Cloud nativa</t>
        </is>
      </c>
      <c r="C9" t="inlineStr">
        <is>
          <t>AWS Cost Explorer</t>
        </is>
      </c>
      <c r="D9" t="inlineStr">
        <is>
          <t>Automatizacion</t>
        </is>
      </c>
      <c r="E9" t="inlineStr">
        <is>
          <t>AU2</t>
        </is>
      </c>
      <c r="F9" s="2" t="inlineStr">
        <is>
          <t>¿Ofrece aprobación, reversión, registro o límites antes de actuar?</t>
        </is>
      </c>
      <c r="G9" t="n">
        <v>2</v>
      </c>
      <c r="H9" t="inlineStr">
        <is>
          <t>Oficial</t>
        </is>
      </c>
      <c r="I9" s="2" t="inlineStr">
        <is>
          <t>Las budget actions permiten exigir aprobación manual antes de ejecutarse. La documentación revisada no detalla registro de auditoría ni mecanismo de reversión explícito (limitación registrada).</t>
        </is>
      </c>
      <c r="J9" t="inlineStr">
        <is>
          <t>https://docs.aws.amazon.com/cost-management/latest/userguide/budgets-controls.html</t>
        </is>
      </c>
      <c r="K9" t="inlineStr">
        <is>
          <t>2026-09-16</t>
        </is>
      </c>
      <c r="L9" s="2" t="inlineStr"/>
    </row>
    <row r="10">
      <c r="A10" t="inlineStr">
        <is>
          <t>E1</t>
        </is>
      </c>
      <c r="B10" t="inlineStr">
        <is>
          <t>Cloud nativa</t>
        </is>
      </c>
      <c r="C10" t="inlineStr">
        <is>
          <t>AWS Cost Explorer</t>
        </is>
      </c>
      <c r="D10" t="inlineStr">
        <is>
          <t>Multicloud</t>
        </is>
      </c>
      <c r="E10" t="inlineStr">
        <is>
          <t>M1</t>
        </is>
      </c>
      <c r="F10" s="2" t="inlineStr">
        <is>
          <t>¿Consolida al menos dos proveedores bajo el mismo esquema declarado?</t>
        </is>
      </c>
      <c r="G10" t="n">
        <v>0</v>
      </c>
      <c r="H10" t="inlineStr">
        <is>
          <t>Oficial</t>
        </is>
      </c>
      <c r="I10" s="2" t="inlineStr">
        <is>
          <t>Cost Explorer y el CUR cubren exclusivamente cuentas y facturación de AWS; no ingieren ni consolidan datos de Azure o GCP.</t>
        </is>
      </c>
      <c r="J10" t="inlineStr">
        <is>
          <t>https://docs.aws.amazon.com/cur/latest/userguide/what-is-cur.html</t>
        </is>
      </c>
      <c r="K10" t="inlineStr">
        <is>
          <t>2026-09-16</t>
        </is>
      </c>
      <c r="L10" s="2" t="inlineStr"/>
    </row>
    <row r="11">
      <c r="A11" t="inlineStr">
        <is>
          <t>E1</t>
        </is>
      </c>
      <c r="B11" t="inlineStr">
        <is>
          <t>Cloud nativa</t>
        </is>
      </c>
      <c r="C11" t="inlineStr">
        <is>
          <t>AWS Cost Explorer</t>
        </is>
      </c>
      <c r="D11" t="inlineStr">
        <is>
          <t>Multicloud</t>
        </is>
      </c>
      <c r="E11" t="inlineStr">
        <is>
          <t>M2</t>
        </is>
      </c>
      <c r="F11" s="2" t="inlineStr">
        <is>
          <t>¿Hace visibles proveedor, cobertura y diferencias semánticas?</t>
        </is>
      </c>
      <c r="G11" t="n">
        <v>0</v>
      </c>
      <c r="H11" t="inlineStr">
        <is>
          <t>Oficial</t>
        </is>
      </c>
      <c r="I11" s="2" t="inlineStr">
        <is>
          <t>Al no consolidar otros proveedores, la herramienta no expone diferencias de cobertura o semántica entre nubes.</t>
        </is>
      </c>
      <c r="J11" t="inlineStr">
        <is>
          <t>https://docs.aws.amazon.com/cur/latest/userguide/what-is-cur.html</t>
        </is>
      </c>
      <c r="K11" t="inlineStr">
        <is>
          <t>2026-09-16</t>
        </is>
      </c>
      <c r="L11" s="2" t="inlineStr"/>
    </row>
    <row r="12">
      <c r="A12" t="inlineStr">
        <is>
          <t>E1</t>
        </is>
      </c>
      <c r="B12" t="inlineStr">
        <is>
          <t>Cloud nativa</t>
        </is>
      </c>
      <c r="C12" t="inlineStr">
        <is>
          <t>AWS Cost Explorer</t>
        </is>
      </c>
      <c r="D12" t="inlineStr">
        <is>
          <t>Integracion</t>
        </is>
      </c>
      <c r="E12" t="inlineStr">
        <is>
          <t>I1</t>
        </is>
      </c>
      <c r="F12" s="2" t="inlineStr">
        <is>
          <t>¿Integra datos requeridos (facturación, uso, clúster o IaC) del escenario?</t>
        </is>
      </c>
      <c r="G12" t="n">
        <v>2</v>
      </c>
      <c r="H12" t="inlineStr">
        <is>
          <t>Oficial</t>
        </is>
      </c>
      <c r="I12" s="2" t="inlineStr">
        <is>
          <t>El CUR/la API de Cost Explorer ingieren datos de facturación y uso de forma automatizada; para EKS, "Split Cost Allocation Data" añade métricas de clúster a nivel de pod/namespace al CUR.</t>
        </is>
      </c>
      <c r="J12" t="inlineStr">
        <is>
          <t>https://aws.amazon.com/about-aws/whats-new/2024/04/aws-split-cost-allocation-data-amazon-eks/</t>
        </is>
      </c>
      <c r="K12" t="inlineStr">
        <is>
          <t>2026-09-16</t>
        </is>
      </c>
      <c r="L12" s="2" t="inlineStr"/>
    </row>
    <row r="13">
      <c r="A13" t="inlineStr">
        <is>
          <t>E1</t>
        </is>
      </c>
      <c r="B13" t="inlineStr">
        <is>
          <t>Cloud nativa</t>
        </is>
      </c>
      <c r="C13" t="inlineStr">
        <is>
          <t>AWS Cost Explorer</t>
        </is>
      </c>
      <c r="D13" t="inlineStr">
        <is>
          <t>Integracion</t>
        </is>
      </c>
      <c r="E13" t="inlineStr">
        <is>
          <t>I2</t>
        </is>
      </c>
      <c r="F13" s="2" t="inlineStr">
        <is>
          <t>¿Se integra con el flujo de trabajo relevante (alerta, ticket, CI/CD o reporte)?</t>
        </is>
      </c>
      <c r="G13" t="n">
        <v>2</v>
      </c>
      <c r="H13" t="inlineStr">
        <is>
          <t>Oficial</t>
        </is>
      </c>
      <c r="I13" s="2" t="inlineStr">
        <is>
          <t>AWS Cost Anomaly Detection y Budgets envían alertas (p. ej., a SNS/correo) integradas a un flujo operativo de revisión.</t>
        </is>
      </c>
      <c r="J13" t="inlineStr">
        <is>
          <t>https://docs.aws.amazon.com/cost-management/latest/userguide/budgets-controls.html</t>
        </is>
      </c>
      <c r="K13" t="inlineStr">
        <is>
          <t>2026-09-16</t>
        </is>
      </c>
      <c r="L13" s="2" t="inlineStr"/>
    </row>
    <row r="14">
      <c r="A14" t="inlineStr">
        <is>
          <t>E1</t>
        </is>
      </c>
      <c r="B14" t="inlineStr">
        <is>
          <t>Cloud nativa</t>
        </is>
      </c>
      <c r="C14" t="inlineStr">
        <is>
          <t>AWS Cost Explorer</t>
        </is>
      </c>
      <c r="D14" t="inlineStr">
        <is>
          <t>Adopcion</t>
        </is>
      </c>
      <c r="E14" t="inlineStr">
        <is>
          <t>AD1</t>
        </is>
      </c>
      <c r="F14" s="2" t="inlineStr">
        <is>
          <t>¿Soporta acceso/entrega para los roles del escenario?</t>
        </is>
      </c>
      <c r="G14" t="n">
        <v>2</v>
      </c>
      <c r="H14" t="inlineStr">
        <is>
          <t>Oficial (control de acceso IAM; pendiente cita directa de la guía de permisos de Billing)</t>
        </is>
      </c>
      <c r="I14" s="2" t="inlineStr">
        <is>
          <t>El acceso a Cost Explorer/Budgets se controla mediante políticas de IAM por usuario/rol (control de acceso estándar de AWS Billing).</t>
        </is>
      </c>
      <c r="J14" t="inlineStr">
        <is>
          <t>https://docs.aws.amazon.com/awsaccountbilling/latest/aboutv2/cost-alloc-tags.html</t>
        </is>
      </c>
      <c r="K14" t="inlineStr">
        <is>
          <t>2026-09-16</t>
        </is>
      </c>
      <c r="L14" s="2" t="inlineStr"/>
    </row>
    <row r="15">
      <c r="A15" t="inlineStr">
        <is>
          <t>E1</t>
        </is>
      </c>
      <c r="B15" t="inlineStr">
        <is>
          <t>Cloud nativa</t>
        </is>
      </c>
      <c r="C15" t="inlineStr">
        <is>
          <t>AWS Cost Explorer</t>
        </is>
      </c>
      <c r="D15" t="inlineStr">
        <is>
          <t>Adopcion</t>
        </is>
      </c>
      <c r="E15" t="inlineStr">
        <is>
          <t>AD2</t>
        </is>
      </c>
      <c r="F15" s="2" t="inlineStr">
        <is>
          <t>¿Ofrece guías, ownership o mecanismos de seguimiento para uso sostenido?</t>
        </is>
      </c>
      <c r="G15" t="n">
        <v>2</v>
      </c>
      <c r="H15" t="inlineStr">
        <is>
          <t>Oficial</t>
        </is>
      </c>
      <c r="I15" s="2" t="inlineStr">
        <is>
          <t>AWS publica guías oficiales de adopción, entre ellas el whitepaper de mejores prácticas de etiquetado y estrategia de asignación de costos.</t>
        </is>
      </c>
      <c r="J15" t="inlineStr">
        <is>
          <t>https://docs.aws.amazon.com/whitepapers/latest/tagging-best-practices/building-a-cost-allocation-strategy.html</t>
        </is>
      </c>
      <c r="K15" t="inlineStr">
        <is>
          <t>2026-09-16</t>
        </is>
      </c>
      <c r="L15"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16">
      <c r="A16" t="inlineStr">
        <is>
          <t>E1</t>
        </is>
      </c>
      <c r="B16" t="inlineStr">
        <is>
          <t>Cloud nativa</t>
        </is>
      </c>
      <c r="C16" t="inlineStr">
        <is>
          <t>AWS Cost Explorer</t>
        </is>
      </c>
      <c r="D16" t="inlineStr">
        <is>
          <t>Precio</t>
        </is>
      </c>
      <c r="E16" t="inlineStr">
        <is>
          <t>P1</t>
        </is>
      </c>
      <c r="F16" s="2" t="inlineStr">
        <is>
          <t>¿Expone precio, moneda, región, unidad, período y supuestos relevantes?</t>
        </is>
      </c>
      <c r="G16" t="n">
        <v>2</v>
      </c>
      <c r="H16" t="inlineStr">
        <is>
          <t>Oficial</t>
        </is>
      </c>
      <c r="I16" s="2" t="inlineStr">
        <is>
          <t>El CUR y los Data Exports FOCUS 1.0/1.2 exponen moneda, período, servicio y columnas estandarizadas de costo (ListCost, ContractedCost, BilledCost, EffectiveCost).</t>
        </is>
      </c>
      <c r="J16" t="inlineStr">
        <is>
          <t>https://aws.amazon.com/about-aws/whats-new/2024/11/aws-billing-cost-management-data-exports-focus-1-0</t>
        </is>
      </c>
      <c r="K16" t="inlineStr">
        <is>
          <t>2026-09-16</t>
        </is>
      </c>
      <c r="L16" s="2" t="inlineStr"/>
    </row>
    <row r="17">
      <c r="A17" t="inlineStr">
        <is>
          <t>E1</t>
        </is>
      </c>
      <c r="B17" t="inlineStr">
        <is>
          <t>Cloud nativa</t>
        </is>
      </c>
      <c r="C17" t="inlineStr">
        <is>
          <t>AWS Cost Explorer</t>
        </is>
      </c>
      <c r="D17" t="inlineStr">
        <is>
          <t>Precio</t>
        </is>
      </c>
      <c r="E17" t="inlineStr">
        <is>
          <t>P2</t>
        </is>
      </c>
      <c r="F17" s="2" t="inlineStr">
        <is>
          <t>¿Permite estimar o comparar componentes sin ocultar límites de equivalencia?</t>
        </is>
      </c>
      <c r="G17" t="n">
        <v>1</v>
      </c>
      <c r="H17" t="inlineStr">
        <is>
          <t>Oficial (pendiente cita directa de la página de forecast)</t>
        </is>
      </c>
      <c r="I17" s="2" t="inlineStr">
        <is>
          <t>Cost Explorer ofrece pronóstico de costo futuro basado en tendencia histórica; no es una calculadora de estimación de componentes antes del despliegue (esa función es de AWS Pricing Calculator, evaluada aparte).</t>
        </is>
      </c>
      <c r="J17" t="inlineStr">
        <is>
          <t>https://docs.aws.amazon.com/cost-management/latest/userguide/ce-what-is.html</t>
        </is>
      </c>
      <c r="K17" t="inlineStr">
        <is>
          <t>2026-09-16</t>
        </is>
      </c>
      <c r="L17" s="2" t="inlineStr"/>
    </row>
    <row r="18">
      <c r="A18" t="inlineStr">
        <is>
          <t>E1</t>
        </is>
      </c>
      <c r="B18" t="inlineStr">
        <is>
          <t>Cloud nativa</t>
        </is>
      </c>
      <c r="C18" t="inlineStr">
        <is>
          <t>AWS Cost Explorer</t>
        </is>
      </c>
      <c r="D18" t="inlineStr">
        <is>
          <t>Dependencia</t>
        </is>
      </c>
      <c r="E18" t="inlineStr">
        <is>
          <t>D1</t>
        </is>
      </c>
      <c r="F18" s="2" t="inlineStr">
        <is>
          <t>¿Exporta datos/resultados en formato utilizable y documentado?</t>
        </is>
      </c>
      <c r="G18" t="n">
        <v>2</v>
      </c>
      <c r="H18" t="inlineStr">
        <is>
          <t>Oficial</t>
        </is>
      </c>
      <c r="I18" s="2" t="inlineStr">
        <is>
          <t>El CUR exporta a S3 en CSV/Parquet y, desde 2024-2025, también en el estándar abierto FOCUS 1.0/1.2.</t>
        </is>
      </c>
      <c r="J18" t="inlineStr">
        <is>
          <t>https://aws.amazon.com/about-aws/whats-new/2024/11/aws-billing-cost-management-data-exports-focus-1-0</t>
        </is>
      </c>
      <c r="K18" t="inlineStr">
        <is>
          <t>2026-09-16</t>
        </is>
      </c>
      <c r="L18" s="2" t="inlineStr"/>
    </row>
    <row r="19">
      <c r="A19" t="inlineStr">
        <is>
          <t>E1</t>
        </is>
      </c>
      <c r="B19" t="inlineStr">
        <is>
          <t>Cloud nativa</t>
        </is>
      </c>
      <c r="C19" t="inlineStr">
        <is>
          <t>AWS Cost Explorer</t>
        </is>
      </c>
      <c r="D19" t="inlineStr">
        <is>
          <t>Dependencia</t>
        </is>
      </c>
      <c r="E19" t="inlineStr">
        <is>
          <t>D2</t>
        </is>
      </c>
      <c r="F19" s="2" t="inlineStr">
        <is>
          <t>¿Documenta dependencias propietarias y un camino de salida/configuración reversible?</t>
        </is>
      </c>
      <c r="G19" t="n">
        <v>1</v>
      </c>
      <c r="H19" t="inlineStr">
        <is>
          <t>Oficial</t>
        </is>
      </c>
      <c r="I19"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19" t="inlineStr">
        <is>
          <t>https://aws.amazon.com/about-aws/whats-new/2024/11/aws-billing-cost-management-data-exports-focus-1-0</t>
        </is>
      </c>
      <c r="K19" t="inlineStr">
        <is>
          <t>2026-09-16</t>
        </is>
      </c>
      <c r="L19" s="2" t="inlineStr"/>
    </row>
    <row r="20">
      <c r="A20" t="inlineStr">
        <is>
          <t>E2</t>
        </is>
      </c>
      <c r="B20" t="inlineStr">
        <is>
          <t>Cloud nativa</t>
        </is>
      </c>
      <c r="C20" t="inlineStr">
        <is>
          <t>AWS Cost Explorer</t>
        </is>
      </c>
      <c r="D20" t="inlineStr">
        <is>
          <t>Visibilidad</t>
        </is>
      </c>
      <c r="E20" t="inlineStr">
        <is>
          <t>V1</t>
        </is>
      </c>
      <c r="F20" s="2" t="inlineStr">
        <is>
          <t>¿Desagrega costo y uso por cuenta/proyecto, servicio y período?</t>
        </is>
      </c>
      <c r="G20" t="inlineStr">
        <is>
          <t>NE</t>
        </is>
      </c>
      <c r="H20" t="inlineStr">
        <is>
          <t>Pendiente</t>
        </is>
      </c>
      <c r="I20"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20" t="inlineStr">
        <is>
          <t>https://docs.aws.amazon.com/awsaccountbilling/latest/aboutv2/cost-alloc-tags.html</t>
        </is>
      </c>
      <c r="K20" t="inlineStr">
        <is>
          <t>2026-09-16</t>
        </is>
      </c>
      <c r="L20" s="2" t="inlineStr">
        <is>
          <t>Celda heredada FP-180 (2026-09-16): el valor 2 proviene de la investigacion del escenario E1 y no cuenta con evidencia propia de E2. Segun FP-177 el indicador V1 depende del escenario, por lo que pasa a NE (no evidenciado, reduce cobertura) hasta investigarlo. La evidencia y la fuente originales se conservan como referencia del escenario de origen.</t>
        </is>
      </c>
    </row>
    <row r="21">
      <c r="A21" t="inlineStr">
        <is>
          <t>E2</t>
        </is>
      </c>
      <c r="B21" t="inlineStr">
        <is>
          <t>Cloud nativa</t>
        </is>
      </c>
      <c r="C21" t="inlineStr">
        <is>
          <t>AWS Cost Explorer</t>
        </is>
      </c>
      <c r="D21" t="inlineStr">
        <is>
          <t>Visibilidad</t>
        </is>
      </c>
      <c r="E21" t="inlineStr">
        <is>
          <t>V2</t>
        </is>
      </c>
      <c r="F21" s="2" t="inlineStr">
        <is>
          <t>¿Permite rastrear un total hasta registros o fuente de facturación?</t>
        </is>
      </c>
      <c r="G21" t="n">
        <v>2</v>
      </c>
      <c r="H21" t="inlineStr">
        <is>
          <t>Oficial</t>
        </is>
      </c>
      <c r="I21" s="2" t="inlineStr">
        <is>
          <t>El Cost and Usage Report (CUR) entrega detalle por línea de facturación y "reconciles with the total charges on your Bills page", permitiendo rastrear un total hasta el registro fuente.</t>
        </is>
      </c>
      <c r="J21" t="inlineStr">
        <is>
          <t>https://docs.aws.amazon.com/cur/latest/userguide/what-is-cur.html</t>
        </is>
      </c>
      <c r="K21" t="inlineStr">
        <is>
          <t>2026-09-16</t>
        </is>
      </c>
      <c r="L21" s="2" t="inlineStr"/>
    </row>
    <row r="22">
      <c r="A22" t="inlineStr">
        <is>
          <t>E2</t>
        </is>
      </c>
      <c r="B22" t="inlineStr">
        <is>
          <t>Cloud nativa</t>
        </is>
      </c>
      <c r="C22" t="inlineStr">
        <is>
          <t>AWS Cost Explorer</t>
        </is>
      </c>
      <c r="D22" t="inlineStr">
        <is>
          <t>Asignacion</t>
        </is>
      </c>
      <c r="E22" t="inlineStr">
        <is>
          <t>A1</t>
        </is>
      </c>
      <c r="F22" s="2" t="inlineStr">
        <is>
          <t>¿Calcula gasto asignado/no asignado por responsable, centro o entidad?</t>
        </is>
      </c>
      <c r="G22" t="inlineStr">
        <is>
          <t>NE</t>
        </is>
      </c>
      <c r="H22" t="inlineStr">
        <is>
          <t>Pendiente</t>
        </is>
      </c>
      <c r="I22" s="2" t="inlineStr">
        <is>
          <t>Cost Categories es "a cost allocation service to help you map your AWS costs to your unique internal business structures" mediante reglas; expone una categoría de costos no mapeados.</t>
        </is>
      </c>
      <c r="J22" t="inlineStr">
        <is>
          <t>https://docs.aws.amazon.com/awsaccountbilling/latest/aboutv2/manage-cost-categories.html</t>
        </is>
      </c>
      <c r="K22" t="inlineStr">
        <is>
          <t>2026-09-16</t>
        </is>
      </c>
      <c r="L22"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 | Celda heredada FP-180 (2026-09-16): el valor 2 proviene de la investigacion del escenario E1 y no cuenta con evidencia propia de E2. Segun FP-177 el indicador A1 depende del escenario, por lo que pasa a NE (no evidenciado, reduce cobertura) hasta investigarlo. La evidencia y la fuente originales se conservan como referencia del escenario de origen.</t>
        </is>
      </c>
    </row>
    <row r="23">
      <c r="A23" t="inlineStr">
        <is>
          <t>E2</t>
        </is>
      </c>
      <c r="B23" t="inlineStr">
        <is>
          <t>Cloud nativa</t>
        </is>
      </c>
      <c r="C23" t="inlineStr">
        <is>
          <t>AWS Cost Explorer</t>
        </is>
      </c>
      <c r="D23" t="inlineStr">
        <is>
          <t>Asignacion</t>
        </is>
      </c>
      <c r="E23" t="inlineStr">
        <is>
          <t>A2</t>
        </is>
      </c>
      <c r="F23" s="2" t="inlineStr">
        <is>
          <t>¿Explicita y aplica reglas para costo compartido/multi-tenant?</t>
        </is>
      </c>
      <c r="G23" t="inlineStr">
        <is>
          <t>NE</t>
        </is>
      </c>
      <c r="H23" t="inlineStr">
        <is>
          <t>Pendiente</t>
        </is>
      </c>
      <c r="I23" s="2" t="inlineStr">
        <is>
          <t>Cost Categories admite "Splitting charges within cost categories" (split charge rules) para repartir costos compartidos entre categorías/equipos.</t>
        </is>
      </c>
      <c r="J23" t="inlineStr">
        <is>
          <t>https://docs.aws.amazon.com/awsaccountbilling/latest/aboutv2/manage-cost-categories.html</t>
        </is>
      </c>
      <c r="K23" t="inlineStr">
        <is>
          <t>2026-09-16</t>
        </is>
      </c>
      <c r="L23" s="2" t="inlineStr">
        <is>
          <t>Celda heredada FP-180 (2026-09-16): el valor 2 proviene de la investigacion del escenario E1 y no cuenta con evidencia propia de E2. Segun FP-177 el indicador A2 depende del escenario, por lo que pasa a NE (no evidenciado, reduce cobertura) hasta investigarlo. La evidencia y la fuente originales se conservan como referencia del escenario de origen.</t>
        </is>
      </c>
    </row>
    <row r="24">
      <c r="A24" t="inlineStr">
        <is>
          <t>E2</t>
        </is>
      </c>
      <c r="B24" t="inlineStr">
        <is>
          <t>Cloud nativa</t>
        </is>
      </c>
      <c r="C24" t="inlineStr">
        <is>
          <t>AWS Cost Explorer</t>
        </is>
      </c>
      <c r="D24" t="inlineStr">
        <is>
          <t>Optimizacion</t>
        </is>
      </c>
      <c r="E24" t="inlineStr">
        <is>
          <t>O1</t>
        </is>
      </c>
      <c r="F24" s="2" t="inlineStr">
        <is>
          <t>¿Detecta desperdicio, rightsizing o compromiso relevante al escenario?</t>
        </is>
      </c>
      <c r="G24" t="inlineStr">
        <is>
          <t>NE</t>
        </is>
      </c>
      <c r="H24" t="inlineStr">
        <is>
          <t>Pendiente</t>
        </is>
      </c>
      <c r="I24" s="2" t="inlineStr">
        <is>
          <t>Cost Explorer conserva una vista propia de "rightsizing recommendations" (principalmente EC2), de alcance más acotado que Cost Optimization Hub.</t>
        </is>
      </c>
      <c r="J24" t="inlineStr">
        <is>
          <t>https://docs.aws.amazon.com/cost-management/latest/userguide/ce-rightsizing.html</t>
        </is>
      </c>
      <c r="K24" t="inlineStr">
        <is>
          <t>2026-09-16</t>
        </is>
      </c>
      <c r="L24" s="2" t="inlineStr">
        <is>
          <t>Celda heredada FP-180 (2026-09-16): el valor 1 proviene de la investigacion del escenario E1 y no cuenta con evidencia propia de E2. Segun FP-177 el indicador O1 depende del escenario, por lo que pasa a NE (no evidenciado, reduce cobertura) hasta investigarlo. La evidencia y la fuente originales se conservan como referencia del escenario de origen.</t>
        </is>
      </c>
    </row>
    <row r="25">
      <c r="A25" t="inlineStr">
        <is>
          <t>E2</t>
        </is>
      </c>
      <c r="B25" t="inlineStr">
        <is>
          <t>Cloud nativa</t>
        </is>
      </c>
      <c r="C25" t="inlineStr">
        <is>
          <t>AWS Cost Explorer</t>
        </is>
      </c>
      <c r="D25" t="inlineStr">
        <is>
          <t>Optimizacion</t>
        </is>
      </c>
      <c r="E25" t="inlineStr">
        <is>
          <t>O2</t>
        </is>
      </c>
      <c r="F25" s="2" t="inlineStr">
        <is>
          <t>¿Explica supuesto/impacto y permite seguir una recomendación?</t>
        </is>
      </c>
      <c r="G25" t="n">
        <v>1</v>
      </c>
      <c r="H25" t="inlineStr">
        <is>
          <t>Oficial</t>
        </is>
      </c>
      <c r="I25" s="2" t="inlineStr">
        <is>
          <t>La vista de rightsizing de Cost Explorer muestra el ahorro estimado por recomendación, sin el ciclo de seguimiento/objetivos que sí documenta Cost Optimization Hub.</t>
        </is>
      </c>
      <c r="J25" t="inlineStr">
        <is>
          <t>https://docs.aws.amazon.com/cost-management/latest/userguide/ce-rightsizing.html</t>
        </is>
      </c>
      <c r="K25" t="inlineStr">
        <is>
          <t>2026-09-16</t>
        </is>
      </c>
      <c r="L25" s="2" t="inlineStr"/>
    </row>
    <row r="26">
      <c r="A26" t="inlineStr">
        <is>
          <t>E2</t>
        </is>
      </c>
      <c r="B26" t="inlineStr">
        <is>
          <t>Cloud nativa</t>
        </is>
      </c>
      <c r="C26" t="inlineStr">
        <is>
          <t>AWS Cost Explorer</t>
        </is>
      </c>
      <c r="D26" t="inlineStr">
        <is>
          <t>Automatizacion</t>
        </is>
      </c>
      <c r="E26" t="inlineStr">
        <is>
          <t>AU1</t>
        </is>
      </c>
      <c r="F26" s="2" t="inlineStr">
        <is>
          <t>¿Ejecuta o bloquea acciones/políticas de costo con control verificable?</t>
        </is>
      </c>
      <c r="G26" t="inlineStr">
        <is>
          <t>NE</t>
        </is>
      </c>
      <c r="H26" t="inlineStr">
        <is>
          <t>Pendiente</t>
        </is>
      </c>
      <c r="I26" s="2" t="inlineStr">
        <is>
          <t>AWS Budgets puede ejecutar "budget actions" (política IAM Deny, SCP, detener instancias EC2/RDS) "either automatically or after your manual approval".</t>
        </is>
      </c>
      <c r="J26" t="inlineStr">
        <is>
          <t>https://docs.aws.amazon.com/cost-management/latest/userguide/budgets-controls.html</t>
        </is>
      </c>
      <c r="K26" t="inlineStr">
        <is>
          <t>2026-09-16</t>
        </is>
      </c>
      <c r="L26" s="2" t="inlineStr">
        <is>
          <t>Celda heredada FP-180 (2026-09-16): el valor 2 proviene de la investigacion del escenario E1 y no cuenta con evidencia propia de E2. Segun FP-177 el indicador AU1 depende del escenario, por lo que pasa a NE (no evidenciado, reduce cobertura) hasta investigarlo. La evidencia y la fuente originales se conservan como referencia del escenario de origen.</t>
        </is>
      </c>
    </row>
    <row r="27">
      <c r="A27" t="inlineStr">
        <is>
          <t>E2</t>
        </is>
      </c>
      <c r="B27" t="inlineStr">
        <is>
          <t>Cloud nativa</t>
        </is>
      </c>
      <c r="C27" t="inlineStr">
        <is>
          <t>AWS Cost Explorer</t>
        </is>
      </c>
      <c r="D27" t="inlineStr">
        <is>
          <t>Automatizacion</t>
        </is>
      </c>
      <c r="E27" t="inlineStr">
        <is>
          <t>AU2</t>
        </is>
      </c>
      <c r="F27" s="2" t="inlineStr">
        <is>
          <t>¿Ofrece aprobación, reversión, registro o límites antes de actuar?</t>
        </is>
      </c>
      <c r="G27" t="n">
        <v>2</v>
      </c>
      <c r="H27" t="inlineStr">
        <is>
          <t>Oficial</t>
        </is>
      </c>
      <c r="I27" s="2" t="inlineStr">
        <is>
          <t>Las budget actions permiten exigir aprobación manual antes de ejecutarse. La documentación revisada no detalla registro de auditoría ni mecanismo de reversión explícito (limitación registrada).</t>
        </is>
      </c>
      <c r="J27" t="inlineStr">
        <is>
          <t>https://docs.aws.amazon.com/cost-management/latest/userguide/budgets-controls.html</t>
        </is>
      </c>
      <c r="K27" t="inlineStr">
        <is>
          <t>2026-09-16</t>
        </is>
      </c>
      <c r="L27" s="2" t="inlineStr"/>
    </row>
    <row r="28">
      <c r="A28" t="inlineStr">
        <is>
          <t>E2</t>
        </is>
      </c>
      <c r="B28" t="inlineStr">
        <is>
          <t>Cloud nativa</t>
        </is>
      </c>
      <c r="C28" t="inlineStr">
        <is>
          <t>AWS Cost Explorer</t>
        </is>
      </c>
      <c r="D28" t="inlineStr">
        <is>
          <t>Multicloud</t>
        </is>
      </c>
      <c r="E28" t="inlineStr">
        <is>
          <t>M1</t>
        </is>
      </c>
      <c r="F28" s="2" t="inlineStr">
        <is>
          <t>¿Consolida al menos dos proveedores bajo el mismo esquema declarado?</t>
        </is>
      </c>
      <c r="G28" t="inlineStr">
        <is>
          <t>NA</t>
        </is>
      </c>
      <c r="H28" t="inlineStr">
        <is>
          <t>Justificacion de alcance</t>
        </is>
      </c>
      <c r="I28" s="2"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28" t="inlineStr">
        <is>
          <t>https://docs.aws.amazon.com/cur/latest/userguide/what-is-cur.html</t>
        </is>
      </c>
      <c r="K28" t="inlineStr">
        <is>
          <t>2026-09-16</t>
        </is>
      </c>
      <c r="L28" s="2" t="inlineStr">
        <is>
          <t>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29">
      <c r="A29" t="inlineStr">
        <is>
          <t>E2</t>
        </is>
      </c>
      <c r="B29" t="inlineStr">
        <is>
          <t>Cloud nativa</t>
        </is>
      </c>
      <c r="C29" t="inlineStr">
        <is>
          <t>AWS Cost Explorer</t>
        </is>
      </c>
      <c r="D29" t="inlineStr">
        <is>
          <t>Multicloud</t>
        </is>
      </c>
      <c r="E29" t="inlineStr">
        <is>
          <t>M2</t>
        </is>
      </c>
      <c r="F29" s="2" t="inlineStr">
        <is>
          <t>¿Hace visibles proveedor, cobertura y diferencias semánticas?</t>
        </is>
      </c>
      <c r="G29" t="inlineStr">
        <is>
          <t>NA</t>
        </is>
      </c>
      <c r="H29" t="inlineStr">
        <is>
          <t>Justificacion de alcance</t>
        </is>
      </c>
      <c r="I29" s="2"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29" t="inlineStr">
        <is>
          <t>https://docs.aws.amazon.com/cur/latest/userguide/what-is-cur.html</t>
        </is>
      </c>
      <c r="K29" t="inlineStr">
        <is>
          <t>2026-09-16</t>
        </is>
      </c>
      <c r="L29" s="2" t="inlineStr">
        <is>
          <t>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30">
      <c r="A30" t="inlineStr">
        <is>
          <t>E2</t>
        </is>
      </c>
      <c r="B30" t="inlineStr">
        <is>
          <t>Cloud nativa</t>
        </is>
      </c>
      <c r="C30" t="inlineStr">
        <is>
          <t>AWS Cost Explorer</t>
        </is>
      </c>
      <c r="D30" t="inlineStr">
        <is>
          <t>Integracion</t>
        </is>
      </c>
      <c r="E30" t="inlineStr">
        <is>
          <t>I1</t>
        </is>
      </c>
      <c r="F30" s="2" t="inlineStr">
        <is>
          <t>¿Integra datos requeridos (facturación, uso, clúster o IaC) del escenario?</t>
        </is>
      </c>
      <c r="G30" t="inlineStr">
        <is>
          <t>NE</t>
        </is>
      </c>
      <c r="H30" t="inlineStr">
        <is>
          <t>Pendiente</t>
        </is>
      </c>
      <c r="I30" s="2" t="inlineStr">
        <is>
          <t>El CUR/la API de Cost Explorer ingieren datos de facturación y uso de forma automatizada; para EKS, "Split Cost Allocation Data" añade métricas de clúster a nivel de pod/namespace al CUR.</t>
        </is>
      </c>
      <c r="J30" t="inlineStr">
        <is>
          <t>https://aws.amazon.com/about-aws/whats-new/2024/04/aws-split-cost-allocation-data-amazon-eks/</t>
        </is>
      </c>
      <c r="K30" t="inlineStr">
        <is>
          <t>2026-09-16</t>
        </is>
      </c>
      <c r="L30" s="2" t="inlineStr">
        <is>
          <t>Celda heredada FP-180 (2026-09-16): el valor 2 proviene de la investigacion del escenario E1 y no cuenta con evidencia propia de E2. Segun FP-177 el indicador I1 depende del escenario, por lo que pasa a NE (no evidenciado, reduce cobertura) hasta investigarlo. La evidencia y la fuente originales se conservan como referencia del escenario de origen.</t>
        </is>
      </c>
    </row>
    <row r="31">
      <c r="A31" t="inlineStr">
        <is>
          <t>E2</t>
        </is>
      </c>
      <c r="B31" t="inlineStr">
        <is>
          <t>Cloud nativa</t>
        </is>
      </c>
      <c r="C31" t="inlineStr">
        <is>
          <t>AWS Cost Explorer</t>
        </is>
      </c>
      <c r="D31" t="inlineStr">
        <is>
          <t>Integracion</t>
        </is>
      </c>
      <c r="E31" t="inlineStr">
        <is>
          <t>I2</t>
        </is>
      </c>
      <c r="F31" s="2" t="inlineStr">
        <is>
          <t>¿Se integra con el flujo de trabajo relevante (alerta, ticket, CI/CD o reporte)?</t>
        </is>
      </c>
      <c r="G31" t="inlineStr">
        <is>
          <t>NE</t>
        </is>
      </c>
      <c r="H31" t="inlineStr">
        <is>
          <t>Pendiente</t>
        </is>
      </c>
      <c r="I31" s="2" t="inlineStr">
        <is>
          <t>AWS Cost Anomaly Detection y Budgets envían alertas (p. ej., a SNS/correo) integradas a un flujo operativo de revisión.</t>
        </is>
      </c>
      <c r="J31" t="inlineStr">
        <is>
          <t>https://docs.aws.amazon.com/cost-management/latest/userguide/budgets-controls.html</t>
        </is>
      </c>
      <c r="K31" t="inlineStr">
        <is>
          <t>2026-09-16</t>
        </is>
      </c>
      <c r="L31" s="2" t="inlineStr">
        <is>
          <t>Celda heredada FP-180 (2026-09-16): el valor 2 proviene de la investigacion del escenario E1 y no cuenta con evidencia propia de E2. Segun FP-177 el indicador I2 depende del escenario, por lo que pasa a NE (no evidenciado, reduce cobertura) hasta investigarlo. La evidencia y la fuente originales se conservan como referencia del escenario de origen.</t>
        </is>
      </c>
    </row>
    <row r="32">
      <c r="A32" t="inlineStr">
        <is>
          <t>E2</t>
        </is>
      </c>
      <c r="B32" t="inlineStr">
        <is>
          <t>Cloud nativa</t>
        </is>
      </c>
      <c r="C32" t="inlineStr">
        <is>
          <t>AWS Cost Explorer</t>
        </is>
      </c>
      <c r="D32" t="inlineStr">
        <is>
          <t>Adopcion</t>
        </is>
      </c>
      <c r="E32" t="inlineStr">
        <is>
          <t>AD1</t>
        </is>
      </c>
      <c r="F32" s="2" t="inlineStr">
        <is>
          <t>¿Soporta acceso/entrega para los roles del escenario?</t>
        </is>
      </c>
      <c r="G32" t="inlineStr">
        <is>
          <t>NE</t>
        </is>
      </c>
      <c r="H32" t="inlineStr">
        <is>
          <t>Pendiente</t>
        </is>
      </c>
      <c r="I32" s="2" t="inlineStr">
        <is>
          <t>El acceso a Cost Explorer/Budgets se controla mediante políticas de IAM por usuario/rol (control de acceso estándar de AWS Billing).</t>
        </is>
      </c>
      <c r="J32" t="inlineStr">
        <is>
          <t>https://docs.aws.amazon.com/awsaccountbilling/latest/aboutv2/cost-alloc-tags.html</t>
        </is>
      </c>
      <c r="K32" t="inlineStr">
        <is>
          <t>2026-09-16</t>
        </is>
      </c>
      <c r="L32" s="2" t="inlineStr">
        <is>
          <t>Celda heredada FP-180 (2026-09-16): el valor 2 proviene de la investigacion del escenario E1 y no cuenta con evidencia propia de E2. Segun FP-177 el indicador AD1 depende del escenario, por lo que pasa a NE (no evidenciado, reduce cobertura) hasta investigarlo. La evidencia y la fuente originales se conservan como referencia del escenario de origen.</t>
        </is>
      </c>
    </row>
    <row r="33">
      <c r="A33" t="inlineStr">
        <is>
          <t>E2</t>
        </is>
      </c>
      <c r="B33" t="inlineStr">
        <is>
          <t>Cloud nativa</t>
        </is>
      </c>
      <c r="C33" t="inlineStr">
        <is>
          <t>AWS Cost Explorer</t>
        </is>
      </c>
      <c r="D33" t="inlineStr">
        <is>
          <t>Adopcion</t>
        </is>
      </c>
      <c r="E33" t="inlineStr">
        <is>
          <t>AD2</t>
        </is>
      </c>
      <c r="F33" s="2" t="inlineStr">
        <is>
          <t>¿Ofrece guías, ownership o mecanismos de seguimiento para uso sostenido?</t>
        </is>
      </c>
      <c r="G33" t="n">
        <v>2</v>
      </c>
      <c r="H33" t="inlineStr">
        <is>
          <t>Oficial</t>
        </is>
      </c>
      <c r="I33" s="2" t="inlineStr">
        <is>
          <t>AWS publica guías oficiales de adopción, entre ellas el whitepaper de mejores prácticas de etiquetado y estrategia de asignación de costos.</t>
        </is>
      </c>
      <c r="J33" t="inlineStr">
        <is>
          <t>https://docs.aws.amazon.com/whitepapers/latest/tagging-best-practices/building-a-cost-allocation-strategy.html</t>
        </is>
      </c>
      <c r="K33" t="inlineStr">
        <is>
          <t>2026-09-16</t>
        </is>
      </c>
      <c r="L33"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34">
      <c r="A34" t="inlineStr">
        <is>
          <t>E2</t>
        </is>
      </c>
      <c r="B34" t="inlineStr">
        <is>
          <t>Cloud nativa</t>
        </is>
      </c>
      <c r="C34" t="inlineStr">
        <is>
          <t>AWS Cost Explorer</t>
        </is>
      </c>
      <c r="D34" t="inlineStr">
        <is>
          <t>Precio</t>
        </is>
      </c>
      <c r="E34" t="inlineStr">
        <is>
          <t>P1</t>
        </is>
      </c>
      <c r="F34" s="2" t="inlineStr">
        <is>
          <t>¿Expone precio, moneda, región, unidad, período y supuestos relevantes?</t>
        </is>
      </c>
      <c r="G34" t="n">
        <v>2</v>
      </c>
      <c r="H34" t="inlineStr">
        <is>
          <t>Oficial</t>
        </is>
      </c>
      <c r="I34" s="2" t="inlineStr">
        <is>
          <t>El CUR y los Data Exports FOCUS 1.0/1.2 exponen moneda, período, servicio y columnas estandarizadas de costo (ListCost, ContractedCost, BilledCost, EffectiveCost).</t>
        </is>
      </c>
      <c r="J34" t="inlineStr">
        <is>
          <t>https://aws.amazon.com/about-aws/whats-new/2024/11/aws-billing-cost-management-data-exports-focus-1-0</t>
        </is>
      </c>
      <c r="K34" t="inlineStr">
        <is>
          <t>2026-09-16</t>
        </is>
      </c>
      <c r="L34" s="2" t="inlineStr"/>
    </row>
    <row r="35">
      <c r="A35" t="inlineStr">
        <is>
          <t>E2</t>
        </is>
      </c>
      <c r="B35" t="inlineStr">
        <is>
          <t>Cloud nativa</t>
        </is>
      </c>
      <c r="C35" t="inlineStr">
        <is>
          <t>AWS Cost Explorer</t>
        </is>
      </c>
      <c r="D35" t="inlineStr">
        <is>
          <t>Precio</t>
        </is>
      </c>
      <c r="E35" t="inlineStr">
        <is>
          <t>P2</t>
        </is>
      </c>
      <c r="F35" s="2" t="inlineStr">
        <is>
          <t>¿Permite estimar o comparar componentes sin ocultar límites de equivalencia?</t>
        </is>
      </c>
      <c r="G35" t="inlineStr">
        <is>
          <t>NE</t>
        </is>
      </c>
      <c r="H35" t="inlineStr">
        <is>
          <t>Pendiente</t>
        </is>
      </c>
      <c r="I35" s="2" t="inlineStr">
        <is>
          <t>Cost Explorer ofrece pronóstico de costo futuro basado en tendencia histórica; no es una calculadora de estimación de componentes antes del despliegue (esa función es de AWS Pricing Calculator, evaluada aparte).</t>
        </is>
      </c>
      <c r="J35" t="inlineStr">
        <is>
          <t>https://docs.aws.amazon.com/cost-management/latest/userguide/ce-what-is.html</t>
        </is>
      </c>
      <c r="K35" t="inlineStr">
        <is>
          <t>2026-09-16</t>
        </is>
      </c>
      <c r="L35" s="2" t="inlineStr">
        <is>
          <t>Celda heredada FP-180 (2026-09-16): el valor 1 proviene de la investigacion del escenario E1 y no cuenta con evidencia propia de E2. Segun FP-177 el indicador P2 depende del escenario, por lo que pasa a NE (no evidenciado, reduce cobertura) hasta investigarlo. La evidencia y la fuente originales se conservan como referencia del escenario de origen.</t>
        </is>
      </c>
    </row>
    <row r="36">
      <c r="A36" t="inlineStr">
        <is>
          <t>E2</t>
        </is>
      </c>
      <c r="B36" t="inlineStr">
        <is>
          <t>Cloud nativa</t>
        </is>
      </c>
      <c r="C36" t="inlineStr">
        <is>
          <t>AWS Cost Explorer</t>
        </is>
      </c>
      <c r="D36" t="inlineStr">
        <is>
          <t>Dependencia</t>
        </is>
      </c>
      <c r="E36" t="inlineStr">
        <is>
          <t>D1</t>
        </is>
      </c>
      <c r="F36" s="2" t="inlineStr">
        <is>
          <t>¿Exporta datos/resultados en formato utilizable y documentado?</t>
        </is>
      </c>
      <c r="G36" t="n">
        <v>2</v>
      </c>
      <c r="H36" t="inlineStr">
        <is>
          <t>Oficial</t>
        </is>
      </c>
      <c r="I36" s="2" t="inlineStr">
        <is>
          <t>El CUR exporta a S3 en CSV/Parquet y, desde 2024-2025, también en el estándar abierto FOCUS 1.0/1.2.</t>
        </is>
      </c>
      <c r="J36" t="inlineStr">
        <is>
          <t>https://aws.amazon.com/about-aws/whats-new/2024/11/aws-billing-cost-management-data-exports-focus-1-0</t>
        </is>
      </c>
      <c r="K36" t="inlineStr">
        <is>
          <t>2026-09-16</t>
        </is>
      </c>
      <c r="L36" s="2" t="inlineStr"/>
    </row>
    <row r="37">
      <c r="A37" t="inlineStr">
        <is>
          <t>E2</t>
        </is>
      </c>
      <c r="B37" t="inlineStr">
        <is>
          <t>Cloud nativa</t>
        </is>
      </c>
      <c r="C37" t="inlineStr">
        <is>
          <t>AWS Cost Explorer</t>
        </is>
      </c>
      <c r="D37" t="inlineStr">
        <is>
          <t>Dependencia</t>
        </is>
      </c>
      <c r="E37" t="inlineStr">
        <is>
          <t>D2</t>
        </is>
      </c>
      <c r="F37" s="2" t="inlineStr">
        <is>
          <t>¿Documenta dependencias propietarias y un camino de salida/configuración reversible?</t>
        </is>
      </c>
      <c r="G37" t="n">
        <v>1</v>
      </c>
      <c r="H37" t="inlineStr">
        <is>
          <t>Oficial</t>
        </is>
      </c>
      <c r="I37"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37" t="inlineStr">
        <is>
          <t>https://aws.amazon.com/about-aws/whats-new/2024/11/aws-billing-cost-management-data-exports-focus-1-0</t>
        </is>
      </c>
      <c r="K37" t="inlineStr">
        <is>
          <t>2026-09-16</t>
        </is>
      </c>
      <c r="L37" s="2" t="inlineStr"/>
    </row>
    <row r="38">
      <c r="A38" t="inlineStr">
        <is>
          <t>E3</t>
        </is>
      </c>
      <c r="B38" t="inlineStr">
        <is>
          <t>Cloud nativa</t>
        </is>
      </c>
      <c r="C38" t="inlineStr">
        <is>
          <t>AWS Cost Explorer</t>
        </is>
      </c>
      <c r="D38" t="inlineStr">
        <is>
          <t>Visibilidad</t>
        </is>
      </c>
      <c r="E38" t="inlineStr">
        <is>
          <t>V1</t>
        </is>
      </c>
      <c r="F38" s="2" t="inlineStr">
        <is>
          <t>¿Desagrega costo y uso por cuenta/proyecto, servicio y período?</t>
        </is>
      </c>
      <c r="G38" t="inlineStr">
        <is>
          <t>NE</t>
        </is>
      </c>
      <c r="H38" t="inlineStr">
        <is>
          <t>Pendiente</t>
        </is>
      </c>
      <c r="I38"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38" t="inlineStr">
        <is>
          <t>https://docs.aws.amazon.com/awsaccountbilling/latest/aboutv2/cost-alloc-tags.html</t>
        </is>
      </c>
      <c r="K38" t="inlineStr">
        <is>
          <t>2026-09-16</t>
        </is>
      </c>
      <c r="L3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V1 depende del escenario, por lo que pasa a NE (no evidenciado, reduce cobertura) hasta investigarlo. La evidencia y la fuente originales se conservan como referencia del escenario de origen.</t>
        </is>
      </c>
    </row>
    <row r="39">
      <c r="A39" t="inlineStr">
        <is>
          <t>E3</t>
        </is>
      </c>
      <c r="B39" t="inlineStr">
        <is>
          <t>Cloud nativa</t>
        </is>
      </c>
      <c r="C39" t="inlineStr">
        <is>
          <t>AWS Cost Explorer</t>
        </is>
      </c>
      <c r="D39" t="inlineStr">
        <is>
          <t>Visibilidad</t>
        </is>
      </c>
      <c r="E39" t="inlineStr">
        <is>
          <t>V2</t>
        </is>
      </c>
      <c r="F39" s="2" t="inlineStr">
        <is>
          <t>¿Permite rastrear un total hasta registros o fuente de facturación?</t>
        </is>
      </c>
      <c r="G39" t="n">
        <v>2</v>
      </c>
      <c r="H39" t="inlineStr">
        <is>
          <t>Oficial</t>
        </is>
      </c>
      <c r="I39" s="2" t="inlineStr">
        <is>
          <t>El Cost and Usage Report (CUR) entrega detalle por línea de facturación y "reconciles with the total charges on your Bills page", permitiendo rastrear un total hasta el registro fuente.</t>
        </is>
      </c>
      <c r="J39" t="inlineStr">
        <is>
          <t>https://docs.aws.amazon.com/cur/latest/userguide/what-is-cur.html</t>
        </is>
      </c>
      <c r="K39" t="inlineStr">
        <is>
          <t>2026-09-16</t>
        </is>
      </c>
      <c r="L3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0">
      <c r="A40" t="inlineStr">
        <is>
          <t>E3</t>
        </is>
      </c>
      <c r="B40" t="inlineStr">
        <is>
          <t>Cloud nativa</t>
        </is>
      </c>
      <c r="C40" t="inlineStr">
        <is>
          <t>AWS Cost Explorer</t>
        </is>
      </c>
      <c r="D40" t="inlineStr">
        <is>
          <t>Asignacion</t>
        </is>
      </c>
      <c r="E40" t="inlineStr">
        <is>
          <t>A1</t>
        </is>
      </c>
      <c r="F40" s="2" t="inlineStr">
        <is>
          <t>¿Calcula gasto asignado/no asignado por responsable, centro o entidad?</t>
        </is>
      </c>
      <c r="G40" t="inlineStr">
        <is>
          <t>NE</t>
        </is>
      </c>
      <c r="H40" t="inlineStr">
        <is>
          <t>Pendiente</t>
        </is>
      </c>
      <c r="I40" s="2" t="inlineStr">
        <is>
          <t>Cost Categories es "a cost allocation service to help you map your AWS costs to your unique internal business structures" mediante reglas; expone una categoría de costos no mapeados.</t>
        </is>
      </c>
      <c r="J40" t="inlineStr">
        <is>
          <t>https://docs.aws.amazon.com/awsaccountbilling/latest/aboutv2/manage-cost-categories.html</t>
        </is>
      </c>
      <c r="K40" t="inlineStr">
        <is>
          <t>2026-09-16</t>
        </is>
      </c>
      <c r="L4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 | Celda heredada FP-180 (2026-09-16): el valor 2 proviene de la investigacion del escenario E1 y no cuenta con evidencia propia de E3. Segun FP-177 el indicador A1 depende del escenario, por lo que pasa a NE (no evidenciado, reduce cobertura) hasta investigarlo. La evidencia y la fuente originales se conservan como referencia del escenario de origen.</t>
        </is>
      </c>
    </row>
    <row r="41">
      <c r="A41" t="inlineStr">
        <is>
          <t>E3</t>
        </is>
      </c>
      <c r="B41" t="inlineStr">
        <is>
          <t>Cloud nativa</t>
        </is>
      </c>
      <c r="C41" t="inlineStr">
        <is>
          <t>AWS Cost Explorer</t>
        </is>
      </c>
      <c r="D41" t="inlineStr">
        <is>
          <t>Asignacion</t>
        </is>
      </c>
      <c r="E41" t="inlineStr">
        <is>
          <t>A2</t>
        </is>
      </c>
      <c r="F41" s="2" t="inlineStr">
        <is>
          <t>¿Explicita y aplica reglas para costo compartido/multi-tenant?</t>
        </is>
      </c>
      <c r="G41" t="inlineStr">
        <is>
          <t>NE</t>
        </is>
      </c>
      <c r="H41" t="inlineStr">
        <is>
          <t>Pendiente</t>
        </is>
      </c>
      <c r="I41" s="2" t="inlineStr">
        <is>
          <t>Cost Categories admite "Splitting charges within cost categories" (split charge rules) para repartir costos compartidos entre categorías/equipos.</t>
        </is>
      </c>
      <c r="J41" t="inlineStr">
        <is>
          <t>https://docs.aws.amazon.com/awsaccountbilling/latest/aboutv2/manage-cost-categories.html</t>
        </is>
      </c>
      <c r="K41" t="inlineStr">
        <is>
          <t>2026-09-16</t>
        </is>
      </c>
      <c r="L4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A2 depende del escenario, por lo que pasa a NE (no evidenciado, reduce cobertura) hasta investigarlo. La evidencia y la fuente originales se conservan como referencia del escenario de origen.</t>
        </is>
      </c>
    </row>
    <row r="42">
      <c r="A42" t="inlineStr">
        <is>
          <t>E3</t>
        </is>
      </c>
      <c r="B42" t="inlineStr">
        <is>
          <t>Cloud nativa</t>
        </is>
      </c>
      <c r="C42" t="inlineStr">
        <is>
          <t>AWS Cost Explorer</t>
        </is>
      </c>
      <c r="D42" t="inlineStr">
        <is>
          <t>Optimizacion</t>
        </is>
      </c>
      <c r="E42" t="inlineStr">
        <is>
          <t>O1</t>
        </is>
      </c>
      <c r="F42" s="2" t="inlineStr">
        <is>
          <t>¿Detecta desperdicio, rightsizing o compromiso relevante al escenario?</t>
        </is>
      </c>
      <c r="G42" t="inlineStr">
        <is>
          <t>NE</t>
        </is>
      </c>
      <c r="H42" t="inlineStr">
        <is>
          <t>Pendiente</t>
        </is>
      </c>
      <c r="I42" s="2" t="inlineStr">
        <is>
          <t>Cost Explorer conserva una vista propia de "rightsizing recommendations" (principalmente EC2), de alcance más acotado que Cost Optimization Hub.</t>
        </is>
      </c>
      <c r="J42" t="inlineStr">
        <is>
          <t>https://docs.aws.amazon.com/cost-management/latest/userguide/ce-rightsizing.html</t>
        </is>
      </c>
      <c r="K42" t="inlineStr">
        <is>
          <t>2026-09-16</t>
        </is>
      </c>
      <c r="L4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1 proviene de la investigacion del escenario E1 y no cuenta con evidencia propia de E3. Segun FP-177 el indicador O1 depende del escenario, por lo que pasa a NE (no evidenciado, reduce cobertura) hasta investigarlo. La evidencia y la fuente originales se conservan como referencia del escenario de origen.</t>
        </is>
      </c>
    </row>
    <row r="43">
      <c r="A43" t="inlineStr">
        <is>
          <t>E3</t>
        </is>
      </c>
      <c r="B43" t="inlineStr">
        <is>
          <t>Cloud nativa</t>
        </is>
      </c>
      <c r="C43" t="inlineStr">
        <is>
          <t>AWS Cost Explorer</t>
        </is>
      </c>
      <c r="D43" t="inlineStr">
        <is>
          <t>Optimizacion</t>
        </is>
      </c>
      <c r="E43" t="inlineStr">
        <is>
          <t>O2</t>
        </is>
      </c>
      <c r="F43" s="2" t="inlineStr">
        <is>
          <t>¿Explica supuesto/impacto y permite seguir una recomendación?</t>
        </is>
      </c>
      <c r="G43" t="n">
        <v>1</v>
      </c>
      <c r="H43" t="inlineStr">
        <is>
          <t>Oficial</t>
        </is>
      </c>
      <c r="I43" s="2" t="inlineStr">
        <is>
          <t>La vista de rightsizing de Cost Explorer muestra el ahorro estimado por recomendación, sin el ciclo de seguimiento/objetivos que sí documenta Cost Optimization Hub.</t>
        </is>
      </c>
      <c r="J43" t="inlineStr">
        <is>
          <t>https://docs.aws.amazon.com/cost-management/latest/userguide/ce-rightsizing.html</t>
        </is>
      </c>
      <c r="K43" t="inlineStr">
        <is>
          <t>2026-09-16</t>
        </is>
      </c>
      <c r="L4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4">
      <c r="A44" t="inlineStr">
        <is>
          <t>E3</t>
        </is>
      </c>
      <c r="B44" t="inlineStr">
        <is>
          <t>Cloud nativa</t>
        </is>
      </c>
      <c r="C44" t="inlineStr">
        <is>
          <t>AWS Cost Explorer</t>
        </is>
      </c>
      <c r="D44" t="inlineStr">
        <is>
          <t>Automatizacion</t>
        </is>
      </c>
      <c r="E44" t="inlineStr">
        <is>
          <t>AU1</t>
        </is>
      </c>
      <c r="F44" s="2" t="inlineStr">
        <is>
          <t>¿Ejecuta o bloquea acciones/políticas de costo con control verificable?</t>
        </is>
      </c>
      <c r="G44" t="inlineStr">
        <is>
          <t>NE</t>
        </is>
      </c>
      <c r="H44" t="inlineStr">
        <is>
          <t>Pendiente</t>
        </is>
      </c>
      <c r="I44" s="2" t="inlineStr">
        <is>
          <t>AWS Budgets puede ejecutar "budget actions" (política IAM Deny, SCP, detener instancias EC2/RDS) "either automatically or after your manual approval".</t>
        </is>
      </c>
      <c r="J44" t="inlineStr">
        <is>
          <t>https://docs.aws.amazon.com/cost-management/latest/userguide/budgets-controls.html</t>
        </is>
      </c>
      <c r="K44" t="inlineStr">
        <is>
          <t>2026-09-16</t>
        </is>
      </c>
      <c r="L4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AU1 depende del escenario, por lo que pasa a NE (no evidenciado, reduce cobertura) hasta investigarlo. La evidencia y la fuente originales se conservan como referencia del escenario de origen.</t>
        </is>
      </c>
    </row>
    <row r="45">
      <c r="A45" t="inlineStr">
        <is>
          <t>E3</t>
        </is>
      </c>
      <c r="B45" t="inlineStr">
        <is>
          <t>Cloud nativa</t>
        </is>
      </c>
      <c r="C45" t="inlineStr">
        <is>
          <t>AWS Cost Explorer</t>
        </is>
      </c>
      <c r="D45" t="inlineStr">
        <is>
          <t>Automatizacion</t>
        </is>
      </c>
      <c r="E45" t="inlineStr">
        <is>
          <t>AU2</t>
        </is>
      </c>
      <c r="F45" s="2" t="inlineStr">
        <is>
          <t>¿Ofrece aprobación, reversión, registro o límites antes de actuar?</t>
        </is>
      </c>
      <c r="G45" t="n">
        <v>2</v>
      </c>
      <c r="H45" t="inlineStr">
        <is>
          <t>Oficial</t>
        </is>
      </c>
      <c r="I45" s="2" t="inlineStr">
        <is>
          <t>Las budget actions permiten exigir aprobación manual antes de ejecutarse. La documentación revisada no detalla registro de auditoría ni mecanismo de reversión explícito (limitación registrada).</t>
        </is>
      </c>
      <c r="J45" t="inlineStr">
        <is>
          <t>https://docs.aws.amazon.com/cost-management/latest/userguide/budgets-controls.html</t>
        </is>
      </c>
      <c r="K45" t="inlineStr">
        <is>
          <t>2026-09-16</t>
        </is>
      </c>
      <c r="L4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6">
      <c r="A46" t="inlineStr">
        <is>
          <t>E3</t>
        </is>
      </c>
      <c r="B46" t="inlineStr">
        <is>
          <t>Cloud nativa</t>
        </is>
      </c>
      <c r="C46" t="inlineStr">
        <is>
          <t>AWS Cost Explorer</t>
        </is>
      </c>
      <c r="D46" t="inlineStr">
        <is>
          <t>Multicloud</t>
        </is>
      </c>
      <c r="E46" t="inlineStr">
        <is>
          <t>M1</t>
        </is>
      </c>
      <c r="F46" s="2" t="inlineStr">
        <is>
          <t>¿Consolida al menos dos proveedores bajo el mismo esquema declarado?</t>
        </is>
      </c>
      <c r="G46" t="n">
        <v>0</v>
      </c>
      <c r="H46" t="inlineStr">
        <is>
          <t>Oficial</t>
        </is>
      </c>
      <c r="I46" s="2" t="inlineStr">
        <is>
          <t>Cost Explorer y el CUR cubren exclusivamente cuentas y facturación de AWS; no ingieren ni consolidan datos de Azure o GCP.</t>
        </is>
      </c>
      <c r="J46" t="inlineStr">
        <is>
          <t>https://docs.aws.amazon.com/cur/latest/userguide/what-is-cur.html</t>
        </is>
      </c>
      <c r="K46" t="inlineStr">
        <is>
          <t>2026-09-16</t>
        </is>
      </c>
      <c r="L46"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7">
      <c r="A47" t="inlineStr">
        <is>
          <t>E3</t>
        </is>
      </c>
      <c r="B47" t="inlineStr">
        <is>
          <t>Cloud nativa</t>
        </is>
      </c>
      <c r="C47" t="inlineStr">
        <is>
          <t>AWS Cost Explorer</t>
        </is>
      </c>
      <c r="D47" t="inlineStr">
        <is>
          <t>Multicloud</t>
        </is>
      </c>
      <c r="E47" t="inlineStr">
        <is>
          <t>M2</t>
        </is>
      </c>
      <c r="F47" s="2" t="inlineStr">
        <is>
          <t>¿Hace visibles proveedor, cobertura y diferencias semánticas?</t>
        </is>
      </c>
      <c r="G47" t="n">
        <v>0</v>
      </c>
      <c r="H47" t="inlineStr">
        <is>
          <t>Oficial</t>
        </is>
      </c>
      <c r="I47" s="2" t="inlineStr">
        <is>
          <t>Al no consolidar otros proveedores, la herramienta no expone diferencias de cobertura o semántica entre nubes.</t>
        </is>
      </c>
      <c r="J47" t="inlineStr">
        <is>
          <t>https://docs.aws.amazon.com/cur/latest/userguide/what-is-cur.html</t>
        </is>
      </c>
      <c r="K47" t="inlineStr">
        <is>
          <t>2026-09-16</t>
        </is>
      </c>
      <c r="L47"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48">
      <c r="A48" t="inlineStr">
        <is>
          <t>E3</t>
        </is>
      </c>
      <c r="B48" t="inlineStr">
        <is>
          <t>Cloud nativa</t>
        </is>
      </c>
      <c r="C48" t="inlineStr">
        <is>
          <t>AWS Cost Explorer</t>
        </is>
      </c>
      <c r="D48" t="inlineStr">
        <is>
          <t>Integracion</t>
        </is>
      </c>
      <c r="E48" t="inlineStr">
        <is>
          <t>I1</t>
        </is>
      </c>
      <c r="F48" s="2" t="inlineStr">
        <is>
          <t>¿Integra datos requeridos (facturación, uso, clúster o IaC) del escenario?</t>
        </is>
      </c>
      <c r="G48" t="inlineStr">
        <is>
          <t>NE</t>
        </is>
      </c>
      <c r="H48" t="inlineStr">
        <is>
          <t>Pendiente</t>
        </is>
      </c>
      <c r="I48" s="2" t="inlineStr">
        <is>
          <t>El CUR/la API de Cost Explorer ingieren datos de facturación y uso de forma automatizada; para EKS, "Split Cost Allocation Data" añade métricas de clúster a nivel de pod/namespace al CUR.</t>
        </is>
      </c>
      <c r="J48" t="inlineStr">
        <is>
          <t>https://aws.amazon.com/about-aws/whats-new/2024/04/aws-split-cost-allocation-data-amazon-eks/</t>
        </is>
      </c>
      <c r="K48" t="inlineStr">
        <is>
          <t>2026-09-16</t>
        </is>
      </c>
      <c r="L4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I1 depende del escenario, por lo que pasa a NE (no evidenciado, reduce cobertura) hasta investigarlo. La evidencia y la fuente originales se conservan como referencia del escenario de origen.</t>
        </is>
      </c>
    </row>
    <row r="49">
      <c r="A49" t="inlineStr">
        <is>
          <t>E3</t>
        </is>
      </c>
      <c r="B49" t="inlineStr">
        <is>
          <t>Cloud nativa</t>
        </is>
      </c>
      <c r="C49" t="inlineStr">
        <is>
          <t>AWS Cost Explorer</t>
        </is>
      </c>
      <c r="D49" t="inlineStr">
        <is>
          <t>Integracion</t>
        </is>
      </c>
      <c r="E49" t="inlineStr">
        <is>
          <t>I2</t>
        </is>
      </c>
      <c r="F49" s="2" t="inlineStr">
        <is>
          <t>¿Se integra con el flujo de trabajo relevante (alerta, ticket, CI/CD o reporte)?</t>
        </is>
      </c>
      <c r="G49" t="inlineStr">
        <is>
          <t>NE</t>
        </is>
      </c>
      <c r="H49" t="inlineStr">
        <is>
          <t>Pendiente</t>
        </is>
      </c>
      <c r="I49" s="2" t="inlineStr">
        <is>
          <t>AWS Cost Anomaly Detection y Budgets envían alertas (p. ej., a SNS/correo) integradas a un flujo operativo de revisión.</t>
        </is>
      </c>
      <c r="J49" t="inlineStr">
        <is>
          <t>https://docs.aws.amazon.com/cost-management/latest/userguide/budgets-controls.html</t>
        </is>
      </c>
      <c r="K49" t="inlineStr">
        <is>
          <t>2026-09-16</t>
        </is>
      </c>
      <c r="L4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I2 depende del escenario, por lo que pasa a NE (no evidenciado, reduce cobertura) hasta investigarlo. La evidencia y la fuente originales se conservan como referencia del escenario de origen.</t>
        </is>
      </c>
    </row>
    <row r="50">
      <c r="A50" t="inlineStr">
        <is>
          <t>E3</t>
        </is>
      </c>
      <c r="B50" t="inlineStr">
        <is>
          <t>Cloud nativa</t>
        </is>
      </c>
      <c r="C50" t="inlineStr">
        <is>
          <t>AWS Cost Explorer</t>
        </is>
      </c>
      <c r="D50" t="inlineStr">
        <is>
          <t>Adopcion</t>
        </is>
      </c>
      <c r="E50" t="inlineStr">
        <is>
          <t>AD1</t>
        </is>
      </c>
      <c r="F50" s="2" t="inlineStr">
        <is>
          <t>¿Soporta acceso/entrega para los roles del escenario?</t>
        </is>
      </c>
      <c r="G50" t="inlineStr">
        <is>
          <t>NE</t>
        </is>
      </c>
      <c r="H50" t="inlineStr">
        <is>
          <t>Pendiente</t>
        </is>
      </c>
      <c r="I50" s="2" t="inlineStr">
        <is>
          <t>El acceso a Cost Explorer/Budgets se controla mediante políticas de IAM por usuario/rol (control de acceso estándar de AWS Billing).</t>
        </is>
      </c>
      <c r="J50" t="inlineStr">
        <is>
          <t>https://docs.aws.amazon.com/awsaccountbilling/latest/aboutv2/cost-alloc-tags.html</t>
        </is>
      </c>
      <c r="K50" t="inlineStr">
        <is>
          <t>2026-09-16</t>
        </is>
      </c>
      <c r="L5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AD1 depende del escenario, por lo que pasa a NE (no evidenciado, reduce cobertura) hasta investigarlo. La evidencia y la fuente originales se conservan como referencia del escenario de origen.</t>
        </is>
      </c>
    </row>
    <row r="51">
      <c r="A51" t="inlineStr">
        <is>
          <t>E3</t>
        </is>
      </c>
      <c r="B51" t="inlineStr">
        <is>
          <t>Cloud nativa</t>
        </is>
      </c>
      <c r="C51" t="inlineStr">
        <is>
          <t>AWS Cost Explorer</t>
        </is>
      </c>
      <c r="D51" t="inlineStr">
        <is>
          <t>Adopcion</t>
        </is>
      </c>
      <c r="E51" t="inlineStr">
        <is>
          <t>AD2</t>
        </is>
      </c>
      <c r="F51" s="2" t="inlineStr">
        <is>
          <t>¿Ofrece guías, ownership o mecanismos de seguimiento para uso sostenido?</t>
        </is>
      </c>
      <c r="G51" t="n">
        <v>2</v>
      </c>
      <c r="H51" t="inlineStr">
        <is>
          <t>Oficial</t>
        </is>
      </c>
      <c r="I51" s="2" t="inlineStr">
        <is>
          <t>AWS publica guías oficiales de adopción, entre ellas el whitepaper de mejores prácticas de etiquetado y estrategia de asignación de costos.</t>
        </is>
      </c>
      <c r="J51" t="inlineStr">
        <is>
          <t>https://docs.aws.amazon.com/whitepapers/latest/tagging-best-practices/building-a-cost-allocation-strategy.html</t>
        </is>
      </c>
      <c r="K51" t="inlineStr">
        <is>
          <t>2026-09-16</t>
        </is>
      </c>
      <c r="L5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52">
      <c r="A52" t="inlineStr">
        <is>
          <t>E3</t>
        </is>
      </c>
      <c r="B52" t="inlineStr">
        <is>
          <t>Cloud nativa</t>
        </is>
      </c>
      <c r="C52" t="inlineStr">
        <is>
          <t>AWS Cost Explorer</t>
        </is>
      </c>
      <c r="D52" t="inlineStr">
        <is>
          <t>Precio</t>
        </is>
      </c>
      <c r="E52" t="inlineStr">
        <is>
          <t>P1</t>
        </is>
      </c>
      <c r="F52" s="2" t="inlineStr">
        <is>
          <t>¿Expone precio, moneda, región, unidad, período y supuestos relevantes?</t>
        </is>
      </c>
      <c r="G52" t="n">
        <v>2</v>
      </c>
      <c r="H52" t="inlineStr">
        <is>
          <t>Oficial</t>
        </is>
      </c>
      <c r="I52" s="2" t="inlineStr">
        <is>
          <t>El CUR y los Data Exports FOCUS 1.0/1.2 exponen moneda, período, servicio y columnas estandarizadas de costo (ListCost, ContractedCost, BilledCost, EffectiveCost).</t>
        </is>
      </c>
      <c r="J52" t="inlineStr">
        <is>
          <t>https://aws.amazon.com/about-aws/whats-new/2024/11/aws-billing-cost-management-data-exports-focus-1-0</t>
        </is>
      </c>
      <c r="K52" t="inlineStr">
        <is>
          <t>2026-09-16</t>
        </is>
      </c>
      <c r="L5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3">
      <c r="A53" t="inlineStr">
        <is>
          <t>E3</t>
        </is>
      </c>
      <c r="B53" t="inlineStr">
        <is>
          <t>Cloud nativa</t>
        </is>
      </c>
      <c r="C53" t="inlineStr">
        <is>
          <t>AWS Cost Explorer</t>
        </is>
      </c>
      <c r="D53" t="inlineStr">
        <is>
          <t>Precio</t>
        </is>
      </c>
      <c r="E53" t="inlineStr">
        <is>
          <t>P2</t>
        </is>
      </c>
      <c r="F53" s="2" t="inlineStr">
        <is>
          <t>¿Permite estimar o comparar componentes sin ocultar límites de equivalencia?</t>
        </is>
      </c>
      <c r="G53" t="inlineStr">
        <is>
          <t>NE</t>
        </is>
      </c>
      <c r="H53" t="inlineStr">
        <is>
          <t>Pendiente</t>
        </is>
      </c>
      <c r="I53" s="2" t="inlineStr">
        <is>
          <t>Cost Explorer ofrece pronóstico de costo futuro basado en tendencia histórica; no es una calculadora de estimación de componentes antes del despliegue (esa función es de AWS Pricing Calculator, evaluada aparte).</t>
        </is>
      </c>
      <c r="J53" t="inlineStr">
        <is>
          <t>https://docs.aws.amazon.com/cost-management/latest/userguide/ce-what-is.html</t>
        </is>
      </c>
      <c r="K53" t="inlineStr">
        <is>
          <t>2026-09-16</t>
        </is>
      </c>
      <c r="L5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1 proviene de la investigacion del escenario E1 y no cuenta con evidencia propia de E3. Segun FP-177 el indicador P2 depende del escenario, por lo que pasa a NE (no evidenciado, reduce cobertura) hasta investigarlo. La evidencia y la fuente originales se conservan como referencia del escenario de origen.</t>
        </is>
      </c>
    </row>
    <row r="54">
      <c r="A54" t="inlineStr">
        <is>
          <t>E3</t>
        </is>
      </c>
      <c r="B54" t="inlineStr">
        <is>
          <t>Cloud nativa</t>
        </is>
      </c>
      <c r="C54" t="inlineStr">
        <is>
          <t>AWS Cost Explorer</t>
        </is>
      </c>
      <c r="D54" t="inlineStr">
        <is>
          <t>Dependencia</t>
        </is>
      </c>
      <c r="E54" t="inlineStr">
        <is>
          <t>D1</t>
        </is>
      </c>
      <c r="F54" s="2" t="inlineStr">
        <is>
          <t>¿Exporta datos/resultados en formato utilizable y documentado?</t>
        </is>
      </c>
      <c r="G54" t="n">
        <v>2</v>
      </c>
      <c r="H54" t="inlineStr">
        <is>
          <t>Oficial</t>
        </is>
      </c>
      <c r="I54" s="2" t="inlineStr">
        <is>
          <t>El CUR exporta a S3 en CSV/Parquet y, desde 2024-2025, también en el estándar abierto FOCUS 1.0/1.2.</t>
        </is>
      </c>
      <c r="J54" t="inlineStr">
        <is>
          <t>https://aws.amazon.com/about-aws/whats-new/2024/11/aws-billing-cost-management-data-exports-focus-1-0</t>
        </is>
      </c>
      <c r="K54" t="inlineStr">
        <is>
          <t>2026-09-16</t>
        </is>
      </c>
      <c r="L5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5">
      <c r="A55" t="inlineStr">
        <is>
          <t>E3</t>
        </is>
      </c>
      <c r="B55" t="inlineStr">
        <is>
          <t>Cloud nativa</t>
        </is>
      </c>
      <c r="C55" t="inlineStr">
        <is>
          <t>AWS Cost Explorer</t>
        </is>
      </c>
      <c r="D55" t="inlineStr">
        <is>
          <t>Dependencia</t>
        </is>
      </c>
      <c r="E55" t="inlineStr">
        <is>
          <t>D2</t>
        </is>
      </c>
      <c r="F55" s="2" t="inlineStr">
        <is>
          <t>¿Documenta dependencias propietarias y un camino de salida/configuración reversible?</t>
        </is>
      </c>
      <c r="G55" t="n">
        <v>1</v>
      </c>
      <c r="H55" t="inlineStr">
        <is>
          <t>Oficial</t>
        </is>
      </c>
      <c r="I55"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55" t="inlineStr">
        <is>
          <t>https://aws.amazon.com/about-aws/whats-new/2024/11/aws-billing-cost-management-data-exports-focus-1-0</t>
        </is>
      </c>
      <c r="K55" t="inlineStr">
        <is>
          <t>2026-09-16</t>
        </is>
      </c>
      <c r="L5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56">
      <c r="A56" t="inlineStr">
        <is>
          <t>E5</t>
        </is>
      </c>
      <c r="B56" t="inlineStr">
        <is>
          <t>Cloud nativa</t>
        </is>
      </c>
      <c r="C56" t="inlineStr">
        <is>
          <t>AWS Cost Explorer</t>
        </is>
      </c>
      <c r="D56" t="inlineStr">
        <is>
          <t>Visibilidad</t>
        </is>
      </c>
      <c r="E56" t="inlineStr">
        <is>
          <t>V1</t>
        </is>
      </c>
      <c r="F56" s="2" t="inlineStr">
        <is>
          <t>¿Desagrega costo y uso por cuenta/proyecto, servicio y período?</t>
        </is>
      </c>
      <c r="G56" t="n">
        <v>2</v>
      </c>
      <c r="H56" t="inlineStr">
        <is>
          <t>Oficial</t>
        </is>
      </c>
      <c r="I56" s="2" t="inlineStr">
        <is>
          <t>Las etiquetas de asignación de costos y las Cost Categories desglosan el gasto por cuenta/proyecto y servicio, y son filtrables en Cost Explorer ("You can also use tags to filter views in Cost Explorer"). La actualización tiene hasta 24 h de latencia, no es en tiempo real.</t>
        </is>
      </c>
      <c r="J56" t="inlineStr">
        <is>
          <t>https://docs.aws.amazon.com/awsaccountbilling/latest/aboutv2/cost-alloc-tags.html</t>
        </is>
      </c>
      <c r="K56" t="inlineStr">
        <is>
          <t>2026-09-16</t>
        </is>
      </c>
      <c r="L56" s="2" t="inlineStr">
        <is>
          <t>Celda heredada FP-180 (2026-09-16): el valor 2 proviene de la investigacion del escenario E1 y no cuenta con evidencia propia de E5. Segun FP-177 el indicador V1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7">
      <c r="A57" t="inlineStr">
        <is>
          <t>E5</t>
        </is>
      </c>
      <c r="B57" t="inlineStr">
        <is>
          <t>Cloud nativa</t>
        </is>
      </c>
      <c r="C57" t="inlineStr">
        <is>
          <t>AWS Cost Explorer</t>
        </is>
      </c>
      <c r="D57" t="inlineStr">
        <is>
          <t>Visibilidad</t>
        </is>
      </c>
      <c r="E57" t="inlineStr">
        <is>
          <t>V2</t>
        </is>
      </c>
      <c r="F57" s="2" t="inlineStr">
        <is>
          <t>¿Permite rastrear un total hasta registros o fuente de facturación?</t>
        </is>
      </c>
      <c r="G57" t="n">
        <v>2</v>
      </c>
      <c r="H57" t="inlineStr">
        <is>
          <t>Oficial</t>
        </is>
      </c>
      <c r="I57" s="2" t="inlineStr">
        <is>
          <t>El Cost and Usage Report (CUR) entrega detalle por línea de facturación y "reconciles with the total charges on your Bills page", permitiendo rastrear un total hasta el registro fuente.</t>
        </is>
      </c>
      <c r="J57" t="inlineStr">
        <is>
          <t>https://docs.aws.amazon.com/cur/latest/userguide/what-is-cur.html</t>
        </is>
      </c>
      <c r="K57" t="inlineStr">
        <is>
          <t>2026-09-16</t>
        </is>
      </c>
      <c r="L57" s="2" t="inlineStr"/>
    </row>
    <row r="58">
      <c r="A58" t="inlineStr">
        <is>
          <t>E5</t>
        </is>
      </c>
      <c r="B58" t="inlineStr">
        <is>
          <t>Cloud nativa</t>
        </is>
      </c>
      <c r="C58" t="inlineStr">
        <is>
          <t>AWS Cost Explorer</t>
        </is>
      </c>
      <c r="D58" t="inlineStr">
        <is>
          <t>Asignacion</t>
        </is>
      </c>
      <c r="E58" t="inlineStr">
        <is>
          <t>A1</t>
        </is>
      </c>
      <c r="F58" s="2" t="inlineStr">
        <is>
          <t>¿Calcula gasto asignado/no asignado por responsable, centro o entidad?</t>
        </is>
      </c>
      <c r="G58" t="n">
        <v>2</v>
      </c>
      <c r="H58" t="inlineStr">
        <is>
          <t>Oficial</t>
        </is>
      </c>
      <c r="I58" s="2" t="inlineStr">
        <is>
          <t>Cost Categories es "a cost allocation service to help you map your AWS costs to your unique internal business structures" mediante reglas; expone una categoría de costos no mapeados.</t>
        </is>
      </c>
      <c r="J58" t="inlineStr">
        <is>
          <t>https://docs.aws.amazon.com/awsaccountbilling/latest/aboutv2/manage-cost-categories.html</t>
        </is>
      </c>
      <c r="K58" t="inlineStr">
        <is>
          <t>2026-09-16</t>
        </is>
      </c>
      <c r="L58"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 | Celda heredada FP-180 (2026-09-16): el valor 2 proviene de la investigacion del escenario E1 y no cuenta con evidencia propia de E5. Segun FP-177 el indicador A1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9">
      <c r="A59" t="inlineStr">
        <is>
          <t>E5</t>
        </is>
      </c>
      <c r="B59" t="inlineStr">
        <is>
          <t>Cloud nativa</t>
        </is>
      </c>
      <c r="C59" t="inlineStr">
        <is>
          <t>AWS Cost Explorer</t>
        </is>
      </c>
      <c r="D59" t="inlineStr">
        <is>
          <t>Asignacion</t>
        </is>
      </c>
      <c r="E59" t="inlineStr">
        <is>
          <t>A2</t>
        </is>
      </c>
      <c r="F59" s="2" t="inlineStr">
        <is>
          <t>¿Explicita y aplica reglas para costo compartido/multi-tenant?</t>
        </is>
      </c>
      <c r="G59" t="n">
        <v>2</v>
      </c>
      <c r="H59" t="inlineStr">
        <is>
          <t>Oficial</t>
        </is>
      </c>
      <c r="I59" s="2" t="inlineStr">
        <is>
          <t>Las split charge rules de las Cost Categories son exactamente la regla de reparto que E5 evalua: «You can use split charge rules to allocate charges between your cost category values. Splitting charges is useful when you have costs that aren't directly attributed to a single owner, such as costs shared by multiple teams, business units, and financial owners». Los metodos estan declarados —proporcional, fijo y equitativo— y los limites tambien: hasta 10 reglas por categoria, y un valor usado como origen no puede ser destino. Para servicios compartidos en contenedores, «using split cost allocation data, you can allocate your container costs to individual business units and teams, based on how your container workloads consume shared compute and memory resources».</t>
        </is>
      </c>
      <c r="J59" t="inlineStr">
        <is>
          <t>https://docs.aws.amazon.com/awsaccountbilling/latest/aboutv2/splitcharge-cost-categories.html ; https://docs.aws.amazon.com/cur/latest/userguide/split-cost-allocation-data.html</t>
        </is>
      </c>
      <c r="K59" t="inlineStr">
        <is>
          <t>2026-09-16</t>
        </is>
      </c>
      <c r="L59" s="2" t="inlineStr">
        <is>
          <t>Celda heredada FP-180 (2026-09-16): el valor 2 proviene de la investigacion del escenario E1 y no cuenta con evidencia propia de E5. Segun FP-177 el indicador A2 depende del escenario, por lo que pasa a NE (no evidenciado, reduce cobertura) hasta investigarlo. La evidencia y la fuente originales se conservan como referencia del escenario de origen. | Investigacion propia de E5 (2026-09-16): regla de reparto del costo compartido verificada contra la salida esperada del escenario, que exige el metodo de reparto y la porcion no atribuible.</t>
        </is>
      </c>
    </row>
    <row r="60">
      <c r="A60" t="inlineStr">
        <is>
          <t>E5</t>
        </is>
      </c>
      <c r="B60" t="inlineStr">
        <is>
          <t>Cloud nativa</t>
        </is>
      </c>
      <c r="C60" t="inlineStr">
        <is>
          <t>AWS Cost Explorer</t>
        </is>
      </c>
      <c r="D60" t="inlineStr">
        <is>
          <t>Optimizacion</t>
        </is>
      </c>
      <c r="E60" t="inlineStr">
        <is>
          <t>O1</t>
        </is>
      </c>
      <c r="F60" s="2" t="inlineStr">
        <is>
          <t>¿Detecta desperdicio, rightsizing o compromiso relevante al escenario?</t>
        </is>
      </c>
      <c r="G60" t="n">
        <v>1</v>
      </c>
      <c r="H60" t="inlineStr">
        <is>
          <t>Oficial</t>
        </is>
      </c>
      <c r="I60" s="2" t="inlineStr">
        <is>
          <t>Cost Explorer conserva una vista propia de "rightsizing recommendations" (principalmente EC2), de alcance más acotado que Cost Optimization Hub.</t>
        </is>
      </c>
      <c r="J60" t="inlineStr">
        <is>
          <t>https://docs.aws.amazon.com/cost-management/latest/userguide/ce-rightsizing.html</t>
        </is>
      </c>
      <c r="K60" t="inlineStr">
        <is>
          <t>2026-09-16</t>
        </is>
      </c>
      <c r="L60" s="2" t="inlineStr">
        <is>
          <t>Celda heredada FP-180 (2026-09-16): el valor 1 proviene de la investigacion del escenario E1 y no cuenta con evidencia propia de E5. Segun FP-177 el indicador O1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1">
      <c r="A61" t="inlineStr">
        <is>
          <t>E5</t>
        </is>
      </c>
      <c r="B61" t="inlineStr">
        <is>
          <t>Cloud nativa</t>
        </is>
      </c>
      <c r="C61" t="inlineStr">
        <is>
          <t>AWS Cost Explorer</t>
        </is>
      </c>
      <c r="D61" t="inlineStr">
        <is>
          <t>Optimizacion</t>
        </is>
      </c>
      <c r="E61" t="inlineStr">
        <is>
          <t>O2</t>
        </is>
      </c>
      <c r="F61" s="2" t="inlineStr">
        <is>
          <t>¿Explica supuesto/impacto y permite seguir una recomendación?</t>
        </is>
      </c>
      <c r="G61" t="n">
        <v>1</v>
      </c>
      <c r="H61" t="inlineStr">
        <is>
          <t>Oficial</t>
        </is>
      </c>
      <c r="I61" s="2" t="inlineStr">
        <is>
          <t>La vista de rightsizing de Cost Explorer muestra el ahorro estimado por recomendación, sin el ciclo de seguimiento/objetivos que sí documenta Cost Optimization Hub.</t>
        </is>
      </c>
      <c r="J61" t="inlineStr">
        <is>
          <t>https://docs.aws.amazon.com/cost-management/latest/userguide/ce-rightsizing.html</t>
        </is>
      </c>
      <c r="K61" t="inlineStr">
        <is>
          <t>2026-09-16</t>
        </is>
      </c>
      <c r="L61" s="2" t="inlineStr"/>
    </row>
    <row r="62">
      <c r="A62" t="inlineStr">
        <is>
          <t>E5</t>
        </is>
      </c>
      <c r="B62" t="inlineStr">
        <is>
          <t>Cloud nativa</t>
        </is>
      </c>
      <c r="C62" t="inlineStr">
        <is>
          <t>AWS Cost Explorer</t>
        </is>
      </c>
      <c r="D62" t="inlineStr">
        <is>
          <t>Automatizacion</t>
        </is>
      </c>
      <c r="E62" t="inlineStr">
        <is>
          <t>AU1</t>
        </is>
      </c>
      <c r="F62" s="2" t="inlineStr">
        <is>
          <t>¿Ejecuta o bloquea acciones/políticas de costo con control verificable?</t>
        </is>
      </c>
      <c r="G62" t="n">
        <v>2</v>
      </c>
      <c r="H62" t="inlineStr">
        <is>
          <t>Oficial</t>
        </is>
      </c>
      <c r="I62" s="2" t="inlineStr">
        <is>
          <t>AWS Budgets puede ejecutar "budget actions" (política IAM Deny, SCP, detener instancias EC2/RDS) "either automatically or after your manual approval".</t>
        </is>
      </c>
      <c r="J62" t="inlineStr">
        <is>
          <t>https://docs.aws.amazon.com/cost-management/latest/userguide/budgets-controls.html</t>
        </is>
      </c>
      <c r="K62" t="inlineStr">
        <is>
          <t>2026-09-16</t>
        </is>
      </c>
      <c r="L62" s="2" t="inlineStr">
        <is>
          <t>Celda heredada FP-180 (2026-09-16): el valor 2 proviene de la investigacion del escenario E1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3">
      <c r="A63" t="inlineStr">
        <is>
          <t>E5</t>
        </is>
      </c>
      <c r="B63" t="inlineStr">
        <is>
          <t>Cloud nativa</t>
        </is>
      </c>
      <c r="C63" t="inlineStr">
        <is>
          <t>AWS Cost Explorer</t>
        </is>
      </c>
      <c r="D63" t="inlineStr">
        <is>
          <t>Automatizacion</t>
        </is>
      </c>
      <c r="E63" t="inlineStr">
        <is>
          <t>AU2</t>
        </is>
      </c>
      <c r="F63" s="2" t="inlineStr">
        <is>
          <t>¿Ofrece aprobación, reversión, registro o límites antes de actuar?</t>
        </is>
      </c>
      <c r="G63" t="n">
        <v>2</v>
      </c>
      <c r="H63" t="inlineStr">
        <is>
          <t>Oficial</t>
        </is>
      </c>
      <c r="I63" s="2" t="inlineStr">
        <is>
          <t>Las budget actions permiten exigir aprobación manual antes de ejecutarse. La documentación revisada no detalla registro de auditoría ni mecanismo de reversión explícito (limitación registrada).</t>
        </is>
      </c>
      <c r="J63" t="inlineStr">
        <is>
          <t>https://docs.aws.amazon.com/cost-management/latest/userguide/budgets-controls.html</t>
        </is>
      </c>
      <c r="K63" t="inlineStr">
        <is>
          <t>2026-09-16</t>
        </is>
      </c>
      <c r="L63" s="2" t="inlineStr"/>
    </row>
    <row r="64">
      <c r="A64" t="inlineStr">
        <is>
          <t>E5</t>
        </is>
      </c>
      <c r="B64" t="inlineStr">
        <is>
          <t>Cloud nativa</t>
        </is>
      </c>
      <c r="C64" t="inlineStr">
        <is>
          <t>AWS Cost Explorer</t>
        </is>
      </c>
      <c r="D64" t="inlineStr">
        <is>
          <t>Multicloud</t>
        </is>
      </c>
      <c r="E64" t="inlineStr">
        <is>
          <t>M1</t>
        </is>
      </c>
      <c r="F64" s="2" t="inlineStr">
        <is>
          <t>¿Consolida al menos dos proveedores bajo el mismo esquema declarado?</t>
        </is>
      </c>
      <c r="G64" t="n">
        <v>0</v>
      </c>
      <c r="H64" t="inlineStr">
        <is>
          <t>Oficial</t>
        </is>
      </c>
      <c r="I64" s="2" t="inlineStr">
        <is>
          <t>Cost Explorer y el CUR cubren exclusivamente cuentas y facturación de AWS; no ingieren ni consolidan datos de Azure o GCP.</t>
        </is>
      </c>
      <c r="J64" t="inlineStr">
        <is>
          <t>https://docs.aws.amazon.com/cur/latest/userguide/what-is-cur.html</t>
        </is>
      </c>
      <c r="K64" t="inlineStr">
        <is>
          <t>2026-09-16</t>
        </is>
      </c>
      <c r="L64" s="2" t="inlineStr"/>
    </row>
    <row r="65">
      <c r="A65" t="inlineStr">
        <is>
          <t>E5</t>
        </is>
      </c>
      <c r="B65" t="inlineStr">
        <is>
          <t>Cloud nativa</t>
        </is>
      </c>
      <c r="C65" t="inlineStr">
        <is>
          <t>AWS Cost Explorer</t>
        </is>
      </c>
      <c r="D65" t="inlineStr">
        <is>
          <t>Multicloud</t>
        </is>
      </c>
      <c r="E65" t="inlineStr">
        <is>
          <t>M2</t>
        </is>
      </c>
      <c r="F65" s="2" t="inlineStr">
        <is>
          <t>¿Hace visibles proveedor, cobertura y diferencias semánticas?</t>
        </is>
      </c>
      <c r="G65" t="n">
        <v>0</v>
      </c>
      <c r="H65" t="inlineStr">
        <is>
          <t>Oficial</t>
        </is>
      </c>
      <c r="I65" s="2" t="inlineStr">
        <is>
          <t>Al no consolidar otros proveedores, la herramienta no expone diferencias de cobertura o semántica entre nubes.</t>
        </is>
      </c>
      <c r="J65" t="inlineStr">
        <is>
          <t>https://docs.aws.amazon.com/cur/latest/userguide/what-is-cur.html</t>
        </is>
      </c>
      <c r="K65" t="inlineStr">
        <is>
          <t>2026-09-16</t>
        </is>
      </c>
      <c r="L65" s="2" t="inlineStr"/>
    </row>
    <row r="66">
      <c r="A66" t="inlineStr">
        <is>
          <t>E5</t>
        </is>
      </c>
      <c r="B66" t="inlineStr">
        <is>
          <t>Cloud nativa</t>
        </is>
      </c>
      <c r="C66" t="inlineStr">
        <is>
          <t>AWS Cost Explorer</t>
        </is>
      </c>
      <c r="D66" t="inlineStr">
        <is>
          <t>Integracion</t>
        </is>
      </c>
      <c r="E66" t="inlineStr">
        <is>
          <t>I1</t>
        </is>
      </c>
      <c r="F66" s="2" t="inlineStr">
        <is>
          <t>¿Integra datos requeridos (facturación, uso, clúster o IaC) del escenario?</t>
        </is>
      </c>
      <c r="G66" t="n">
        <v>2</v>
      </c>
      <c r="H66" t="inlineStr">
        <is>
          <t>Oficial</t>
        </is>
      </c>
      <c r="I66" s="2" t="inlineStr">
        <is>
          <t>El CUR/la API de Cost Explorer ingieren datos de facturación y uso de forma automatizada; para EKS, "Split Cost Allocation Data" añade métricas de clúster a nivel de pod/namespace al CUR.</t>
        </is>
      </c>
      <c r="J66" t="inlineStr">
        <is>
          <t>https://aws.amazon.com/about-aws/whats-new/2024/04/aws-split-cost-allocation-data-amazon-eks/</t>
        </is>
      </c>
      <c r="K66" t="inlineStr">
        <is>
          <t>2026-09-16</t>
        </is>
      </c>
      <c r="L66" s="2" t="inlineStr">
        <is>
          <t>Celda heredada FP-180 (2026-09-16): el valor 2 proviene de la investigacion del escenario E1 y no cuenta con evidencia propia de E5. Segun FP-177 el indicador I1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7">
      <c r="A67" t="inlineStr">
        <is>
          <t>E5</t>
        </is>
      </c>
      <c r="B67" t="inlineStr">
        <is>
          <t>Cloud nativa</t>
        </is>
      </c>
      <c r="C67" t="inlineStr">
        <is>
          <t>AWS Cost Explorer</t>
        </is>
      </c>
      <c r="D67" t="inlineStr">
        <is>
          <t>Integracion</t>
        </is>
      </c>
      <c r="E67" t="inlineStr">
        <is>
          <t>I2</t>
        </is>
      </c>
      <c r="F67" s="2" t="inlineStr">
        <is>
          <t>¿Se integra con el flujo de trabajo relevante (alerta, ticket, CI/CD o reporte)?</t>
        </is>
      </c>
      <c r="G67" t="n">
        <v>2</v>
      </c>
      <c r="H67" t="inlineStr">
        <is>
          <t>Oficial</t>
        </is>
      </c>
      <c r="I67" s="2" t="inlineStr">
        <is>
          <t>AWS Cost Anomaly Detection y Budgets envían alertas (p. ej., a SNS/correo) integradas a un flujo operativo de revisión.</t>
        </is>
      </c>
      <c r="J67" t="inlineStr">
        <is>
          <t>https://docs.aws.amazon.com/cost-management/latest/userguide/budgets-controls.html</t>
        </is>
      </c>
      <c r="K67" t="inlineStr">
        <is>
          <t>2026-09-16</t>
        </is>
      </c>
      <c r="L67" s="2" t="inlineStr">
        <is>
          <t>Celda heredada FP-180 (2026-09-16): el valor 2 proviene de la investigacion del escenario E1 y no cuenta con evidencia propia de E5. Segun FP-177 el indicador I2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8">
      <c r="A68" t="inlineStr">
        <is>
          <t>E5</t>
        </is>
      </c>
      <c r="B68" t="inlineStr">
        <is>
          <t>Cloud nativa</t>
        </is>
      </c>
      <c r="C68" t="inlineStr">
        <is>
          <t>AWS Cost Explorer</t>
        </is>
      </c>
      <c r="D68" t="inlineStr">
        <is>
          <t>Adopcion</t>
        </is>
      </c>
      <c r="E68" t="inlineStr">
        <is>
          <t>AD1</t>
        </is>
      </c>
      <c r="F68" s="2" t="inlineStr">
        <is>
          <t>¿Soporta acceso/entrega para los roles del escenario?</t>
        </is>
      </c>
      <c r="G68" t="n">
        <v>2</v>
      </c>
      <c r="H68" t="inlineStr">
        <is>
          <t>Oficial (control de acceso IAM; pendiente cita directa de la guía de permisos de Billing)</t>
        </is>
      </c>
      <c r="I68" s="2" t="inlineStr">
        <is>
          <t>El acceso a Cost Explorer/Budgets se controla mediante políticas de IAM por usuario/rol (control de acceso estándar de AWS Billing).</t>
        </is>
      </c>
      <c r="J68" t="inlineStr">
        <is>
          <t>https://docs.aws.amazon.com/awsaccountbilling/latest/aboutv2/cost-alloc-tags.html</t>
        </is>
      </c>
      <c r="K68" t="inlineStr">
        <is>
          <t>2026-09-16</t>
        </is>
      </c>
      <c r="L68" s="2" t="inlineStr">
        <is>
          <t>Celda heredada FP-180 (2026-09-16): el valor 2 proviene de la investigacion del escenario E1 y no cuenta con evidencia propia de E5. Segun FP-177 el indicador AD1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9">
      <c r="A69" t="inlineStr">
        <is>
          <t>E5</t>
        </is>
      </c>
      <c r="B69" t="inlineStr">
        <is>
          <t>Cloud nativa</t>
        </is>
      </c>
      <c r="C69" t="inlineStr">
        <is>
          <t>AWS Cost Explorer</t>
        </is>
      </c>
      <c r="D69" t="inlineStr">
        <is>
          <t>Adopcion</t>
        </is>
      </c>
      <c r="E69" t="inlineStr">
        <is>
          <t>AD2</t>
        </is>
      </c>
      <c r="F69" s="2" t="inlineStr">
        <is>
          <t>¿Ofrece guías, ownership o mecanismos de seguimiento para uso sostenido?</t>
        </is>
      </c>
      <c r="G69" t="n">
        <v>2</v>
      </c>
      <c r="H69" t="inlineStr">
        <is>
          <t>Oficial</t>
        </is>
      </c>
      <c r="I69" s="2" t="inlineStr">
        <is>
          <t>AWS publica guías oficiales de adopción, entre ellas el whitepaper de mejores prácticas de etiquetado y estrategia de asignación de costos.</t>
        </is>
      </c>
      <c r="J69" t="inlineStr">
        <is>
          <t>https://docs.aws.amazon.com/whitepapers/latest/tagging-best-practices/building-a-cost-allocation-strategy.html</t>
        </is>
      </c>
      <c r="K69" t="inlineStr">
        <is>
          <t>2026-09-16</t>
        </is>
      </c>
      <c r="L69"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70">
      <c r="A70" t="inlineStr">
        <is>
          <t>E5</t>
        </is>
      </c>
      <c r="B70" t="inlineStr">
        <is>
          <t>Cloud nativa</t>
        </is>
      </c>
      <c r="C70" t="inlineStr">
        <is>
          <t>AWS Cost Explorer</t>
        </is>
      </c>
      <c r="D70" t="inlineStr">
        <is>
          <t>Precio</t>
        </is>
      </c>
      <c r="E70" t="inlineStr">
        <is>
          <t>P1</t>
        </is>
      </c>
      <c r="F70" s="2" t="inlineStr">
        <is>
          <t>¿Expone precio, moneda, región, unidad, período y supuestos relevantes?</t>
        </is>
      </c>
      <c r="G70" t="n">
        <v>2</v>
      </c>
      <c r="H70" t="inlineStr">
        <is>
          <t>Oficial</t>
        </is>
      </c>
      <c r="I70" s="2" t="inlineStr">
        <is>
          <t>El CUR y los Data Exports FOCUS 1.0/1.2 exponen moneda, período, servicio y columnas estandarizadas de costo (ListCost, ContractedCost, BilledCost, EffectiveCost).</t>
        </is>
      </c>
      <c r="J70" t="inlineStr">
        <is>
          <t>https://aws.amazon.com/about-aws/whats-new/2024/11/aws-billing-cost-management-data-exports-focus-1-0</t>
        </is>
      </c>
      <c r="K70" t="inlineStr">
        <is>
          <t>2026-09-16</t>
        </is>
      </c>
      <c r="L70" s="2" t="inlineStr"/>
    </row>
    <row r="71">
      <c r="A71" t="inlineStr">
        <is>
          <t>E5</t>
        </is>
      </c>
      <c r="B71" t="inlineStr">
        <is>
          <t>Cloud nativa</t>
        </is>
      </c>
      <c r="C71" t="inlineStr">
        <is>
          <t>AWS Cost Explorer</t>
        </is>
      </c>
      <c r="D71" t="inlineStr">
        <is>
          <t>Precio</t>
        </is>
      </c>
      <c r="E71" t="inlineStr">
        <is>
          <t>P2</t>
        </is>
      </c>
      <c r="F71" s="2" t="inlineStr">
        <is>
          <t>¿Permite estimar o comparar componentes sin ocultar límites de equivalencia?</t>
        </is>
      </c>
      <c r="G71" t="n">
        <v>1</v>
      </c>
      <c r="H71" t="inlineStr">
        <is>
          <t>Oficial (pendiente cita directa de la página de forecast)</t>
        </is>
      </c>
      <c r="I71" s="2" t="inlineStr">
        <is>
          <t>Cost Explorer ofrece pronóstico de costo futuro basado en tendencia histórica; no es una calculadora de estimación de componentes antes del despliegue (esa función es de AWS Pricing Calculator, evaluada aparte).</t>
        </is>
      </c>
      <c r="J71" t="inlineStr">
        <is>
          <t>https://docs.aws.amazon.com/cost-management/latest/userguide/ce-what-is.html</t>
        </is>
      </c>
      <c r="K71" t="inlineStr">
        <is>
          <t>2026-09-16</t>
        </is>
      </c>
      <c r="L71" s="2" t="inlineStr">
        <is>
          <t>Celda heredada FP-180 (2026-09-16): el valor 1 proviene de la investigacion del escenario E1 y no cuenta con evidencia propia de E5. Segun FP-177 el indicador P2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2">
      <c r="A72" t="inlineStr">
        <is>
          <t>E5</t>
        </is>
      </c>
      <c r="B72" t="inlineStr">
        <is>
          <t>Cloud nativa</t>
        </is>
      </c>
      <c r="C72" t="inlineStr">
        <is>
          <t>AWS Cost Explorer</t>
        </is>
      </c>
      <c r="D72" t="inlineStr">
        <is>
          <t>Dependencia</t>
        </is>
      </c>
      <c r="E72" t="inlineStr">
        <is>
          <t>D1</t>
        </is>
      </c>
      <c r="F72" s="2" t="inlineStr">
        <is>
          <t>¿Exporta datos/resultados en formato utilizable y documentado?</t>
        </is>
      </c>
      <c r="G72" t="n">
        <v>2</v>
      </c>
      <c r="H72" t="inlineStr">
        <is>
          <t>Oficial</t>
        </is>
      </c>
      <c r="I72" s="2" t="inlineStr">
        <is>
          <t>El CUR exporta a S3 en CSV/Parquet y, desde 2024-2025, también en el estándar abierto FOCUS 1.0/1.2.</t>
        </is>
      </c>
      <c r="J72" t="inlineStr">
        <is>
          <t>https://aws.amazon.com/about-aws/whats-new/2024/11/aws-billing-cost-management-data-exports-focus-1-0</t>
        </is>
      </c>
      <c r="K72" t="inlineStr">
        <is>
          <t>2026-09-16</t>
        </is>
      </c>
      <c r="L72" s="2" t="inlineStr"/>
    </row>
    <row r="73">
      <c r="A73" t="inlineStr">
        <is>
          <t>E5</t>
        </is>
      </c>
      <c r="B73" t="inlineStr">
        <is>
          <t>Cloud nativa</t>
        </is>
      </c>
      <c r="C73" t="inlineStr">
        <is>
          <t>AWS Cost Explorer</t>
        </is>
      </c>
      <c r="D73" t="inlineStr">
        <is>
          <t>Dependencia</t>
        </is>
      </c>
      <c r="E73" t="inlineStr">
        <is>
          <t>D2</t>
        </is>
      </c>
      <c r="F73" s="2" t="inlineStr">
        <is>
          <t>¿Documenta dependencias propietarias y un camino de salida/configuración reversible?</t>
        </is>
      </c>
      <c r="G73" t="n">
        <v>1</v>
      </c>
      <c r="H73" t="inlineStr">
        <is>
          <t>Oficial</t>
        </is>
      </c>
      <c r="I73"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73" t="inlineStr">
        <is>
          <t>https://aws.amazon.com/about-aws/whats-new/2024/11/aws-billing-cost-management-data-exports-focus-1-0</t>
        </is>
      </c>
      <c r="K73" t="inlineStr">
        <is>
          <t>2026-09-16</t>
        </is>
      </c>
      <c r="L73" s="2" t="inlineStr"/>
    </row>
    <row r="74">
      <c r="A74" t="inlineStr">
        <is>
          <t>E6</t>
        </is>
      </c>
      <c r="B74" t="inlineStr">
        <is>
          <t>Cloud nativa</t>
        </is>
      </c>
      <c r="C74" t="inlineStr">
        <is>
          <t>AWS Cost Explorer</t>
        </is>
      </c>
      <c r="D74" t="inlineStr">
        <is>
          <t>Visibilidad</t>
        </is>
      </c>
      <c r="E74" t="inlineStr">
        <is>
          <t>V1</t>
        </is>
      </c>
      <c r="F74" s="2" t="inlineStr">
        <is>
          <t>¿Desagrega costo y uso por cuenta/proyecto, servicio y período?</t>
        </is>
      </c>
      <c r="G74" t="n">
        <v>2</v>
      </c>
      <c r="H74" t="inlineStr">
        <is>
          <t>Oficial</t>
        </is>
      </c>
      <c r="I74" s="2" t="inlineStr">
        <is>
          <t>El CUR expone los componentes de transferencia de datos de forma granular y documentada: los cargos se identifican por la columna lineItem/UsageType, con tipos distintos para transferencia entre regiones (Source Region-Destination Region-AWS-Out-Bytes), entre zonas de disponibilidad de una misma region (Region-DataTransfer-Regional-Bytes) y para CloudFront, distinguible por lineItem/ProductCode. Eso permite separar el componente de red del costo total, que es la salida que E6 espera.</t>
        </is>
      </c>
      <c r="J74" t="inlineStr">
        <is>
          <t>https://docs.aws.amazon.com/cur/latest/userguide/cur-data-transfers-charges.html</t>
        </is>
      </c>
      <c r="K74" t="inlineStr">
        <is>
          <t>2026-09-16</t>
        </is>
      </c>
      <c r="L74" s="2" t="inlineStr">
        <is>
          <t>Celda heredada FP-180 (2026-09-16): el valor 2 proviene de la investigacion del escenario E1 y no cuenta con evidencia propia de E6. Segun FP-177 el indicador V1 depende del escenario, por lo que pasa a NE (no evidenciado, reduce cobertura) hasta investigarlo. La evidencia y la fuente originales se conservan como referencia del escenario de origen. | Investigacion propia de E6 (2026-09-16): celda verificada contra el componente que distingue a este escenario, el costo de red y transferencia por flujo de trabajo.</t>
        </is>
      </c>
    </row>
    <row r="75">
      <c r="A75" t="inlineStr">
        <is>
          <t>E6</t>
        </is>
      </c>
      <c r="B75" t="inlineStr">
        <is>
          <t>Cloud nativa</t>
        </is>
      </c>
      <c r="C75" t="inlineStr">
        <is>
          <t>AWS Cost Explorer</t>
        </is>
      </c>
      <c r="D75" t="inlineStr">
        <is>
          <t>Visibilidad</t>
        </is>
      </c>
      <c r="E75" t="inlineStr">
        <is>
          <t>V2</t>
        </is>
      </c>
      <c r="F75" s="2" t="inlineStr">
        <is>
          <t>¿Permite rastrear un total hasta registros o fuente de facturación?</t>
        </is>
      </c>
      <c r="G75" t="n">
        <v>2</v>
      </c>
      <c r="H75" t="inlineStr">
        <is>
          <t>Oficial</t>
        </is>
      </c>
      <c r="I75" s="2" t="inlineStr">
        <is>
          <t>El Cost and Usage Report (CUR) entrega detalle por línea de facturación y "reconciles with the total charges on your Bills page", permitiendo rastrear un total hasta el registro fuente.</t>
        </is>
      </c>
      <c r="J75" t="inlineStr">
        <is>
          <t>https://docs.aws.amazon.com/cur/latest/userguide/what-is-cur.html</t>
        </is>
      </c>
      <c r="K75" t="inlineStr">
        <is>
          <t>2026-09-16</t>
        </is>
      </c>
      <c r="L75" s="2" t="inlineStr"/>
    </row>
    <row r="76">
      <c r="A76" t="inlineStr">
        <is>
          <t>E6</t>
        </is>
      </c>
      <c r="B76" t="inlineStr">
        <is>
          <t>Cloud nativa</t>
        </is>
      </c>
      <c r="C76" t="inlineStr">
        <is>
          <t>AWS Cost Explorer</t>
        </is>
      </c>
      <c r="D76" t="inlineStr">
        <is>
          <t>Asignacion</t>
        </is>
      </c>
      <c r="E76" t="inlineStr">
        <is>
          <t>A1</t>
        </is>
      </c>
      <c r="F76" s="2" t="inlineStr">
        <is>
          <t>¿Calcula gasto asignado/no asignado por responsable, centro o entidad?</t>
        </is>
      </c>
      <c r="G76" t="n">
        <v>2</v>
      </c>
      <c r="H76" t="inlineStr">
        <is>
          <t>Oficial</t>
        </is>
      </c>
      <c r="I76" s="2" t="inlineStr">
        <is>
          <t>Cost Categories es "a cost allocation service to help you map your AWS costs to your unique internal business structures" mediante reglas; expone una categoría de costos no mapeados.</t>
        </is>
      </c>
      <c r="J76" t="inlineStr">
        <is>
          <t>https://docs.aws.amazon.com/awsaccountbilling/latest/aboutv2/manage-cost-categories.html</t>
        </is>
      </c>
      <c r="K76" t="inlineStr">
        <is>
          <t>2026-09-16</t>
        </is>
      </c>
      <c r="L76"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 | Celda heredada FP-180 (2026-09-16): el valor 2 proviene de la investigacion del escenario E1 y no cuenta con evidencia propia de E6. Segun FP-177 el indicador A1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77">
      <c r="A77" t="inlineStr">
        <is>
          <t>E6</t>
        </is>
      </c>
      <c r="B77" t="inlineStr">
        <is>
          <t>Cloud nativa</t>
        </is>
      </c>
      <c r="C77" t="inlineStr">
        <is>
          <t>AWS Cost Explorer</t>
        </is>
      </c>
      <c r="D77" t="inlineStr">
        <is>
          <t>Asignacion</t>
        </is>
      </c>
      <c r="E77" t="inlineStr">
        <is>
          <t>A2</t>
        </is>
      </c>
      <c r="F77" s="2" t="inlineStr">
        <is>
          <t>¿Explicita y aplica reglas para costo compartido/multi-tenant?</t>
        </is>
      </c>
      <c r="G77" t="n">
        <v>2</v>
      </c>
      <c r="H77" t="inlineStr">
        <is>
          <t>Oficial</t>
        </is>
      </c>
      <c r="I77" s="2" t="inlineStr">
        <is>
          <t>Cost Categories admite "Splitting charges within cost categories" (split charge rules) para repartir costos compartidos entre categorías/equipos.</t>
        </is>
      </c>
      <c r="J77" t="inlineStr">
        <is>
          <t>https://docs.aws.amazon.com/awsaccountbilling/latest/aboutv2/manage-cost-categories.html</t>
        </is>
      </c>
      <c r="K77" t="inlineStr">
        <is>
          <t>2026-09-16</t>
        </is>
      </c>
      <c r="L77" s="2" t="inlineStr">
        <is>
          <t>Celda heredada FP-180 (2026-09-16): el valor 2 proviene de la investigacion del escenario E1 y no cuenta con evidencia propia de E6. Segun FP-177 el indicador A2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78">
      <c r="A78" t="inlineStr">
        <is>
          <t>E6</t>
        </is>
      </c>
      <c r="B78" t="inlineStr">
        <is>
          <t>Cloud nativa</t>
        </is>
      </c>
      <c r="C78" t="inlineStr">
        <is>
          <t>AWS Cost Explorer</t>
        </is>
      </c>
      <c r="D78" t="inlineStr">
        <is>
          <t>Optimizacion</t>
        </is>
      </c>
      <c r="E78" t="inlineStr">
        <is>
          <t>O1</t>
        </is>
      </c>
      <c r="F78" s="2" t="inlineStr">
        <is>
          <t>¿Detecta desperdicio, rightsizing o compromiso relevante al escenario?</t>
        </is>
      </c>
      <c r="G78" t="n">
        <v>1</v>
      </c>
      <c r="H78" t="inlineStr">
        <is>
          <t>Oficial</t>
        </is>
      </c>
      <c r="I78" s="2" t="inlineStr">
        <is>
          <t>Cost Explorer conserva una vista propia de "rightsizing recommendations" (principalmente EC2), de alcance más acotado que Cost Optimization Hub.</t>
        </is>
      </c>
      <c r="J78" t="inlineStr">
        <is>
          <t>https://docs.aws.amazon.com/cost-management/latest/userguide/ce-rightsizing.html</t>
        </is>
      </c>
      <c r="K78" t="inlineStr">
        <is>
          <t>2026-09-16</t>
        </is>
      </c>
      <c r="L78" s="2" t="inlineStr">
        <is>
          <t>Celda heredada FP-180 (2026-09-16): el valor 1 proviene de la investigacion del escenario E1 y no cuenta con evidencia propia de E6. Segun FP-177 el indicador O1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79">
      <c r="A79" t="inlineStr">
        <is>
          <t>E6</t>
        </is>
      </c>
      <c r="B79" t="inlineStr">
        <is>
          <t>Cloud nativa</t>
        </is>
      </c>
      <c r="C79" t="inlineStr">
        <is>
          <t>AWS Cost Explorer</t>
        </is>
      </c>
      <c r="D79" t="inlineStr">
        <is>
          <t>Optimizacion</t>
        </is>
      </c>
      <c r="E79" t="inlineStr">
        <is>
          <t>O2</t>
        </is>
      </c>
      <c r="F79" s="2" t="inlineStr">
        <is>
          <t>¿Explica supuesto/impacto y permite seguir una recomendación?</t>
        </is>
      </c>
      <c r="G79" t="n">
        <v>1</v>
      </c>
      <c r="H79" t="inlineStr">
        <is>
          <t>Oficial</t>
        </is>
      </c>
      <c r="I79" s="2" t="inlineStr">
        <is>
          <t>La vista de rightsizing de Cost Explorer muestra el ahorro estimado por recomendación, sin el ciclo de seguimiento/objetivos que sí documenta Cost Optimization Hub.</t>
        </is>
      </c>
      <c r="J79" t="inlineStr">
        <is>
          <t>https://docs.aws.amazon.com/cost-management/latest/userguide/ce-rightsizing.html</t>
        </is>
      </c>
      <c r="K79" t="inlineStr">
        <is>
          <t>2026-09-16</t>
        </is>
      </c>
      <c r="L79" s="2" t="inlineStr"/>
    </row>
    <row r="80">
      <c r="A80" t="inlineStr">
        <is>
          <t>E6</t>
        </is>
      </c>
      <c r="B80" t="inlineStr">
        <is>
          <t>Cloud nativa</t>
        </is>
      </c>
      <c r="C80" t="inlineStr">
        <is>
          <t>AWS Cost Explorer</t>
        </is>
      </c>
      <c r="D80" t="inlineStr">
        <is>
          <t>Automatizacion</t>
        </is>
      </c>
      <c r="E80" t="inlineStr">
        <is>
          <t>AU1</t>
        </is>
      </c>
      <c r="F80" s="2" t="inlineStr">
        <is>
          <t>¿Ejecuta o bloquea acciones/políticas de costo con control verificable?</t>
        </is>
      </c>
      <c r="G80" t="n">
        <v>2</v>
      </c>
      <c r="H80" t="inlineStr">
        <is>
          <t>Oficial</t>
        </is>
      </c>
      <c r="I80" s="2" t="inlineStr">
        <is>
          <t>AWS Budgets puede ejecutar "budget actions" (política IAM Deny, SCP, detener instancias EC2/RDS) "either automatically or after your manual approval".</t>
        </is>
      </c>
      <c r="J80" t="inlineStr">
        <is>
          <t>https://docs.aws.amazon.com/cost-management/latest/userguide/budgets-controls.html</t>
        </is>
      </c>
      <c r="K80" t="inlineStr">
        <is>
          <t>2026-09-16</t>
        </is>
      </c>
      <c r="L80" s="2" t="inlineStr">
        <is>
          <t>Celda heredada FP-180 (2026-09-16): el valor 2 proviene de la investigacion del escenario E1 y no cuenta con evidencia propia de E6. Segun FP-177 el indicador AU1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1">
      <c r="A81" t="inlineStr">
        <is>
          <t>E6</t>
        </is>
      </c>
      <c r="B81" t="inlineStr">
        <is>
          <t>Cloud nativa</t>
        </is>
      </c>
      <c r="C81" t="inlineStr">
        <is>
          <t>AWS Cost Explorer</t>
        </is>
      </c>
      <c r="D81" t="inlineStr">
        <is>
          <t>Automatizacion</t>
        </is>
      </c>
      <c r="E81" t="inlineStr">
        <is>
          <t>AU2</t>
        </is>
      </c>
      <c r="F81" s="2" t="inlineStr">
        <is>
          <t>¿Ofrece aprobación, reversión, registro o límites antes de actuar?</t>
        </is>
      </c>
      <c r="G81" t="n">
        <v>2</v>
      </c>
      <c r="H81" t="inlineStr">
        <is>
          <t>Oficial</t>
        </is>
      </c>
      <c r="I81" s="2" t="inlineStr">
        <is>
          <t>Las budget actions permiten exigir aprobación manual antes de ejecutarse. La documentación revisada no detalla registro de auditoría ni mecanismo de reversión explícito (limitación registrada).</t>
        </is>
      </c>
      <c r="J81" t="inlineStr">
        <is>
          <t>https://docs.aws.amazon.com/cost-management/latest/userguide/budgets-controls.html</t>
        </is>
      </c>
      <c r="K81" t="inlineStr">
        <is>
          <t>2026-09-16</t>
        </is>
      </c>
      <c r="L81" s="2" t="inlineStr"/>
    </row>
    <row r="82">
      <c r="A82" t="inlineStr">
        <is>
          <t>E6</t>
        </is>
      </c>
      <c r="B82" t="inlineStr">
        <is>
          <t>Cloud nativa</t>
        </is>
      </c>
      <c r="C82" t="inlineStr">
        <is>
          <t>AWS Cost Explorer</t>
        </is>
      </c>
      <c r="D82" t="inlineStr">
        <is>
          <t>Multicloud</t>
        </is>
      </c>
      <c r="E82" t="inlineStr">
        <is>
          <t>M1</t>
        </is>
      </c>
      <c r="F82" s="2" t="inlineStr">
        <is>
          <t>¿Consolida al menos dos proveedores bajo el mismo esquema declarado?</t>
        </is>
      </c>
      <c r="G82" t="n">
        <v>0</v>
      </c>
      <c r="H82" t="inlineStr">
        <is>
          <t>Oficial</t>
        </is>
      </c>
      <c r="I82" s="2" t="inlineStr">
        <is>
          <t>Cost Explorer y el CUR cubren exclusivamente cuentas y facturación de AWS; no ingieren ni consolidan datos de Azure o GCP.</t>
        </is>
      </c>
      <c r="J82" t="inlineStr">
        <is>
          <t>https://docs.aws.amazon.com/cur/latest/userguide/what-is-cur.html</t>
        </is>
      </c>
      <c r="K82" t="inlineStr">
        <is>
          <t>2026-09-16</t>
        </is>
      </c>
      <c r="L82" s="2" t="inlineStr"/>
    </row>
    <row r="83">
      <c r="A83" t="inlineStr">
        <is>
          <t>E6</t>
        </is>
      </c>
      <c r="B83" t="inlineStr">
        <is>
          <t>Cloud nativa</t>
        </is>
      </c>
      <c r="C83" t="inlineStr">
        <is>
          <t>AWS Cost Explorer</t>
        </is>
      </c>
      <c r="D83" t="inlineStr">
        <is>
          <t>Multicloud</t>
        </is>
      </c>
      <c r="E83" t="inlineStr">
        <is>
          <t>M2</t>
        </is>
      </c>
      <c r="F83" s="2" t="inlineStr">
        <is>
          <t>¿Hace visibles proveedor, cobertura y diferencias semánticas?</t>
        </is>
      </c>
      <c r="G83" t="n">
        <v>0</v>
      </c>
      <c r="H83" t="inlineStr">
        <is>
          <t>Oficial</t>
        </is>
      </c>
      <c r="I83" s="2" t="inlineStr">
        <is>
          <t>Al no consolidar otros proveedores, la herramienta no expone diferencias de cobertura o semántica entre nubes.</t>
        </is>
      </c>
      <c r="J83" t="inlineStr">
        <is>
          <t>https://docs.aws.amazon.com/cur/latest/userguide/what-is-cur.html</t>
        </is>
      </c>
      <c r="K83" t="inlineStr">
        <is>
          <t>2026-09-16</t>
        </is>
      </c>
      <c r="L83" s="2" t="inlineStr"/>
    </row>
    <row r="84">
      <c r="A84" t="inlineStr">
        <is>
          <t>E6</t>
        </is>
      </c>
      <c r="B84" t="inlineStr">
        <is>
          <t>Cloud nativa</t>
        </is>
      </c>
      <c r="C84" t="inlineStr">
        <is>
          <t>AWS Cost Explorer</t>
        </is>
      </c>
      <c r="D84" t="inlineStr">
        <is>
          <t>Integracion</t>
        </is>
      </c>
      <c r="E84" t="inlineStr">
        <is>
          <t>I1</t>
        </is>
      </c>
      <c r="F84" s="2" t="inlineStr">
        <is>
          <t>¿Integra datos requeridos (facturación, uso, clúster o IaC) del escenario?</t>
        </is>
      </c>
      <c r="G84" t="n">
        <v>2</v>
      </c>
      <c r="H84" t="inlineStr">
        <is>
          <t>Oficial</t>
        </is>
      </c>
      <c r="I84" s="2" t="inlineStr">
        <is>
          <t>La ingesta de los datos que pide el escenario —computo, almacenamiento y red— esta documentada en el propio CUR, que entrega una fila por linea de facturacion con sus columnas de producto y de item, incluidos los tipos de uso de transferencia de datos.</t>
        </is>
      </c>
      <c r="J84" t="inlineStr">
        <is>
          <t>https://docs.aws.amazon.com/cur/latest/userguide/Lineitem-columns.html ; https://docs.aws.amazon.com/cur/latest/userguide/cur-data-transfers-charges.html</t>
        </is>
      </c>
      <c r="K84" t="inlineStr">
        <is>
          <t>2026-09-16</t>
        </is>
      </c>
      <c r="L84" s="2" t="inlineStr">
        <is>
          <t>Celda heredada FP-180 (2026-09-16): el valor 2 proviene de la investigacion del escenario E1 y no cuenta con evidencia propia de E6. Segun FP-177 el indicador I1 depende del escenario, por lo que pasa a NE (no evidenciado, reduce cobertura) hasta investigarlo. La evidencia y la fuente originales se conservan como referencia del escenario de origen. | Investigacion propia de E6 (2026-09-16): celda verificada contra el componente que distingue a este escenario, el costo de red y transferencia por flujo de trabajo.</t>
        </is>
      </c>
    </row>
    <row r="85">
      <c r="A85" t="inlineStr">
        <is>
          <t>E6</t>
        </is>
      </c>
      <c r="B85" t="inlineStr">
        <is>
          <t>Cloud nativa</t>
        </is>
      </c>
      <c r="C85" t="inlineStr">
        <is>
          <t>AWS Cost Explorer</t>
        </is>
      </c>
      <c r="D85" t="inlineStr">
        <is>
          <t>Integracion</t>
        </is>
      </c>
      <c r="E85" t="inlineStr">
        <is>
          <t>I2</t>
        </is>
      </c>
      <c r="F85" s="2" t="inlineStr">
        <is>
          <t>¿Se integra con el flujo de trabajo relevante (alerta, ticket, CI/CD o reporte)?</t>
        </is>
      </c>
      <c r="G85" t="n">
        <v>2</v>
      </c>
      <c r="H85" t="inlineStr">
        <is>
          <t>Oficial</t>
        </is>
      </c>
      <c r="I85" s="2" t="inlineStr">
        <is>
          <t>AWS Cost Anomaly Detection y Budgets envían alertas (p. ej., a SNS/correo) integradas a un flujo operativo de revisión.</t>
        </is>
      </c>
      <c r="J85" t="inlineStr">
        <is>
          <t>https://docs.aws.amazon.com/cost-management/latest/userguide/budgets-controls.html</t>
        </is>
      </c>
      <c r="K85" t="inlineStr">
        <is>
          <t>2026-09-16</t>
        </is>
      </c>
      <c r="L85" s="2" t="inlineStr">
        <is>
          <t>Celda heredada FP-180 (2026-09-16): el valor 2 proviene de la investigacion del escenario E1 y no cuenta con evidencia propia de E6. Segun FP-177 el indicador I2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6">
      <c r="A86" t="inlineStr">
        <is>
          <t>E6</t>
        </is>
      </c>
      <c r="B86" t="inlineStr">
        <is>
          <t>Cloud nativa</t>
        </is>
      </c>
      <c r="C86" t="inlineStr">
        <is>
          <t>AWS Cost Explorer</t>
        </is>
      </c>
      <c r="D86" t="inlineStr">
        <is>
          <t>Adopcion</t>
        </is>
      </c>
      <c r="E86" t="inlineStr">
        <is>
          <t>AD1</t>
        </is>
      </c>
      <c r="F86" s="2" t="inlineStr">
        <is>
          <t>¿Soporta acceso/entrega para los roles del escenario?</t>
        </is>
      </c>
      <c r="G86" t="n">
        <v>2</v>
      </c>
      <c r="H86" t="inlineStr">
        <is>
          <t>Oficial (control de acceso IAM; pendiente cita directa de la guía de permisos de Billing)</t>
        </is>
      </c>
      <c r="I86" s="2" t="inlineStr">
        <is>
          <t>El acceso a Cost Explorer/Budgets se controla mediante políticas de IAM por usuario/rol (control de acceso estándar de AWS Billing).</t>
        </is>
      </c>
      <c r="J86" t="inlineStr">
        <is>
          <t>https://docs.aws.amazon.com/awsaccountbilling/latest/aboutv2/cost-alloc-tags.html</t>
        </is>
      </c>
      <c r="K86" t="inlineStr">
        <is>
          <t>2026-09-16</t>
        </is>
      </c>
      <c r="L86" s="2" t="inlineStr">
        <is>
          <t>Celda heredada FP-180 (2026-09-16): el valor 2 proviene de la investigacion del escenario E1 y no cuenta con evidencia propia de E6. Segun FP-177 el indicador AD1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7">
      <c r="A87" t="inlineStr">
        <is>
          <t>E6</t>
        </is>
      </c>
      <c r="B87" t="inlineStr">
        <is>
          <t>Cloud nativa</t>
        </is>
      </c>
      <c r="C87" t="inlineStr">
        <is>
          <t>AWS Cost Explorer</t>
        </is>
      </c>
      <c r="D87" t="inlineStr">
        <is>
          <t>Adopcion</t>
        </is>
      </c>
      <c r="E87" t="inlineStr">
        <is>
          <t>AD2</t>
        </is>
      </c>
      <c r="F87" s="2" t="inlineStr">
        <is>
          <t>¿Ofrece guías, ownership o mecanismos de seguimiento para uso sostenido?</t>
        </is>
      </c>
      <c r="G87" t="n">
        <v>2</v>
      </c>
      <c r="H87" t="inlineStr">
        <is>
          <t>Oficial</t>
        </is>
      </c>
      <c r="I87" s="2" t="inlineStr">
        <is>
          <t>AWS publica guías oficiales de adopción, entre ellas el whitepaper de mejores prácticas de etiquetado y estrategia de asignación de costos.</t>
        </is>
      </c>
      <c r="J87" t="inlineStr">
        <is>
          <t>https://docs.aws.amazon.com/whitepapers/latest/tagging-best-practices/building-a-cost-allocation-strategy.html</t>
        </is>
      </c>
      <c r="K87" t="inlineStr">
        <is>
          <t>2026-09-16</t>
        </is>
      </c>
      <c r="L87"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88">
      <c r="A88" t="inlineStr">
        <is>
          <t>E6</t>
        </is>
      </c>
      <c r="B88" t="inlineStr">
        <is>
          <t>Cloud nativa</t>
        </is>
      </c>
      <c r="C88" t="inlineStr">
        <is>
          <t>AWS Cost Explorer</t>
        </is>
      </c>
      <c r="D88" t="inlineStr">
        <is>
          <t>Precio</t>
        </is>
      </c>
      <c r="E88" t="inlineStr">
        <is>
          <t>P1</t>
        </is>
      </c>
      <c r="F88" s="2" t="inlineStr">
        <is>
          <t>¿Expone precio, moneda, región, unidad, período y supuestos relevantes?</t>
        </is>
      </c>
      <c r="G88" t="n">
        <v>2</v>
      </c>
      <c r="H88" t="inlineStr">
        <is>
          <t>Oficial</t>
        </is>
      </c>
      <c r="I88" s="2" t="inlineStr">
        <is>
          <t>El CUR y los Data Exports FOCUS 1.0/1.2 exponen moneda, período, servicio y columnas estandarizadas de costo (ListCost, ContractedCost, BilledCost, EffectiveCost).</t>
        </is>
      </c>
      <c r="J88" t="inlineStr">
        <is>
          <t>https://aws.amazon.com/about-aws/whats-new/2024/11/aws-billing-cost-management-data-exports-focus-1-0</t>
        </is>
      </c>
      <c r="K88" t="inlineStr">
        <is>
          <t>2026-09-16</t>
        </is>
      </c>
      <c r="L88" s="2" t="inlineStr"/>
    </row>
    <row r="89">
      <c r="A89" t="inlineStr">
        <is>
          <t>E6</t>
        </is>
      </c>
      <c r="B89" t="inlineStr">
        <is>
          <t>Cloud nativa</t>
        </is>
      </c>
      <c r="C89" t="inlineStr">
        <is>
          <t>AWS Cost Explorer</t>
        </is>
      </c>
      <c r="D89" t="inlineStr">
        <is>
          <t>Precio</t>
        </is>
      </c>
      <c r="E89" t="inlineStr">
        <is>
          <t>P2</t>
        </is>
      </c>
      <c r="F89" s="2" t="inlineStr">
        <is>
          <t>¿Permite estimar o comparar componentes sin ocultar límites de equivalencia?</t>
        </is>
      </c>
      <c r="G89" t="n">
        <v>1</v>
      </c>
      <c r="H89" t="inlineStr">
        <is>
          <t>Oficial (pendiente cita directa de la página de forecast)</t>
        </is>
      </c>
      <c r="I89" s="2" t="inlineStr">
        <is>
          <t>Cost Explorer ofrece pronóstico de costo futuro basado en tendencia histórica; no es una calculadora de estimación de componentes antes del despliegue (esa función es de AWS Pricing Calculator, evaluada aparte).</t>
        </is>
      </c>
      <c r="J89" t="inlineStr">
        <is>
          <t>https://docs.aws.amazon.com/cost-management/latest/userguide/ce-what-is.html</t>
        </is>
      </c>
      <c r="K89" t="inlineStr">
        <is>
          <t>2026-09-16</t>
        </is>
      </c>
      <c r="L89" s="2" t="inlineStr">
        <is>
          <t>Celda heredada FP-180 (2026-09-16): el valor 1 proviene de la investigacion del escenario E1 y no cuenta con evidencia propia de E6. Segun FP-177 el indicador P2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90">
      <c r="A90" t="inlineStr">
        <is>
          <t>E6</t>
        </is>
      </c>
      <c r="B90" t="inlineStr">
        <is>
          <t>Cloud nativa</t>
        </is>
      </c>
      <c r="C90" t="inlineStr">
        <is>
          <t>AWS Cost Explorer</t>
        </is>
      </c>
      <c r="D90" t="inlineStr">
        <is>
          <t>Dependencia</t>
        </is>
      </c>
      <c r="E90" t="inlineStr">
        <is>
          <t>D1</t>
        </is>
      </c>
      <c r="F90" s="2" t="inlineStr">
        <is>
          <t>¿Exporta datos/resultados en formato utilizable y documentado?</t>
        </is>
      </c>
      <c r="G90" t="n">
        <v>2</v>
      </c>
      <c r="H90" t="inlineStr">
        <is>
          <t>Oficial</t>
        </is>
      </c>
      <c r="I90" s="2" t="inlineStr">
        <is>
          <t>El CUR exporta a S3 en CSV/Parquet y, desde 2024-2025, también en el estándar abierto FOCUS 1.0/1.2.</t>
        </is>
      </c>
      <c r="J90" t="inlineStr">
        <is>
          <t>https://aws.amazon.com/about-aws/whats-new/2024/11/aws-billing-cost-management-data-exports-focus-1-0</t>
        </is>
      </c>
      <c r="K90" t="inlineStr">
        <is>
          <t>2026-09-16</t>
        </is>
      </c>
      <c r="L90" s="2" t="inlineStr"/>
    </row>
    <row r="91">
      <c r="A91" t="inlineStr">
        <is>
          <t>E6</t>
        </is>
      </c>
      <c r="B91" t="inlineStr">
        <is>
          <t>Cloud nativa</t>
        </is>
      </c>
      <c r="C91" t="inlineStr">
        <is>
          <t>AWS Cost Explorer</t>
        </is>
      </c>
      <c r="D91" t="inlineStr">
        <is>
          <t>Dependencia</t>
        </is>
      </c>
      <c r="E91" t="inlineStr">
        <is>
          <t>D2</t>
        </is>
      </c>
      <c r="F91" s="2" t="inlineStr">
        <is>
          <t>¿Documenta dependencias propietarias y un camino de salida/configuración reversible?</t>
        </is>
      </c>
      <c r="G91" t="n">
        <v>1</v>
      </c>
      <c r="H91" t="inlineStr">
        <is>
          <t>Oficial</t>
        </is>
      </c>
      <c r="I91" s="2" t="inlineStr">
        <is>
          <t>No se encontró documentación específica de un "camino de salida" dedicado. El riesgo de dependencia es menor porque los datos son exportables en formato estándar (FOCUS) y el servicio no tiene costo propio, pero no hay guía de reversibilidad dedicada (limitación registrada).</t>
        </is>
      </c>
      <c r="J91" t="inlineStr">
        <is>
          <t>https://aws.amazon.com/about-aws/whats-new/2024/11/aws-billing-cost-management-data-exports-focus-1-0</t>
        </is>
      </c>
      <c r="K91" t="inlineStr">
        <is>
          <t>2026-09-16</t>
        </is>
      </c>
      <c r="L91" s="2" t="inlineStr"/>
    </row>
    <row r="92">
      <c r="A92" t="inlineStr">
        <is>
          <t>E1</t>
        </is>
      </c>
      <c r="B92" t="inlineStr">
        <is>
          <t>Cloud nativa</t>
        </is>
      </c>
      <c r="C92" t="inlineStr">
        <is>
          <t>AWS Cost Optimization Hub</t>
        </is>
      </c>
      <c r="D92" t="inlineStr">
        <is>
          <t>Visibilidad</t>
        </is>
      </c>
      <c r="E92" t="inlineStr">
        <is>
          <t>V1</t>
        </is>
      </c>
      <c r="F92" s="2" t="inlineStr">
        <is>
          <t>¿Desagrega costo y uso por cuenta/proyecto, servicio y período?</t>
        </is>
      </c>
      <c r="G92" t="n">
        <v>0</v>
      </c>
      <c r="H92" t="inlineStr">
        <is>
          <t>Oficial (ausencia verificada)</t>
        </is>
      </c>
      <c r="I92" s="2" t="inlineStr">
        <is>
          <t>Cost Optimization Hub no ofrece un desglose general de costo/uso por cuenta-servicio-período; su función documentada es consolidar y priorizar recomendaciones, no la visibilidad general de gasto (esa función corresponde a Cost Explorer).</t>
        </is>
      </c>
      <c r="J92" t="inlineStr">
        <is>
          <t>https://docs.aws.amazon.com/cost-management/latest/userguide/cost-optimization-hub.html</t>
        </is>
      </c>
      <c r="K92" t="inlineStr">
        <is>
          <t>2026-09-16</t>
        </is>
      </c>
      <c r="L9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3">
      <c r="A93" t="inlineStr">
        <is>
          <t>E1</t>
        </is>
      </c>
      <c r="B93" t="inlineStr">
        <is>
          <t>Cloud nativa</t>
        </is>
      </c>
      <c r="C93" t="inlineStr">
        <is>
          <t>AWS Cost Optimization Hub</t>
        </is>
      </c>
      <c r="D93" t="inlineStr">
        <is>
          <t>Visibilidad</t>
        </is>
      </c>
      <c r="E93" t="inlineStr">
        <is>
          <t>V2</t>
        </is>
      </c>
      <c r="F93" s="2" t="inlineStr">
        <is>
          <t>¿Permite rastrear un total hasta registros o fuente de facturación?</t>
        </is>
      </c>
      <c r="G93" t="n">
        <v>0</v>
      </c>
      <c r="H93" t="inlineStr">
        <is>
          <t>Oficial (ausencia verificada)</t>
        </is>
      </c>
      <c r="I93" s="2" t="inlineStr">
        <is>
          <t>Mismo alcance de diseño que V1: no es una herramienta de trazabilidad de gasto.</t>
        </is>
      </c>
      <c r="J93" t="inlineStr">
        <is>
          <t>https://docs.aws.amazon.com/cost-management/latest/userguide/cost-optimization-hub.html</t>
        </is>
      </c>
      <c r="K93" t="inlineStr">
        <is>
          <t>2026-09-16</t>
        </is>
      </c>
      <c r="L9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4">
      <c r="A94" t="inlineStr">
        <is>
          <t>E1</t>
        </is>
      </c>
      <c r="B94" t="inlineStr">
        <is>
          <t>Cloud nativa</t>
        </is>
      </c>
      <c r="C94" t="inlineStr">
        <is>
          <t>AWS Cost Optimization Hub</t>
        </is>
      </c>
      <c r="D94" t="inlineStr">
        <is>
          <t>Asignacion</t>
        </is>
      </c>
      <c r="E94" t="inlineStr">
        <is>
          <t>A1</t>
        </is>
      </c>
      <c r="F94" s="2" t="inlineStr">
        <is>
          <t>¿Calcula gasto asignado/no asignado por responsable, centro o entidad?</t>
        </is>
      </c>
      <c r="G94" t="n">
        <v>0</v>
      </c>
      <c r="H94" t="inlineStr">
        <is>
          <t>Oficial (ausencia verificada)</t>
        </is>
      </c>
      <c r="I94" s="2" t="inlineStr">
        <is>
          <t>No calcula asignación de gasto por responsable/centro de costo; opera sobre recomendaciones de optimización, no sobre asignación.</t>
        </is>
      </c>
      <c r="J94" t="inlineStr">
        <is>
          <t>https://docs.aws.amazon.com/cost-management/latest/userguide/cost-optimization-hub.html</t>
        </is>
      </c>
      <c r="K94" t="inlineStr">
        <is>
          <t>2026-09-16</t>
        </is>
      </c>
      <c r="L9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5">
      <c r="A95" t="inlineStr">
        <is>
          <t>E1</t>
        </is>
      </c>
      <c r="B95" t="inlineStr">
        <is>
          <t>Cloud nativa</t>
        </is>
      </c>
      <c r="C95" t="inlineStr">
        <is>
          <t>AWS Cost Optimization Hub</t>
        </is>
      </c>
      <c r="D95" t="inlineStr">
        <is>
          <t>Asignacion</t>
        </is>
      </c>
      <c r="E95" t="inlineStr">
        <is>
          <t>A2</t>
        </is>
      </c>
      <c r="F95" s="2" t="inlineStr">
        <is>
          <t>¿Explicita y aplica reglas para costo compartido/multi-tenant?</t>
        </is>
      </c>
      <c r="G95" t="n">
        <v>0</v>
      </c>
      <c r="H95" t="inlineStr">
        <is>
          <t>Oficial (ausencia verificada)</t>
        </is>
      </c>
      <c r="I95" s="2" t="inlineStr">
        <is>
          <t>No define reglas de reparto de costo compartido.</t>
        </is>
      </c>
      <c r="J95" t="inlineStr">
        <is>
          <t>https://docs.aws.amazon.com/cost-management/latest/userguide/cost-optimization-hub.html</t>
        </is>
      </c>
      <c r="K95" t="inlineStr">
        <is>
          <t>2026-09-16</t>
        </is>
      </c>
      <c r="L9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6">
      <c r="A96" t="inlineStr">
        <is>
          <t>E1</t>
        </is>
      </c>
      <c r="B96" t="inlineStr">
        <is>
          <t>Cloud nativa</t>
        </is>
      </c>
      <c r="C96" t="inlineStr">
        <is>
          <t>AWS Cost Optimization Hub</t>
        </is>
      </c>
      <c r="D96" t="inlineStr">
        <is>
          <t>Optimizacion</t>
        </is>
      </c>
      <c r="E96" t="inlineStr">
        <is>
          <t>O1</t>
        </is>
      </c>
      <c r="F96" s="2" t="inlineStr">
        <is>
          <t>¿Detecta desperdicio, rightsizing o compromiso relevante al escenario?</t>
        </is>
      </c>
      <c r="G96" t="n">
        <v>2</v>
      </c>
      <c r="H96" t="inlineStr">
        <is>
          <t>Oficial</t>
        </is>
      </c>
      <c r="I96" s="2" t="inlineStr">
        <is>
          <t>"It makes recommendations on resource rightsizing, idle resource deletion, Savings Plans, and Reserved Instances" y permite "filtering, sorting, and grouping" para priorizar oportunidades.</t>
        </is>
      </c>
      <c r="J96" t="inlineStr">
        <is>
          <t>https://docs.aws.amazon.com/cost-management/latest/userguide/cost-optimization-hub.html</t>
        </is>
      </c>
      <c r="K96" t="inlineStr">
        <is>
          <t>2026-09-16</t>
        </is>
      </c>
      <c r="L96" s="2" t="inlineStr"/>
    </row>
    <row r="97">
      <c r="A97" t="inlineStr">
        <is>
          <t>E1</t>
        </is>
      </c>
      <c r="B97" t="inlineStr">
        <is>
          <t>Cloud nativa</t>
        </is>
      </c>
      <c r="C97" t="inlineStr">
        <is>
          <t>AWS Cost Optimization Hub</t>
        </is>
      </c>
      <c r="D97" t="inlineStr">
        <is>
          <t>Optimizacion</t>
        </is>
      </c>
      <c r="E97" t="inlineStr">
        <is>
          <t>O2</t>
        </is>
      </c>
      <c r="F97" s="2" t="inlineStr">
        <is>
          <t>¿Explica supuesto/impacto y permite seguir una recomendación?</t>
        </is>
      </c>
      <c r="G97" t="n">
        <v>2</v>
      </c>
      <c r="H97" t="inlineStr">
        <is>
          <t>Oficial</t>
        </is>
      </c>
      <c r="I97" s="2" t="inlineStr">
        <is>
          <t>"Quantify estimated savings that incorporate your AWS pricing and discounts" y "track progress to maximize your return on cloud investments", con posibilidad de fijar objetivos de ahorro.</t>
        </is>
      </c>
      <c r="J97" t="inlineStr">
        <is>
          <t>https://docs.aws.amazon.com/cost-management/latest/userguide/cost-optimization-hub.html</t>
        </is>
      </c>
      <c r="K97" t="inlineStr">
        <is>
          <t>2026-09-16</t>
        </is>
      </c>
      <c r="L97" s="2" t="inlineStr"/>
    </row>
    <row r="98">
      <c r="A98" t="inlineStr">
        <is>
          <t>E1</t>
        </is>
      </c>
      <c r="B98" t="inlineStr">
        <is>
          <t>Cloud nativa</t>
        </is>
      </c>
      <c r="C98" t="inlineStr">
        <is>
          <t>AWS Cost Optimization Hub</t>
        </is>
      </c>
      <c r="D98" t="inlineStr">
        <is>
          <t>Automatizacion</t>
        </is>
      </c>
      <c r="E98" t="inlineStr">
        <is>
          <t>AU1</t>
        </is>
      </c>
      <c r="F98" s="2" t="inlineStr">
        <is>
          <t>¿Ejecuta o bloquea acciones/políticas de costo con control verificable?</t>
        </is>
      </c>
      <c r="G98" t="n">
        <v>0</v>
      </c>
      <c r="H98" t="inlineStr">
        <is>
          <t>Oficial (ausencia verificada)</t>
        </is>
      </c>
      <c r="I98" s="2" t="inlineStr">
        <is>
          <t>Cost Optimization Hub recomienda pero no ejecuta acciones; la ejecución/control automatizado corresponde a AWS Budgets (evaluado dentro de Cost Explorer en este trabajo).</t>
        </is>
      </c>
      <c r="J98" t="inlineStr">
        <is>
          <t>https://docs.aws.amazon.com/cost-management/latest/userguide/cost-optimization-hub.html</t>
        </is>
      </c>
      <c r="K98" t="inlineStr">
        <is>
          <t>2026-09-16</t>
        </is>
      </c>
      <c r="L9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9">
      <c r="A99" t="inlineStr">
        <is>
          <t>E1</t>
        </is>
      </c>
      <c r="B99" t="inlineStr">
        <is>
          <t>Cloud nativa</t>
        </is>
      </c>
      <c r="C99" t="inlineStr">
        <is>
          <t>AWS Cost Optimization Hub</t>
        </is>
      </c>
      <c r="D99" t="inlineStr">
        <is>
          <t>Automatizacion</t>
        </is>
      </c>
      <c r="E99" t="inlineStr">
        <is>
          <t>AU2</t>
        </is>
      </c>
      <c r="F99" s="2" t="inlineStr">
        <is>
          <t>¿Ofrece aprobación, reversión, registro o límites antes de actuar?</t>
        </is>
      </c>
      <c r="G99" t="inlineStr">
        <is>
          <t>NA</t>
        </is>
      </c>
      <c r="H99" t="inlineStr">
        <is>
          <t>Justificación de alcance</t>
        </is>
      </c>
      <c r="I99" s="2" t="inlineStr">
        <is>
          <t>Mismo alcance de diseño que AU1: no ejecuta, por lo que no aplica evaluar salvaguardas de ejecución.</t>
        </is>
      </c>
      <c r="J99" t="inlineStr">
        <is>
          <t>https://docs.aws.amazon.com/cost-management/latest/userguide/cost-optimization-hub.html</t>
        </is>
      </c>
      <c r="K99" t="inlineStr">
        <is>
          <t>2026-09-16</t>
        </is>
      </c>
      <c r="L99" s="2" t="inlineStr"/>
    </row>
    <row r="100">
      <c r="A100" t="inlineStr">
        <is>
          <t>E1</t>
        </is>
      </c>
      <c r="B100" t="inlineStr">
        <is>
          <t>Cloud nativa</t>
        </is>
      </c>
      <c r="C100" t="inlineStr">
        <is>
          <t>AWS Cost Optimization Hub</t>
        </is>
      </c>
      <c r="D100" t="inlineStr">
        <is>
          <t>Multicloud</t>
        </is>
      </c>
      <c r="E100" t="inlineStr">
        <is>
          <t>M1</t>
        </is>
      </c>
      <c r="F100" s="2" t="inlineStr">
        <is>
          <t>¿Consolida al menos dos proveedores bajo el mismo esquema declarado?</t>
        </is>
      </c>
      <c r="G100" t="n">
        <v>0</v>
      </c>
      <c r="H100" t="inlineStr">
        <is>
          <t>Oficial (ausencia verificada)</t>
        </is>
      </c>
      <c r="I100" s="2" t="inlineStr">
        <is>
          <t>Cubre exclusivamente cuentas de AWS; no está diseñada para consolidar Azure/GCP.</t>
        </is>
      </c>
      <c r="J100" t="inlineStr">
        <is>
          <t>https://docs.aws.amazon.com/cost-management/latest/userguide/cost-optimization-hub.html</t>
        </is>
      </c>
      <c r="K100" t="inlineStr">
        <is>
          <t>2026-09-16</t>
        </is>
      </c>
      <c r="L10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1">
      <c r="A101" t="inlineStr">
        <is>
          <t>E1</t>
        </is>
      </c>
      <c r="B101" t="inlineStr">
        <is>
          <t>Cloud nativa</t>
        </is>
      </c>
      <c r="C101" t="inlineStr">
        <is>
          <t>AWS Cost Optimization Hub</t>
        </is>
      </c>
      <c r="D101" t="inlineStr">
        <is>
          <t>Multicloud</t>
        </is>
      </c>
      <c r="E101" t="inlineStr">
        <is>
          <t>M2</t>
        </is>
      </c>
      <c r="F101" s="2" t="inlineStr">
        <is>
          <t>¿Hace visibles proveedor, cobertura y diferencias semánticas?</t>
        </is>
      </c>
      <c r="G101" t="n">
        <v>0</v>
      </c>
      <c r="H101" t="inlineStr">
        <is>
          <t>Oficial (ausencia verificada)</t>
        </is>
      </c>
      <c r="I101" s="2" t="inlineStr">
        <is>
          <t>Mismo alcance de diseño que M1.</t>
        </is>
      </c>
      <c r="J101" t="inlineStr">
        <is>
          <t>https://docs.aws.amazon.com/cost-management/latest/userguide/cost-optimization-hub.html</t>
        </is>
      </c>
      <c r="K101" t="inlineStr">
        <is>
          <t>2026-09-16</t>
        </is>
      </c>
      <c r="L10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2">
      <c r="A102" t="inlineStr">
        <is>
          <t>E1</t>
        </is>
      </c>
      <c r="B102" t="inlineStr">
        <is>
          <t>Cloud nativa</t>
        </is>
      </c>
      <c r="C102" t="inlineStr">
        <is>
          <t>AWS Cost Optimization Hub</t>
        </is>
      </c>
      <c r="D102" t="inlineStr">
        <is>
          <t>Integracion</t>
        </is>
      </c>
      <c r="E102" t="inlineStr">
        <is>
          <t>I1</t>
        </is>
      </c>
      <c r="F102" s="2" t="inlineStr">
        <is>
          <t>¿Integra datos requeridos (facturación, uso, clúster o IaC) del escenario?</t>
        </is>
      </c>
      <c r="G102" t="n">
        <v>2</v>
      </c>
      <c r="H102" t="inlineStr">
        <is>
          <t>Oficial</t>
        </is>
      </c>
      <c r="I102" s="2" t="inlineStr">
        <is>
          <t>Consolida datos de recomendaciones desde los servicios soportados de AWS (EC2, RDS, Auto Scaling, etc.) y "accounts for your specific commercial terms with AWS, such as Reserved Instances and Savings Plans".</t>
        </is>
      </c>
      <c r="J102" t="inlineStr">
        <is>
          <t>https://docs.aws.amazon.com/cost-management/latest/userguide/cost-optimization-hub.html</t>
        </is>
      </c>
      <c r="K102" t="inlineStr">
        <is>
          <t>2026-09-16</t>
        </is>
      </c>
      <c r="L102" s="2" t="inlineStr"/>
    </row>
    <row r="103">
      <c r="A103" t="inlineStr">
        <is>
          <t>E1</t>
        </is>
      </c>
      <c r="B103" t="inlineStr">
        <is>
          <t>Cloud nativa</t>
        </is>
      </c>
      <c r="C103" t="inlineStr">
        <is>
          <t>AWS Cost Optimization Hub</t>
        </is>
      </c>
      <c r="D103" t="inlineStr">
        <is>
          <t>Integracion</t>
        </is>
      </c>
      <c r="E103" t="inlineStr">
        <is>
          <t>I2</t>
        </is>
      </c>
      <c r="F103" s="2" t="inlineStr">
        <is>
          <t>¿Se integra con el flujo de trabajo relevante (alerta, ticket, CI/CD o reporte)?</t>
        </is>
      </c>
      <c r="G103" t="n">
        <v>2</v>
      </c>
      <c r="H103" t="inlineStr">
        <is>
          <t>Oficial</t>
        </is>
      </c>
      <c r="I103" s="2" t="inlineStr">
        <is>
          <t>Las recomendaciones se reportan también en las consolas de los servicios soportados (p. ej., consola de Amazon EC2), integrándose al flujo operativo del equipo.</t>
        </is>
      </c>
      <c r="J103" t="inlineStr">
        <is>
          <t>https://docs.aws.amazon.com/cost-management/latest/userguide/cost-optimization-hub.html</t>
        </is>
      </c>
      <c r="K103" t="inlineStr">
        <is>
          <t>2026-09-16</t>
        </is>
      </c>
      <c r="L103" s="2" t="inlineStr"/>
    </row>
    <row r="104">
      <c r="A104" t="inlineStr">
        <is>
          <t>E1</t>
        </is>
      </c>
      <c r="B104" t="inlineStr">
        <is>
          <t>Cloud nativa</t>
        </is>
      </c>
      <c r="C104" t="inlineStr">
        <is>
          <t>AWS Cost Optimization Hub</t>
        </is>
      </c>
      <c r="D104" t="inlineStr">
        <is>
          <t>Adopcion</t>
        </is>
      </c>
      <c r="E104" t="inlineStr">
        <is>
          <t>AD1</t>
        </is>
      </c>
      <c r="F104" s="2" t="inlineStr">
        <is>
          <t>¿Soporta acceso/entrega para los roles del escenario?</t>
        </is>
      </c>
      <c r="G104" t="n">
        <v>2</v>
      </c>
      <c r="H104" t="inlineStr">
        <is>
          <t>Oficial (control de acceso IAM estándar; pendiente cita directa)</t>
        </is>
      </c>
      <c r="I104" s="2" t="inlineStr">
        <is>
          <t>El acceso se controla mediante IAM, igual que el resto de la consola de AWS Billing and Cost Management.</t>
        </is>
      </c>
      <c r="J104" t="inlineStr">
        <is>
          <t>https://docs.aws.amazon.com/cost-management/latest/userguide/cost-optimization-hub.html</t>
        </is>
      </c>
      <c r="K104" t="inlineStr">
        <is>
          <t>2026-09-16</t>
        </is>
      </c>
      <c r="L104" s="2" t="inlineStr"/>
    </row>
    <row r="105">
      <c r="A105" t="inlineStr">
        <is>
          <t>E1</t>
        </is>
      </c>
      <c r="B105" t="inlineStr">
        <is>
          <t>Cloud nativa</t>
        </is>
      </c>
      <c r="C105" t="inlineStr">
        <is>
          <t>AWS Cost Optimization Hub</t>
        </is>
      </c>
      <c r="D105" t="inlineStr">
        <is>
          <t>Adopcion</t>
        </is>
      </c>
      <c r="E105" t="inlineStr">
        <is>
          <t>AD2</t>
        </is>
      </c>
      <c r="F105" s="2" t="inlineStr">
        <is>
          <t>¿Ofrece guías, ownership o mecanismos de seguimiento para uso sostenido?</t>
        </is>
      </c>
      <c r="G105" t="inlineStr">
        <is>
          <t>NE</t>
        </is>
      </c>
      <c r="H105" t="inlineStr">
        <is>
          <t>Pendiente</t>
        </is>
      </c>
      <c r="I105" s="2" t="inlineStr">
        <is>
          <t>No se identificó una guía de gobernanza/adopción propia y separada de la de Cost Explorer para esta función específica (simplificación de alcance registrada).</t>
        </is>
      </c>
      <c r="J105" t="inlineStr">
        <is>
          <t>https://docs.aws.amazon.com/cost-management/latest/userguide/cost-optimization-hub.html</t>
        </is>
      </c>
      <c r="K105" t="inlineStr">
        <is>
          <t>2026-09-16</t>
        </is>
      </c>
      <c r="L105"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6">
      <c r="A106" t="inlineStr">
        <is>
          <t>E1</t>
        </is>
      </c>
      <c r="B106" t="inlineStr">
        <is>
          <t>Cloud nativa</t>
        </is>
      </c>
      <c r="C106" t="inlineStr">
        <is>
          <t>AWS Cost Optimization Hub</t>
        </is>
      </c>
      <c r="D106" t="inlineStr">
        <is>
          <t>Precio</t>
        </is>
      </c>
      <c r="E106" t="inlineStr">
        <is>
          <t>P1</t>
        </is>
      </c>
      <c r="F106" s="2" t="inlineStr">
        <is>
          <t>¿Expone precio, moneda, región, unidad, período y supuestos relevantes?</t>
        </is>
      </c>
      <c r="G106" t="n">
        <v>0</v>
      </c>
      <c r="H106" t="inlineStr">
        <is>
          <t>Oficial (ausencia verificada)</t>
        </is>
      </c>
      <c r="I106" s="2" t="inlineStr">
        <is>
          <t>No expone precio/moneda/región de forma general; sus cifras son de ahorro estimado sobre recomendaciones puntuales, no transparencia de precio del servicio.</t>
        </is>
      </c>
      <c r="J106" t="inlineStr">
        <is>
          <t>https://docs.aws.amazon.com/cost-management/latest/userguide/cost-optimization-hub.html</t>
        </is>
      </c>
      <c r="K106" t="inlineStr">
        <is>
          <t>2026-09-16</t>
        </is>
      </c>
      <c r="L10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7">
      <c r="A107" t="inlineStr">
        <is>
          <t>E1</t>
        </is>
      </c>
      <c r="B107" t="inlineStr">
        <is>
          <t>Cloud nativa</t>
        </is>
      </c>
      <c r="C107" t="inlineStr">
        <is>
          <t>AWS Cost Optimization Hub</t>
        </is>
      </c>
      <c r="D107" t="inlineStr">
        <is>
          <t>Precio</t>
        </is>
      </c>
      <c r="E107" t="inlineStr">
        <is>
          <t>P2</t>
        </is>
      </c>
      <c r="F107" s="2" t="inlineStr">
        <is>
          <t>¿Permite estimar o comparar componentes sin ocultar límites de equivalencia?</t>
        </is>
      </c>
      <c r="G107" t="n">
        <v>0</v>
      </c>
      <c r="H107" t="inlineStr">
        <is>
          <t>Oficial (ausencia verificada)</t>
        </is>
      </c>
      <c r="I107" s="2" t="inlineStr">
        <is>
          <t>No es una herramienta de comparación/estimación de precio contextual (esa función es de AWS Pricing Calculator, evaluada aparte).</t>
        </is>
      </c>
      <c r="J107" t="inlineStr">
        <is>
          <t>https://docs.aws.amazon.com/cost-management/latest/userguide/cost-optimization-hub.html</t>
        </is>
      </c>
      <c r="K107" t="inlineStr">
        <is>
          <t>2026-09-16</t>
        </is>
      </c>
      <c r="L10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8">
      <c r="A108" t="inlineStr">
        <is>
          <t>E1</t>
        </is>
      </c>
      <c r="B108" t="inlineStr">
        <is>
          <t>Cloud nativa</t>
        </is>
      </c>
      <c r="C108" t="inlineStr">
        <is>
          <t>AWS Cost Optimization Hub</t>
        </is>
      </c>
      <c r="D108" t="inlineStr">
        <is>
          <t>Dependencia</t>
        </is>
      </c>
      <c r="E108" t="inlineStr">
        <is>
          <t>D1</t>
        </is>
      </c>
      <c r="F108" s="2" t="inlineStr">
        <is>
          <t>¿Exporta datos/resultados en formato utilizable y documentado?</t>
        </is>
      </c>
      <c r="G108" t="inlineStr">
        <is>
          <t>NE</t>
        </is>
      </c>
      <c r="H108" t="inlineStr">
        <is>
          <t>Pendiente</t>
        </is>
      </c>
      <c r="I108" s="2" t="inlineStr">
        <is>
          <t>No es la fuente primaria de exportación de datos de costo/uso (esa función es del CUR, evaluada dentro de Cost Explorer); simplificación de alcance para evitar doble conteo.</t>
        </is>
      </c>
      <c r="J108" t="inlineStr">
        <is>
          <t>https://docs.aws.amazon.com/cost-management/latest/userguide/cost-optimization-hub.html</t>
        </is>
      </c>
      <c r="K108" t="inlineStr">
        <is>
          <t>2026-09-16</t>
        </is>
      </c>
      <c r="L108"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09">
      <c r="A109" t="inlineStr">
        <is>
          <t>E1</t>
        </is>
      </c>
      <c r="B109" t="inlineStr">
        <is>
          <t>Cloud nativa</t>
        </is>
      </c>
      <c r="C109" t="inlineStr">
        <is>
          <t>AWS Cost Optimization Hub</t>
        </is>
      </c>
      <c r="D109" t="inlineStr">
        <is>
          <t>Dependencia</t>
        </is>
      </c>
      <c r="E109" t="inlineStr">
        <is>
          <t>D2</t>
        </is>
      </c>
      <c r="F109" s="2" t="inlineStr">
        <is>
          <t>¿Documenta dependencias propietarias y un camino de salida/configuración reversible?</t>
        </is>
      </c>
      <c r="G109" t="inlineStr">
        <is>
          <t>NE</t>
        </is>
      </c>
      <c r="H109" t="inlineStr">
        <is>
          <t>Pendiente</t>
        </is>
      </c>
      <c r="I109" s="2" t="inlineStr">
        <is>
          <t>Mismo alcance de diseño que D1.</t>
        </is>
      </c>
      <c r="J109" t="inlineStr">
        <is>
          <t>https://docs.aws.amazon.com/cost-management/latest/userguide/cost-optimization-hub.html</t>
        </is>
      </c>
      <c r="K109" t="inlineStr">
        <is>
          <t>2026-09-16</t>
        </is>
      </c>
      <c r="L109"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10">
      <c r="A110" t="inlineStr">
        <is>
          <t>E2</t>
        </is>
      </c>
      <c r="B110" t="inlineStr">
        <is>
          <t>Cloud nativa</t>
        </is>
      </c>
      <c r="C110" t="inlineStr">
        <is>
          <t>AWS Cost Optimization Hub</t>
        </is>
      </c>
      <c r="D110" t="inlineStr">
        <is>
          <t>Visibilidad</t>
        </is>
      </c>
      <c r="E110" t="inlineStr">
        <is>
          <t>V1</t>
        </is>
      </c>
      <c r="F110" s="2" t="inlineStr">
        <is>
          <t>¿Desagrega costo y uso por cuenta/proyecto, servicio y período?</t>
        </is>
      </c>
      <c r="G110" t="inlineStr">
        <is>
          <t>NE</t>
        </is>
      </c>
      <c r="H110" t="inlineStr">
        <is>
          <t>Pendiente</t>
        </is>
      </c>
      <c r="I110" s="2" t="inlineStr">
        <is>
          <t>Cost Optimization Hub no ofrece un desglose general de costo/uso por cuenta-servicio-período; su función documentada es consolidar y priorizar recomendaciones, no la visibilidad general de gasto (esa función corresponde a Cost Explorer).</t>
        </is>
      </c>
      <c r="J110" t="inlineStr">
        <is>
          <t>https://docs.aws.amazon.com/cost-management/latest/userguide/cost-optimization-hub.html</t>
        </is>
      </c>
      <c r="K110" t="inlineStr">
        <is>
          <t>2026-09-16</t>
        </is>
      </c>
      <c r="L11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V1 depende del escenario, por lo que pasa a NE (no evidenciado, reduce cobertura) hasta investigarlo. La evidencia y la fuente originales se conservan como referencia del escenario de origen.</t>
        </is>
      </c>
    </row>
    <row r="111">
      <c r="A111" t="inlineStr">
        <is>
          <t>E2</t>
        </is>
      </c>
      <c r="B111" t="inlineStr">
        <is>
          <t>Cloud nativa</t>
        </is>
      </c>
      <c r="C111" t="inlineStr">
        <is>
          <t>AWS Cost Optimization Hub</t>
        </is>
      </c>
      <c r="D111" t="inlineStr">
        <is>
          <t>Visibilidad</t>
        </is>
      </c>
      <c r="E111" t="inlineStr">
        <is>
          <t>V2</t>
        </is>
      </c>
      <c r="F111" s="2" t="inlineStr">
        <is>
          <t>¿Permite rastrear un total hasta registros o fuente de facturación?</t>
        </is>
      </c>
      <c r="G111" t="n">
        <v>0</v>
      </c>
      <c r="H111" t="inlineStr">
        <is>
          <t>Oficial (ausencia verificada)</t>
        </is>
      </c>
      <c r="I111" s="2" t="inlineStr">
        <is>
          <t>Mismo alcance de diseño que V1: no es una herramienta de trazabilidad de gasto.</t>
        </is>
      </c>
      <c r="J111" t="inlineStr">
        <is>
          <t>https://docs.aws.amazon.com/cost-management/latest/userguide/cost-optimization-hub.html</t>
        </is>
      </c>
      <c r="K111" t="inlineStr">
        <is>
          <t>2026-09-16</t>
        </is>
      </c>
      <c r="L11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12">
      <c r="A112" t="inlineStr">
        <is>
          <t>E2</t>
        </is>
      </c>
      <c r="B112" t="inlineStr">
        <is>
          <t>Cloud nativa</t>
        </is>
      </c>
      <c r="C112" t="inlineStr">
        <is>
          <t>AWS Cost Optimization Hub</t>
        </is>
      </c>
      <c r="D112" t="inlineStr">
        <is>
          <t>Asignacion</t>
        </is>
      </c>
      <c r="E112" t="inlineStr">
        <is>
          <t>A1</t>
        </is>
      </c>
      <c r="F112" s="2" t="inlineStr">
        <is>
          <t>¿Calcula gasto asignado/no asignado por responsable, centro o entidad?</t>
        </is>
      </c>
      <c r="G112" t="inlineStr">
        <is>
          <t>NE</t>
        </is>
      </c>
      <c r="H112" t="inlineStr">
        <is>
          <t>Pendiente</t>
        </is>
      </c>
      <c r="I112" s="2" t="inlineStr">
        <is>
          <t>No calcula asignación de gasto por responsable/centro de costo; opera sobre recomendaciones de optimización, no sobre asignación.</t>
        </is>
      </c>
      <c r="J112" t="inlineStr">
        <is>
          <t>https://docs.aws.amazon.com/cost-management/latest/userguide/cost-optimization-hub.html</t>
        </is>
      </c>
      <c r="K112" t="inlineStr">
        <is>
          <t>2026-09-16</t>
        </is>
      </c>
      <c r="L11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A1 depende del escenario, por lo que pasa a NE (no evidenciado, reduce cobertura) hasta investigarlo. La evidencia y la fuente originales se conservan como referencia del escenario de origen.</t>
        </is>
      </c>
    </row>
    <row r="113">
      <c r="A113" t="inlineStr">
        <is>
          <t>E2</t>
        </is>
      </c>
      <c r="B113" t="inlineStr">
        <is>
          <t>Cloud nativa</t>
        </is>
      </c>
      <c r="C113" t="inlineStr">
        <is>
          <t>AWS Cost Optimization Hub</t>
        </is>
      </c>
      <c r="D113" t="inlineStr">
        <is>
          <t>Asignacion</t>
        </is>
      </c>
      <c r="E113" t="inlineStr">
        <is>
          <t>A2</t>
        </is>
      </c>
      <c r="F113" s="2" t="inlineStr">
        <is>
          <t>¿Explicita y aplica reglas para costo compartido/multi-tenant?</t>
        </is>
      </c>
      <c r="G113" t="inlineStr">
        <is>
          <t>NE</t>
        </is>
      </c>
      <c r="H113" t="inlineStr">
        <is>
          <t>Pendiente</t>
        </is>
      </c>
      <c r="I113" s="2" t="inlineStr">
        <is>
          <t>No define reglas de reparto de costo compartido.</t>
        </is>
      </c>
      <c r="J113" t="inlineStr">
        <is>
          <t>https://docs.aws.amazon.com/cost-management/latest/userguide/cost-optimization-hub.html</t>
        </is>
      </c>
      <c r="K113" t="inlineStr">
        <is>
          <t>2026-09-16</t>
        </is>
      </c>
      <c r="L11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A2 depende del escenario, por lo que pasa a NE (no evidenciado, reduce cobertura) hasta investigarlo. La evidencia y la fuente originales se conservan como referencia del escenario de origen.</t>
        </is>
      </c>
    </row>
    <row r="114">
      <c r="A114" t="inlineStr">
        <is>
          <t>E2</t>
        </is>
      </c>
      <c r="B114" t="inlineStr">
        <is>
          <t>Cloud nativa</t>
        </is>
      </c>
      <c r="C114" t="inlineStr">
        <is>
          <t>AWS Cost Optimization Hub</t>
        </is>
      </c>
      <c r="D114" t="inlineStr">
        <is>
          <t>Optimizacion</t>
        </is>
      </c>
      <c r="E114" t="inlineStr">
        <is>
          <t>O1</t>
        </is>
      </c>
      <c r="F114" s="2" t="inlineStr">
        <is>
          <t>¿Detecta desperdicio, rightsizing o compromiso relevante al escenario?</t>
        </is>
      </c>
      <c r="G114" t="inlineStr">
        <is>
          <t>NE</t>
        </is>
      </c>
      <c r="H114" t="inlineStr">
        <is>
          <t>Pendiente</t>
        </is>
      </c>
      <c r="I114" s="2" t="inlineStr">
        <is>
          <t>"It makes recommendations on resource rightsizing, idle resource deletion, Savings Plans, and Reserved Instances" y permite "filtering, sorting, and grouping" para priorizar oportunidades.</t>
        </is>
      </c>
      <c r="J114" t="inlineStr">
        <is>
          <t>https://docs.aws.amazon.com/cost-management/latest/userguide/cost-optimization-hub.html</t>
        </is>
      </c>
      <c r="K114" t="inlineStr">
        <is>
          <t>2026-09-16</t>
        </is>
      </c>
      <c r="L114" s="2" t="inlineStr">
        <is>
          <t>Celda heredada FP-180 (2026-09-16): el valor 2 proviene de la investigacion del escenario E1 y no cuenta con evidencia propia de E2. Segun FP-177 el indicador O1 depende del escenario, por lo que pasa a NE (no evidenciado, reduce cobertura) hasta investigarlo. La evidencia y la fuente originales se conservan como referencia del escenario de origen.</t>
        </is>
      </c>
    </row>
    <row r="115">
      <c r="A115" t="inlineStr">
        <is>
          <t>E2</t>
        </is>
      </c>
      <c r="B115" t="inlineStr">
        <is>
          <t>Cloud nativa</t>
        </is>
      </c>
      <c r="C115" t="inlineStr">
        <is>
          <t>AWS Cost Optimization Hub</t>
        </is>
      </c>
      <c r="D115" t="inlineStr">
        <is>
          <t>Optimizacion</t>
        </is>
      </c>
      <c r="E115" t="inlineStr">
        <is>
          <t>O2</t>
        </is>
      </c>
      <c r="F115" s="2" t="inlineStr">
        <is>
          <t>¿Explica supuesto/impacto y permite seguir una recomendación?</t>
        </is>
      </c>
      <c r="G115" t="n">
        <v>2</v>
      </c>
      <c r="H115" t="inlineStr">
        <is>
          <t>Oficial</t>
        </is>
      </c>
      <c r="I115" s="2" t="inlineStr">
        <is>
          <t>"Quantify estimated savings that incorporate your AWS pricing and discounts" y "track progress to maximize your return on cloud investments", con posibilidad de fijar objetivos de ahorro.</t>
        </is>
      </c>
      <c r="J115" t="inlineStr">
        <is>
          <t>https://docs.aws.amazon.com/cost-management/latest/userguide/cost-optimization-hub.html</t>
        </is>
      </c>
      <c r="K115" t="inlineStr">
        <is>
          <t>2026-09-16</t>
        </is>
      </c>
      <c r="L115" s="2" t="inlineStr"/>
    </row>
    <row r="116">
      <c r="A116" t="inlineStr">
        <is>
          <t>E2</t>
        </is>
      </c>
      <c r="B116" t="inlineStr">
        <is>
          <t>Cloud nativa</t>
        </is>
      </c>
      <c r="C116" t="inlineStr">
        <is>
          <t>AWS Cost Optimization Hub</t>
        </is>
      </c>
      <c r="D116" t="inlineStr">
        <is>
          <t>Automatizacion</t>
        </is>
      </c>
      <c r="E116" t="inlineStr">
        <is>
          <t>AU1</t>
        </is>
      </c>
      <c r="F116" s="2" t="inlineStr">
        <is>
          <t>¿Ejecuta o bloquea acciones/políticas de costo con control verificable?</t>
        </is>
      </c>
      <c r="G116" t="inlineStr">
        <is>
          <t>NE</t>
        </is>
      </c>
      <c r="H116" t="inlineStr">
        <is>
          <t>Pendiente</t>
        </is>
      </c>
      <c r="I116" s="2" t="inlineStr">
        <is>
          <t>Cost Optimization Hub recomienda pero no ejecuta acciones; la ejecución/control automatizado corresponde a AWS Budgets (evaluado dentro de Cost Explorer en este trabajo).</t>
        </is>
      </c>
      <c r="J116" t="inlineStr">
        <is>
          <t>https://docs.aws.amazon.com/cost-management/latest/userguide/cost-optimization-hub.html</t>
        </is>
      </c>
      <c r="K116" t="inlineStr">
        <is>
          <t>2026-09-16</t>
        </is>
      </c>
      <c r="L11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AU1 depende del escenario, por lo que pasa a NE (no evidenciado, reduce cobertura) hasta investigarlo. La evidencia y la fuente originales se conservan como referencia del escenario de origen.</t>
        </is>
      </c>
    </row>
    <row r="117">
      <c r="A117" t="inlineStr">
        <is>
          <t>E2</t>
        </is>
      </c>
      <c r="B117" t="inlineStr">
        <is>
          <t>Cloud nativa</t>
        </is>
      </c>
      <c r="C117" t="inlineStr">
        <is>
          <t>AWS Cost Optimization Hub</t>
        </is>
      </c>
      <c r="D117" t="inlineStr">
        <is>
          <t>Automatizacion</t>
        </is>
      </c>
      <c r="E117" t="inlineStr">
        <is>
          <t>AU2</t>
        </is>
      </c>
      <c r="F117" s="2" t="inlineStr">
        <is>
          <t>¿Ofrece aprobación, reversión, registro o límites antes de actuar?</t>
        </is>
      </c>
      <c r="G117" t="inlineStr">
        <is>
          <t>NA</t>
        </is>
      </c>
      <c r="H117" t="inlineStr">
        <is>
          <t>Justificación de alcance</t>
        </is>
      </c>
      <c r="I117" s="2" t="inlineStr">
        <is>
          <t>Mismo alcance de diseño que AU1: no ejecuta, por lo que no aplica evaluar salvaguardas de ejecución.</t>
        </is>
      </c>
      <c r="J117" t="inlineStr">
        <is>
          <t>https://docs.aws.amazon.com/cost-management/latest/userguide/cost-optimization-hub.html</t>
        </is>
      </c>
      <c r="K117" t="inlineStr">
        <is>
          <t>2026-09-16</t>
        </is>
      </c>
      <c r="L117" s="2" t="inlineStr"/>
    </row>
    <row r="118">
      <c r="A118" t="inlineStr">
        <is>
          <t>E2</t>
        </is>
      </c>
      <c r="B118" t="inlineStr">
        <is>
          <t>Cloud nativa</t>
        </is>
      </c>
      <c r="C118" t="inlineStr">
        <is>
          <t>AWS Cost Optimization Hub</t>
        </is>
      </c>
      <c r="D118" t="inlineStr">
        <is>
          <t>Multicloud</t>
        </is>
      </c>
      <c r="E118" t="inlineStr">
        <is>
          <t>M1</t>
        </is>
      </c>
      <c r="F118" s="2" t="inlineStr">
        <is>
          <t>¿Consolida al menos dos proveedores bajo el mismo esquema declarado?</t>
        </is>
      </c>
      <c r="G118" t="inlineStr">
        <is>
          <t>NA</t>
        </is>
      </c>
      <c r="H118" t="inlineStr">
        <is>
          <t>Justificacion de alcance</t>
        </is>
      </c>
      <c r="I118" s="2"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118" t="inlineStr">
        <is>
          <t>https://docs.aws.amazon.com/cost-management/latest/userguide/cost-optimization-hub.html</t>
        </is>
      </c>
      <c r="K118" t="inlineStr">
        <is>
          <t>2026-09-16</t>
        </is>
      </c>
      <c r="L11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119">
      <c r="A119" t="inlineStr">
        <is>
          <t>E2</t>
        </is>
      </c>
      <c r="B119" t="inlineStr">
        <is>
          <t>Cloud nativa</t>
        </is>
      </c>
      <c r="C119" t="inlineStr">
        <is>
          <t>AWS Cost Optimization Hub</t>
        </is>
      </c>
      <c r="D119" t="inlineStr">
        <is>
          <t>Multicloud</t>
        </is>
      </c>
      <c r="E119" t="inlineStr">
        <is>
          <t>M2</t>
        </is>
      </c>
      <c r="F119" s="2" t="inlineStr">
        <is>
          <t>¿Hace visibles proveedor, cobertura y diferencias semánticas?</t>
        </is>
      </c>
      <c r="G119" t="inlineStr">
        <is>
          <t>NA</t>
        </is>
      </c>
      <c r="H119" t="inlineStr">
        <is>
          <t>Justificacion de alcance</t>
        </is>
      </c>
      <c r="I119" s="2"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119" t="inlineStr">
        <is>
          <t>https://docs.aws.amazon.com/cost-management/latest/userguide/cost-optimization-hub.html</t>
        </is>
      </c>
      <c r="K119" t="inlineStr">
        <is>
          <t>2026-09-16</t>
        </is>
      </c>
      <c r="L11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120">
      <c r="A120" t="inlineStr">
        <is>
          <t>E2</t>
        </is>
      </c>
      <c r="B120" t="inlineStr">
        <is>
          <t>Cloud nativa</t>
        </is>
      </c>
      <c r="C120" t="inlineStr">
        <is>
          <t>AWS Cost Optimization Hub</t>
        </is>
      </c>
      <c r="D120" t="inlineStr">
        <is>
          <t>Integracion</t>
        </is>
      </c>
      <c r="E120" t="inlineStr">
        <is>
          <t>I1</t>
        </is>
      </c>
      <c r="F120" s="2" t="inlineStr">
        <is>
          <t>¿Integra datos requeridos (facturación, uso, clúster o IaC) del escenario?</t>
        </is>
      </c>
      <c r="G120" t="inlineStr">
        <is>
          <t>NE</t>
        </is>
      </c>
      <c r="H120" t="inlineStr">
        <is>
          <t>Pendiente</t>
        </is>
      </c>
      <c r="I120" s="2" t="inlineStr">
        <is>
          <t>Consolida datos de recomendaciones desde los servicios soportados de AWS (EC2, RDS, Auto Scaling, etc.) y "accounts for your specific commercial terms with AWS, such as Reserved Instances and Savings Plans".</t>
        </is>
      </c>
      <c r="J120" t="inlineStr">
        <is>
          <t>https://docs.aws.amazon.com/cost-management/latest/userguide/cost-optimization-hub.html</t>
        </is>
      </c>
      <c r="K120" t="inlineStr">
        <is>
          <t>2026-09-16</t>
        </is>
      </c>
      <c r="L120" s="2" t="inlineStr">
        <is>
          <t>Celda heredada FP-180 (2026-09-16): el valor 2 proviene de la investigacion del escenario E1 y no cuenta con evidencia propia de E2. Segun FP-177 el indicador I1 depende del escenario, por lo que pasa a NE (no evidenciado, reduce cobertura) hasta investigarlo. La evidencia y la fuente originales se conservan como referencia del escenario de origen.</t>
        </is>
      </c>
    </row>
    <row r="121">
      <c r="A121" t="inlineStr">
        <is>
          <t>E2</t>
        </is>
      </c>
      <c r="B121" t="inlineStr">
        <is>
          <t>Cloud nativa</t>
        </is>
      </c>
      <c r="C121" t="inlineStr">
        <is>
          <t>AWS Cost Optimization Hub</t>
        </is>
      </c>
      <c r="D121" t="inlineStr">
        <is>
          <t>Integracion</t>
        </is>
      </c>
      <c r="E121" t="inlineStr">
        <is>
          <t>I2</t>
        </is>
      </c>
      <c r="F121" s="2" t="inlineStr">
        <is>
          <t>¿Se integra con el flujo de trabajo relevante (alerta, ticket, CI/CD o reporte)?</t>
        </is>
      </c>
      <c r="G121" t="inlineStr">
        <is>
          <t>NE</t>
        </is>
      </c>
      <c r="H121" t="inlineStr">
        <is>
          <t>Pendiente</t>
        </is>
      </c>
      <c r="I121" s="2" t="inlineStr">
        <is>
          <t>Las recomendaciones se reportan también en las consolas de los servicios soportados (p. ej., consola de Amazon EC2), integrándose al flujo operativo del equipo.</t>
        </is>
      </c>
      <c r="J121" t="inlineStr">
        <is>
          <t>https://docs.aws.amazon.com/cost-management/latest/userguide/cost-optimization-hub.html</t>
        </is>
      </c>
      <c r="K121" t="inlineStr">
        <is>
          <t>2026-09-16</t>
        </is>
      </c>
      <c r="L121" s="2" t="inlineStr">
        <is>
          <t>Celda heredada FP-180 (2026-09-16): el valor 2 proviene de la investigacion del escenario E1 y no cuenta con evidencia propia de E2. Segun FP-177 el indicador I2 depende del escenario, por lo que pasa a NE (no evidenciado, reduce cobertura) hasta investigarlo. La evidencia y la fuente originales se conservan como referencia del escenario de origen.</t>
        </is>
      </c>
    </row>
    <row r="122">
      <c r="A122" t="inlineStr">
        <is>
          <t>E2</t>
        </is>
      </c>
      <c r="B122" t="inlineStr">
        <is>
          <t>Cloud nativa</t>
        </is>
      </c>
      <c r="C122" t="inlineStr">
        <is>
          <t>AWS Cost Optimization Hub</t>
        </is>
      </c>
      <c r="D122" t="inlineStr">
        <is>
          <t>Adopcion</t>
        </is>
      </c>
      <c r="E122" t="inlineStr">
        <is>
          <t>AD1</t>
        </is>
      </c>
      <c r="F122" s="2" t="inlineStr">
        <is>
          <t>¿Soporta acceso/entrega para los roles del escenario?</t>
        </is>
      </c>
      <c r="G122" t="inlineStr">
        <is>
          <t>NE</t>
        </is>
      </c>
      <c r="H122" t="inlineStr">
        <is>
          <t>Pendiente</t>
        </is>
      </c>
      <c r="I122" s="2" t="inlineStr">
        <is>
          <t>El acceso se controla mediante IAM, igual que el resto de la consola de AWS Billing and Cost Management.</t>
        </is>
      </c>
      <c r="J122" t="inlineStr">
        <is>
          <t>https://docs.aws.amazon.com/cost-management/latest/userguide/cost-optimization-hub.html</t>
        </is>
      </c>
      <c r="K122" t="inlineStr">
        <is>
          <t>2026-09-16</t>
        </is>
      </c>
      <c r="L122" s="2" t="inlineStr">
        <is>
          <t>Celda heredada FP-180 (2026-09-16): el valor 2 proviene de la investigacion del escenario E1 y no cuenta con evidencia propia de E2. Segun FP-177 el indicador AD1 depende del escenario, por lo que pasa a NE (no evidenciado, reduce cobertura) hasta investigarlo. La evidencia y la fuente originales se conservan como referencia del escenario de origen.</t>
        </is>
      </c>
    </row>
    <row r="123">
      <c r="A123" t="inlineStr">
        <is>
          <t>E2</t>
        </is>
      </c>
      <c r="B123" t="inlineStr">
        <is>
          <t>Cloud nativa</t>
        </is>
      </c>
      <c r="C123" t="inlineStr">
        <is>
          <t>AWS Cost Optimization Hub</t>
        </is>
      </c>
      <c r="D123" t="inlineStr">
        <is>
          <t>Adopcion</t>
        </is>
      </c>
      <c r="E123" t="inlineStr">
        <is>
          <t>AD2</t>
        </is>
      </c>
      <c r="F123" s="2" t="inlineStr">
        <is>
          <t>¿Ofrece guías, ownership o mecanismos de seguimiento para uso sostenido?</t>
        </is>
      </c>
      <c r="G123" t="inlineStr">
        <is>
          <t>NE</t>
        </is>
      </c>
      <c r="H123" t="inlineStr">
        <is>
          <t>Pendiente</t>
        </is>
      </c>
      <c r="I123" s="2" t="inlineStr">
        <is>
          <t>No se identificó una guía de gobernanza/adopción propia y separada de la de Cost Explorer para esta función específica (simplificación de alcance registrada).</t>
        </is>
      </c>
      <c r="J123" t="inlineStr">
        <is>
          <t>https://docs.aws.amazon.com/cost-management/latest/userguide/cost-optimization-hub.html</t>
        </is>
      </c>
      <c r="K123" t="inlineStr">
        <is>
          <t>2026-09-16</t>
        </is>
      </c>
      <c r="L12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24">
      <c r="A124" t="inlineStr">
        <is>
          <t>E2</t>
        </is>
      </c>
      <c r="B124" t="inlineStr">
        <is>
          <t>Cloud nativa</t>
        </is>
      </c>
      <c r="C124" t="inlineStr">
        <is>
          <t>AWS Cost Optimization Hub</t>
        </is>
      </c>
      <c r="D124" t="inlineStr">
        <is>
          <t>Precio</t>
        </is>
      </c>
      <c r="E124" t="inlineStr">
        <is>
          <t>P1</t>
        </is>
      </c>
      <c r="F124" s="2" t="inlineStr">
        <is>
          <t>¿Expone precio, moneda, región, unidad, período y supuestos relevantes?</t>
        </is>
      </c>
      <c r="G124" t="n">
        <v>0</v>
      </c>
      <c r="H124" t="inlineStr">
        <is>
          <t>Oficial (ausencia verificada)</t>
        </is>
      </c>
      <c r="I124" s="2" t="inlineStr">
        <is>
          <t>No expone precio/moneda/región de forma general; sus cifras son de ahorro estimado sobre recomendaciones puntuales, no transparencia de precio del servicio.</t>
        </is>
      </c>
      <c r="J124" t="inlineStr">
        <is>
          <t>https://docs.aws.amazon.com/cost-management/latest/userguide/cost-optimization-hub.html</t>
        </is>
      </c>
      <c r="K124" t="inlineStr">
        <is>
          <t>2026-09-16</t>
        </is>
      </c>
      <c r="L12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25">
      <c r="A125" t="inlineStr">
        <is>
          <t>E2</t>
        </is>
      </c>
      <c r="B125" t="inlineStr">
        <is>
          <t>Cloud nativa</t>
        </is>
      </c>
      <c r="C125" t="inlineStr">
        <is>
          <t>AWS Cost Optimization Hub</t>
        </is>
      </c>
      <c r="D125" t="inlineStr">
        <is>
          <t>Precio</t>
        </is>
      </c>
      <c r="E125" t="inlineStr">
        <is>
          <t>P2</t>
        </is>
      </c>
      <c r="F125" s="2" t="inlineStr">
        <is>
          <t>¿Permite estimar o comparar componentes sin ocultar límites de equivalencia?</t>
        </is>
      </c>
      <c r="G125" t="inlineStr">
        <is>
          <t>NE</t>
        </is>
      </c>
      <c r="H125" t="inlineStr">
        <is>
          <t>Pendiente</t>
        </is>
      </c>
      <c r="I125" s="2" t="inlineStr">
        <is>
          <t>No es una herramienta de comparación/estimación de precio contextual (esa función es de AWS Pricing Calculator, evaluada aparte).</t>
        </is>
      </c>
      <c r="J125" t="inlineStr">
        <is>
          <t>https://docs.aws.amazon.com/cost-management/latest/userguide/cost-optimization-hub.html</t>
        </is>
      </c>
      <c r="K125" t="inlineStr">
        <is>
          <t>2026-09-16</t>
        </is>
      </c>
      <c r="L12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P2 depende del escenario, por lo que pasa a NE (no evidenciado, reduce cobertura) hasta investigarlo. La evidencia y la fuente originales se conservan como referencia del escenario de origen.</t>
        </is>
      </c>
    </row>
    <row r="126">
      <c r="A126" t="inlineStr">
        <is>
          <t>E2</t>
        </is>
      </c>
      <c r="B126" t="inlineStr">
        <is>
          <t>Cloud nativa</t>
        </is>
      </c>
      <c r="C126" t="inlineStr">
        <is>
          <t>AWS Cost Optimization Hub</t>
        </is>
      </c>
      <c r="D126" t="inlineStr">
        <is>
          <t>Dependencia</t>
        </is>
      </c>
      <c r="E126" t="inlineStr">
        <is>
          <t>D1</t>
        </is>
      </c>
      <c r="F126" s="2" t="inlineStr">
        <is>
          <t>¿Exporta datos/resultados en formato utilizable y documentado?</t>
        </is>
      </c>
      <c r="G126" t="inlineStr">
        <is>
          <t>NE</t>
        </is>
      </c>
      <c r="H126" t="inlineStr">
        <is>
          <t>Pendiente</t>
        </is>
      </c>
      <c r="I126" s="2" t="inlineStr">
        <is>
          <t>No es la fuente primaria de exportación de datos de costo/uso (esa función es del CUR, evaluada dentro de Cost Explorer); simplificación de alcance para evitar doble conteo.</t>
        </is>
      </c>
      <c r="J126" t="inlineStr">
        <is>
          <t>https://docs.aws.amazon.com/cost-management/latest/userguide/cost-optimization-hub.html</t>
        </is>
      </c>
      <c r="K126" t="inlineStr">
        <is>
          <t>2026-09-16</t>
        </is>
      </c>
      <c r="L126"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27">
      <c r="A127" t="inlineStr">
        <is>
          <t>E2</t>
        </is>
      </c>
      <c r="B127" t="inlineStr">
        <is>
          <t>Cloud nativa</t>
        </is>
      </c>
      <c r="C127" t="inlineStr">
        <is>
          <t>AWS Cost Optimization Hub</t>
        </is>
      </c>
      <c r="D127" t="inlineStr">
        <is>
          <t>Dependencia</t>
        </is>
      </c>
      <c r="E127" t="inlineStr">
        <is>
          <t>D2</t>
        </is>
      </c>
      <c r="F127" s="2" t="inlineStr">
        <is>
          <t>¿Documenta dependencias propietarias y un camino de salida/configuración reversible?</t>
        </is>
      </c>
      <c r="G127" t="inlineStr">
        <is>
          <t>NE</t>
        </is>
      </c>
      <c r="H127" t="inlineStr">
        <is>
          <t>Pendiente</t>
        </is>
      </c>
      <c r="I127" s="2" t="inlineStr">
        <is>
          <t>Mismo alcance de diseño que D1.</t>
        </is>
      </c>
      <c r="J127" t="inlineStr">
        <is>
          <t>https://docs.aws.amazon.com/cost-management/latest/userguide/cost-optimization-hub.html</t>
        </is>
      </c>
      <c r="K127" t="inlineStr">
        <is>
          <t>2026-09-16</t>
        </is>
      </c>
      <c r="L127"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28">
      <c r="A128" t="inlineStr">
        <is>
          <t>E3</t>
        </is>
      </c>
      <c r="B128" t="inlineStr">
        <is>
          <t>Cloud nativa</t>
        </is>
      </c>
      <c r="C128" t="inlineStr">
        <is>
          <t>AWS Cost Optimization Hub</t>
        </is>
      </c>
      <c r="D128" t="inlineStr">
        <is>
          <t>Visibilidad</t>
        </is>
      </c>
      <c r="E128" t="inlineStr">
        <is>
          <t>V1</t>
        </is>
      </c>
      <c r="F128" s="2" t="inlineStr">
        <is>
          <t>¿Desagrega costo y uso por cuenta/proyecto, servicio y período?</t>
        </is>
      </c>
      <c r="G128" t="inlineStr">
        <is>
          <t>NE</t>
        </is>
      </c>
      <c r="H128" t="inlineStr">
        <is>
          <t>Pendiente</t>
        </is>
      </c>
      <c r="I128" s="2" t="inlineStr">
        <is>
          <t>Cost Optimization Hub no ofrece un desglose general de costo/uso por cuenta-servicio-período; su función documentada es consolidar y priorizar recomendaciones, no la visibilidad general de gasto (esa función corresponde a Cost Explorer).</t>
        </is>
      </c>
      <c r="J128" t="inlineStr">
        <is>
          <t>https://docs.aws.amazon.com/cost-management/latest/userguide/cost-optimization-hub.html</t>
        </is>
      </c>
      <c r="K128" t="inlineStr">
        <is>
          <t>2026-09-16</t>
        </is>
      </c>
      <c r="L12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V1 depende del escenario, por lo que pasa a NE (no evidenciado, reduce cobertura) hasta investigarlo. La evidencia y la fuente originales se conservan como referencia del escenario de origen.</t>
        </is>
      </c>
    </row>
    <row r="129">
      <c r="A129" t="inlineStr">
        <is>
          <t>E3</t>
        </is>
      </c>
      <c r="B129" t="inlineStr">
        <is>
          <t>Cloud nativa</t>
        </is>
      </c>
      <c r="C129" t="inlineStr">
        <is>
          <t>AWS Cost Optimization Hub</t>
        </is>
      </c>
      <c r="D129" t="inlineStr">
        <is>
          <t>Visibilidad</t>
        </is>
      </c>
      <c r="E129" t="inlineStr">
        <is>
          <t>V2</t>
        </is>
      </c>
      <c r="F129" s="2" t="inlineStr">
        <is>
          <t>¿Permite rastrear un total hasta registros o fuente de facturación?</t>
        </is>
      </c>
      <c r="G129" t="n">
        <v>0</v>
      </c>
      <c r="H129" t="inlineStr">
        <is>
          <t>Oficial (ausencia verificada)</t>
        </is>
      </c>
      <c r="I129" s="2" t="inlineStr">
        <is>
          <t>Mismo alcance de diseño que V1: no es una herramienta de trazabilidad de gasto.</t>
        </is>
      </c>
      <c r="J129" t="inlineStr">
        <is>
          <t>https://docs.aws.amazon.com/cost-management/latest/userguide/cost-optimization-hub.html</t>
        </is>
      </c>
      <c r="K129" t="inlineStr">
        <is>
          <t>2026-09-16</t>
        </is>
      </c>
      <c r="L12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0">
      <c r="A130" t="inlineStr">
        <is>
          <t>E3</t>
        </is>
      </c>
      <c r="B130" t="inlineStr">
        <is>
          <t>Cloud nativa</t>
        </is>
      </c>
      <c r="C130" t="inlineStr">
        <is>
          <t>AWS Cost Optimization Hub</t>
        </is>
      </c>
      <c r="D130" t="inlineStr">
        <is>
          <t>Asignacion</t>
        </is>
      </c>
      <c r="E130" t="inlineStr">
        <is>
          <t>A1</t>
        </is>
      </c>
      <c r="F130" s="2" t="inlineStr">
        <is>
          <t>¿Calcula gasto asignado/no asignado por responsable, centro o entidad?</t>
        </is>
      </c>
      <c r="G130" t="inlineStr">
        <is>
          <t>NE</t>
        </is>
      </c>
      <c r="H130" t="inlineStr">
        <is>
          <t>Pendiente</t>
        </is>
      </c>
      <c r="I130" s="2" t="inlineStr">
        <is>
          <t>No calcula asignación de gasto por responsable/centro de costo; opera sobre recomendaciones de optimización, no sobre asignación.</t>
        </is>
      </c>
      <c r="J130" t="inlineStr">
        <is>
          <t>https://docs.aws.amazon.com/cost-management/latest/userguide/cost-optimization-hub.html</t>
        </is>
      </c>
      <c r="K130" t="inlineStr">
        <is>
          <t>2026-09-16</t>
        </is>
      </c>
      <c r="L13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A1 depende del escenario, por lo que pasa a NE (no evidenciado, reduce cobertura) hasta investigarlo. La evidencia y la fuente originales se conservan como referencia del escenario de origen.</t>
        </is>
      </c>
    </row>
    <row r="131">
      <c r="A131" t="inlineStr">
        <is>
          <t>E3</t>
        </is>
      </c>
      <c r="B131" t="inlineStr">
        <is>
          <t>Cloud nativa</t>
        </is>
      </c>
      <c r="C131" t="inlineStr">
        <is>
          <t>AWS Cost Optimization Hub</t>
        </is>
      </c>
      <c r="D131" t="inlineStr">
        <is>
          <t>Asignacion</t>
        </is>
      </c>
      <c r="E131" t="inlineStr">
        <is>
          <t>A2</t>
        </is>
      </c>
      <c r="F131" s="2" t="inlineStr">
        <is>
          <t>¿Explicita y aplica reglas para costo compartido/multi-tenant?</t>
        </is>
      </c>
      <c r="G131" t="inlineStr">
        <is>
          <t>NE</t>
        </is>
      </c>
      <c r="H131" t="inlineStr">
        <is>
          <t>Pendiente</t>
        </is>
      </c>
      <c r="I131" s="2" t="inlineStr">
        <is>
          <t>No define reglas de reparto de costo compartido.</t>
        </is>
      </c>
      <c r="J131" t="inlineStr">
        <is>
          <t>https://docs.aws.amazon.com/cost-management/latest/userguide/cost-optimization-hub.html</t>
        </is>
      </c>
      <c r="K131" t="inlineStr">
        <is>
          <t>2026-09-16</t>
        </is>
      </c>
      <c r="L13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A2 depende del escenario, por lo que pasa a NE (no evidenciado, reduce cobertura) hasta investigarlo. La evidencia y la fuente originales se conservan como referencia del escenario de origen.</t>
        </is>
      </c>
    </row>
    <row r="132">
      <c r="A132" t="inlineStr">
        <is>
          <t>E3</t>
        </is>
      </c>
      <c r="B132" t="inlineStr">
        <is>
          <t>Cloud nativa</t>
        </is>
      </c>
      <c r="C132" t="inlineStr">
        <is>
          <t>AWS Cost Optimization Hub</t>
        </is>
      </c>
      <c r="D132" t="inlineStr">
        <is>
          <t>Optimizacion</t>
        </is>
      </c>
      <c r="E132" t="inlineStr">
        <is>
          <t>O1</t>
        </is>
      </c>
      <c r="F132" s="2" t="inlineStr">
        <is>
          <t>¿Detecta desperdicio, rightsizing o compromiso relevante al escenario?</t>
        </is>
      </c>
      <c r="G132" t="inlineStr">
        <is>
          <t>NE</t>
        </is>
      </c>
      <c r="H132" t="inlineStr">
        <is>
          <t>Pendiente</t>
        </is>
      </c>
      <c r="I132" s="2" t="inlineStr">
        <is>
          <t>"It makes recommendations on resource rightsizing, idle resource deletion, Savings Plans, and Reserved Instances" y permite "filtering, sorting, and grouping" para priorizar oportunidades.</t>
        </is>
      </c>
      <c r="J132" t="inlineStr">
        <is>
          <t>https://docs.aws.amazon.com/cost-management/latest/userguide/cost-optimization-hub.html</t>
        </is>
      </c>
      <c r="K132" t="inlineStr">
        <is>
          <t>2026-09-16</t>
        </is>
      </c>
      <c r="L13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O1 depende del escenario, por lo que pasa a NE (no evidenciado, reduce cobertura) hasta investigarlo. La evidencia y la fuente originales se conservan como referencia del escenario de origen.</t>
        </is>
      </c>
    </row>
    <row r="133">
      <c r="A133" t="inlineStr">
        <is>
          <t>E3</t>
        </is>
      </c>
      <c r="B133" t="inlineStr">
        <is>
          <t>Cloud nativa</t>
        </is>
      </c>
      <c r="C133" t="inlineStr">
        <is>
          <t>AWS Cost Optimization Hub</t>
        </is>
      </c>
      <c r="D133" t="inlineStr">
        <is>
          <t>Optimizacion</t>
        </is>
      </c>
      <c r="E133" t="inlineStr">
        <is>
          <t>O2</t>
        </is>
      </c>
      <c r="F133" s="2" t="inlineStr">
        <is>
          <t>¿Explica supuesto/impacto y permite seguir una recomendación?</t>
        </is>
      </c>
      <c r="G133" t="n">
        <v>2</v>
      </c>
      <c r="H133" t="inlineStr">
        <is>
          <t>Oficial</t>
        </is>
      </c>
      <c r="I133" s="2" t="inlineStr">
        <is>
          <t>"Quantify estimated savings that incorporate your AWS pricing and discounts" y "track progress to maximize your return on cloud investments", con posibilidad de fijar objetivos de ahorro.</t>
        </is>
      </c>
      <c r="J133" t="inlineStr">
        <is>
          <t>https://docs.aws.amazon.com/cost-management/latest/userguide/cost-optimization-hub.html</t>
        </is>
      </c>
      <c r="K133" t="inlineStr">
        <is>
          <t>2026-09-16</t>
        </is>
      </c>
      <c r="L13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134">
      <c r="A134" t="inlineStr">
        <is>
          <t>E3</t>
        </is>
      </c>
      <c r="B134" t="inlineStr">
        <is>
          <t>Cloud nativa</t>
        </is>
      </c>
      <c r="C134" t="inlineStr">
        <is>
          <t>AWS Cost Optimization Hub</t>
        </is>
      </c>
      <c r="D134" t="inlineStr">
        <is>
          <t>Automatizacion</t>
        </is>
      </c>
      <c r="E134" t="inlineStr">
        <is>
          <t>AU1</t>
        </is>
      </c>
      <c r="F134" s="2" t="inlineStr">
        <is>
          <t>¿Ejecuta o bloquea acciones/políticas de costo con control verificable?</t>
        </is>
      </c>
      <c r="G134" t="inlineStr">
        <is>
          <t>NE</t>
        </is>
      </c>
      <c r="H134" t="inlineStr">
        <is>
          <t>Pendiente</t>
        </is>
      </c>
      <c r="I134" s="2" t="inlineStr">
        <is>
          <t>Cost Optimization Hub recomienda pero no ejecuta acciones; la ejecución/control automatizado corresponde a AWS Budgets (evaluado dentro de Cost Explorer en este trabajo).</t>
        </is>
      </c>
      <c r="J134" t="inlineStr">
        <is>
          <t>https://docs.aws.amazon.com/cost-management/latest/userguide/cost-optimization-hub.html</t>
        </is>
      </c>
      <c r="K134" t="inlineStr">
        <is>
          <t>2026-09-16</t>
        </is>
      </c>
      <c r="L13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AU1 depende del escenario, por lo que pasa a NE (no evidenciado, reduce cobertura) hasta investigarlo. La evidencia y la fuente originales se conservan como referencia del escenario de origen.</t>
        </is>
      </c>
    </row>
    <row r="135">
      <c r="A135" t="inlineStr">
        <is>
          <t>E3</t>
        </is>
      </c>
      <c r="B135" t="inlineStr">
        <is>
          <t>Cloud nativa</t>
        </is>
      </c>
      <c r="C135" t="inlineStr">
        <is>
          <t>AWS Cost Optimization Hub</t>
        </is>
      </c>
      <c r="D135" t="inlineStr">
        <is>
          <t>Automatizacion</t>
        </is>
      </c>
      <c r="E135" t="inlineStr">
        <is>
          <t>AU2</t>
        </is>
      </c>
      <c r="F135" s="2" t="inlineStr">
        <is>
          <t>¿Ofrece aprobación, reversión, registro o límites antes de actuar?</t>
        </is>
      </c>
      <c r="G135" t="inlineStr">
        <is>
          <t>NA</t>
        </is>
      </c>
      <c r="H135" t="inlineStr">
        <is>
          <t>Justificación de alcance</t>
        </is>
      </c>
      <c r="I135" s="2" t="inlineStr">
        <is>
          <t>Mismo alcance de diseño que AU1: no ejecuta, por lo que no aplica evaluar salvaguardas de ejecución.</t>
        </is>
      </c>
      <c r="J135" t="inlineStr">
        <is>
          <t>https://docs.aws.amazon.com/cost-management/latest/userguide/cost-optimization-hub.html</t>
        </is>
      </c>
      <c r="K135" t="inlineStr">
        <is>
          <t>2026-09-16</t>
        </is>
      </c>
      <c r="L13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t>
        </is>
      </c>
    </row>
    <row r="136">
      <c r="A136" t="inlineStr">
        <is>
          <t>E3</t>
        </is>
      </c>
      <c r="B136" t="inlineStr">
        <is>
          <t>Cloud nativa</t>
        </is>
      </c>
      <c r="C136" t="inlineStr">
        <is>
          <t>AWS Cost Optimization Hub</t>
        </is>
      </c>
      <c r="D136" t="inlineStr">
        <is>
          <t>Multicloud</t>
        </is>
      </c>
      <c r="E136" t="inlineStr">
        <is>
          <t>M1</t>
        </is>
      </c>
      <c r="F136" s="2" t="inlineStr">
        <is>
          <t>¿Consolida al menos dos proveedores bajo el mismo esquema declarado?</t>
        </is>
      </c>
      <c r="G136" t="n">
        <v>0</v>
      </c>
      <c r="H136" t="inlineStr">
        <is>
          <t>Oficial (ausencia verificada)</t>
        </is>
      </c>
      <c r="I136" s="2" t="inlineStr">
        <is>
          <t>Cubre exclusivamente cuentas de AWS; no está diseñada para consolidar Azure/GCP.</t>
        </is>
      </c>
      <c r="J136" t="inlineStr">
        <is>
          <t>https://docs.aws.amazon.com/cost-management/latest/userguide/cost-optimization-hub.html</t>
        </is>
      </c>
      <c r="K136" t="inlineStr">
        <is>
          <t>2026-09-16</t>
        </is>
      </c>
      <c r="L136"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7">
      <c r="A137" t="inlineStr">
        <is>
          <t>E3</t>
        </is>
      </c>
      <c r="B137" t="inlineStr">
        <is>
          <t>Cloud nativa</t>
        </is>
      </c>
      <c r="C137" t="inlineStr">
        <is>
          <t>AWS Cost Optimization Hub</t>
        </is>
      </c>
      <c r="D137" t="inlineStr">
        <is>
          <t>Multicloud</t>
        </is>
      </c>
      <c r="E137" t="inlineStr">
        <is>
          <t>M2</t>
        </is>
      </c>
      <c r="F137" s="2" t="inlineStr">
        <is>
          <t>¿Hace visibles proveedor, cobertura y diferencias semánticas?</t>
        </is>
      </c>
      <c r="G137" t="n">
        <v>0</v>
      </c>
      <c r="H137" t="inlineStr">
        <is>
          <t>Oficial (ausencia verificada)</t>
        </is>
      </c>
      <c r="I137" s="2" t="inlineStr">
        <is>
          <t>Mismo alcance de diseño que M1.</t>
        </is>
      </c>
      <c r="J137" t="inlineStr">
        <is>
          <t>https://docs.aws.amazon.com/cost-management/latest/userguide/cost-optimization-hub.html</t>
        </is>
      </c>
      <c r="K137" t="inlineStr">
        <is>
          <t>2026-09-16</t>
        </is>
      </c>
      <c r="L137"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38">
      <c r="A138" t="inlineStr">
        <is>
          <t>E3</t>
        </is>
      </c>
      <c r="B138" t="inlineStr">
        <is>
          <t>Cloud nativa</t>
        </is>
      </c>
      <c r="C138" t="inlineStr">
        <is>
          <t>AWS Cost Optimization Hub</t>
        </is>
      </c>
      <c r="D138" t="inlineStr">
        <is>
          <t>Integracion</t>
        </is>
      </c>
      <c r="E138" t="inlineStr">
        <is>
          <t>I1</t>
        </is>
      </c>
      <c r="F138" s="2" t="inlineStr">
        <is>
          <t>¿Integra datos requeridos (facturación, uso, clúster o IaC) del escenario?</t>
        </is>
      </c>
      <c r="G138" t="inlineStr">
        <is>
          <t>NE</t>
        </is>
      </c>
      <c r="H138" t="inlineStr">
        <is>
          <t>Pendiente</t>
        </is>
      </c>
      <c r="I138" s="2" t="inlineStr">
        <is>
          <t>Consolida datos de recomendaciones desde los servicios soportados de AWS (EC2, RDS, Auto Scaling, etc.) y "accounts for your specific commercial terms with AWS, such as Reserved Instances and Savings Plans".</t>
        </is>
      </c>
      <c r="J138" t="inlineStr">
        <is>
          <t>https://docs.aws.amazon.com/cost-management/latest/userguide/cost-optimization-hub.html</t>
        </is>
      </c>
      <c r="K138" t="inlineStr">
        <is>
          <t>2026-09-16</t>
        </is>
      </c>
      <c r="L138"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I1 depende del escenario, por lo que pasa a NE (no evidenciado, reduce cobertura) hasta investigarlo. La evidencia y la fuente originales se conservan como referencia del escenario de origen.</t>
        </is>
      </c>
    </row>
    <row r="139">
      <c r="A139" t="inlineStr">
        <is>
          <t>E3</t>
        </is>
      </c>
      <c r="B139" t="inlineStr">
        <is>
          <t>Cloud nativa</t>
        </is>
      </c>
      <c r="C139" t="inlineStr">
        <is>
          <t>AWS Cost Optimization Hub</t>
        </is>
      </c>
      <c r="D139" t="inlineStr">
        <is>
          <t>Integracion</t>
        </is>
      </c>
      <c r="E139" t="inlineStr">
        <is>
          <t>I2</t>
        </is>
      </c>
      <c r="F139" s="2" t="inlineStr">
        <is>
          <t>¿Se integra con el flujo de trabajo relevante (alerta, ticket, CI/CD o reporte)?</t>
        </is>
      </c>
      <c r="G139" t="inlineStr">
        <is>
          <t>NE</t>
        </is>
      </c>
      <c r="H139" t="inlineStr">
        <is>
          <t>Pendiente</t>
        </is>
      </c>
      <c r="I139" s="2" t="inlineStr">
        <is>
          <t>Las recomendaciones se reportan también en las consolas de los servicios soportados (p. ej., consola de Amazon EC2), integrándose al flujo operativo del equipo.</t>
        </is>
      </c>
      <c r="J139" t="inlineStr">
        <is>
          <t>https://docs.aws.amazon.com/cost-management/latest/userguide/cost-optimization-hub.html</t>
        </is>
      </c>
      <c r="K139" t="inlineStr">
        <is>
          <t>2026-09-16</t>
        </is>
      </c>
      <c r="L139"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I2 depende del escenario, por lo que pasa a NE (no evidenciado, reduce cobertura) hasta investigarlo. La evidencia y la fuente originales se conservan como referencia del escenario de origen.</t>
        </is>
      </c>
    </row>
    <row r="140">
      <c r="A140" t="inlineStr">
        <is>
          <t>E3</t>
        </is>
      </c>
      <c r="B140" t="inlineStr">
        <is>
          <t>Cloud nativa</t>
        </is>
      </c>
      <c r="C140" t="inlineStr">
        <is>
          <t>AWS Cost Optimization Hub</t>
        </is>
      </c>
      <c r="D140" t="inlineStr">
        <is>
          <t>Adopcion</t>
        </is>
      </c>
      <c r="E140" t="inlineStr">
        <is>
          <t>AD1</t>
        </is>
      </c>
      <c r="F140" s="2" t="inlineStr">
        <is>
          <t>¿Soporta acceso/entrega para los roles del escenario?</t>
        </is>
      </c>
      <c r="G140" t="inlineStr">
        <is>
          <t>NE</t>
        </is>
      </c>
      <c r="H140" t="inlineStr">
        <is>
          <t>Pendiente</t>
        </is>
      </c>
      <c r="I140" s="2" t="inlineStr">
        <is>
          <t>El acceso se controla mediante IAM, igual que el resto de la consola de AWS Billing and Cost Management.</t>
        </is>
      </c>
      <c r="J140" t="inlineStr">
        <is>
          <t>https://docs.aws.amazon.com/cost-management/latest/userguide/cost-optimization-hub.html</t>
        </is>
      </c>
      <c r="K140" t="inlineStr">
        <is>
          <t>2026-09-16</t>
        </is>
      </c>
      <c r="L140"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Celda heredada FP-180 (2026-09-16): el valor 2 proviene de la investigacion del escenario E1 y no cuenta con evidencia propia de E3. Segun FP-177 el indicador AD1 depende del escenario, por lo que pasa a NE (no evidenciado, reduce cobertura) hasta investigarlo. La evidencia y la fuente originales se conservan como referencia del escenario de origen.</t>
        </is>
      </c>
    </row>
    <row r="141">
      <c r="A141" t="inlineStr">
        <is>
          <t>E3</t>
        </is>
      </c>
      <c r="B141" t="inlineStr">
        <is>
          <t>Cloud nativa</t>
        </is>
      </c>
      <c r="C141" t="inlineStr">
        <is>
          <t>AWS Cost Optimization Hub</t>
        </is>
      </c>
      <c r="D141" t="inlineStr">
        <is>
          <t>Adopcion</t>
        </is>
      </c>
      <c r="E141" t="inlineStr">
        <is>
          <t>AD2</t>
        </is>
      </c>
      <c r="F141" s="2" t="inlineStr">
        <is>
          <t>¿Ofrece guías, ownership o mecanismos de seguimiento para uso sostenido?</t>
        </is>
      </c>
      <c r="G141" t="inlineStr">
        <is>
          <t>NE</t>
        </is>
      </c>
      <c r="H141" t="inlineStr">
        <is>
          <t>Pendiente</t>
        </is>
      </c>
      <c r="I141" s="2" t="inlineStr">
        <is>
          <t>No se identificó una guía de gobernanza/adopción propia y separada de la de Cost Explorer para esta función específica (simplificación de alcance registrada).</t>
        </is>
      </c>
      <c r="J141" t="inlineStr">
        <is>
          <t>https://docs.aws.amazon.com/cost-management/latest/userguide/cost-optimization-hub.html</t>
        </is>
      </c>
      <c r="K141" t="inlineStr">
        <is>
          <t>2026-09-16</t>
        </is>
      </c>
      <c r="L141"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42">
      <c r="A142" t="inlineStr">
        <is>
          <t>E3</t>
        </is>
      </c>
      <c r="B142" t="inlineStr">
        <is>
          <t>Cloud nativa</t>
        </is>
      </c>
      <c r="C142" t="inlineStr">
        <is>
          <t>AWS Cost Optimization Hub</t>
        </is>
      </c>
      <c r="D142" t="inlineStr">
        <is>
          <t>Precio</t>
        </is>
      </c>
      <c r="E142" t="inlineStr">
        <is>
          <t>P1</t>
        </is>
      </c>
      <c r="F142" s="2" t="inlineStr">
        <is>
          <t>¿Expone precio, moneda, región, unidad, período y supuestos relevantes?</t>
        </is>
      </c>
      <c r="G142" t="n">
        <v>0</v>
      </c>
      <c r="H142" t="inlineStr">
        <is>
          <t>Oficial (ausencia verificada)</t>
        </is>
      </c>
      <c r="I142" s="2" t="inlineStr">
        <is>
          <t>No expone precio/moneda/región de forma general; sus cifras son de ahorro estimado sobre recomendaciones puntuales, no transparencia de precio del servicio.</t>
        </is>
      </c>
      <c r="J142" t="inlineStr">
        <is>
          <t>https://docs.aws.amazon.com/cost-management/latest/userguide/cost-optimization-hub.html</t>
        </is>
      </c>
      <c r="K142" t="inlineStr">
        <is>
          <t>2026-09-16</t>
        </is>
      </c>
      <c r="L142"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43">
      <c r="A143" t="inlineStr">
        <is>
          <t>E3</t>
        </is>
      </c>
      <c r="B143" t="inlineStr">
        <is>
          <t>Cloud nativa</t>
        </is>
      </c>
      <c r="C143" t="inlineStr">
        <is>
          <t>AWS Cost Optimization Hub</t>
        </is>
      </c>
      <c r="D143" t="inlineStr">
        <is>
          <t>Precio</t>
        </is>
      </c>
      <c r="E143" t="inlineStr">
        <is>
          <t>P2</t>
        </is>
      </c>
      <c r="F143" s="2" t="inlineStr">
        <is>
          <t>¿Permite estimar o comparar componentes sin ocultar límites de equivalencia?</t>
        </is>
      </c>
      <c r="G143" t="inlineStr">
        <is>
          <t>NE</t>
        </is>
      </c>
      <c r="H143" t="inlineStr">
        <is>
          <t>Pendiente</t>
        </is>
      </c>
      <c r="I143" s="2" t="inlineStr">
        <is>
          <t>No es una herramienta de comparación/estimación de precio contextual (esa función es de AWS Pricing Calculator, evaluada aparte).</t>
        </is>
      </c>
      <c r="J143" t="inlineStr">
        <is>
          <t>https://docs.aws.amazon.com/cost-management/latest/userguide/cost-optimization-hub.html</t>
        </is>
      </c>
      <c r="K143" t="inlineStr">
        <is>
          <t>2026-09-16</t>
        </is>
      </c>
      <c r="L143"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P2 depende del escenario, por lo que pasa a NE (no evidenciado, reduce cobertura) hasta investigarlo. La evidencia y la fuente originales se conservan como referencia del escenario de origen.</t>
        </is>
      </c>
    </row>
    <row r="144">
      <c r="A144" t="inlineStr">
        <is>
          <t>E3</t>
        </is>
      </c>
      <c r="B144" t="inlineStr">
        <is>
          <t>Cloud nativa</t>
        </is>
      </c>
      <c r="C144" t="inlineStr">
        <is>
          <t>AWS Cost Optimization Hub</t>
        </is>
      </c>
      <c r="D144" t="inlineStr">
        <is>
          <t>Dependencia</t>
        </is>
      </c>
      <c r="E144" t="inlineStr">
        <is>
          <t>D1</t>
        </is>
      </c>
      <c r="F144" s="2" t="inlineStr">
        <is>
          <t>¿Exporta datos/resultados en formato utilizable y documentado?</t>
        </is>
      </c>
      <c r="G144" t="inlineStr">
        <is>
          <t>NE</t>
        </is>
      </c>
      <c r="H144" t="inlineStr">
        <is>
          <t>Pendiente</t>
        </is>
      </c>
      <c r="I144" s="2" t="inlineStr">
        <is>
          <t>No es la fuente primaria de exportación de datos de costo/uso (esa función es del CUR, evaluada dentro de Cost Explorer); simplificación de alcance para evitar doble conteo.</t>
        </is>
      </c>
      <c r="J144" t="inlineStr">
        <is>
          <t>https://docs.aws.amazon.com/cost-management/latest/userguide/cost-optimization-hub.html</t>
        </is>
      </c>
      <c r="K144" t="inlineStr">
        <is>
          <t>2026-09-16</t>
        </is>
      </c>
      <c r="L144"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45">
      <c r="A145" t="inlineStr">
        <is>
          <t>E3</t>
        </is>
      </c>
      <c r="B145" t="inlineStr">
        <is>
          <t>Cloud nativa</t>
        </is>
      </c>
      <c r="C145" t="inlineStr">
        <is>
          <t>AWS Cost Optimization Hub</t>
        </is>
      </c>
      <c r="D145" t="inlineStr">
        <is>
          <t>Dependencia</t>
        </is>
      </c>
      <c r="E145" t="inlineStr">
        <is>
          <t>D2</t>
        </is>
      </c>
      <c r="F145" s="2" t="inlineStr">
        <is>
          <t>¿Documenta dependencias propietarias y un camino de salida/configuración reversible?</t>
        </is>
      </c>
      <c r="G145" t="inlineStr">
        <is>
          <t>NE</t>
        </is>
      </c>
      <c r="H145" t="inlineStr">
        <is>
          <t>Pendiente</t>
        </is>
      </c>
      <c r="I145" s="2" t="inlineStr">
        <is>
          <t>Mismo alcance de diseño que D1.</t>
        </is>
      </c>
      <c r="J145" t="inlineStr">
        <is>
          <t>https://docs.aws.amazon.com/cost-management/latest/userguide/cost-optimization-hub.html</t>
        </is>
      </c>
      <c r="K145" t="inlineStr">
        <is>
          <t>2026-09-16</t>
        </is>
      </c>
      <c r="L145" s="2" t="inlineStr">
        <is>
          <t>En E3, la evidencia de granularidad de clúster proviene de "Split Cost Allocation Data" para Amazon EKS (visibilidad a nivel de pod/namespace); las recomendaciones de rightsizing de AWS (Cost Explorer/Cost Optimization Hub) operan sobre el nodo EC2 subyacente, no sobre el dimensionamiento de pods dentro del clúster, lo que limita su alcance frente a herramientas especializadas en Kubernetes (OpenCost, Kubecost, Cast AI, StormForge). | 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46">
      <c r="A146" t="inlineStr">
        <is>
          <t>E5</t>
        </is>
      </c>
      <c r="B146" t="inlineStr">
        <is>
          <t>Cloud nativa</t>
        </is>
      </c>
      <c r="C146" t="inlineStr">
        <is>
          <t>AWS Cost Optimization Hub</t>
        </is>
      </c>
      <c r="D146" t="inlineStr">
        <is>
          <t>Visibilidad</t>
        </is>
      </c>
      <c r="E146" t="inlineStr">
        <is>
          <t>V1</t>
        </is>
      </c>
      <c r="F146" s="2" t="inlineStr">
        <is>
          <t>¿Desagrega costo y uso por cuenta/proyecto, servicio y período?</t>
        </is>
      </c>
      <c r="G146" t="n">
        <v>0</v>
      </c>
      <c r="H146" t="inlineStr">
        <is>
          <t>Oficial (ausencia verificada)</t>
        </is>
      </c>
      <c r="I146" s="2" t="inlineStr">
        <is>
          <t>Cost Optimization Hub no ofrece un desglose general de costo/uso por cuenta-servicio-período; su función documentada es consolidar y priorizar recomendaciones, no la visibilidad general de gasto (esa función corresponde a Cost Explorer).</t>
        </is>
      </c>
      <c r="J146" t="inlineStr">
        <is>
          <t>https://docs.aws.amazon.com/cost-management/latest/userguide/cost-optimization-hub.html</t>
        </is>
      </c>
      <c r="K146" t="inlineStr">
        <is>
          <t>2026-09-16</t>
        </is>
      </c>
      <c r="L14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V1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7">
      <c r="A147" t="inlineStr">
        <is>
          <t>E5</t>
        </is>
      </c>
      <c r="B147" t="inlineStr">
        <is>
          <t>Cloud nativa</t>
        </is>
      </c>
      <c r="C147" t="inlineStr">
        <is>
          <t>AWS Cost Optimization Hub</t>
        </is>
      </c>
      <c r="D147" t="inlineStr">
        <is>
          <t>Visibilidad</t>
        </is>
      </c>
      <c r="E147" t="inlineStr">
        <is>
          <t>V2</t>
        </is>
      </c>
      <c r="F147" s="2" t="inlineStr">
        <is>
          <t>¿Permite rastrear un total hasta registros o fuente de facturación?</t>
        </is>
      </c>
      <c r="G147" t="n">
        <v>0</v>
      </c>
      <c r="H147" t="inlineStr">
        <is>
          <t>Oficial (ausencia verificada)</t>
        </is>
      </c>
      <c r="I147" s="2" t="inlineStr">
        <is>
          <t>Mismo alcance de diseño que V1: no es una herramienta de trazabilidad de gasto.</t>
        </is>
      </c>
      <c r="J147" t="inlineStr">
        <is>
          <t>https://docs.aws.amazon.com/cost-management/latest/userguide/cost-optimization-hub.html</t>
        </is>
      </c>
      <c r="K147" t="inlineStr">
        <is>
          <t>2026-09-16</t>
        </is>
      </c>
      <c r="L14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48">
      <c r="A148" t="inlineStr">
        <is>
          <t>E5</t>
        </is>
      </c>
      <c r="B148" t="inlineStr">
        <is>
          <t>Cloud nativa</t>
        </is>
      </c>
      <c r="C148" t="inlineStr">
        <is>
          <t>AWS Cost Optimization Hub</t>
        </is>
      </c>
      <c r="D148" t="inlineStr">
        <is>
          <t>Asignacion</t>
        </is>
      </c>
      <c r="E148" t="inlineStr">
        <is>
          <t>A1</t>
        </is>
      </c>
      <c r="F148" s="2" t="inlineStr">
        <is>
          <t>¿Calcula gasto asignado/no asignado por responsable, centro o entidad?</t>
        </is>
      </c>
      <c r="G148" t="n">
        <v>0</v>
      </c>
      <c r="H148" t="inlineStr">
        <is>
          <t>Oficial (ausencia verificada)</t>
        </is>
      </c>
      <c r="I148" s="2" t="inlineStr">
        <is>
          <t>No calcula asignación de gasto por responsable/centro de costo; opera sobre recomendaciones de optimización, no sobre asignación.</t>
        </is>
      </c>
      <c r="J148" t="inlineStr">
        <is>
          <t>https://docs.aws.amazon.com/cost-management/latest/userguide/cost-optimization-hub.html</t>
        </is>
      </c>
      <c r="K148" t="inlineStr">
        <is>
          <t>2026-09-16</t>
        </is>
      </c>
      <c r="L14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A1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9">
      <c r="A149" t="inlineStr">
        <is>
          <t>E5</t>
        </is>
      </c>
      <c r="B149" t="inlineStr">
        <is>
          <t>Cloud nativa</t>
        </is>
      </c>
      <c r="C149" t="inlineStr">
        <is>
          <t>AWS Cost Optimization Hub</t>
        </is>
      </c>
      <c r="D149" t="inlineStr">
        <is>
          <t>Asignacion</t>
        </is>
      </c>
      <c r="E149" t="inlineStr">
        <is>
          <t>A2</t>
        </is>
      </c>
      <c r="F149" s="2" t="inlineStr">
        <is>
          <t>¿Explicita y aplica reglas para costo compartido/multi-tenant?</t>
        </is>
      </c>
      <c r="G149" t="inlineStr">
        <is>
          <t>NE</t>
        </is>
      </c>
      <c r="H149" t="inlineStr">
        <is>
          <t>Pendiente</t>
        </is>
      </c>
      <c r="I149" s="2" t="inlineStr">
        <is>
          <t>No define reglas de reparto de costo compartido.</t>
        </is>
      </c>
      <c r="J149" t="inlineStr">
        <is>
          <t>https://docs.aws.amazon.com/cost-management/latest/userguide/cost-optimization-hub.html</t>
        </is>
      </c>
      <c r="K149" t="inlineStr">
        <is>
          <t>2026-09-16</t>
        </is>
      </c>
      <c r="L14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A2 depende del escenario, por lo que pasa a NE (no evidenciado, reduce cobertura) hasta investigarlo. La evidencia y la fuente originales se conservan como referencia del escenario de origen.</t>
        </is>
      </c>
    </row>
    <row r="150">
      <c r="A150" t="inlineStr">
        <is>
          <t>E5</t>
        </is>
      </c>
      <c r="B150" t="inlineStr">
        <is>
          <t>Cloud nativa</t>
        </is>
      </c>
      <c r="C150" t="inlineStr">
        <is>
          <t>AWS Cost Optimization Hub</t>
        </is>
      </c>
      <c r="D150" t="inlineStr">
        <is>
          <t>Optimizacion</t>
        </is>
      </c>
      <c r="E150" t="inlineStr">
        <is>
          <t>O1</t>
        </is>
      </c>
      <c r="F150" s="2" t="inlineStr">
        <is>
          <t>¿Detecta desperdicio, rightsizing o compromiso relevante al escenario?</t>
        </is>
      </c>
      <c r="G150" t="n">
        <v>2</v>
      </c>
      <c r="H150" t="inlineStr">
        <is>
          <t>Oficial</t>
        </is>
      </c>
      <c r="I150" s="2" t="inlineStr">
        <is>
          <t>"It makes recommendations on resource rightsizing, idle resource deletion, Savings Plans, and Reserved Instances" y permite "filtering, sorting, and grouping" para priorizar oportunidades.</t>
        </is>
      </c>
      <c r="J150" t="inlineStr">
        <is>
          <t>https://docs.aws.amazon.com/cost-management/latest/userguide/cost-optimization-hub.html</t>
        </is>
      </c>
      <c r="K150" t="inlineStr">
        <is>
          <t>2026-09-16</t>
        </is>
      </c>
      <c r="L150" s="2" t="inlineStr">
        <is>
          <t>Celda heredada FP-180 (2026-09-16): el valor 2 proviene de la investigacion del escenario E1 y no cuenta con evidencia propia de E5. Segun FP-177 el indicador O1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51">
      <c r="A151" t="inlineStr">
        <is>
          <t>E5</t>
        </is>
      </c>
      <c r="B151" t="inlineStr">
        <is>
          <t>Cloud nativa</t>
        </is>
      </c>
      <c r="C151" t="inlineStr">
        <is>
          <t>AWS Cost Optimization Hub</t>
        </is>
      </c>
      <c r="D151" t="inlineStr">
        <is>
          <t>Optimizacion</t>
        </is>
      </c>
      <c r="E151" t="inlineStr">
        <is>
          <t>O2</t>
        </is>
      </c>
      <c r="F151" s="2" t="inlineStr">
        <is>
          <t>¿Explica supuesto/impacto y permite seguir una recomendación?</t>
        </is>
      </c>
      <c r="G151" t="n">
        <v>2</v>
      </c>
      <c r="H151" t="inlineStr">
        <is>
          <t>Oficial</t>
        </is>
      </c>
      <c r="I151" s="2" t="inlineStr">
        <is>
          <t>"Quantify estimated savings that incorporate your AWS pricing and discounts" y "track progress to maximize your return on cloud investments", con posibilidad de fijar objetivos de ahorro.</t>
        </is>
      </c>
      <c r="J151" t="inlineStr">
        <is>
          <t>https://docs.aws.amazon.com/cost-management/latest/userguide/cost-optimization-hub.html</t>
        </is>
      </c>
      <c r="K151" t="inlineStr">
        <is>
          <t>2026-09-16</t>
        </is>
      </c>
      <c r="L151" s="2" t="inlineStr"/>
    </row>
    <row r="152">
      <c r="A152" t="inlineStr">
        <is>
          <t>E5</t>
        </is>
      </c>
      <c r="B152" t="inlineStr">
        <is>
          <t>Cloud nativa</t>
        </is>
      </c>
      <c r="C152" t="inlineStr">
        <is>
          <t>AWS Cost Optimization Hub</t>
        </is>
      </c>
      <c r="D152" t="inlineStr">
        <is>
          <t>Automatizacion</t>
        </is>
      </c>
      <c r="E152" t="inlineStr">
        <is>
          <t>AU1</t>
        </is>
      </c>
      <c r="F152" s="2" t="inlineStr">
        <is>
          <t>¿Ejecuta o bloquea acciones/políticas de costo con control verificable?</t>
        </is>
      </c>
      <c r="G152" t="n">
        <v>0</v>
      </c>
      <c r="H152" t="inlineStr">
        <is>
          <t>Oficial (ausencia verificada)</t>
        </is>
      </c>
      <c r="I152" s="2" t="inlineStr">
        <is>
          <t>Cost Optimization Hub recomienda pero no ejecuta acciones; la ejecución/control automatizado corresponde a AWS Budgets (evaluado dentro de Cost Explorer en este trabajo).</t>
        </is>
      </c>
      <c r="J152" t="inlineStr">
        <is>
          <t>https://docs.aws.amazon.com/cost-management/latest/userguide/cost-optimization-hub.html</t>
        </is>
      </c>
      <c r="K152" t="inlineStr">
        <is>
          <t>2026-09-16</t>
        </is>
      </c>
      <c r="L15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53">
      <c r="A153" t="inlineStr">
        <is>
          <t>E5</t>
        </is>
      </c>
      <c r="B153" t="inlineStr">
        <is>
          <t>Cloud nativa</t>
        </is>
      </c>
      <c r="C153" t="inlineStr">
        <is>
          <t>AWS Cost Optimization Hub</t>
        </is>
      </c>
      <c r="D153" t="inlineStr">
        <is>
          <t>Automatizacion</t>
        </is>
      </c>
      <c r="E153" t="inlineStr">
        <is>
          <t>AU2</t>
        </is>
      </c>
      <c r="F153" s="2" t="inlineStr">
        <is>
          <t>¿Ofrece aprobación, reversión, registro o límites antes de actuar?</t>
        </is>
      </c>
      <c r="G153" t="inlineStr">
        <is>
          <t>NA</t>
        </is>
      </c>
      <c r="H153" t="inlineStr">
        <is>
          <t>Justificación de alcance</t>
        </is>
      </c>
      <c r="I153" s="2" t="inlineStr">
        <is>
          <t>Mismo alcance de diseño que AU1: no ejecuta, por lo que no aplica evaluar salvaguardas de ejecución.</t>
        </is>
      </c>
      <c r="J153" t="inlineStr">
        <is>
          <t>https://docs.aws.amazon.com/cost-management/latest/userguide/cost-optimization-hub.html</t>
        </is>
      </c>
      <c r="K153" t="inlineStr">
        <is>
          <t>2026-09-16</t>
        </is>
      </c>
      <c r="L153" s="2" t="inlineStr"/>
    </row>
    <row r="154">
      <c r="A154" t="inlineStr">
        <is>
          <t>E5</t>
        </is>
      </c>
      <c r="B154" t="inlineStr">
        <is>
          <t>Cloud nativa</t>
        </is>
      </c>
      <c r="C154" t="inlineStr">
        <is>
          <t>AWS Cost Optimization Hub</t>
        </is>
      </c>
      <c r="D154" t="inlineStr">
        <is>
          <t>Multicloud</t>
        </is>
      </c>
      <c r="E154" t="inlineStr">
        <is>
          <t>M1</t>
        </is>
      </c>
      <c r="F154" s="2" t="inlineStr">
        <is>
          <t>¿Consolida al menos dos proveedores bajo el mismo esquema declarado?</t>
        </is>
      </c>
      <c r="G154" t="n">
        <v>0</v>
      </c>
      <c r="H154" t="inlineStr">
        <is>
          <t>Oficial (ausencia verificada)</t>
        </is>
      </c>
      <c r="I154" s="2" t="inlineStr">
        <is>
          <t>Cubre exclusivamente cuentas de AWS; no está diseñada para consolidar Azure/GCP.</t>
        </is>
      </c>
      <c r="J154" t="inlineStr">
        <is>
          <t>https://docs.aws.amazon.com/cost-management/latest/userguide/cost-optimization-hub.html</t>
        </is>
      </c>
      <c r="K154" t="inlineStr">
        <is>
          <t>2026-09-16</t>
        </is>
      </c>
      <c r="L15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55">
      <c r="A155" t="inlineStr">
        <is>
          <t>E5</t>
        </is>
      </c>
      <c r="B155" t="inlineStr">
        <is>
          <t>Cloud nativa</t>
        </is>
      </c>
      <c r="C155" t="inlineStr">
        <is>
          <t>AWS Cost Optimization Hub</t>
        </is>
      </c>
      <c r="D155" t="inlineStr">
        <is>
          <t>Multicloud</t>
        </is>
      </c>
      <c r="E155" t="inlineStr">
        <is>
          <t>M2</t>
        </is>
      </c>
      <c r="F155" s="2" t="inlineStr">
        <is>
          <t>¿Hace visibles proveedor, cobertura y diferencias semánticas?</t>
        </is>
      </c>
      <c r="G155" t="n">
        <v>0</v>
      </c>
      <c r="H155" t="inlineStr">
        <is>
          <t>Oficial (ausencia verificada)</t>
        </is>
      </c>
      <c r="I155" s="2" t="inlineStr">
        <is>
          <t>Mismo alcance de diseño que M1.</t>
        </is>
      </c>
      <c r="J155" t="inlineStr">
        <is>
          <t>https://docs.aws.amazon.com/cost-management/latest/userguide/cost-optimization-hub.html</t>
        </is>
      </c>
      <c r="K155" t="inlineStr">
        <is>
          <t>2026-09-16</t>
        </is>
      </c>
      <c r="L15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56">
      <c r="A156" t="inlineStr">
        <is>
          <t>E5</t>
        </is>
      </c>
      <c r="B156" t="inlineStr">
        <is>
          <t>Cloud nativa</t>
        </is>
      </c>
      <c r="C156" t="inlineStr">
        <is>
          <t>AWS Cost Optimization Hub</t>
        </is>
      </c>
      <c r="D156" t="inlineStr">
        <is>
          <t>Integracion</t>
        </is>
      </c>
      <c r="E156" t="inlineStr">
        <is>
          <t>I1</t>
        </is>
      </c>
      <c r="F156" s="2" t="inlineStr">
        <is>
          <t>¿Integra datos requeridos (facturación, uso, clúster o IaC) del escenario?</t>
        </is>
      </c>
      <c r="G156" t="n">
        <v>2</v>
      </c>
      <c r="H156" t="inlineStr">
        <is>
          <t>Oficial</t>
        </is>
      </c>
      <c r="I156" s="2" t="inlineStr">
        <is>
          <t>Consolida datos de recomendaciones desde los servicios soportados de AWS (EC2, RDS, Auto Scaling, etc.) y "accounts for your specific commercial terms with AWS, such as Reserved Instances and Savings Plans".</t>
        </is>
      </c>
      <c r="J156" t="inlineStr">
        <is>
          <t>https://docs.aws.amazon.com/cost-management/latest/userguide/cost-optimization-hub.html</t>
        </is>
      </c>
      <c r="K156" t="inlineStr">
        <is>
          <t>2026-09-16</t>
        </is>
      </c>
      <c r="L156" s="2" t="inlineStr">
        <is>
          <t>Celda heredada FP-180 (2026-09-16): el valor 2 proviene de la investigacion del escenario E1 y no cuenta con evidencia propia de E5. Segun FP-177 el indicador I1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57">
      <c r="A157" t="inlineStr">
        <is>
          <t>E5</t>
        </is>
      </c>
      <c r="B157" t="inlineStr">
        <is>
          <t>Cloud nativa</t>
        </is>
      </c>
      <c r="C157" t="inlineStr">
        <is>
          <t>AWS Cost Optimization Hub</t>
        </is>
      </c>
      <c r="D157" t="inlineStr">
        <is>
          <t>Integracion</t>
        </is>
      </c>
      <c r="E157" t="inlineStr">
        <is>
          <t>I2</t>
        </is>
      </c>
      <c r="F157" s="2" t="inlineStr">
        <is>
          <t>¿Se integra con el flujo de trabajo relevante (alerta, ticket, CI/CD o reporte)?</t>
        </is>
      </c>
      <c r="G157" t="n">
        <v>2</v>
      </c>
      <c r="H157" t="inlineStr">
        <is>
          <t>Oficial</t>
        </is>
      </c>
      <c r="I157" s="2" t="inlineStr">
        <is>
          <t>Las recomendaciones se reportan también en las consolas de los servicios soportados (p. ej., consola de Amazon EC2), integrándose al flujo operativo del equipo.</t>
        </is>
      </c>
      <c r="J157" t="inlineStr">
        <is>
          <t>https://docs.aws.amazon.com/cost-management/latest/userguide/cost-optimization-hub.html</t>
        </is>
      </c>
      <c r="K157" t="inlineStr">
        <is>
          <t>2026-09-16</t>
        </is>
      </c>
      <c r="L157" s="2" t="inlineStr">
        <is>
          <t>Celda heredada FP-180 (2026-09-16): el valor 2 proviene de la investigacion del escenario E1 y no cuenta con evidencia propia de E5. Segun FP-177 el indicador I2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58">
      <c r="A158" t="inlineStr">
        <is>
          <t>E5</t>
        </is>
      </c>
      <c r="B158" t="inlineStr">
        <is>
          <t>Cloud nativa</t>
        </is>
      </c>
      <c r="C158" t="inlineStr">
        <is>
          <t>AWS Cost Optimization Hub</t>
        </is>
      </c>
      <c r="D158" t="inlineStr">
        <is>
          <t>Adopcion</t>
        </is>
      </c>
      <c r="E158" t="inlineStr">
        <is>
          <t>AD1</t>
        </is>
      </c>
      <c r="F158" s="2" t="inlineStr">
        <is>
          <t>¿Soporta acceso/entrega para los roles del escenario?</t>
        </is>
      </c>
      <c r="G158" t="n">
        <v>2</v>
      </c>
      <c r="H158" t="inlineStr">
        <is>
          <t>Oficial (control de acceso IAM estándar; pendiente cita directa)</t>
        </is>
      </c>
      <c r="I158" s="2" t="inlineStr">
        <is>
          <t>El acceso se controla mediante IAM, igual que el resto de la consola de AWS Billing and Cost Management.</t>
        </is>
      </c>
      <c r="J158" t="inlineStr">
        <is>
          <t>https://docs.aws.amazon.com/cost-management/latest/userguide/cost-optimization-hub.html</t>
        </is>
      </c>
      <c r="K158" t="inlineStr">
        <is>
          <t>2026-09-16</t>
        </is>
      </c>
      <c r="L158" s="2" t="inlineStr">
        <is>
          <t>Celda heredada FP-180 (2026-09-16): el valor 2 proviene de la investigacion del escenario E1 y no cuenta con evidencia propia de E5. Segun FP-177 el indicador AD1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59">
      <c r="A159" t="inlineStr">
        <is>
          <t>E5</t>
        </is>
      </c>
      <c r="B159" t="inlineStr">
        <is>
          <t>Cloud nativa</t>
        </is>
      </c>
      <c r="C159" t="inlineStr">
        <is>
          <t>AWS Cost Optimization Hub</t>
        </is>
      </c>
      <c r="D159" t="inlineStr">
        <is>
          <t>Adopcion</t>
        </is>
      </c>
      <c r="E159" t="inlineStr">
        <is>
          <t>AD2</t>
        </is>
      </c>
      <c r="F159" s="2" t="inlineStr">
        <is>
          <t>¿Ofrece guías, ownership o mecanismos de seguimiento para uso sostenido?</t>
        </is>
      </c>
      <c r="G159" t="inlineStr">
        <is>
          <t>NE</t>
        </is>
      </c>
      <c r="H159" t="inlineStr">
        <is>
          <t>Pendiente</t>
        </is>
      </c>
      <c r="I159" s="2" t="inlineStr">
        <is>
          <t>No se identificó una guía de gobernanza/adopción propia y separada de la de Cost Explorer para esta función específica (simplificación de alcance registrada).</t>
        </is>
      </c>
      <c r="J159" t="inlineStr">
        <is>
          <t>https://docs.aws.amazon.com/cost-management/latest/userguide/cost-optimization-hub.html</t>
        </is>
      </c>
      <c r="K159" t="inlineStr">
        <is>
          <t>2026-09-16</t>
        </is>
      </c>
      <c r="L15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60">
      <c r="A160" t="inlineStr">
        <is>
          <t>E5</t>
        </is>
      </c>
      <c r="B160" t="inlineStr">
        <is>
          <t>Cloud nativa</t>
        </is>
      </c>
      <c r="C160" t="inlineStr">
        <is>
          <t>AWS Cost Optimization Hub</t>
        </is>
      </c>
      <c r="D160" t="inlineStr">
        <is>
          <t>Precio</t>
        </is>
      </c>
      <c r="E160" t="inlineStr">
        <is>
          <t>P1</t>
        </is>
      </c>
      <c r="F160" s="2" t="inlineStr">
        <is>
          <t>¿Expone precio, moneda, región, unidad, período y supuestos relevantes?</t>
        </is>
      </c>
      <c r="G160" t="n">
        <v>0</v>
      </c>
      <c r="H160" t="inlineStr">
        <is>
          <t>Oficial (ausencia verificada)</t>
        </is>
      </c>
      <c r="I160" s="2" t="inlineStr">
        <is>
          <t>No expone precio/moneda/región de forma general; sus cifras son de ahorro estimado sobre recomendaciones puntuales, no transparencia de precio del servicio.</t>
        </is>
      </c>
      <c r="J160" t="inlineStr">
        <is>
          <t>https://docs.aws.amazon.com/cost-management/latest/userguide/cost-optimization-hub.html</t>
        </is>
      </c>
      <c r="K160" t="inlineStr">
        <is>
          <t>2026-09-16</t>
        </is>
      </c>
      <c r="L16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61">
      <c r="A161" t="inlineStr">
        <is>
          <t>E5</t>
        </is>
      </c>
      <c r="B161" t="inlineStr">
        <is>
          <t>Cloud nativa</t>
        </is>
      </c>
      <c r="C161" t="inlineStr">
        <is>
          <t>AWS Cost Optimization Hub</t>
        </is>
      </c>
      <c r="D161" t="inlineStr">
        <is>
          <t>Precio</t>
        </is>
      </c>
      <c r="E161" t="inlineStr">
        <is>
          <t>P2</t>
        </is>
      </c>
      <c r="F161" s="2" t="inlineStr">
        <is>
          <t>¿Permite estimar o comparar componentes sin ocultar límites de equivalencia?</t>
        </is>
      </c>
      <c r="G161" t="n">
        <v>0</v>
      </c>
      <c r="H161" t="inlineStr">
        <is>
          <t>Oficial (ausencia verificada)</t>
        </is>
      </c>
      <c r="I161" s="2" t="inlineStr">
        <is>
          <t>No es una herramienta de comparación/estimación de precio contextual (esa función es de AWS Pricing Calculator, evaluada aparte).</t>
        </is>
      </c>
      <c r="J161" t="inlineStr">
        <is>
          <t>https://docs.aws.amazon.com/cost-management/latest/userguide/cost-optimization-hub.html</t>
        </is>
      </c>
      <c r="K161" t="inlineStr">
        <is>
          <t>2026-09-16</t>
        </is>
      </c>
      <c r="L16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P2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62">
      <c r="A162" t="inlineStr">
        <is>
          <t>E5</t>
        </is>
      </c>
      <c r="B162" t="inlineStr">
        <is>
          <t>Cloud nativa</t>
        </is>
      </c>
      <c r="C162" t="inlineStr">
        <is>
          <t>AWS Cost Optimization Hub</t>
        </is>
      </c>
      <c r="D162" t="inlineStr">
        <is>
          <t>Dependencia</t>
        </is>
      </c>
      <c r="E162" t="inlineStr">
        <is>
          <t>D1</t>
        </is>
      </c>
      <c r="F162" s="2" t="inlineStr">
        <is>
          <t>¿Exporta datos/resultados en formato utilizable y documentado?</t>
        </is>
      </c>
      <c r="G162" t="inlineStr">
        <is>
          <t>NE</t>
        </is>
      </c>
      <c r="H162" t="inlineStr">
        <is>
          <t>Pendiente</t>
        </is>
      </c>
      <c r="I162" s="2" t="inlineStr">
        <is>
          <t>No es la fuente primaria de exportación de datos de costo/uso (esa función es del CUR, evaluada dentro de Cost Explorer); simplificación de alcance para evitar doble conteo.</t>
        </is>
      </c>
      <c r="J162" t="inlineStr">
        <is>
          <t>https://docs.aws.amazon.com/cost-management/latest/userguide/cost-optimization-hub.html</t>
        </is>
      </c>
      <c r="K162" t="inlineStr">
        <is>
          <t>2026-09-16</t>
        </is>
      </c>
      <c r="L162"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63">
      <c r="A163" t="inlineStr">
        <is>
          <t>E5</t>
        </is>
      </c>
      <c r="B163" t="inlineStr">
        <is>
          <t>Cloud nativa</t>
        </is>
      </c>
      <c r="C163" t="inlineStr">
        <is>
          <t>AWS Cost Optimization Hub</t>
        </is>
      </c>
      <c r="D163" t="inlineStr">
        <is>
          <t>Dependencia</t>
        </is>
      </c>
      <c r="E163" t="inlineStr">
        <is>
          <t>D2</t>
        </is>
      </c>
      <c r="F163" s="2" t="inlineStr">
        <is>
          <t>¿Documenta dependencias propietarias y un camino de salida/configuración reversible?</t>
        </is>
      </c>
      <c r="G163" t="inlineStr">
        <is>
          <t>NE</t>
        </is>
      </c>
      <c r="H163" t="inlineStr">
        <is>
          <t>Pendiente</t>
        </is>
      </c>
      <c r="I163" s="2" t="inlineStr">
        <is>
          <t>Mismo alcance de diseño que D1.</t>
        </is>
      </c>
      <c r="J163" t="inlineStr">
        <is>
          <t>https://docs.aws.amazon.com/cost-management/latest/userguide/cost-optimization-hub.html</t>
        </is>
      </c>
      <c r="K163" t="inlineStr">
        <is>
          <t>2026-09-16</t>
        </is>
      </c>
      <c r="L163"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64">
      <c r="A164" t="inlineStr">
        <is>
          <t>E6</t>
        </is>
      </c>
      <c r="B164" t="inlineStr">
        <is>
          <t>Cloud nativa</t>
        </is>
      </c>
      <c r="C164" t="inlineStr">
        <is>
          <t>AWS Cost Optimization Hub</t>
        </is>
      </c>
      <c r="D164" t="inlineStr">
        <is>
          <t>Visibilidad</t>
        </is>
      </c>
      <c r="E164" t="inlineStr">
        <is>
          <t>V1</t>
        </is>
      </c>
      <c r="F164" s="2" t="inlineStr">
        <is>
          <t>¿Desagrega costo y uso por cuenta/proyecto, servicio y período?</t>
        </is>
      </c>
      <c r="G164" t="inlineStr">
        <is>
          <t>NE</t>
        </is>
      </c>
      <c r="H164" t="inlineStr">
        <is>
          <t>Pendiente</t>
        </is>
      </c>
      <c r="I164" s="2" t="inlineStr">
        <is>
          <t>Cost Optimization Hub no ofrece un desglose general de costo/uso por cuenta-servicio-período; su función documentada es consolidar y priorizar recomendaciones, no la visibilidad general de gasto (esa función corresponde a Cost Explorer).</t>
        </is>
      </c>
      <c r="J164" t="inlineStr">
        <is>
          <t>https://docs.aws.amazon.com/cost-management/latest/userguide/cost-optimization-hub.html</t>
        </is>
      </c>
      <c r="K164" t="inlineStr">
        <is>
          <t>2026-09-16</t>
        </is>
      </c>
      <c r="L16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V1 depende del escenario, por lo que pasa a NE (no evidenciado, reduce cobertura) hasta investigarlo. La evidencia y la fuente originales se conservan como referencia del escenario de origen.</t>
        </is>
      </c>
    </row>
    <row r="165">
      <c r="A165" t="inlineStr">
        <is>
          <t>E6</t>
        </is>
      </c>
      <c r="B165" t="inlineStr">
        <is>
          <t>Cloud nativa</t>
        </is>
      </c>
      <c r="C165" t="inlineStr">
        <is>
          <t>AWS Cost Optimization Hub</t>
        </is>
      </c>
      <c r="D165" t="inlineStr">
        <is>
          <t>Visibilidad</t>
        </is>
      </c>
      <c r="E165" t="inlineStr">
        <is>
          <t>V2</t>
        </is>
      </c>
      <c r="F165" s="2" t="inlineStr">
        <is>
          <t>¿Permite rastrear un total hasta registros o fuente de facturación?</t>
        </is>
      </c>
      <c r="G165" t="n">
        <v>0</v>
      </c>
      <c r="H165" t="inlineStr">
        <is>
          <t>Oficial (ausencia verificada)</t>
        </is>
      </c>
      <c r="I165" s="2" t="inlineStr">
        <is>
          <t>Mismo alcance de diseño que V1: no es una herramienta de trazabilidad de gasto.</t>
        </is>
      </c>
      <c r="J165" t="inlineStr">
        <is>
          <t>https://docs.aws.amazon.com/cost-management/latest/userguide/cost-optimization-hub.html</t>
        </is>
      </c>
      <c r="K165" t="inlineStr">
        <is>
          <t>2026-09-16</t>
        </is>
      </c>
      <c r="L16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66">
      <c r="A166" t="inlineStr">
        <is>
          <t>E6</t>
        </is>
      </c>
      <c r="B166" t="inlineStr">
        <is>
          <t>Cloud nativa</t>
        </is>
      </c>
      <c r="C166" t="inlineStr">
        <is>
          <t>AWS Cost Optimization Hub</t>
        </is>
      </c>
      <c r="D166" t="inlineStr">
        <is>
          <t>Asignacion</t>
        </is>
      </c>
      <c r="E166" t="inlineStr">
        <is>
          <t>A1</t>
        </is>
      </c>
      <c r="F166" s="2" t="inlineStr">
        <is>
          <t>¿Calcula gasto asignado/no asignado por responsable, centro o entidad?</t>
        </is>
      </c>
      <c r="G166" t="n">
        <v>0</v>
      </c>
      <c r="H166" t="inlineStr">
        <is>
          <t>Oficial (ausencia verificada)</t>
        </is>
      </c>
      <c r="I166" s="2" t="inlineStr">
        <is>
          <t>No calcula asignación de gasto por responsable/centro de costo; opera sobre recomendaciones de optimización, no sobre asignación.</t>
        </is>
      </c>
      <c r="J166" t="inlineStr">
        <is>
          <t>https://docs.aws.amazon.com/cost-management/latest/userguide/cost-optimization-hub.html</t>
        </is>
      </c>
      <c r="K166" t="inlineStr">
        <is>
          <t>2026-09-16</t>
        </is>
      </c>
      <c r="L16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A1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67">
      <c r="A167" t="inlineStr">
        <is>
          <t>E6</t>
        </is>
      </c>
      <c r="B167" t="inlineStr">
        <is>
          <t>Cloud nativa</t>
        </is>
      </c>
      <c r="C167" t="inlineStr">
        <is>
          <t>AWS Cost Optimization Hub</t>
        </is>
      </c>
      <c r="D167" t="inlineStr">
        <is>
          <t>Asignacion</t>
        </is>
      </c>
      <c r="E167" t="inlineStr">
        <is>
          <t>A2</t>
        </is>
      </c>
      <c r="F167" s="2" t="inlineStr">
        <is>
          <t>¿Explicita y aplica reglas para costo compartido/multi-tenant?</t>
        </is>
      </c>
      <c r="G167" t="n">
        <v>0</v>
      </c>
      <c r="H167" t="inlineStr">
        <is>
          <t>Oficial (ausencia verificada)</t>
        </is>
      </c>
      <c r="I167" s="2" t="inlineStr">
        <is>
          <t>No define reglas de reparto de costo compartido.</t>
        </is>
      </c>
      <c r="J167" t="inlineStr">
        <is>
          <t>https://docs.aws.amazon.com/cost-management/latest/userguide/cost-optimization-hub.html</t>
        </is>
      </c>
      <c r="K167" t="inlineStr">
        <is>
          <t>2026-09-16</t>
        </is>
      </c>
      <c r="L16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A2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68">
      <c r="A168" t="inlineStr">
        <is>
          <t>E6</t>
        </is>
      </c>
      <c r="B168" t="inlineStr">
        <is>
          <t>Cloud nativa</t>
        </is>
      </c>
      <c r="C168" t="inlineStr">
        <is>
          <t>AWS Cost Optimization Hub</t>
        </is>
      </c>
      <c r="D168" t="inlineStr">
        <is>
          <t>Optimizacion</t>
        </is>
      </c>
      <c r="E168" t="inlineStr">
        <is>
          <t>O1</t>
        </is>
      </c>
      <c r="F168" s="2" t="inlineStr">
        <is>
          <t>¿Detecta desperdicio, rightsizing o compromiso relevante al escenario?</t>
        </is>
      </c>
      <c r="G168" t="n">
        <v>2</v>
      </c>
      <c r="H168" t="inlineStr">
        <is>
          <t>Oficial</t>
        </is>
      </c>
      <c r="I168" s="2" t="inlineStr">
        <is>
          <t>"It makes recommendations on resource rightsizing, idle resource deletion, Savings Plans, and Reserved Instances" y permite "filtering, sorting, and grouping" para priorizar oportunidades.</t>
        </is>
      </c>
      <c r="J168" t="inlineStr">
        <is>
          <t>https://docs.aws.amazon.com/cost-management/latest/userguide/cost-optimization-hub.html</t>
        </is>
      </c>
      <c r="K168" t="inlineStr">
        <is>
          <t>2026-09-16</t>
        </is>
      </c>
      <c r="L168" s="2" t="inlineStr">
        <is>
          <t>Celda heredada FP-180 (2026-09-16): el valor 2 proviene de la investigacion del escenario E1 y no cuenta con evidencia propia de E6. Segun FP-177 el indicador O1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69">
      <c r="A169" t="inlineStr">
        <is>
          <t>E6</t>
        </is>
      </c>
      <c r="B169" t="inlineStr">
        <is>
          <t>Cloud nativa</t>
        </is>
      </c>
      <c r="C169" t="inlineStr">
        <is>
          <t>AWS Cost Optimization Hub</t>
        </is>
      </c>
      <c r="D169" t="inlineStr">
        <is>
          <t>Optimizacion</t>
        </is>
      </c>
      <c r="E169" t="inlineStr">
        <is>
          <t>O2</t>
        </is>
      </c>
      <c r="F169" s="2" t="inlineStr">
        <is>
          <t>¿Explica supuesto/impacto y permite seguir una recomendación?</t>
        </is>
      </c>
      <c r="G169" t="n">
        <v>2</v>
      </c>
      <c r="H169" t="inlineStr">
        <is>
          <t>Oficial</t>
        </is>
      </c>
      <c r="I169" s="2" t="inlineStr">
        <is>
          <t>"Quantify estimated savings that incorporate your AWS pricing and discounts" y "track progress to maximize your return on cloud investments", con posibilidad de fijar objetivos de ahorro.</t>
        </is>
      </c>
      <c r="J169" t="inlineStr">
        <is>
          <t>https://docs.aws.amazon.com/cost-management/latest/userguide/cost-optimization-hub.html</t>
        </is>
      </c>
      <c r="K169" t="inlineStr">
        <is>
          <t>2026-09-16</t>
        </is>
      </c>
      <c r="L169" s="2" t="inlineStr"/>
    </row>
    <row r="170">
      <c r="A170" t="inlineStr">
        <is>
          <t>E6</t>
        </is>
      </c>
      <c r="B170" t="inlineStr">
        <is>
          <t>Cloud nativa</t>
        </is>
      </c>
      <c r="C170" t="inlineStr">
        <is>
          <t>AWS Cost Optimization Hub</t>
        </is>
      </c>
      <c r="D170" t="inlineStr">
        <is>
          <t>Automatizacion</t>
        </is>
      </c>
      <c r="E170" t="inlineStr">
        <is>
          <t>AU1</t>
        </is>
      </c>
      <c r="F170" s="2" t="inlineStr">
        <is>
          <t>¿Ejecuta o bloquea acciones/políticas de costo con control verificable?</t>
        </is>
      </c>
      <c r="G170" t="n">
        <v>0</v>
      </c>
      <c r="H170" t="inlineStr">
        <is>
          <t>Oficial (ausencia verificada)</t>
        </is>
      </c>
      <c r="I170" s="2" t="inlineStr">
        <is>
          <t>Cost Optimization Hub recomienda pero no ejecuta acciones; la ejecución/control automatizado corresponde a AWS Budgets (evaluado dentro de Cost Explorer en este trabajo).</t>
        </is>
      </c>
      <c r="J170" t="inlineStr">
        <is>
          <t>https://docs.aws.amazon.com/cost-management/latest/userguide/cost-optimization-hub.html</t>
        </is>
      </c>
      <c r="K170" t="inlineStr">
        <is>
          <t>2026-09-16</t>
        </is>
      </c>
      <c r="L17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AU1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71">
      <c r="A171" t="inlineStr">
        <is>
          <t>E6</t>
        </is>
      </c>
      <c r="B171" t="inlineStr">
        <is>
          <t>Cloud nativa</t>
        </is>
      </c>
      <c r="C171" t="inlineStr">
        <is>
          <t>AWS Cost Optimization Hub</t>
        </is>
      </c>
      <c r="D171" t="inlineStr">
        <is>
          <t>Automatizacion</t>
        </is>
      </c>
      <c r="E171" t="inlineStr">
        <is>
          <t>AU2</t>
        </is>
      </c>
      <c r="F171" s="2" t="inlineStr">
        <is>
          <t>¿Ofrece aprobación, reversión, registro o límites antes de actuar?</t>
        </is>
      </c>
      <c r="G171" t="inlineStr">
        <is>
          <t>NA</t>
        </is>
      </c>
      <c r="H171" t="inlineStr">
        <is>
          <t>Justificación de alcance</t>
        </is>
      </c>
      <c r="I171" s="2" t="inlineStr">
        <is>
          <t>Mismo alcance de diseño que AU1: no ejecuta, por lo que no aplica evaluar salvaguardas de ejecución.</t>
        </is>
      </c>
      <c r="J171" t="inlineStr">
        <is>
          <t>https://docs.aws.amazon.com/cost-management/latest/userguide/cost-optimization-hub.html</t>
        </is>
      </c>
      <c r="K171" t="inlineStr">
        <is>
          <t>2026-09-16</t>
        </is>
      </c>
      <c r="L171" s="2" t="inlineStr"/>
    </row>
    <row r="172">
      <c r="A172" t="inlineStr">
        <is>
          <t>E6</t>
        </is>
      </c>
      <c r="B172" t="inlineStr">
        <is>
          <t>Cloud nativa</t>
        </is>
      </c>
      <c r="C172" t="inlineStr">
        <is>
          <t>AWS Cost Optimization Hub</t>
        </is>
      </c>
      <c r="D172" t="inlineStr">
        <is>
          <t>Multicloud</t>
        </is>
      </c>
      <c r="E172" t="inlineStr">
        <is>
          <t>M1</t>
        </is>
      </c>
      <c r="F172" s="2" t="inlineStr">
        <is>
          <t>¿Consolida al menos dos proveedores bajo el mismo esquema declarado?</t>
        </is>
      </c>
      <c r="G172" t="n">
        <v>0</v>
      </c>
      <c r="H172" t="inlineStr">
        <is>
          <t>Oficial (ausencia verificada)</t>
        </is>
      </c>
      <c r="I172" s="2" t="inlineStr">
        <is>
          <t>Cubre exclusivamente cuentas de AWS; no está diseñada para consolidar Azure/GCP.</t>
        </is>
      </c>
      <c r="J172" t="inlineStr">
        <is>
          <t>https://docs.aws.amazon.com/cost-management/latest/userguide/cost-optimization-hub.html</t>
        </is>
      </c>
      <c r="K172" t="inlineStr">
        <is>
          <t>2026-09-16</t>
        </is>
      </c>
      <c r="L17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73">
      <c r="A173" t="inlineStr">
        <is>
          <t>E6</t>
        </is>
      </c>
      <c r="B173" t="inlineStr">
        <is>
          <t>Cloud nativa</t>
        </is>
      </c>
      <c r="C173" t="inlineStr">
        <is>
          <t>AWS Cost Optimization Hub</t>
        </is>
      </c>
      <c r="D173" t="inlineStr">
        <is>
          <t>Multicloud</t>
        </is>
      </c>
      <c r="E173" t="inlineStr">
        <is>
          <t>M2</t>
        </is>
      </c>
      <c r="F173" s="2" t="inlineStr">
        <is>
          <t>¿Hace visibles proveedor, cobertura y diferencias semánticas?</t>
        </is>
      </c>
      <c r="G173" t="n">
        <v>0</v>
      </c>
      <c r="H173" t="inlineStr">
        <is>
          <t>Oficial (ausencia verificada)</t>
        </is>
      </c>
      <c r="I173" s="2" t="inlineStr">
        <is>
          <t>Mismo alcance de diseño que M1.</t>
        </is>
      </c>
      <c r="J173" t="inlineStr">
        <is>
          <t>https://docs.aws.amazon.com/cost-management/latest/userguide/cost-optimization-hub.html</t>
        </is>
      </c>
      <c r="K173" t="inlineStr">
        <is>
          <t>2026-09-16</t>
        </is>
      </c>
      <c r="L17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74">
      <c r="A174" t="inlineStr">
        <is>
          <t>E6</t>
        </is>
      </c>
      <c r="B174" t="inlineStr">
        <is>
          <t>Cloud nativa</t>
        </is>
      </c>
      <c r="C174" t="inlineStr">
        <is>
          <t>AWS Cost Optimization Hub</t>
        </is>
      </c>
      <c r="D174" t="inlineStr">
        <is>
          <t>Integracion</t>
        </is>
      </c>
      <c r="E174" t="inlineStr">
        <is>
          <t>I1</t>
        </is>
      </c>
      <c r="F174" s="2" t="inlineStr">
        <is>
          <t>¿Integra datos requeridos (facturación, uso, clúster o IaC) del escenario?</t>
        </is>
      </c>
      <c r="G174" t="inlineStr">
        <is>
          <t>NE</t>
        </is>
      </c>
      <c r="H174" t="inlineStr">
        <is>
          <t>Pendiente</t>
        </is>
      </c>
      <c r="I174" s="2" t="inlineStr">
        <is>
          <t>Consolida datos de recomendaciones desde los servicios soportados de AWS (EC2, RDS, Auto Scaling, etc.) y "accounts for your specific commercial terms with AWS, such as Reserved Instances and Savings Plans".</t>
        </is>
      </c>
      <c r="J174" t="inlineStr">
        <is>
          <t>https://docs.aws.amazon.com/cost-management/latest/userguide/cost-optimization-hub.html</t>
        </is>
      </c>
      <c r="K174" t="inlineStr">
        <is>
          <t>2026-09-16</t>
        </is>
      </c>
      <c r="L174" s="2" t="inlineStr">
        <is>
          <t>Celda heredada FP-180 (2026-09-16): el valor 2 proviene de la investigacion del escenario E1 y no cuenta con evidencia propia de E6. Segun FP-177 el indicador I1 depende del escenario, por lo que pasa a NE (no evidenciado, reduce cobertura) hasta investigarlo. La evidencia y la fuente originales se conservan como referencia del escenario de origen.</t>
        </is>
      </c>
    </row>
    <row r="175">
      <c r="A175" t="inlineStr">
        <is>
          <t>E6</t>
        </is>
      </c>
      <c r="B175" t="inlineStr">
        <is>
          <t>Cloud nativa</t>
        </is>
      </c>
      <c r="C175" t="inlineStr">
        <is>
          <t>AWS Cost Optimization Hub</t>
        </is>
      </c>
      <c r="D175" t="inlineStr">
        <is>
          <t>Integracion</t>
        </is>
      </c>
      <c r="E175" t="inlineStr">
        <is>
          <t>I2</t>
        </is>
      </c>
      <c r="F175" s="2" t="inlineStr">
        <is>
          <t>¿Se integra con el flujo de trabajo relevante (alerta, ticket, CI/CD o reporte)?</t>
        </is>
      </c>
      <c r="G175" t="n">
        <v>2</v>
      </c>
      <c r="H175" t="inlineStr">
        <is>
          <t>Oficial</t>
        </is>
      </c>
      <c r="I175" s="2" t="inlineStr">
        <is>
          <t>Las recomendaciones se reportan también en las consolas de los servicios soportados (p. ej., consola de Amazon EC2), integrándose al flujo operativo del equipo.</t>
        </is>
      </c>
      <c r="J175" t="inlineStr">
        <is>
          <t>https://docs.aws.amazon.com/cost-management/latest/userguide/cost-optimization-hub.html</t>
        </is>
      </c>
      <c r="K175" t="inlineStr">
        <is>
          <t>2026-09-16</t>
        </is>
      </c>
      <c r="L175" s="2" t="inlineStr">
        <is>
          <t>Celda heredada FP-180 (2026-09-16): el valor 2 proviene de la investigacion del escenario E1 y no cuenta con evidencia propia de E6. Segun FP-177 el indicador I2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76">
      <c r="A176" t="inlineStr">
        <is>
          <t>E6</t>
        </is>
      </c>
      <c r="B176" t="inlineStr">
        <is>
          <t>Cloud nativa</t>
        </is>
      </c>
      <c r="C176" t="inlineStr">
        <is>
          <t>AWS Cost Optimization Hub</t>
        </is>
      </c>
      <c r="D176" t="inlineStr">
        <is>
          <t>Adopcion</t>
        </is>
      </c>
      <c r="E176" t="inlineStr">
        <is>
          <t>AD1</t>
        </is>
      </c>
      <c r="F176" s="2" t="inlineStr">
        <is>
          <t>¿Soporta acceso/entrega para los roles del escenario?</t>
        </is>
      </c>
      <c r="G176" t="n">
        <v>2</v>
      </c>
      <c r="H176" t="inlineStr">
        <is>
          <t>Oficial (control de acceso IAM estándar; pendiente cita directa)</t>
        </is>
      </c>
      <c r="I176" s="2" t="inlineStr">
        <is>
          <t>El acceso se controla mediante IAM, igual que el resto de la consola de AWS Billing and Cost Management.</t>
        </is>
      </c>
      <c r="J176" t="inlineStr">
        <is>
          <t>https://docs.aws.amazon.com/cost-management/latest/userguide/cost-optimization-hub.html</t>
        </is>
      </c>
      <c r="K176" t="inlineStr">
        <is>
          <t>2026-09-16</t>
        </is>
      </c>
      <c r="L176" s="2" t="inlineStr">
        <is>
          <t>Celda heredada FP-180 (2026-09-16): el valor 2 proviene de la investigacion del escenario E1 y no cuenta con evidencia propia de E6. Segun FP-177 el indicador AD1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77">
      <c r="A177" t="inlineStr">
        <is>
          <t>E6</t>
        </is>
      </c>
      <c r="B177" t="inlineStr">
        <is>
          <t>Cloud nativa</t>
        </is>
      </c>
      <c r="C177" t="inlineStr">
        <is>
          <t>AWS Cost Optimization Hub</t>
        </is>
      </c>
      <c r="D177" t="inlineStr">
        <is>
          <t>Adopcion</t>
        </is>
      </c>
      <c r="E177" t="inlineStr">
        <is>
          <t>AD2</t>
        </is>
      </c>
      <c r="F177" s="2" t="inlineStr">
        <is>
          <t>¿Ofrece guías, ownership o mecanismos de seguimiento para uso sostenido?</t>
        </is>
      </c>
      <c r="G177" t="inlineStr">
        <is>
          <t>NE</t>
        </is>
      </c>
      <c r="H177" t="inlineStr">
        <is>
          <t>Pendiente</t>
        </is>
      </c>
      <c r="I177" s="2" t="inlineStr">
        <is>
          <t>No se identificó una guía de gobernanza/adopción propia y separada de la de Cost Explorer para esta función específica (simplificación de alcance registrada).</t>
        </is>
      </c>
      <c r="J177" t="inlineStr">
        <is>
          <t>https://docs.aws.amazon.com/cost-management/latest/userguide/cost-optimization-hub.html</t>
        </is>
      </c>
      <c r="K177" t="inlineStr">
        <is>
          <t>2026-09-16</t>
        </is>
      </c>
      <c r="L177"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78">
      <c r="A178" t="inlineStr">
        <is>
          <t>E6</t>
        </is>
      </c>
      <c r="B178" t="inlineStr">
        <is>
          <t>Cloud nativa</t>
        </is>
      </c>
      <c r="C178" t="inlineStr">
        <is>
          <t>AWS Cost Optimization Hub</t>
        </is>
      </c>
      <c r="D178" t="inlineStr">
        <is>
          <t>Precio</t>
        </is>
      </c>
      <c r="E178" t="inlineStr">
        <is>
          <t>P1</t>
        </is>
      </c>
      <c r="F178" s="2" t="inlineStr">
        <is>
          <t>¿Expone precio, moneda, región, unidad, período y supuestos relevantes?</t>
        </is>
      </c>
      <c r="G178" t="n">
        <v>0</v>
      </c>
      <c r="H178" t="inlineStr">
        <is>
          <t>Oficial (ausencia verificada)</t>
        </is>
      </c>
      <c r="I178" s="2" t="inlineStr">
        <is>
          <t>No expone precio/moneda/región de forma general; sus cifras son de ahorro estimado sobre recomendaciones puntuales, no transparencia de precio del servicio.</t>
        </is>
      </c>
      <c r="J178" t="inlineStr">
        <is>
          <t>https://docs.aws.amazon.com/cost-management/latest/userguide/cost-optimization-hub.html</t>
        </is>
      </c>
      <c r="K178" t="inlineStr">
        <is>
          <t>2026-09-16</t>
        </is>
      </c>
      <c r="L17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79">
      <c r="A179" t="inlineStr">
        <is>
          <t>E6</t>
        </is>
      </c>
      <c r="B179" t="inlineStr">
        <is>
          <t>Cloud nativa</t>
        </is>
      </c>
      <c r="C179" t="inlineStr">
        <is>
          <t>AWS Cost Optimization Hub</t>
        </is>
      </c>
      <c r="D179" t="inlineStr">
        <is>
          <t>Precio</t>
        </is>
      </c>
      <c r="E179" t="inlineStr">
        <is>
          <t>P2</t>
        </is>
      </c>
      <c r="F179" s="2" t="inlineStr">
        <is>
          <t>¿Permite estimar o comparar componentes sin ocultar límites de equivalencia?</t>
        </is>
      </c>
      <c r="G179" t="n">
        <v>0</v>
      </c>
      <c r="H179" t="inlineStr">
        <is>
          <t>Oficial (ausencia verificada)</t>
        </is>
      </c>
      <c r="I179" s="2" t="inlineStr">
        <is>
          <t>No es una herramienta de comparación/estimación de precio contextual (esa función es de AWS Pricing Calculator, evaluada aparte).</t>
        </is>
      </c>
      <c r="J179" t="inlineStr">
        <is>
          <t>https://docs.aws.amazon.com/cost-management/latest/userguide/cost-optimization-hub.html</t>
        </is>
      </c>
      <c r="K179" t="inlineStr">
        <is>
          <t>2026-09-16</t>
        </is>
      </c>
      <c r="L17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P2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80">
      <c r="A180" t="inlineStr">
        <is>
          <t>E6</t>
        </is>
      </c>
      <c r="B180" t="inlineStr">
        <is>
          <t>Cloud nativa</t>
        </is>
      </c>
      <c r="C180" t="inlineStr">
        <is>
          <t>AWS Cost Optimization Hub</t>
        </is>
      </c>
      <c r="D180" t="inlineStr">
        <is>
          <t>Dependencia</t>
        </is>
      </c>
      <c r="E180" t="inlineStr">
        <is>
          <t>D1</t>
        </is>
      </c>
      <c r="F180" s="2" t="inlineStr">
        <is>
          <t>¿Exporta datos/resultados en formato utilizable y documentado?</t>
        </is>
      </c>
      <c r="G180" t="inlineStr">
        <is>
          <t>NE</t>
        </is>
      </c>
      <c r="H180" t="inlineStr">
        <is>
          <t>Pendiente</t>
        </is>
      </c>
      <c r="I180" s="2" t="inlineStr">
        <is>
          <t>No es la fuente primaria de exportación de datos de costo/uso (esa función es del CUR, evaluada dentro de Cost Explorer); simplificación de alcance para evitar doble conteo.</t>
        </is>
      </c>
      <c r="J180" t="inlineStr">
        <is>
          <t>https://docs.aws.amazon.com/cost-management/latest/userguide/cost-optimization-hub.html</t>
        </is>
      </c>
      <c r="K180" t="inlineStr">
        <is>
          <t>2026-09-16</t>
        </is>
      </c>
      <c r="L180"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81">
      <c r="A181" t="inlineStr">
        <is>
          <t>E6</t>
        </is>
      </c>
      <c r="B181" t="inlineStr">
        <is>
          <t>Cloud nativa</t>
        </is>
      </c>
      <c r="C181" t="inlineStr">
        <is>
          <t>AWS Cost Optimization Hub</t>
        </is>
      </c>
      <c r="D181" t="inlineStr">
        <is>
          <t>Dependencia</t>
        </is>
      </c>
      <c r="E181" t="inlineStr">
        <is>
          <t>D2</t>
        </is>
      </c>
      <c r="F181" s="2" t="inlineStr">
        <is>
          <t>¿Documenta dependencias propietarias y un camino de salida/configuración reversible?</t>
        </is>
      </c>
      <c r="G181" t="inlineStr">
        <is>
          <t>NE</t>
        </is>
      </c>
      <c r="H181" t="inlineStr">
        <is>
          <t>Pendiente</t>
        </is>
      </c>
      <c r="I181" s="2" t="inlineStr">
        <is>
          <t>Mismo alcance de diseño que D1.</t>
        </is>
      </c>
      <c r="J181" t="inlineStr">
        <is>
          <t>https://docs.aws.amazon.com/cost-management/latest/userguide/cost-optimization-hub.html</t>
        </is>
      </c>
      <c r="K181" t="inlineStr">
        <is>
          <t>2026-09-16</t>
        </is>
      </c>
      <c r="L181"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182">
      <c r="A182" t="inlineStr">
        <is>
          <t>E1</t>
        </is>
      </c>
      <c r="B182" t="inlineStr">
        <is>
          <t>Cloud nativa</t>
        </is>
      </c>
      <c r="C182" t="inlineStr">
        <is>
          <t>Azure Cost Management</t>
        </is>
      </c>
      <c r="D182" t="inlineStr">
        <is>
          <t>Visibilidad</t>
        </is>
      </c>
      <c r="E182" t="inlineStr">
        <is>
          <t>V1</t>
        </is>
      </c>
      <c r="F182" s="2" t="inlineStr">
        <is>
          <t>¿Desagrega costo y uso por cuenta/proyecto, servicio y período?</t>
        </is>
      </c>
      <c r="G182" t="n">
        <v>2</v>
      </c>
      <c r="H182" t="inlineStr">
        <is>
          <t>Oficial</t>
        </is>
      </c>
      <c r="I182" s="2" t="inlineStr">
        <is>
          <t>Cost analysis permite desglosar y filtrar por suscripción, grupo de recursos, servicio, etiqueta y periodo ("Common cost analysis uses"); en AKS ofrece además vistas de Kubernetes namespaces y assets con desglose de idle/service/system/unallocated charges.</t>
        </is>
      </c>
      <c r="J182" t="inlineStr">
        <is>
          <t>https://learn.microsoft.com/en-us/azure/cost-management-billing/costs/cost-analysis-common-uses</t>
        </is>
      </c>
      <c r="K182" t="inlineStr">
        <is>
          <t>2026-09-16</t>
        </is>
      </c>
      <c r="L182" s="2" t="inlineStr"/>
    </row>
    <row r="183">
      <c r="A183" t="inlineStr">
        <is>
          <t>E1</t>
        </is>
      </c>
      <c r="B183" t="inlineStr">
        <is>
          <t>Cloud nativa</t>
        </is>
      </c>
      <c r="C183" t="inlineStr">
        <is>
          <t>Azure Cost Management</t>
        </is>
      </c>
      <c r="D183" t="inlineStr">
        <is>
          <t>Visibilidad</t>
        </is>
      </c>
      <c r="E183" t="inlineStr">
        <is>
          <t>V2</t>
        </is>
      </c>
      <c r="F183" s="2" t="inlineStr">
        <is>
          <t>¿Permite rastrear un total hasta registros o fuente de facturación?</t>
        </is>
      </c>
      <c r="G183" t="n">
        <v>2</v>
      </c>
      <c r="H183" t="inlineStr">
        <is>
          <t>Oficial</t>
        </is>
      </c>
      <c r="I183" s="2" t="inlineStr">
        <is>
          <t>Los exports de Cost Management (incluido el esquema FOCUS) reconcilian con la factura: "Usage data is reconciled with your Azure invoice data".</t>
        </is>
      </c>
      <c r="J183" t="inlineStr">
        <is>
          <t>https://learn.microsoft.com/en-us/azure/aks/cost-analysis</t>
        </is>
      </c>
      <c r="K183" t="inlineStr">
        <is>
          <t>2026-09-16</t>
        </is>
      </c>
      <c r="L183" s="2" t="inlineStr"/>
    </row>
    <row r="184">
      <c r="A184" t="inlineStr">
        <is>
          <t>E1</t>
        </is>
      </c>
      <c r="B184" t="inlineStr">
        <is>
          <t>Cloud nativa</t>
        </is>
      </c>
      <c r="C184" t="inlineStr">
        <is>
          <t>Azure Cost Management</t>
        </is>
      </c>
      <c r="D184" t="inlineStr">
        <is>
          <t>Asignacion</t>
        </is>
      </c>
      <c r="E184" t="inlineStr">
        <is>
          <t>A1</t>
        </is>
      </c>
      <c r="F184" s="2" t="inlineStr">
        <is>
          <t>¿Calcula gasto asignado/no asignado por responsable, centro o entidad?</t>
        </is>
      </c>
      <c r="G184" t="n">
        <v>2</v>
      </c>
      <c r="H184" t="inlineStr">
        <is>
          <t>Oficial</t>
        </is>
      </c>
      <c r="I184" s="2" t="inlineStr">
        <is>
          <t>Cost allocation rules reasignan costos de servicios compartidos entre suscripciones/grupos de recursos/etiquetas; en AKS se expone explícitamente una categoria de "Unallocated charges" (costo no asignable a namespaces).</t>
        </is>
      </c>
      <c r="J184" t="inlineStr">
        <is>
          <t>https://learn.microsoft.com/en-us/azure/cost-management-billing/costs/allocate-costs</t>
        </is>
      </c>
      <c r="K184" t="inlineStr">
        <is>
          <t>2026-09-16</t>
        </is>
      </c>
      <c r="L184" s="2" t="inlineStr"/>
    </row>
    <row r="185">
      <c r="A185" t="inlineStr">
        <is>
          <t>E1</t>
        </is>
      </c>
      <c r="B185" t="inlineStr">
        <is>
          <t>Cloud nativa</t>
        </is>
      </c>
      <c r="C185" t="inlineStr">
        <is>
          <t>Azure Cost Management</t>
        </is>
      </c>
      <c r="D185" t="inlineStr">
        <is>
          <t>Asignacion</t>
        </is>
      </c>
      <c r="E185" t="inlineStr">
        <is>
          <t>A2</t>
        </is>
      </c>
      <c r="F185" s="2" t="inlineStr">
        <is>
          <t>¿Explicita y aplica reglas para costo compartido/multi-tenant?</t>
        </is>
      </c>
      <c r="G185" t="n">
        <v>2</v>
      </c>
      <c r="H185" t="inlineStr">
        <is>
          <t>Oficial</t>
        </is>
      </c>
      <c r="I185" s="2" t="inlineStr">
        <is>
          <t>Las cost allocation rules ofrecen varios metodos de reparto (Distribute evenly, Total/Compute/Storage/Network cost, Custom) con porcentajes explicitos que "don't change" salvo edicion manual de la regla, y se procesan "in the order in which they get created".</t>
        </is>
      </c>
      <c r="J185" t="inlineStr">
        <is>
          <t>https://learn.microsoft.com/en-us/azure/cost-management-billing/costs/allocate-costs</t>
        </is>
      </c>
      <c r="K185" t="inlineStr">
        <is>
          <t>2026-09-16</t>
        </is>
      </c>
      <c r="L185" s="2" t="inlineStr"/>
    </row>
    <row r="186">
      <c r="A186" t="inlineStr">
        <is>
          <t>E1</t>
        </is>
      </c>
      <c r="B186" t="inlineStr">
        <is>
          <t>Cloud nativa</t>
        </is>
      </c>
      <c r="C186" t="inlineStr">
        <is>
          <t>Azure Cost Management</t>
        </is>
      </c>
      <c r="D186" t="inlineStr">
        <is>
          <t>Optimizacion</t>
        </is>
      </c>
      <c r="E186" t="inlineStr">
        <is>
          <t>O1</t>
        </is>
      </c>
      <c r="F186" s="2" t="inlineStr">
        <is>
          <t>¿Detecta desperdicio, rightsizing o compromiso relevante al escenario?</t>
        </is>
      </c>
      <c r="G186" t="n">
        <v>2</v>
      </c>
      <c r="H186" t="inlineStr">
        <is>
          <t>Oficial</t>
        </is>
      </c>
      <c r="I186" s="2" t="inlineStr">
        <is>
          <t>Azure Advisor genera recomendaciones de rightsizing/apagado de recursos inactivos y reservas en múltiples servicios (VM, App Service, MySQL, Cosmos DB, Data Explorer), con métodos de cálculo de ahorro documentados por servicio.</t>
        </is>
      </c>
      <c r="J186" t="inlineStr">
        <is>
          <t>https://learn.microsoft.com/en-us/azure/advisor/advisor-reference-cost-recommendations</t>
        </is>
      </c>
      <c r="K186" t="inlineStr">
        <is>
          <t>2026-09-16</t>
        </is>
      </c>
      <c r="L186" s="2" t="inlineStr"/>
    </row>
    <row r="187">
      <c r="A187" t="inlineStr">
        <is>
          <t>E1</t>
        </is>
      </c>
      <c r="B187" t="inlineStr">
        <is>
          <t>Cloud nativa</t>
        </is>
      </c>
      <c r="C187" t="inlineStr">
        <is>
          <t>Azure Cost Management</t>
        </is>
      </c>
      <c r="D187" t="inlineStr">
        <is>
          <t>Optimizacion</t>
        </is>
      </c>
      <c r="E187" t="inlineStr">
        <is>
          <t>O2</t>
        </is>
      </c>
      <c r="F187" s="2" t="inlineStr">
        <is>
          <t>¿Explica supuesto/impacto y permite seguir una recomendación?</t>
        </is>
      </c>
      <c r="G187" t="n">
        <v>1</v>
      </c>
      <c r="H187" t="inlineStr">
        <is>
          <t>Oficial</t>
        </is>
      </c>
      <c r="I187" s="2" t="inlineStr">
        <is>
          <t>Advisor explica el impacto y metodologia de ahorro por recomendacion, pero la documentacion revisada no describe un sistema de seguimiento de estado integrado ("no detalla como hacer seguimiento del estado especifico de cada recomendacion").</t>
        </is>
      </c>
      <c r="J187" t="inlineStr">
        <is>
          <t>https://learn.microsoft.com/en-us/azure/advisor/advisor-reference-cost-recommendations</t>
        </is>
      </c>
      <c r="K187" t="inlineStr">
        <is>
          <t>2026-09-16</t>
        </is>
      </c>
      <c r="L187" s="2" t="inlineStr"/>
    </row>
    <row r="188">
      <c r="A188" t="inlineStr">
        <is>
          <t>E1</t>
        </is>
      </c>
      <c r="B188" t="inlineStr">
        <is>
          <t>Cloud nativa</t>
        </is>
      </c>
      <c r="C188" t="inlineStr">
        <is>
          <t>Azure Cost Management</t>
        </is>
      </c>
      <c r="D188" t="inlineStr">
        <is>
          <t>Automatizacion</t>
        </is>
      </c>
      <c r="E188" t="inlineStr">
        <is>
          <t>AU1</t>
        </is>
      </c>
      <c r="F188" s="2" t="inlineStr">
        <is>
          <t>¿Ejecuta o bloquea acciones/políticas de costo con control verificable?</t>
        </is>
      </c>
      <c r="G188" t="n">
        <v>2</v>
      </c>
      <c r="H188" t="inlineStr">
        <is>
          <t>Oficial</t>
        </is>
      </c>
      <c r="I188" s="2" t="inlineStr">
        <is>
          <t>Los budgets disparan Action Groups que ejecutan Automation Runbooks/Logic Apps/webhooks automáticamente al superar un umbral; el escenario oficial detiene VMs automáticamente al 80% y 100% del presupuesto, sin paso de aprobación incorporado.</t>
        </is>
      </c>
      <c r="J188" t="inlineStr">
        <is>
          <t>https://learn.microsoft.com/en-us/azure/cost-management-billing/manage/cost-management-budget-scenario</t>
        </is>
      </c>
      <c r="K188" t="inlineStr">
        <is>
          <t>2026-09-16</t>
        </is>
      </c>
      <c r="L188" s="2" t="inlineStr"/>
    </row>
    <row r="189">
      <c r="A189" t="inlineStr">
        <is>
          <t>E1</t>
        </is>
      </c>
      <c r="B189" t="inlineStr">
        <is>
          <t>Cloud nativa</t>
        </is>
      </c>
      <c r="C189" t="inlineStr">
        <is>
          <t>Azure Cost Management</t>
        </is>
      </c>
      <c r="D189" t="inlineStr">
        <is>
          <t>Automatizacion</t>
        </is>
      </c>
      <c r="E189" t="inlineStr">
        <is>
          <t>AU2</t>
        </is>
      </c>
      <c r="F189" s="2" t="inlineStr">
        <is>
          <t>¿Ofrece aprobación, reversión, registro o límites antes de actuar?</t>
        </is>
      </c>
      <c r="G189" t="n">
        <v>1</v>
      </c>
      <c r="H189" t="inlineStr">
        <is>
          <t>Oficial</t>
        </is>
      </c>
      <c r="I189" s="2" t="inlineStr">
        <is>
          <t>La documentación no describe un paso de aprobación manual nativo antes de ejecutar la acción, ni detalla registro de auditoría o reversión; requeriría construir esa salvaguarda dentro del Logic App/Runbook.</t>
        </is>
      </c>
      <c r="J189" t="inlineStr">
        <is>
          <t>https://learn.microsoft.com/en-us/azure/cost-management-billing/manage/cost-management-budget-scenario</t>
        </is>
      </c>
      <c r="K189" t="inlineStr">
        <is>
          <t>2026-09-16</t>
        </is>
      </c>
      <c r="L189" s="2" t="inlineStr"/>
    </row>
    <row r="190">
      <c r="A190" t="inlineStr">
        <is>
          <t>E1</t>
        </is>
      </c>
      <c r="B190" t="inlineStr">
        <is>
          <t>Cloud nativa</t>
        </is>
      </c>
      <c r="C190" t="inlineStr">
        <is>
          <t>Azure Cost Management</t>
        </is>
      </c>
      <c r="D190" t="inlineStr">
        <is>
          <t>Multicloud</t>
        </is>
      </c>
      <c r="E190" t="inlineStr">
        <is>
          <t>M1</t>
        </is>
      </c>
      <c r="F190" s="2" t="inlineStr">
        <is>
          <t>¿Consolida al menos dos proveedores bajo el mismo esquema declarado?</t>
        </is>
      </c>
      <c r="G190" t="n">
        <v>0</v>
      </c>
      <c r="H190" t="inlineStr">
        <is>
          <t>Oficial</t>
        </is>
      </c>
      <c r="I190" s="2" t="inlineStr">
        <is>
          <t>Cost Management cubre exclusivamente cuentas y suscripciones de Azure; no ingiere ni consolida datos de AWS/GCP dentro de la misma consola.</t>
        </is>
      </c>
      <c r="J190" t="inlineStr">
        <is>
          <t>https://learn.microsoft.com/en-us/azure/cost-management-billing/dataset-schema/cost-usage-details-focus</t>
        </is>
      </c>
      <c r="K190" t="inlineStr">
        <is>
          <t>2026-09-16</t>
        </is>
      </c>
      <c r="L190" s="2" t="inlineStr"/>
    </row>
    <row r="191">
      <c r="A191" t="inlineStr">
        <is>
          <t>E1</t>
        </is>
      </c>
      <c r="B191" t="inlineStr">
        <is>
          <t>Cloud nativa</t>
        </is>
      </c>
      <c r="C191" t="inlineStr">
        <is>
          <t>Azure Cost Management</t>
        </is>
      </c>
      <c r="D191" t="inlineStr">
        <is>
          <t>Multicloud</t>
        </is>
      </c>
      <c r="E191" t="inlineStr">
        <is>
          <t>M2</t>
        </is>
      </c>
      <c r="F191" s="2" t="inlineStr">
        <is>
          <t>¿Hace visibles proveedor, cobertura y diferencias semánticas?</t>
        </is>
      </c>
      <c r="G191" t="n">
        <v>0</v>
      </c>
      <c r="H191" t="inlineStr">
        <is>
          <t>Oficial</t>
        </is>
      </c>
      <c r="I191" s="2" t="inlineStr">
        <is>
          <t>Al no consolidar otros proveedores, no expone diferencias de cobertura o semántica entre nubes.</t>
        </is>
      </c>
      <c r="J191" t="inlineStr">
        <is>
          <t>https://learn.microsoft.com/en-us/azure/cost-management-billing/dataset-schema/cost-usage-details-focus</t>
        </is>
      </c>
      <c r="K191" t="inlineStr">
        <is>
          <t>2026-09-16</t>
        </is>
      </c>
      <c r="L191" s="2" t="inlineStr"/>
    </row>
    <row r="192">
      <c r="A192" t="inlineStr">
        <is>
          <t>E1</t>
        </is>
      </c>
      <c r="B192" t="inlineStr">
        <is>
          <t>Cloud nativa</t>
        </is>
      </c>
      <c r="C192" t="inlineStr">
        <is>
          <t>Azure Cost Management</t>
        </is>
      </c>
      <c r="D192" t="inlineStr">
        <is>
          <t>Integracion</t>
        </is>
      </c>
      <c r="E192" t="inlineStr">
        <is>
          <t>I1</t>
        </is>
      </c>
      <c r="F192" s="2" t="inlineStr">
        <is>
          <t>¿Integra datos requeridos (facturación, uso, clúster o IaC) del escenario?</t>
        </is>
      </c>
      <c r="G192" t="n">
        <v>2</v>
      </c>
      <c r="H192" t="inlineStr">
        <is>
          <t>Oficial</t>
        </is>
      </c>
      <c r="I192"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192" t="inlineStr">
        <is>
          <t>https://learn.microsoft.com/en-us/azure/aks/cost-analysis</t>
        </is>
      </c>
      <c r="K192" t="inlineStr">
        <is>
          <t>2026-09-16</t>
        </is>
      </c>
      <c r="L192" s="2" t="inlineStr"/>
    </row>
    <row r="193">
      <c r="A193" t="inlineStr">
        <is>
          <t>E1</t>
        </is>
      </c>
      <c r="B193" t="inlineStr">
        <is>
          <t>Cloud nativa</t>
        </is>
      </c>
      <c r="C193" t="inlineStr">
        <is>
          <t>Azure Cost Management</t>
        </is>
      </c>
      <c r="D193" t="inlineStr">
        <is>
          <t>Integracion</t>
        </is>
      </c>
      <c r="E193" t="inlineStr">
        <is>
          <t>I2</t>
        </is>
      </c>
      <c r="F193" s="2" t="inlineStr">
        <is>
          <t>¿Se integra con el flujo de trabajo relevante (alerta, ticket, CI/CD o reporte)?</t>
        </is>
      </c>
      <c r="G193" t="n">
        <v>2</v>
      </c>
      <c r="H193" t="inlineStr">
        <is>
          <t>Oficial</t>
        </is>
      </c>
      <c r="I193" s="2" t="inlineStr">
        <is>
          <t>Los Action Groups integran budgets con notificaciones, webhooks y Logic Apps, incorporando el evento de costo a un flujo operativo.</t>
        </is>
      </c>
      <c r="J193" t="inlineStr">
        <is>
          <t>https://learn.microsoft.com/en-us/azure/cost-management-billing/manage/cost-management-budget-scenario</t>
        </is>
      </c>
      <c r="K193" t="inlineStr">
        <is>
          <t>2026-09-16</t>
        </is>
      </c>
      <c r="L193" s="2" t="inlineStr"/>
    </row>
    <row r="194">
      <c r="A194" t="inlineStr">
        <is>
          <t>E1</t>
        </is>
      </c>
      <c r="B194" t="inlineStr">
        <is>
          <t>Cloud nativa</t>
        </is>
      </c>
      <c r="C194" t="inlineStr">
        <is>
          <t>Azure Cost Management</t>
        </is>
      </c>
      <c r="D194" t="inlineStr">
        <is>
          <t>Adopcion</t>
        </is>
      </c>
      <c r="E194" t="inlineStr">
        <is>
          <t>AD1</t>
        </is>
      </c>
      <c r="F194" s="2" t="inlineStr">
        <is>
          <t>¿Soporta acceso/entrega para los roles del escenario?</t>
        </is>
      </c>
      <c r="G194" t="n">
        <v>2</v>
      </c>
      <c r="H194" t="inlineStr">
        <is>
          <t>Oficial</t>
        </is>
      </c>
      <c r="I194" s="2" t="inlineStr">
        <is>
          <t>El acceso a los datos de Cost Management se controla con roles RBAC ("Cost Management Reader"/"Contributor") acotados por scope (grupo de gestion, suscripcion, grupo de recursos).</t>
        </is>
      </c>
      <c r="J194" t="inlineStr">
        <is>
          <t>https://learn.microsoft.com/en-us/azure/cost-management-billing/costs/assign-access-acm-data</t>
        </is>
      </c>
      <c r="K194" t="inlineStr">
        <is>
          <t>2026-09-16</t>
        </is>
      </c>
      <c r="L194" s="2" t="inlineStr"/>
    </row>
    <row r="195">
      <c r="A195" t="inlineStr">
        <is>
          <t>E1</t>
        </is>
      </c>
      <c r="B195" t="inlineStr">
        <is>
          <t>Cloud nativa</t>
        </is>
      </c>
      <c r="C195" t="inlineStr">
        <is>
          <t>Azure Cost Management</t>
        </is>
      </c>
      <c r="D195" t="inlineStr">
        <is>
          <t>Adopcion</t>
        </is>
      </c>
      <c r="E195" t="inlineStr">
        <is>
          <t>AD2</t>
        </is>
      </c>
      <c r="F195" s="2" t="inlineStr">
        <is>
          <t>¿Ofrece guías, ownership o mecanismos de seguimiento para uso sostenido?</t>
        </is>
      </c>
      <c r="G195" t="n">
        <v>2</v>
      </c>
      <c r="H195" t="inlineStr">
        <is>
          <t>Oficial</t>
        </is>
      </c>
      <c r="I195" s="2" t="inlineStr">
        <is>
          <t>Microsoft mantiene guias oficiales de adopcion y un blog dedicado de FinOps ("FinOps Blog") con practicas de gestion de costo.</t>
        </is>
      </c>
      <c r="J195" t="inlineStr">
        <is>
          <t>https://techcommunity.microsoft.com/blog/finopsblog/generally-available-enhanced-cost-management-exports/4407748</t>
        </is>
      </c>
      <c r="K195" t="inlineStr">
        <is>
          <t>2026-09-16</t>
        </is>
      </c>
      <c r="L195" s="2" t="inlineStr"/>
    </row>
    <row r="196">
      <c r="A196" t="inlineStr">
        <is>
          <t>E1</t>
        </is>
      </c>
      <c r="B196" t="inlineStr">
        <is>
          <t>Cloud nativa</t>
        </is>
      </c>
      <c r="C196" t="inlineStr">
        <is>
          <t>Azure Cost Management</t>
        </is>
      </c>
      <c r="D196" t="inlineStr">
        <is>
          <t>Precio</t>
        </is>
      </c>
      <c r="E196" t="inlineStr">
        <is>
          <t>P1</t>
        </is>
      </c>
      <c r="F196" s="2" t="inlineStr">
        <is>
          <t>¿Expone precio, moneda, región, unidad, período y supuestos relevantes?</t>
        </is>
      </c>
      <c r="G196" t="n">
        <v>2</v>
      </c>
      <c r="H196" t="inlineStr">
        <is>
          <t>Oficial</t>
        </is>
      </c>
      <c r="I196" s="2" t="inlineStr">
        <is>
          <t>Los exports en esquema FOCUS exponen columnas estandarizadas (BilledCost, EffectiveCost, ListCost, PricingQuantity) con moneda, periodo y servicio.</t>
        </is>
      </c>
      <c r="J196" t="inlineStr">
        <is>
          <t>https://learn.microsoft.com/en-us/azure/cost-management-billing/dataset-schema/cost-usage-details-focus</t>
        </is>
      </c>
      <c r="K196" t="inlineStr">
        <is>
          <t>2026-09-16</t>
        </is>
      </c>
      <c r="L196" s="2" t="inlineStr"/>
    </row>
    <row r="197">
      <c r="A197" t="inlineStr">
        <is>
          <t>E1</t>
        </is>
      </c>
      <c r="B197" t="inlineStr">
        <is>
          <t>Cloud nativa</t>
        </is>
      </c>
      <c r="C197" t="inlineStr">
        <is>
          <t>Azure Cost Management</t>
        </is>
      </c>
      <c r="D197" t="inlineStr">
        <is>
          <t>Precio</t>
        </is>
      </c>
      <c r="E197" t="inlineStr">
        <is>
          <t>P2</t>
        </is>
      </c>
      <c r="F197" s="2" t="inlineStr">
        <is>
          <t>¿Permite estimar o comparar componentes sin ocultar límites de equivalencia?</t>
        </is>
      </c>
      <c r="G197" t="n">
        <v>1</v>
      </c>
      <c r="H197" t="inlineStr">
        <is>
          <t>Oficial</t>
        </is>
      </c>
      <c r="I197" s="2" t="inlineStr">
        <is>
          <t>Cost Management no incluye una calculadora de estimacion de componentes previa al despliegue (esa funcion es de Azure Pricing Calculator, evaluada aparte en E4).</t>
        </is>
      </c>
      <c r="J197" t="inlineStr">
        <is>
          <t>https://learn.microsoft.com/en-us/azure/cost-management-billing/costs/cost-analysis-common-uses</t>
        </is>
      </c>
      <c r="K197" t="inlineStr">
        <is>
          <t>2026-09-16</t>
        </is>
      </c>
      <c r="L197" s="2" t="inlineStr"/>
    </row>
    <row r="198">
      <c r="A198" t="inlineStr">
        <is>
          <t>E1</t>
        </is>
      </c>
      <c r="B198" t="inlineStr">
        <is>
          <t>Cloud nativa</t>
        </is>
      </c>
      <c r="C198" t="inlineStr">
        <is>
          <t>Azure Cost Management</t>
        </is>
      </c>
      <c r="D198" t="inlineStr">
        <is>
          <t>Dependencia</t>
        </is>
      </c>
      <c r="E198" t="inlineStr">
        <is>
          <t>D1</t>
        </is>
      </c>
      <c r="F198" s="2" t="inlineStr">
        <is>
          <t>¿Exporta datos/resultados en formato utilizable y documentado?</t>
        </is>
      </c>
      <c r="G198" t="n">
        <v>2</v>
      </c>
      <c r="H198" t="inlineStr">
        <is>
          <t>Oficial</t>
        </is>
      </c>
      <c r="I198" s="2" t="inlineStr">
        <is>
          <t>Los exports entregan datos en CSV/Parquet y en el esquema abierto FOCUS hacia una cuenta de almacenamiento.</t>
        </is>
      </c>
      <c r="J198" t="inlineStr">
        <is>
          <t>https://learn.microsoft.com/en-us/azure/cost-management-billing/costs/tutorial-improved-exports</t>
        </is>
      </c>
      <c r="K198" t="inlineStr">
        <is>
          <t>2026-09-16</t>
        </is>
      </c>
      <c r="L198" s="2" t="inlineStr"/>
    </row>
    <row r="199">
      <c r="A199" t="inlineStr">
        <is>
          <t>E1</t>
        </is>
      </c>
      <c r="B199" t="inlineStr">
        <is>
          <t>Cloud nativa</t>
        </is>
      </c>
      <c r="C199" t="inlineStr">
        <is>
          <t>Azure Cost Management</t>
        </is>
      </c>
      <c r="D199" t="inlineStr">
        <is>
          <t>Dependencia</t>
        </is>
      </c>
      <c r="E199" t="inlineStr">
        <is>
          <t>D2</t>
        </is>
      </c>
      <c r="F199" s="2" t="inlineStr">
        <is>
          <t>¿Documenta dependencias propietarias y un camino de salida/configuración reversible?</t>
        </is>
      </c>
      <c r="G199" t="n">
        <v>1</v>
      </c>
      <c r="H199" t="inlineStr">
        <is>
          <t>Oficial</t>
        </is>
      </c>
      <c r="I199" s="2" t="inlineStr">
        <is>
          <t>No se encontró documentación dedicada sobre un camino de salida o reversibilidad de la configuración; el riesgo de dependencia se atenúa porque los datos son exportables en formato estándar FOCUS.</t>
        </is>
      </c>
      <c r="J199" t="inlineStr">
        <is>
          <t>https://learn.microsoft.com/en-us/azure/cost-management-billing/dataset-schema/cost-usage-details-focus</t>
        </is>
      </c>
      <c r="K199" t="inlineStr">
        <is>
          <t>2026-09-16</t>
        </is>
      </c>
      <c r="L199" s="2" t="inlineStr"/>
    </row>
    <row r="200">
      <c r="A200" t="inlineStr">
        <is>
          <t>E2</t>
        </is>
      </c>
      <c r="B200" t="inlineStr">
        <is>
          <t>Cloud nativa</t>
        </is>
      </c>
      <c r="C200" t="inlineStr">
        <is>
          <t>Azure Cost Management</t>
        </is>
      </c>
      <c r="D200" t="inlineStr">
        <is>
          <t>Visibilidad</t>
        </is>
      </c>
      <c r="E200" t="inlineStr">
        <is>
          <t>V1</t>
        </is>
      </c>
      <c r="F200" s="2" t="inlineStr">
        <is>
          <t>¿Desagrega costo y uso por cuenta/proyecto, servicio y período?</t>
        </is>
      </c>
      <c r="G200" t="inlineStr">
        <is>
          <t>NE</t>
        </is>
      </c>
      <c r="H200" t="inlineStr">
        <is>
          <t>Pendiente</t>
        </is>
      </c>
      <c r="I200" s="2" t="inlineStr">
        <is>
          <t>Cost analysis permite desglosar y filtrar por suscripción, grupo de recursos, servicio, etiqueta y periodo ("Common cost analysis uses"); en AKS ofrece además vistas de Kubernetes namespaces y assets con desglose de idle/service/system/unallocated charges.</t>
        </is>
      </c>
      <c r="J200" t="inlineStr">
        <is>
          <t>https://learn.microsoft.com/en-us/azure/cost-management-billing/costs/cost-analysis-common-uses</t>
        </is>
      </c>
      <c r="K200" t="inlineStr">
        <is>
          <t>2026-09-16</t>
        </is>
      </c>
      <c r="L200" s="2" t="inlineStr">
        <is>
          <t>Celda heredada FP-180 (2026-09-16): el valor 2 proviene de la investigacion del escenario E1 y no cuenta con evidencia propia de E2. Segun FP-177 el indicador V1 depende del escenario, por lo que pasa a NE (no evidenciado, reduce cobertura) hasta investigarlo. La evidencia y la fuente originales se conservan como referencia del escenario de origen.</t>
        </is>
      </c>
    </row>
    <row r="201">
      <c r="A201" t="inlineStr">
        <is>
          <t>E2</t>
        </is>
      </c>
      <c r="B201" t="inlineStr">
        <is>
          <t>Cloud nativa</t>
        </is>
      </c>
      <c r="C201" t="inlineStr">
        <is>
          <t>Azure Cost Management</t>
        </is>
      </c>
      <c r="D201" t="inlineStr">
        <is>
          <t>Visibilidad</t>
        </is>
      </c>
      <c r="E201" t="inlineStr">
        <is>
          <t>V2</t>
        </is>
      </c>
      <c r="F201" s="2" t="inlineStr">
        <is>
          <t>¿Permite rastrear un total hasta registros o fuente de facturación?</t>
        </is>
      </c>
      <c r="G201" t="n">
        <v>2</v>
      </c>
      <c r="H201" t="inlineStr">
        <is>
          <t>Oficial</t>
        </is>
      </c>
      <c r="I201" s="2" t="inlineStr">
        <is>
          <t>Los exports de Cost Management (incluido el esquema FOCUS) reconcilian con la factura: "Usage data is reconciled with your Azure invoice data".</t>
        </is>
      </c>
      <c r="J201" t="inlineStr">
        <is>
          <t>https://learn.microsoft.com/en-us/azure/aks/cost-analysis</t>
        </is>
      </c>
      <c r="K201" t="inlineStr">
        <is>
          <t>2026-09-16</t>
        </is>
      </c>
      <c r="L201" s="2" t="inlineStr"/>
    </row>
    <row r="202">
      <c r="A202" t="inlineStr">
        <is>
          <t>E2</t>
        </is>
      </c>
      <c r="B202" t="inlineStr">
        <is>
          <t>Cloud nativa</t>
        </is>
      </c>
      <c r="C202" t="inlineStr">
        <is>
          <t>Azure Cost Management</t>
        </is>
      </c>
      <c r="D202" t="inlineStr">
        <is>
          <t>Asignacion</t>
        </is>
      </c>
      <c r="E202" t="inlineStr">
        <is>
          <t>A1</t>
        </is>
      </c>
      <c r="F202" s="2" t="inlineStr">
        <is>
          <t>¿Calcula gasto asignado/no asignado por responsable, centro o entidad?</t>
        </is>
      </c>
      <c r="G202" t="inlineStr">
        <is>
          <t>NE</t>
        </is>
      </c>
      <c r="H202" t="inlineStr">
        <is>
          <t>Pendiente</t>
        </is>
      </c>
      <c r="I202" s="2" t="inlineStr">
        <is>
          <t>Cost allocation rules reasignan costos de servicios compartidos entre suscripciones/grupos de recursos/etiquetas; en AKS se expone explícitamente una categoria de "Unallocated charges" (costo no asignable a namespaces).</t>
        </is>
      </c>
      <c r="J202" t="inlineStr">
        <is>
          <t>https://learn.microsoft.com/en-us/azure/cost-management-billing/costs/allocate-costs</t>
        </is>
      </c>
      <c r="K202" t="inlineStr">
        <is>
          <t>2026-09-16</t>
        </is>
      </c>
      <c r="L202" s="2" t="inlineStr">
        <is>
          <t>Celda heredada FP-180 (2026-09-16): el valor 2 proviene de la investigacion del escenario E1 y no cuenta con evidencia propia de E2. Segun FP-177 el indicador A1 depende del escenario, por lo que pasa a NE (no evidenciado, reduce cobertura) hasta investigarlo. La evidencia y la fuente originales se conservan como referencia del escenario de origen.</t>
        </is>
      </c>
    </row>
    <row r="203">
      <c r="A203" t="inlineStr">
        <is>
          <t>E2</t>
        </is>
      </c>
      <c r="B203" t="inlineStr">
        <is>
          <t>Cloud nativa</t>
        </is>
      </c>
      <c r="C203" t="inlineStr">
        <is>
          <t>Azure Cost Management</t>
        </is>
      </c>
      <c r="D203" t="inlineStr">
        <is>
          <t>Asignacion</t>
        </is>
      </c>
      <c r="E203" t="inlineStr">
        <is>
          <t>A2</t>
        </is>
      </c>
      <c r="F203" s="2" t="inlineStr">
        <is>
          <t>¿Explicita y aplica reglas para costo compartido/multi-tenant?</t>
        </is>
      </c>
      <c r="G203" t="inlineStr">
        <is>
          <t>NE</t>
        </is>
      </c>
      <c r="H203" t="inlineStr">
        <is>
          <t>Pendiente</t>
        </is>
      </c>
      <c r="I203" s="2" t="inlineStr">
        <is>
          <t>Las cost allocation rules ofrecen varios metodos de reparto (Distribute evenly, Total/Compute/Storage/Network cost, Custom) con porcentajes explicitos que "don't change" salvo edicion manual de la regla, y se procesan "in the order in which they get created".</t>
        </is>
      </c>
      <c r="J203" t="inlineStr">
        <is>
          <t>https://learn.microsoft.com/en-us/azure/cost-management-billing/costs/allocate-costs</t>
        </is>
      </c>
      <c r="K203" t="inlineStr">
        <is>
          <t>2026-09-16</t>
        </is>
      </c>
      <c r="L203" s="2" t="inlineStr">
        <is>
          <t>Celda heredada FP-180 (2026-09-16): el valor 2 proviene de la investigacion del escenario E1 y no cuenta con evidencia propia de E2. Segun FP-177 el indicador A2 depende del escenario, por lo que pasa a NE (no evidenciado, reduce cobertura) hasta investigarlo. La evidencia y la fuente originales se conservan como referencia del escenario de origen.</t>
        </is>
      </c>
    </row>
    <row r="204">
      <c r="A204" t="inlineStr">
        <is>
          <t>E2</t>
        </is>
      </c>
      <c r="B204" t="inlineStr">
        <is>
          <t>Cloud nativa</t>
        </is>
      </c>
      <c r="C204" t="inlineStr">
        <is>
          <t>Azure Cost Management</t>
        </is>
      </c>
      <c r="D204" t="inlineStr">
        <is>
          <t>Optimizacion</t>
        </is>
      </c>
      <c r="E204" t="inlineStr">
        <is>
          <t>O1</t>
        </is>
      </c>
      <c r="F204" s="2" t="inlineStr">
        <is>
          <t>¿Detecta desperdicio, rightsizing o compromiso relevante al escenario?</t>
        </is>
      </c>
      <c r="G204" t="inlineStr">
        <is>
          <t>NE</t>
        </is>
      </c>
      <c r="H204" t="inlineStr">
        <is>
          <t>Pendiente</t>
        </is>
      </c>
      <c r="I204" s="2" t="inlineStr">
        <is>
          <t>Azure Advisor genera recomendaciones de rightsizing/apagado de recursos inactivos y reservas en múltiples servicios (VM, App Service, MySQL, Cosmos DB, Data Explorer), con métodos de cálculo de ahorro documentados por servicio.</t>
        </is>
      </c>
      <c r="J204" t="inlineStr">
        <is>
          <t>https://learn.microsoft.com/en-us/azure/advisor/advisor-reference-cost-recommendations</t>
        </is>
      </c>
      <c r="K204" t="inlineStr">
        <is>
          <t>2026-09-16</t>
        </is>
      </c>
      <c r="L204" s="2" t="inlineStr">
        <is>
          <t>Celda heredada FP-180 (2026-09-16): el valor 2 proviene de la investigacion del escenario E1 y no cuenta con evidencia propia de E2. Segun FP-177 el indicador O1 depende del escenario, por lo que pasa a NE (no evidenciado, reduce cobertura) hasta investigarlo. La evidencia y la fuente originales se conservan como referencia del escenario de origen.</t>
        </is>
      </c>
    </row>
    <row r="205">
      <c r="A205" t="inlineStr">
        <is>
          <t>E2</t>
        </is>
      </c>
      <c r="B205" t="inlineStr">
        <is>
          <t>Cloud nativa</t>
        </is>
      </c>
      <c r="C205" t="inlineStr">
        <is>
          <t>Azure Cost Management</t>
        </is>
      </c>
      <c r="D205" t="inlineStr">
        <is>
          <t>Optimizacion</t>
        </is>
      </c>
      <c r="E205" t="inlineStr">
        <is>
          <t>O2</t>
        </is>
      </c>
      <c r="F205" s="2" t="inlineStr">
        <is>
          <t>¿Explica supuesto/impacto y permite seguir una recomendación?</t>
        </is>
      </c>
      <c r="G205" t="n">
        <v>1</v>
      </c>
      <c r="H205" t="inlineStr">
        <is>
          <t>Oficial</t>
        </is>
      </c>
      <c r="I205" s="2" t="inlineStr">
        <is>
          <t>Advisor explica el impacto y metodologia de ahorro por recomendacion, pero la documentacion revisada no describe un sistema de seguimiento de estado integrado ("no detalla como hacer seguimiento del estado especifico de cada recomendacion").</t>
        </is>
      </c>
      <c r="J205" t="inlineStr">
        <is>
          <t>https://learn.microsoft.com/en-us/azure/advisor/advisor-reference-cost-recommendations</t>
        </is>
      </c>
      <c r="K205" t="inlineStr">
        <is>
          <t>2026-09-16</t>
        </is>
      </c>
      <c r="L205" s="2" t="inlineStr"/>
    </row>
    <row r="206">
      <c r="A206" t="inlineStr">
        <is>
          <t>E2</t>
        </is>
      </c>
      <c r="B206" t="inlineStr">
        <is>
          <t>Cloud nativa</t>
        </is>
      </c>
      <c r="C206" t="inlineStr">
        <is>
          <t>Azure Cost Management</t>
        </is>
      </c>
      <c r="D206" t="inlineStr">
        <is>
          <t>Automatizacion</t>
        </is>
      </c>
      <c r="E206" t="inlineStr">
        <is>
          <t>AU1</t>
        </is>
      </c>
      <c r="F206" s="2" t="inlineStr">
        <is>
          <t>¿Ejecuta o bloquea acciones/políticas de costo con control verificable?</t>
        </is>
      </c>
      <c r="G206" t="inlineStr">
        <is>
          <t>NE</t>
        </is>
      </c>
      <c r="H206" t="inlineStr">
        <is>
          <t>Pendiente</t>
        </is>
      </c>
      <c r="I206" s="2" t="inlineStr">
        <is>
          <t>Los budgets disparan Action Groups que ejecutan Automation Runbooks/Logic Apps/webhooks automáticamente al superar un umbral; el escenario oficial detiene VMs automáticamente al 80% y 100% del presupuesto, sin paso de aprobación incorporado.</t>
        </is>
      </c>
      <c r="J206" t="inlineStr">
        <is>
          <t>https://learn.microsoft.com/en-us/azure/cost-management-billing/manage/cost-management-budget-scenario</t>
        </is>
      </c>
      <c r="K206" t="inlineStr">
        <is>
          <t>2026-09-16</t>
        </is>
      </c>
      <c r="L206" s="2" t="inlineStr">
        <is>
          <t>Celda heredada FP-180 (2026-09-16): el valor 2 proviene de la investigacion del escenario E1 y no cuenta con evidencia propia de E2. Segun FP-177 el indicador AU1 depende del escenario, por lo que pasa a NE (no evidenciado, reduce cobertura) hasta investigarlo. La evidencia y la fuente originales se conservan como referencia del escenario de origen.</t>
        </is>
      </c>
    </row>
    <row r="207">
      <c r="A207" t="inlineStr">
        <is>
          <t>E2</t>
        </is>
      </c>
      <c r="B207" t="inlineStr">
        <is>
          <t>Cloud nativa</t>
        </is>
      </c>
      <c r="C207" t="inlineStr">
        <is>
          <t>Azure Cost Management</t>
        </is>
      </c>
      <c r="D207" t="inlineStr">
        <is>
          <t>Automatizacion</t>
        </is>
      </c>
      <c r="E207" t="inlineStr">
        <is>
          <t>AU2</t>
        </is>
      </c>
      <c r="F207" s="2" t="inlineStr">
        <is>
          <t>¿Ofrece aprobación, reversión, registro o límites antes de actuar?</t>
        </is>
      </c>
      <c r="G207" t="n">
        <v>1</v>
      </c>
      <c r="H207" t="inlineStr">
        <is>
          <t>Oficial</t>
        </is>
      </c>
      <c r="I207" s="2" t="inlineStr">
        <is>
          <t>La documentación no describe un paso de aprobación manual nativo antes de ejecutar la acción, ni detalla registro de auditoría o reversión; requeriría construir esa salvaguarda dentro del Logic App/Runbook.</t>
        </is>
      </c>
      <c r="J207" t="inlineStr">
        <is>
          <t>https://learn.microsoft.com/en-us/azure/cost-management-billing/manage/cost-management-budget-scenario</t>
        </is>
      </c>
      <c r="K207" t="inlineStr">
        <is>
          <t>2026-09-16</t>
        </is>
      </c>
      <c r="L207" s="2" t="inlineStr"/>
    </row>
    <row r="208">
      <c r="A208" t="inlineStr">
        <is>
          <t>E2</t>
        </is>
      </c>
      <c r="B208" t="inlineStr">
        <is>
          <t>Cloud nativa</t>
        </is>
      </c>
      <c r="C208" t="inlineStr">
        <is>
          <t>Azure Cost Management</t>
        </is>
      </c>
      <c r="D208" t="inlineStr">
        <is>
          <t>Multicloud</t>
        </is>
      </c>
      <c r="E208" t="inlineStr">
        <is>
          <t>M1</t>
        </is>
      </c>
      <c r="F208" s="2" t="inlineStr">
        <is>
          <t>¿Consolida al menos dos proveedores bajo el mismo esquema declarado?</t>
        </is>
      </c>
      <c r="G208" t="inlineStr">
        <is>
          <t>NA</t>
        </is>
      </c>
      <c r="H208" t="inlineStr">
        <is>
          <t>Justificacion de alcance</t>
        </is>
      </c>
      <c r="I208" s="2"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208" t="inlineStr">
        <is>
          <t>https://learn.microsoft.com/en-us/azure/cost-management-billing/dataset-schema/cost-usage-details-focus</t>
        </is>
      </c>
      <c r="K208" t="inlineStr">
        <is>
          <t>2026-09-16</t>
        </is>
      </c>
      <c r="L208" s="2" t="inlineStr">
        <is>
          <t>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209">
      <c r="A209" t="inlineStr">
        <is>
          <t>E2</t>
        </is>
      </c>
      <c r="B209" t="inlineStr">
        <is>
          <t>Cloud nativa</t>
        </is>
      </c>
      <c r="C209" t="inlineStr">
        <is>
          <t>Azure Cost Management</t>
        </is>
      </c>
      <c r="D209" t="inlineStr">
        <is>
          <t>Multicloud</t>
        </is>
      </c>
      <c r="E209" t="inlineStr">
        <is>
          <t>M2</t>
        </is>
      </c>
      <c r="F209" s="2" t="inlineStr">
        <is>
          <t>¿Hace visibles proveedor, cobertura y diferencias semánticas?</t>
        </is>
      </c>
      <c r="G209" t="inlineStr">
        <is>
          <t>NA</t>
        </is>
      </c>
      <c r="H209" t="inlineStr">
        <is>
          <t>Justificacion de alcance</t>
        </is>
      </c>
      <c r="I209" s="2"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209" t="inlineStr">
        <is>
          <t>https://learn.microsoft.com/en-us/azure/cost-management-billing/dataset-schema/cost-usage-details-focus</t>
        </is>
      </c>
      <c r="K209" t="inlineStr">
        <is>
          <t>2026-09-16</t>
        </is>
      </c>
      <c r="L209" s="2" t="inlineStr">
        <is>
          <t>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210">
      <c r="A210" t="inlineStr">
        <is>
          <t>E2</t>
        </is>
      </c>
      <c r="B210" t="inlineStr">
        <is>
          <t>Cloud nativa</t>
        </is>
      </c>
      <c r="C210" t="inlineStr">
        <is>
          <t>Azure Cost Management</t>
        </is>
      </c>
      <c r="D210" t="inlineStr">
        <is>
          <t>Integracion</t>
        </is>
      </c>
      <c r="E210" t="inlineStr">
        <is>
          <t>I1</t>
        </is>
      </c>
      <c r="F210" s="2" t="inlineStr">
        <is>
          <t>¿Integra datos requeridos (facturación, uso, clúster o IaC) del escenario?</t>
        </is>
      </c>
      <c r="G210" t="inlineStr">
        <is>
          <t>NE</t>
        </is>
      </c>
      <c r="H210" t="inlineStr">
        <is>
          <t>Pendiente</t>
        </is>
      </c>
      <c r="I210"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10" t="inlineStr">
        <is>
          <t>https://learn.microsoft.com/en-us/azure/aks/cost-analysis</t>
        </is>
      </c>
      <c r="K210" t="inlineStr">
        <is>
          <t>2026-09-16</t>
        </is>
      </c>
      <c r="L210" s="2" t="inlineStr">
        <is>
          <t>Celda heredada FP-180 (2026-09-16): el valor 2 proviene de la investigacion del escenario E1 y no cuenta con evidencia propia de E2. Segun FP-177 el indicador I1 depende del escenario, por lo que pasa a NE (no evidenciado, reduce cobertura) hasta investigarlo. La evidencia y la fuente originales se conservan como referencia del escenario de origen.</t>
        </is>
      </c>
    </row>
    <row r="211">
      <c r="A211" t="inlineStr">
        <is>
          <t>E2</t>
        </is>
      </c>
      <c r="B211" t="inlineStr">
        <is>
          <t>Cloud nativa</t>
        </is>
      </c>
      <c r="C211" t="inlineStr">
        <is>
          <t>Azure Cost Management</t>
        </is>
      </c>
      <c r="D211" t="inlineStr">
        <is>
          <t>Integracion</t>
        </is>
      </c>
      <c r="E211" t="inlineStr">
        <is>
          <t>I2</t>
        </is>
      </c>
      <c r="F211" s="2" t="inlineStr">
        <is>
          <t>¿Se integra con el flujo de trabajo relevante (alerta, ticket, CI/CD o reporte)?</t>
        </is>
      </c>
      <c r="G211" t="inlineStr">
        <is>
          <t>NE</t>
        </is>
      </c>
      <c r="H211" t="inlineStr">
        <is>
          <t>Pendiente</t>
        </is>
      </c>
      <c r="I211" s="2" t="inlineStr">
        <is>
          <t>Los Action Groups integran budgets con notificaciones, webhooks y Logic Apps, incorporando el evento de costo a un flujo operativo.</t>
        </is>
      </c>
      <c r="J211" t="inlineStr">
        <is>
          <t>https://learn.microsoft.com/en-us/azure/cost-management-billing/manage/cost-management-budget-scenario</t>
        </is>
      </c>
      <c r="K211" t="inlineStr">
        <is>
          <t>2026-09-16</t>
        </is>
      </c>
      <c r="L211" s="2" t="inlineStr">
        <is>
          <t>Celda heredada FP-180 (2026-09-16): el valor 2 proviene de la investigacion del escenario E1 y no cuenta con evidencia propia de E2. Segun FP-177 el indicador I2 depende del escenario, por lo que pasa a NE (no evidenciado, reduce cobertura) hasta investigarlo. La evidencia y la fuente originales se conservan como referencia del escenario de origen.</t>
        </is>
      </c>
    </row>
    <row r="212">
      <c r="A212" t="inlineStr">
        <is>
          <t>E2</t>
        </is>
      </c>
      <c r="B212" t="inlineStr">
        <is>
          <t>Cloud nativa</t>
        </is>
      </c>
      <c r="C212" t="inlineStr">
        <is>
          <t>Azure Cost Management</t>
        </is>
      </c>
      <c r="D212" t="inlineStr">
        <is>
          <t>Adopcion</t>
        </is>
      </c>
      <c r="E212" t="inlineStr">
        <is>
          <t>AD1</t>
        </is>
      </c>
      <c r="F212" s="2" t="inlineStr">
        <is>
          <t>¿Soporta acceso/entrega para los roles del escenario?</t>
        </is>
      </c>
      <c r="G212" t="inlineStr">
        <is>
          <t>NE</t>
        </is>
      </c>
      <c r="H212" t="inlineStr">
        <is>
          <t>Pendiente</t>
        </is>
      </c>
      <c r="I212" s="2" t="inlineStr">
        <is>
          <t>El acceso a los datos de Cost Management se controla con roles RBAC ("Cost Management Reader"/"Contributor") acotados por scope (grupo de gestion, suscripcion, grupo de recursos).</t>
        </is>
      </c>
      <c r="J212" t="inlineStr">
        <is>
          <t>https://learn.microsoft.com/en-us/azure/cost-management-billing/costs/assign-access-acm-data</t>
        </is>
      </c>
      <c r="K212" t="inlineStr">
        <is>
          <t>2026-09-16</t>
        </is>
      </c>
      <c r="L212" s="2" t="inlineStr">
        <is>
          <t>Celda heredada FP-180 (2026-09-16): el valor 2 proviene de la investigacion del escenario E1 y no cuenta con evidencia propia de E2. Segun FP-177 el indicador AD1 depende del escenario, por lo que pasa a NE (no evidenciado, reduce cobertura) hasta investigarlo. La evidencia y la fuente originales se conservan como referencia del escenario de origen.</t>
        </is>
      </c>
    </row>
    <row r="213">
      <c r="A213" t="inlineStr">
        <is>
          <t>E2</t>
        </is>
      </c>
      <c r="B213" t="inlineStr">
        <is>
          <t>Cloud nativa</t>
        </is>
      </c>
      <c r="C213" t="inlineStr">
        <is>
          <t>Azure Cost Management</t>
        </is>
      </c>
      <c r="D213" t="inlineStr">
        <is>
          <t>Adopcion</t>
        </is>
      </c>
      <c r="E213" t="inlineStr">
        <is>
          <t>AD2</t>
        </is>
      </c>
      <c r="F213" s="2" t="inlineStr">
        <is>
          <t>¿Ofrece guías, ownership o mecanismos de seguimiento para uso sostenido?</t>
        </is>
      </c>
      <c r="G213" t="n">
        <v>2</v>
      </c>
      <c r="H213" t="inlineStr">
        <is>
          <t>Oficial</t>
        </is>
      </c>
      <c r="I213" s="2" t="inlineStr">
        <is>
          <t>Microsoft mantiene guias oficiales de adopcion y un blog dedicado de FinOps ("FinOps Blog") con practicas de gestion de costo.</t>
        </is>
      </c>
      <c r="J213" t="inlineStr">
        <is>
          <t>https://techcommunity.microsoft.com/blog/finopsblog/generally-available-enhanced-cost-management-exports/4407748</t>
        </is>
      </c>
      <c r="K213" t="inlineStr">
        <is>
          <t>2026-09-16</t>
        </is>
      </c>
      <c r="L213" s="2" t="inlineStr"/>
    </row>
    <row r="214">
      <c r="A214" t="inlineStr">
        <is>
          <t>E2</t>
        </is>
      </c>
      <c r="B214" t="inlineStr">
        <is>
          <t>Cloud nativa</t>
        </is>
      </c>
      <c r="C214" t="inlineStr">
        <is>
          <t>Azure Cost Management</t>
        </is>
      </c>
      <c r="D214" t="inlineStr">
        <is>
          <t>Precio</t>
        </is>
      </c>
      <c r="E214" t="inlineStr">
        <is>
          <t>P1</t>
        </is>
      </c>
      <c r="F214" s="2" t="inlineStr">
        <is>
          <t>¿Expone precio, moneda, región, unidad, período y supuestos relevantes?</t>
        </is>
      </c>
      <c r="G214" t="n">
        <v>2</v>
      </c>
      <c r="H214" t="inlineStr">
        <is>
          <t>Oficial</t>
        </is>
      </c>
      <c r="I214" s="2" t="inlineStr">
        <is>
          <t>Los exports en esquema FOCUS exponen columnas estandarizadas (BilledCost, EffectiveCost, ListCost, PricingQuantity) con moneda, periodo y servicio.</t>
        </is>
      </c>
      <c r="J214" t="inlineStr">
        <is>
          <t>https://learn.microsoft.com/en-us/azure/cost-management-billing/dataset-schema/cost-usage-details-focus</t>
        </is>
      </c>
      <c r="K214" t="inlineStr">
        <is>
          <t>2026-09-16</t>
        </is>
      </c>
      <c r="L214" s="2" t="inlineStr"/>
    </row>
    <row r="215">
      <c r="A215" t="inlineStr">
        <is>
          <t>E2</t>
        </is>
      </c>
      <c r="B215" t="inlineStr">
        <is>
          <t>Cloud nativa</t>
        </is>
      </c>
      <c r="C215" t="inlineStr">
        <is>
          <t>Azure Cost Management</t>
        </is>
      </c>
      <c r="D215" t="inlineStr">
        <is>
          <t>Precio</t>
        </is>
      </c>
      <c r="E215" t="inlineStr">
        <is>
          <t>P2</t>
        </is>
      </c>
      <c r="F215" s="2" t="inlineStr">
        <is>
          <t>¿Permite estimar o comparar componentes sin ocultar límites de equivalencia?</t>
        </is>
      </c>
      <c r="G215" t="inlineStr">
        <is>
          <t>NE</t>
        </is>
      </c>
      <c r="H215" t="inlineStr">
        <is>
          <t>Pendiente</t>
        </is>
      </c>
      <c r="I215" s="2" t="inlineStr">
        <is>
          <t>Cost Management no incluye una calculadora de estimacion de componentes previa al despliegue (esa funcion es de Azure Pricing Calculator, evaluada aparte en E4).</t>
        </is>
      </c>
      <c r="J215" t="inlineStr">
        <is>
          <t>https://learn.microsoft.com/en-us/azure/cost-management-billing/costs/cost-analysis-common-uses</t>
        </is>
      </c>
      <c r="K215" t="inlineStr">
        <is>
          <t>2026-09-16</t>
        </is>
      </c>
      <c r="L215" s="2" t="inlineStr">
        <is>
          <t>Celda heredada FP-180 (2026-09-16): el valor 1 proviene de la investigacion del escenario E1 y no cuenta con evidencia propia de E2. Segun FP-177 el indicador P2 depende del escenario, por lo que pasa a NE (no evidenciado, reduce cobertura) hasta investigarlo. La evidencia y la fuente originales se conservan como referencia del escenario de origen.</t>
        </is>
      </c>
    </row>
    <row r="216">
      <c r="A216" t="inlineStr">
        <is>
          <t>E2</t>
        </is>
      </c>
      <c r="B216" t="inlineStr">
        <is>
          <t>Cloud nativa</t>
        </is>
      </c>
      <c r="C216" t="inlineStr">
        <is>
          <t>Azure Cost Management</t>
        </is>
      </c>
      <c r="D216" t="inlineStr">
        <is>
          <t>Dependencia</t>
        </is>
      </c>
      <c r="E216" t="inlineStr">
        <is>
          <t>D1</t>
        </is>
      </c>
      <c r="F216" s="2" t="inlineStr">
        <is>
          <t>¿Exporta datos/resultados en formato utilizable y documentado?</t>
        </is>
      </c>
      <c r="G216" t="n">
        <v>2</v>
      </c>
      <c r="H216" t="inlineStr">
        <is>
          <t>Oficial</t>
        </is>
      </c>
      <c r="I216" s="2" t="inlineStr">
        <is>
          <t>Los exports entregan datos en CSV/Parquet y en el esquema abierto FOCUS hacia una cuenta de almacenamiento.</t>
        </is>
      </c>
      <c r="J216" t="inlineStr">
        <is>
          <t>https://learn.microsoft.com/en-us/azure/cost-management-billing/costs/tutorial-improved-exports</t>
        </is>
      </c>
      <c r="K216" t="inlineStr">
        <is>
          <t>2026-09-16</t>
        </is>
      </c>
      <c r="L216" s="2" t="inlineStr"/>
    </row>
    <row r="217">
      <c r="A217" t="inlineStr">
        <is>
          <t>E2</t>
        </is>
      </c>
      <c r="B217" t="inlineStr">
        <is>
          <t>Cloud nativa</t>
        </is>
      </c>
      <c r="C217" t="inlineStr">
        <is>
          <t>Azure Cost Management</t>
        </is>
      </c>
      <c r="D217" t="inlineStr">
        <is>
          <t>Dependencia</t>
        </is>
      </c>
      <c r="E217" t="inlineStr">
        <is>
          <t>D2</t>
        </is>
      </c>
      <c r="F217" s="2" t="inlineStr">
        <is>
          <t>¿Documenta dependencias propietarias y un camino de salida/configuración reversible?</t>
        </is>
      </c>
      <c r="G217" t="n">
        <v>1</v>
      </c>
      <c r="H217" t="inlineStr">
        <is>
          <t>Oficial</t>
        </is>
      </c>
      <c r="I217" s="2" t="inlineStr">
        <is>
          <t>No se encontró documentación dedicada sobre un camino de salida o reversibilidad de la configuración; el riesgo de dependencia se atenúa porque los datos son exportables en formato estándar FOCUS.</t>
        </is>
      </c>
      <c r="J217" t="inlineStr">
        <is>
          <t>https://learn.microsoft.com/en-us/azure/cost-management-billing/dataset-schema/cost-usage-details-focus</t>
        </is>
      </c>
      <c r="K217" t="inlineStr">
        <is>
          <t>2026-09-16</t>
        </is>
      </c>
      <c r="L217" s="2" t="inlineStr"/>
    </row>
    <row r="218">
      <c r="A218" t="inlineStr">
        <is>
          <t>E3</t>
        </is>
      </c>
      <c r="B218" t="inlineStr">
        <is>
          <t>Cloud nativa</t>
        </is>
      </c>
      <c r="C218" t="inlineStr">
        <is>
          <t>Azure Cost Management</t>
        </is>
      </c>
      <c r="D218" t="inlineStr">
        <is>
          <t>Visibilidad</t>
        </is>
      </c>
      <c r="E218" t="inlineStr">
        <is>
          <t>V1</t>
        </is>
      </c>
      <c r="F218" s="2" t="inlineStr">
        <is>
          <t>¿Desagrega costo y uso por cuenta/proyecto, servicio y período?</t>
        </is>
      </c>
      <c r="G218" t="inlineStr">
        <is>
          <t>NE</t>
        </is>
      </c>
      <c r="H218" t="inlineStr">
        <is>
          <t>Pendiente</t>
        </is>
      </c>
      <c r="I218" s="2" t="inlineStr">
        <is>
          <t>Cost analysis permite desglosar y filtrar por suscripción, grupo de recursos, servicio, etiqueta y periodo ("Common cost analysis uses"); en AKS ofrece además vistas de Kubernetes namespaces y assets con desglose de idle/service/system/unallocated charges.</t>
        </is>
      </c>
      <c r="J218" t="inlineStr">
        <is>
          <t>https://learn.microsoft.com/en-us/azure/cost-management-billing/costs/cost-analysis-common-uses</t>
        </is>
      </c>
      <c r="K218" t="inlineStr">
        <is>
          <t>2026-09-16</t>
        </is>
      </c>
      <c r="L218" s="2" t="inlineStr">
        <is>
          <t>Celda heredada FP-180 (2026-09-16): el valor 2 proviene de la investigacion del escenario E1 y no cuenta con evidencia propia de E3. Segun FP-177 el indicador V1 depende del escenario, por lo que pasa a NE (no evidenciado, reduce cobertura) hasta investigarlo. La evidencia y la fuente originales se conservan como referencia del escenario de origen.</t>
        </is>
      </c>
    </row>
    <row r="219">
      <c r="A219" t="inlineStr">
        <is>
          <t>E3</t>
        </is>
      </c>
      <c r="B219" t="inlineStr">
        <is>
          <t>Cloud nativa</t>
        </is>
      </c>
      <c r="C219" t="inlineStr">
        <is>
          <t>Azure Cost Management</t>
        </is>
      </c>
      <c r="D219" t="inlineStr">
        <is>
          <t>Visibilidad</t>
        </is>
      </c>
      <c r="E219" t="inlineStr">
        <is>
          <t>V2</t>
        </is>
      </c>
      <c r="F219" s="2" t="inlineStr">
        <is>
          <t>¿Permite rastrear un total hasta registros o fuente de facturación?</t>
        </is>
      </c>
      <c r="G219" t="n">
        <v>2</v>
      </c>
      <c r="H219" t="inlineStr">
        <is>
          <t>Oficial</t>
        </is>
      </c>
      <c r="I219" s="2" t="inlineStr">
        <is>
          <t>Los exports de Cost Management (incluido el esquema FOCUS) reconcilian con la factura: "Usage data is reconciled with your Azure invoice data".</t>
        </is>
      </c>
      <c r="J219" t="inlineStr">
        <is>
          <t>https://learn.microsoft.com/en-us/azure/aks/cost-analysis</t>
        </is>
      </c>
      <c r="K219" t="inlineStr">
        <is>
          <t>2026-09-16</t>
        </is>
      </c>
      <c r="L219" s="2" t="inlineStr"/>
    </row>
    <row r="220">
      <c r="A220" t="inlineStr">
        <is>
          <t>E3</t>
        </is>
      </c>
      <c r="B220" t="inlineStr">
        <is>
          <t>Cloud nativa</t>
        </is>
      </c>
      <c r="C220" t="inlineStr">
        <is>
          <t>Azure Cost Management</t>
        </is>
      </c>
      <c r="D220" t="inlineStr">
        <is>
          <t>Asignacion</t>
        </is>
      </c>
      <c r="E220" t="inlineStr">
        <is>
          <t>A1</t>
        </is>
      </c>
      <c r="F220" s="2" t="inlineStr">
        <is>
          <t>¿Calcula gasto asignado/no asignado por responsable, centro o entidad?</t>
        </is>
      </c>
      <c r="G220" t="inlineStr">
        <is>
          <t>NE</t>
        </is>
      </c>
      <c r="H220" t="inlineStr">
        <is>
          <t>Pendiente</t>
        </is>
      </c>
      <c r="I220" s="2" t="inlineStr">
        <is>
          <t>Cost allocation rules reasignan costos de servicios compartidos entre suscripciones/grupos de recursos/etiquetas; en AKS se expone explícitamente una categoria de "Unallocated charges" (costo no asignable a namespaces).</t>
        </is>
      </c>
      <c r="J220" t="inlineStr">
        <is>
          <t>https://learn.microsoft.com/en-us/azure/cost-management-billing/costs/allocate-costs</t>
        </is>
      </c>
      <c r="K220" t="inlineStr">
        <is>
          <t>2026-09-16</t>
        </is>
      </c>
      <c r="L220" s="2" t="inlineStr">
        <is>
          <t>Celda heredada FP-180 (2026-09-16): el valor 2 proviene de la investigacion del escenario E1 y no cuenta con evidencia propia de E3. Segun FP-177 el indicador A1 depende del escenario, por lo que pasa a NE (no evidenciado, reduce cobertura) hasta investigarlo. La evidencia y la fuente originales se conservan como referencia del escenario de origen.</t>
        </is>
      </c>
    </row>
    <row r="221">
      <c r="A221" t="inlineStr">
        <is>
          <t>E3</t>
        </is>
      </c>
      <c r="B221" t="inlineStr">
        <is>
          <t>Cloud nativa</t>
        </is>
      </c>
      <c r="C221" t="inlineStr">
        <is>
          <t>Azure Cost Management</t>
        </is>
      </c>
      <c r="D221" t="inlineStr">
        <is>
          <t>Asignacion</t>
        </is>
      </c>
      <c r="E221" t="inlineStr">
        <is>
          <t>A2</t>
        </is>
      </c>
      <c r="F221" s="2" t="inlineStr">
        <is>
          <t>¿Explicita y aplica reglas para costo compartido/multi-tenant?</t>
        </is>
      </c>
      <c r="G221" t="inlineStr">
        <is>
          <t>NE</t>
        </is>
      </c>
      <c r="H221" t="inlineStr">
        <is>
          <t>Pendiente</t>
        </is>
      </c>
      <c r="I221" s="2" t="inlineStr">
        <is>
          <t>Las cost allocation rules ofrecen varios metodos de reparto (Distribute evenly, Total/Compute/Storage/Network cost, Custom) con porcentajes explicitos que "don't change" salvo edicion manual de la regla, y se procesan "in the order in which they get created".</t>
        </is>
      </c>
      <c r="J221" t="inlineStr">
        <is>
          <t>https://learn.microsoft.com/en-us/azure/cost-management-billing/costs/allocate-costs</t>
        </is>
      </c>
      <c r="K221" t="inlineStr">
        <is>
          <t>2026-09-16</t>
        </is>
      </c>
      <c r="L221" s="2" t="inlineStr">
        <is>
          <t>Celda heredada FP-180 (2026-09-16): el valor 2 proviene de la investigacion del escenario E1 y no cuenta con evidencia propia de E3. Segun FP-177 el indicador A2 depende del escenario, por lo que pasa a NE (no evidenciado, reduce cobertura) hasta investigarlo. La evidencia y la fuente originales se conservan como referencia del escenario de origen.</t>
        </is>
      </c>
    </row>
    <row r="222">
      <c r="A222" t="inlineStr">
        <is>
          <t>E3</t>
        </is>
      </c>
      <c r="B222" t="inlineStr">
        <is>
          <t>Cloud nativa</t>
        </is>
      </c>
      <c r="C222" t="inlineStr">
        <is>
          <t>Azure Cost Management</t>
        </is>
      </c>
      <c r="D222" t="inlineStr">
        <is>
          <t>Optimizacion</t>
        </is>
      </c>
      <c r="E222" t="inlineStr">
        <is>
          <t>O1</t>
        </is>
      </c>
      <c r="F222" s="2" t="inlineStr">
        <is>
          <t>¿Detecta desperdicio, rightsizing o compromiso relevante al escenario?</t>
        </is>
      </c>
      <c r="G222" t="inlineStr">
        <is>
          <t>NE</t>
        </is>
      </c>
      <c r="H222" t="inlineStr">
        <is>
          <t>Pendiente</t>
        </is>
      </c>
      <c r="I222" s="2" t="inlineStr">
        <is>
          <t>Azure Advisor genera recomendaciones de rightsizing/apagado de recursos inactivos y reservas en múltiples servicios (VM, App Service, MySQL, Cosmos DB, Data Explorer), con métodos de cálculo de ahorro documentados por servicio.</t>
        </is>
      </c>
      <c r="J222" t="inlineStr">
        <is>
          <t>https://learn.microsoft.com/en-us/azure/advisor/advisor-reference-cost-recommendations</t>
        </is>
      </c>
      <c r="K222" t="inlineStr">
        <is>
          <t>2026-09-16</t>
        </is>
      </c>
      <c r="L222" s="2" t="inlineStr">
        <is>
          <t>Celda heredada FP-180 (2026-09-16): el valor 2 proviene de la investigacion del escenario E1 y no cuenta con evidencia propia de E3. Segun FP-177 el indicador O1 depende del escenario, por lo que pasa a NE (no evidenciado, reduce cobertura) hasta investigarlo. La evidencia y la fuente originales se conservan como referencia del escenario de origen.</t>
        </is>
      </c>
    </row>
    <row r="223">
      <c r="A223" t="inlineStr">
        <is>
          <t>E3</t>
        </is>
      </c>
      <c r="B223" t="inlineStr">
        <is>
          <t>Cloud nativa</t>
        </is>
      </c>
      <c r="C223" t="inlineStr">
        <is>
          <t>Azure Cost Management</t>
        </is>
      </c>
      <c r="D223" t="inlineStr">
        <is>
          <t>Optimizacion</t>
        </is>
      </c>
      <c r="E223" t="inlineStr">
        <is>
          <t>O2</t>
        </is>
      </c>
      <c r="F223" s="2" t="inlineStr">
        <is>
          <t>¿Explica supuesto/impacto y permite seguir una recomendación?</t>
        </is>
      </c>
      <c r="G223" t="n">
        <v>1</v>
      </c>
      <c r="H223" t="inlineStr">
        <is>
          <t>Oficial</t>
        </is>
      </c>
      <c r="I223" s="2" t="inlineStr">
        <is>
          <t>Advisor explica el impacto y metodologia de ahorro por recomendacion, pero la documentacion revisada no describe un sistema de seguimiento de estado integrado ("no detalla como hacer seguimiento del estado especifico de cada recomendacion").</t>
        </is>
      </c>
      <c r="J223" t="inlineStr">
        <is>
          <t>https://learn.microsoft.com/en-us/azure/advisor/advisor-reference-cost-recommendations</t>
        </is>
      </c>
      <c r="K223" t="inlineStr">
        <is>
          <t>2026-09-16</t>
        </is>
      </c>
      <c r="L223" s="2" t="inlineStr"/>
    </row>
    <row r="224">
      <c r="A224" t="inlineStr">
        <is>
          <t>E3</t>
        </is>
      </c>
      <c r="B224" t="inlineStr">
        <is>
          <t>Cloud nativa</t>
        </is>
      </c>
      <c r="C224" t="inlineStr">
        <is>
          <t>Azure Cost Management</t>
        </is>
      </c>
      <c r="D224" t="inlineStr">
        <is>
          <t>Automatizacion</t>
        </is>
      </c>
      <c r="E224" t="inlineStr">
        <is>
          <t>AU1</t>
        </is>
      </c>
      <c r="F224" s="2" t="inlineStr">
        <is>
          <t>¿Ejecuta o bloquea acciones/políticas de costo con control verificable?</t>
        </is>
      </c>
      <c r="G224" t="inlineStr">
        <is>
          <t>NE</t>
        </is>
      </c>
      <c r="H224" t="inlineStr">
        <is>
          <t>Pendiente</t>
        </is>
      </c>
      <c r="I224" s="2" t="inlineStr">
        <is>
          <t>Los budgets disparan Action Groups que ejecutan Automation Runbooks/Logic Apps/webhooks automáticamente al superar un umbral; el escenario oficial detiene VMs automáticamente al 80% y 100% del presupuesto, sin paso de aprobación incorporado.</t>
        </is>
      </c>
      <c r="J224" t="inlineStr">
        <is>
          <t>https://learn.microsoft.com/en-us/azure/cost-management-billing/manage/cost-management-budget-scenario</t>
        </is>
      </c>
      <c r="K224" t="inlineStr">
        <is>
          <t>2026-09-16</t>
        </is>
      </c>
      <c r="L224" s="2" t="inlineStr">
        <is>
          <t>Celda heredada FP-180 (2026-09-16): el valor 2 proviene de la investigacion del escenario E1 y no cuenta con evidencia propia de E3. Segun FP-177 el indicador AU1 depende del escenario, por lo que pasa a NE (no evidenciado, reduce cobertura) hasta investigarlo. La evidencia y la fuente originales se conservan como referencia del escenario de origen.</t>
        </is>
      </c>
    </row>
    <row r="225">
      <c r="A225" t="inlineStr">
        <is>
          <t>E3</t>
        </is>
      </c>
      <c r="B225" t="inlineStr">
        <is>
          <t>Cloud nativa</t>
        </is>
      </c>
      <c r="C225" t="inlineStr">
        <is>
          <t>Azure Cost Management</t>
        </is>
      </c>
      <c r="D225" t="inlineStr">
        <is>
          <t>Automatizacion</t>
        </is>
      </c>
      <c r="E225" t="inlineStr">
        <is>
          <t>AU2</t>
        </is>
      </c>
      <c r="F225" s="2" t="inlineStr">
        <is>
          <t>¿Ofrece aprobación, reversión, registro o límites antes de actuar?</t>
        </is>
      </c>
      <c r="G225" t="n">
        <v>1</v>
      </c>
      <c r="H225" t="inlineStr">
        <is>
          <t>Oficial</t>
        </is>
      </c>
      <c r="I225" s="2" t="inlineStr">
        <is>
          <t>La documentación no describe un paso de aprobación manual nativo antes de ejecutar la acción, ni detalla registro de auditoría o reversión; requeriría construir esa salvaguarda dentro del Logic App/Runbook.</t>
        </is>
      </c>
      <c r="J225" t="inlineStr">
        <is>
          <t>https://learn.microsoft.com/en-us/azure/cost-management-billing/manage/cost-management-budget-scenario</t>
        </is>
      </c>
      <c r="K225" t="inlineStr">
        <is>
          <t>2026-09-16</t>
        </is>
      </c>
      <c r="L225" s="2" t="inlineStr"/>
    </row>
    <row r="226">
      <c r="A226" t="inlineStr">
        <is>
          <t>E3</t>
        </is>
      </c>
      <c r="B226" t="inlineStr">
        <is>
          <t>Cloud nativa</t>
        </is>
      </c>
      <c r="C226" t="inlineStr">
        <is>
          <t>Azure Cost Management</t>
        </is>
      </c>
      <c r="D226" t="inlineStr">
        <is>
          <t>Multicloud</t>
        </is>
      </c>
      <c r="E226" t="inlineStr">
        <is>
          <t>M1</t>
        </is>
      </c>
      <c r="F226" s="2" t="inlineStr">
        <is>
          <t>¿Consolida al menos dos proveedores bajo el mismo esquema declarado?</t>
        </is>
      </c>
      <c r="G226" t="n">
        <v>0</v>
      </c>
      <c r="H226" t="inlineStr">
        <is>
          <t>Oficial</t>
        </is>
      </c>
      <c r="I226" s="2" t="inlineStr">
        <is>
          <t>Cost Management cubre exclusivamente cuentas y suscripciones de Azure; no ingiere ni consolida datos de AWS/GCP dentro de la misma consola.</t>
        </is>
      </c>
      <c r="J226" t="inlineStr">
        <is>
          <t>https://learn.microsoft.com/en-us/azure/cost-management-billing/dataset-schema/cost-usage-details-focus</t>
        </is>
      </c>
      <c r="K226" t="inlineStr">
        <is>
          <t>2026-09-16</t>
        </is>
      </c>
      <c r="L226" s="2" t="inlineStr"/>
    </row>
    <row r="227">
      <c r="A227" t="inlineStr">
        <is>
          <t>E3</t>
        </is>
      </c>
      <c r="B227" t="inlineStr">
        <is>
          <t>Cloud nativa</t>
        </is>
      </c>
      <c r="C227" t="inlineStr">
        <is>
          <t>Azure Cost Management</t>
        </is>
      </c>
      <c r="D227" t="inlineStr">
        <is>
          <t>Multicloud</t>
        </is>
      </c>
      <c r="E227" t="inlineStr">
        <is>
          <t>M2</t>
        </is>
      </c>
      <c r="F227" s="2" t="inlineStr">
        <is>
          <t>¿Hace visibles proveedor, cobertura y diferencias semánticas?</t>
        </is>
      </c>
      <c r="G227" t="n">
        <v>0</v>
      </c>
      <c r="H227" t="inlineStr">
        <is>
          <t>Oficial</t>
        </is>
      </c>
      <c r="I227" s="2" t="inlineStr">
        <is>
          <t>Al no consolidar otros proveedores, no expone diferencias de cobertura o semántica entre nubes.</t>
        </is>
      </c>
      <c r="J227" t="inlineStr">
        <is>
          <t>https://learn.microsoft.com/en-us/azure/cost-management-billing/dataset-schema/cost-usage-details-focus</t>
        </is>
      </c>
      <c r="K227" t="inlineStr">
        <is>
          <t>2026-09-16</t>
        </is>
      </c>
      <c r="L227" s="2" t="inlineStr"/>
    </row>
    <row r="228">
      <c r="A228" t="inlineStr">
        <is>
          <t>E3</t>
        </is>
      </c>
      <c r="B228" t="inlineStr">
        <is>
          <t>Cloud nativa</t>
        </is>
      </c>
      <c r="C228" t="inlineStr">
        <is>
          <t>Azure Cost Management</t>
        </is>
      </c>
      <c r="D228" t="inlineStr">
        <is>
          <t>Integracion</t>
        </is>
      </c>
      <c r="E228" t="inlineStr">
        <is>
          <t>I1</t>
        </is>
      </c>
      <c r="F228" s="2" t="inlineStr">
        <is>
          <t>¿Integra datos requeridos (facturación, uso, clúster o IaC) del escenario?</t>
        </is>
      </c>
      <c r="G228" t="inlineStr">
        <is>
          <t>NE</t>
        </is>
      </c>
      <c r="H228" t="inlineStr">
        <is>
          <t>Pendiente</t>
        </is>
      </c>
      <c r="I228"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28" t="inlineStr">
        <is>
          <t>https://learn.microsoft.com/en-us/azure/aks/cost-analysis</t>
        </is>
      </c>
      <c r="K228" t="inlineStr">
        <is>
          <t>2026-09-16</t>
        </is>
      </c>
      <c r="L228" s="2" t="inlineStr">
        <is>
          <t>Celda heredada FP-180 (2026-09-16): el valor 2 proviene de la investigacion del escenario E1 y no cuenta con evidencia propia de E3. Segun FP-177 el indicador I1 depende del escenario, por lo que pasa a NE (no evidenciado, reduce cobertura) hasta investigarlo. La evidencia y la fuente originales se conservan como referencia del escenario de origen.</t>
        </is>
      </c>
    </row>
    <row r="229">
      <c r="A229" t="inlineStr">
        <is>
          <t>E3</t>
        </is>
      </c>
      <c r="B229" t="inlineStr">
        <is>
          <t>Cloud nativa</t>
        </is>
      </c>
      <c r="C229" t="inlineStr">
        <is>
          <t>Azure Cost Management</t>
        </is>
      </c>
      <c r="D229" t="inlineStr">
        <is>
          <t>Integracion</t>
        </is>
      </c>
      <c r="E229" t="inlineStr">
        <is>
          <t>I2</t>
        </is>
      </c>
      <c r="F229" s="2" t="inlineStr">
        <is>
          <t>¿Se integra con el flujo de trabajo relevante (alerta, ticket, CI/CD o reporte)?</t>
        </is>
      </c>
      <c r="G229" t="inlineStr">
        <is>
          <t>NE</t>
        </is>
      </c>
      <c r="H229" t="inlineStr">
        <is>
          <t>Pendiente</t>
        </is>
      </c>
      <c r="I229" s="2" t="inlineStr">
        <is>
          <t>Los Action Groups integran budgets con notificaciones, webhooks y Logic Apps, incorporando el evento de costo a un flujo operativo.</t>
        </is>
      </c>
      <c r="J229" t="inlineStr">
        <is>
          <t>https://learn.microsoft.com/en-us/azure/cost-management-billing/manage/cost-management-budget-scenario</t>
        </is>
      </c>
      <c r="K229" t="inlineStr">
        <is>
          <t>2026-09-16</t>
        </is>
      </c>
      <c r="L229" s="2" t="inlineStr">
        <is>
          <t>Celda heredada FP-180 (2026-09-16): el valor 2 proviene de la investigacion del escenario E1 y no cuenta con evidencia propia de E3. Segun FP-177 el indicador I2 depende del escenario, por lo que pasa a NE (no evidenciado, reduce cobertura) hasta investigarlo. La evidencia y la fuente originales se conservan como referencia del escenario de origen.</t>
        </is>
      </c>
    </row>
    <row r="230">
      <c r="A230" t="inlineStr">
        <is>
          <t>E3</t>
        </is>
      </c>
      <c r="B230" t="inlineStr">
        <is>
          <t>Cloud nativa</t>
        </is>
      </c>
      <c r="C230" t="inlineStr">
        <is>
          <t>Azure Cost Management</t>
        </is>
      </c>
      <c r="D230" t="inlineStr">
        <is>
          <t>Adopcion</t>
        </is>
      </c>
      <c r="E230" t="inlineStr">
        <is>
          <t>AD1</t>
        </is>
      </c>
      <c r="F230" s="2" t="inlineStr">
        <is>
          <t>¿Soporta acceso/entrega para los roles del escenario?</t>
        </is>
      </c>
      <c r="G230" t="inlineStr">
        <is>
          <t>NE</t>
        </is>
      </c>
      <c r="H230" t="inlineStr">
        <is>
          <t>Pendiente</t>
        </is>
      </c>
      <c r="I230" s="2" t="inlineStr">
        <is>
          <t>El acceso a los datos de Cost Management se controla con roles RBAC ("Cost Management Reader"/"Contributor") acotados por scope (grupo de gestion, suscripcion, grupo de recursos).</t>
        </is>
      </c>
      <c r="J230" t="inlineStr">
        <is>
          <t>https://learn.microsoft.com/en-us/azure/cost-management-billing/costs/assign-access-acm-data</t>
        </is>
      </c>
      <c r="K230" t="inlineStr">
        <is>
          <t>2026-09-16</t>
        </is>
      </c>
      <c r="L230" s="2" t="inlineStr">
        <is>
          <t>Celda heredada FP-180 (2026-09-16): el valor 2 proviene de la investigacion del escenario E1 y no cuenta con evidencia propia de E3. Segun FP-177 el indicador AD1 depende del escenario, por lo que pasa a NE (no evidenciado, reduce cobertura) hasta investigarlo. La evidencia y la fuente originales se conservan como referencia del escenario de origen.</t>
        </is>
      </c>
    </row>
    <row r="231">
      <c r="A231" t="inlineStr">
        <is>
          <t>E3</t>
        </is>
      </c>
      <c r="B231" t="inlineStr">
        <is>
          <t>Cloud nativa</t>
        </is>
      </c>
      <c r="C231" t="inlineStr">
        <is>
          <t>Azure Cost Management</t>
        </is>
      </c>
      <c r="D231" t="inlineStr">
        <is>
          <t>Adopcion</t>
        </is>
      </c>
      <c r="E231" t="inlineStr">
        <is>
          <t>AD2</t>
        </is>
      </c>
      <c r="F231" s="2" t="inlineStr">
        <is>
          <t>¿Ofrece guías, ownership o mecanismos de seguimiento para uso sostenido?</t>
        </is>
      </c>
      <c r="G231" t="n">
        <v>2</v>
      </c>
      <c r="H231" t="inlineStr">
        <is>
          <t>Oficial</t>
        </is>
      </c>
      <c r="I231" s="2" t="inlineStr">
        <is>
          <t>Microsoft mantiene guias oficiales de adopcion y un blog dedicado de FinOps ("FinOps Blog") con practicas de gestion de costo.</t>
        </is>
      </c>
      <c r="J231" t="inlineStr">
        <is>
          <t>https://techcommunity.microsoft.com/blog/finopsblog/generally-available-enhanced-cost-management-exports/4407748</t>
        </is>
      </c>
      <c r="K231" t="inlineStr">
        <is>
          <t>2026-09-16</t>
        </is>
      </c>
      <c r="L231" s="2" t="inlineStr"/>
    </row>
    <row r="232">
      <c r="A232" t="inlineStr">
        <is>
          <t>E3</t>
        </is>
      </c>
      <c r="B232" t="inlineStr">
        <is>
          <t>Cloud nativa</t>
        </is>
      </c>
      <c r="C232" t="inlineStr">
        <is>
          <t>Azure Cost Management</t>
        </is>
      </c>
      <c r="D232" t="inlineStr">
        <is>
          <t>Precio</t>
        </is>
      </c>
      <c r="E232" t="inlineStr">
        <is>
          <t>P1</t>
        </is>
      </c>
      <c r="F232" s="2" t="inlineStr">
        <is>
          <t>¿Expone precio, moneda, región, unidad, período y supuestos relevantes?</t>
        </is>
      </c>
      <c r="G232" t="n">
        <v>2</v>
      </c>
      <c r="H232" t="inlineStr">
        <is>
          <t>Oficial</t>
        </is>
      </c>
      <c r="I232" s="2" t="inlineStr">
        <is>
          <t>Los exports en esquema FOCUS exponen columnas estandarizadas (BilledCost, EffectiveCost, ListCost, PricingQuantity) con moneda, periodo y servicio.</t>
        </is>
      </c>
      <c r="J232" t="inlineStr">
        <is>
          <t>https://learn.microsoft.com/en-us/azure/cost-management-billing/dataset-schema/cost-usage-details-focus</t>
        </is>
      </c>
      <c r="K232" t="inlineStr">
        <is>
          <t>2026-09-16</t>
        </is>
      </c>
      <c r="L232" s="2" t="inlineStr"/>
    </row>
    <row r="233">
      <c r="A233" t="inlineStr">
        <is>
          <t>E3</t>
        </is>
      </c>
      <c r="B233" t="inlineStr">
        <is>
          <t>Cloud nativa</t>
        </is>
      </c>
      <c r="C233" t="inlineStr">
        <is>
          <t>Azure Cost Management</t>
        </is>
      </c>
      <c r="D233" t="inlineStr">
        <is>
          <t>Precio</t>
        </is>
      </c>
      <c r="E233" t="inlineStr">
        <is>
          <t>P2</t>
        </is>
      </c>
      <c r="F233" s="2" t="inlineStr">
        <is>
          <t>¿Permite estimar o comparar componentes sin ocultar límites de equivalencia?</t>
        </is>
      </c>
      <c r="G233" t="inlineStr">
        <is>
          <t>NE</t>
        </is>
      </c>
      <c r="H233" t="inlineStr">
        <is>
          <t>Pendiente</t>
        </is>
      </c>
      <c r="I233" s="2" t="inlineStr">
        <is>
          <t>Cost Management no incluye una calculadora de estimacion de componentes previa al despliegue (esa funcion es de Azure Pricing Calculator, evaluada aparte en E4).</t>
        </is>
      </c>
      <c r="J233" t="inlineStr">
        <is>
          <t>https://learn.microsoft.com/en-us/azure/cost-management-billing/costs/cost-analysis-common-uses</t>
        </is>
      </c>
      <c r="K233" t="inlineStr">
        <is>
          <t>2026-09-16</t>
        </is>
      </c>
      <c r="L233" s="2" t="inlineStr">
        <is>
          <t>Celda heredada FP-180 (2026-09-16): el valor 1 proviene de la investigacion del escenario E1 y no cuenta con evidencia propia de E3. Segun FP-177 el indicador P2 depende del escenario, por lo que pasa a NE (no evidenciado, reduce cobertura) hasta investigarlo. La evidencia y la fuente originales se conservan como referencia del escenario de origen.</t>
        </is>
      </c>
    </row>
    <row r="234">
      <c r="A234" t="inlineStr">
        <is>
          <t>E3</t>
        </is>
      </c>
      <c r="B234" t="inlineStr">
        <is>
          <t>Cloud nativa</t>
        </is>
      </c>
      <c r="C234" t="inlineStr">
        <is>
          <t>Azure Cost Management</t>
        </is>
      </c>
      <c r="D234" t="inlineStr">
        <is>
          <t>Dependencia</t>
        </is>
      </c>
      <c r="E234" t="inlineStr">
        <is>
          <t>D1</t>
        </is>
      </c>
      <c r="F234" s="2" t="inlineStr">
        <is>
          <t>¿Exporta datos/resultados en formato utilizable y documentado?</t>
        </is>
      </c>
      <c r="G234" t="n">
        <v>2</v>
      </c>
      <c r="H234" t="inlineStr">
        <is>
          <t>Oficial</t>
        </is>
      </c>
      <c r="I234" s="2" t="inlineStr">
        <is>
          <t>Los exports entregan datos en CSV/Parquet y en el esquema abierto FOCUS hacia una cuenta de almacenamiento.</t>
        </is>
      </c>
      <c r="J234" t="inlineStr">
        <is>
          <t>https://learn.microsoft.com/en-us/azure/cost-management-billing/costs/tutorial-improved-exports</t>
        </is>
      </c>
      <c r="K234" t="inlineStr">
        <is>
          <t>2026-09-16</t>
        </is>
      </c>
      <c r="L234" s="2" t="inlineStr"/>
    </row>
    <row r="235">
      <c r="A235" t="inlineStr">
        <is>
          <t>E3</t>
        </is>
      </c>
      <c r="B235" t="inlineStr">
        <is>
          <t>Cloud nativa</t>
        </is>
      </c>
      <c r="C235" t="inlineStr">
        <is>
          <t>Azure Cost Management</t>
        </is>
      </c>
      <c r="D235" t="inlineStr">
        <is>
          <t>Dependencia</t>
        </is>
      </c>
      <c r="E235" t="inlineStr">
        <is>
          <t>D2</t>
        </is>
      </c>
      <c r="F235" s="2" t="inlineStr">
        <is>
          <t>¿Documenta dependencias propietarias y un camino de salida/configuración reversible?</t>
        </is>
      </c>
      <c r="G235" t="n">
        <v>1</v>
      </c>
      <c r="H235" t="inlineStr">
        <is>
          <t>Oficial</t>
        </is>
      </c>
      <c r="I235" s="2" t="inlineStr">
        <is>
          <t>No se encontró documentación dedicada sobre un camino de salida o reversibilidad de la configuración; el riesgo de dependencia se atenúa porque los datos son exportables en formato estándar FOCUS.</t>
        </is>
      </c>
      <c r="J235" t="inlineStr">
        <is>
          <t>https://learn.microsoft.com/en-us/azure/cost-management-billing/dataset-schema/cost-usage-details-focus</t>
        </is>
      </c>
      <c r="K235" t="inlineStr">
        <is>
          <t>2026-09-16</t>
        </is>
      </c>
      <c r="L235" s="2" t="inlineStr"/>
    </row>
    <row r="236">
      <c r="A236" t="inlineStr">
        <is>
          <t>E5</t>
        </is>
      </c>
      <c r="B236" t="inlineStr">
        <is>
          <t>Cloud nativa</t>
        </is>
      </c>
      <c r="C236" t="inlineStr">
        <is>
          <t>Azure Cost Management</t>
        </is>
      </c>
      <c r="D236" t="inlineStr">
        <is>
          <t>Visibilidad</t>
        </is>
      </c>
      <c r="E236" t="inlineStr">
        <is>
          <t>V1</t>
        </is>
      </c>
      <c r="F236" s="2" t="inlineStr">
        <is>
          <t>¿Desagrega costo y uso por cuenta/proyecto, servicio y período?</t>
        </is>
      </c>
      <c r="G236" t="n">
        <v>2</v>
      </c>
      <c r="H236" t="inlineStr">
        <is>
          <t>Oficial</t>
        </is>
      </c>
      <c r="I236" s="2" t="inlineStr">
        <is>
          <t>Cost analysis permite desglosar y filtrar por suscripción, grupo de recursos, servicio, etiqueta y periodo ("Common cost analysis uses"); en AKS ofrece además vistas de Kubernetes namespaces y assets con desglose de idle/service/system/unallocated charges.</t>
        </is>
      </c>
      <c r="J236" t="inlineStr">
        <is>
          <t>https://learn.microsoft.com/en-us/azure/cost-management-billing/costs/cost-analysis-common-uses</t>
        </is>
      </c>
      <c r="K236" t="inlineStr">
        <is>
          <t>2026-09-16</t>
        </is>
      </c>
      <c r="L236" s="2" t="inlineStr">
        <is>
          <t>Celda heredada FP-180 (2026-09-16): el valor 2 proviene de la investigacion del escenario E1 y no cuenta con evidencia propia de E5. Segun FP-177 el indicador V1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237">
      <c r="A237" t="inlineStr">
        <is>
          <t>E5</t>
        </is>
      </c>
      <c r="B237" t="inlineStr">
        <is>
          <t>Cloud nativa</t>
        </is>
      </c>
      <c r="C237" t="inlineStr">
        <is>
          <t>Azure Cost Management</t>
        </is>
      </c>
      <c r="D237" t="inlineStr">
        <is>
          <t>Visibilidad</t>
        </is>
      </c>
      <c r="E237" t="inlineStr">
        <is>
          <t>V2</t>
        </is>
      </c>
      <c r="F237" s="2" t="inlineStr">
        <is>
          <t>¿Permite rastrear un total hasta registros o fuente de facturación?</t>
        </is>
      </c>
      <c r="G237" t="n">
        <v>2</v>
      </c>
      <c r="H237" t="inlineStr">
        <is>
          <t>Oficial</t>
        </is>
      </c>
      <c r="I237" s="2" t="inlineStr">
        <is>
          <t>Los exports de Cost Management (incluido el esquema FOCUS) reconcilian con la factura: "Usage data is reconciled with your Azure invoice data".</t>
        </is>
      </c>
      <c r="J237" t="inlineStr">
        <is>
          <t>https://learn.microsoft.com/en-us/azure/aks/cost-analysis</t>
        </is>
      </c>
      <c r="K237" t="inlineStr">
        <is>
          <t>2026-09-16</t>
        </is>
      </c>
      <c r="L237" s="2" t="inlineStr"/>
    </row>
    <row r="238">
      <c r="A238" t="inlineStr">
        <is>
          <t>E5</t>
        </is>
      </c>
      <c r="B238" t="inlineStr">
        <is>
          <t>Cloud nativa</t>
        </is>
      </c>
      <c r="C238" t="inlineStr">
        <is>
          <t>Azure Cost Management</t>
        </is>
      </c>
      <c r="D238" t="inlineStr">
        <is>
          <t>Asignacion</t>
        </is>
      </c>
      <c r="E238" t="inlineStr">
        <is>
          <t>A1</t>
        </is>
      </c>
      <c r="F238" s="2" t="inlineStr">
        <is>
          <t>¿Calcula gasto asignado/no asignado por responsable, centro o entidad?</t>
        </is>
      </c>
      <c r="G238" t="n">
        <v>2</v>
      </c>
      <c r="H238" t="inlineStr">
        <is>
          <t>Oficial</t>
        </is>
      </c>
      <c r="I238" s="2" t="inlineStr">
        <is>
          <t>Cost allocation rules reasignan costos de servicios compartidos entre suscripciones/grupos de recursos/etiquetas; en AKS se expone explícitamente una categoria de "Unallocated charges" (costo no asignable a namespaces).</t>
        </is>
      </c>
      <c r="J238" t="inlineStr">
        <is>
          <t>https://learn.microsoft.com/en-us/azure/cost-management-billing/costs/allocate-costs</t>
        </is>
      </c>
      <c r="K238" t="inlineStr">
        <is>
          <t>2026-09-16</t>
        </is>
      </c>
      <c r="L238" s="2" t="inlineStr">
        <is>
          <t>Celda heredada FP-180 (2026-09-16): el valor 2 proviene de la investigacion del escenario E1 y no cuenta con evidencia propia de E5. Segun FP-177 el indicador A1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239">
      <c r="A239" t="inlineStr">
        <is>
          <t>E5</t>
        </is>
      </c>
      <c r="B239" t="inlineStr">
        <is>
          <t>Cloud nativa</t>
        </is>
      </c>
      <c r="C239" t="inlineStr">
        <is>
          <t>Azure Cost Management</t>
        </is>
      </c>
      <c r="D239" t="inlineStr">
        <is>
          <t>Asignacion</t>
        </is>
      </c>
      <c r="E239" t="inlineStr">
        <is>
          <t>A2</t>
        </is>
      </c>
      <c r="F239" s="2" t="inlineStr">
        <is>
          <t>¿Explicita y aplica reglas para costo compartido/multi-tenant?</t>
        </is>
      </c>
      <c r="G239" t="n">
        <v>2</v>
      </c>
      <c r="H239" t="inlineStr">
        <is>
          <t>Oficial</t>
        </is>
      </c>
      <c r="I239" s="2" t="inlineStr">
        <is>
          <t>Las reglas de asignacion de costo distribuyen el gasto compartido entre entidades: «You can create cost allocation rules to distribute costs of subscriptions, resource groups, or tags to others», eligiendo origenes y destinos y definiendo el porcentaje. Los metodos de reparto estan documentados —distribucion pareja, proporcional al costo total y proporcional al costo de computo— igual que su limite operativo: «Rules are processed in the order in which they get created and can take up to 24 hours to take effect».</t>
        </is>
      </c>
      <c r="J239" t="inlineStr">
        <is>
          <t>https://learn.microsoft.com/en-us/azure/cost-management-billing/costs/allocate-costs ; https://learn.microsoft.com/en-us/azure/cost-management-billing/finops/capabilities-shared-cost</t>
        </is>
      </c>
      <c r="K239" t="inlineStr">
        <is>
          <t>2026-09-16</t>
        </is>
      </c>
      <c r="L239" s="2" t="inlineStr">
        <is>
          <t>Celda heredada FP-180 (2026-09-16): el valor 2 proviene de la investigacion del escenario E1 y no cuenta con evidencia propia de E5. Segun FP-177 el indicador A2 depende del escenario, por lo que pasa a NE (no evidenciado, reduce cobertura) hasta investigarlo. La evidencia y la fuente originales se conservan como referencia del escenario de origen. | Investigacion propia de E5 (2026-09-16): regla de reparto del costo compartido verificada contra la salida esperada del escenario, que exige el metodo de reparto y la porcion no atribuible.</t>
        </is>
      </c>
    </row>
    <row r="240">
      <c r="A240" t="inlineStr">
        <is>
          <t>E5</t>
        </is>
      </c>
      <c r="B240" t="inlineStr">
        <is>
          <t>Cloud nativa</t>
        </is>
      </c>
      <c r="C240" t="inlineStr">
        <is>
          <t>Azure Cost Management</t>
        </is>
      </c>
      <c r="D240" t="inlineStr">
        <is>
          <t>Optimizacion</t>
        </is>
      </c>
      <c r="E240" t="inlineStr">
        <is>
          <t>O1</t>
        </is>
      </c>
      <c r="F240" s="2" t="inlineStr">
        <is>
          <t>¿Detecta desperdicio, rightsizing o compromiso relevante al escenario?</t>
        </is>
      </c>
      <c r="G240" t="n">
        <v>2</v>
      </c>
      <c r="H240" t="inlineStr">
        <is>
          <t>Oficial</t>
        </is>
      </c>
      <c r="I240" s="2" t="inlineStr">
        <is>
          <t>Azure Advisor genera recomendaciones de rightsizing/apagado de recursos inactivos y reservas en múltiples servicios (VM, App Service, MySQL, Cosmos DB, Data Explorer), con métodos de cálculo de ahorro documentados por servicio.</t>
        </is>
      </c>
      <c r="J240" t="inlineStr">
        <is>
          <t>https://learn.microsoft.com/en-us/azure/advisor/advisor-reference-cost-recommendations</t>
        </is>
      </c>
      <c r="K240" t="inlineStr">
        <is>
          <t>2026-09-16</t>
        </is>
      </c>
      <c r="L240" s="2" t="inlineStr">
        <is>
          <t>Celda heredada FP-180 (2026-09-16): el valor 2 proviene de la investigacion del escenario E1 y no cuenta con evidencia propia de E5. Segun FP-177 el indicador O1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241">
      <c r="A241" t="inlineStr">
        <is>
          <t>E5</t>
        </is>
      </c>
      <c r="B241" t="inlineStr">
        <is>
          <t>Cloud nativa</t>
        </is>
      </c>
      <c r="C241" t="inlineStr">
        <is>
          <t>Azure Cost Management</t>
        </is>
      </c>
      <c r="D241" t="inlineStr">
        <is>
          <t>Optimizacion</t>
        </is>
      </c>
      <c r="E241" t="inlineStr">
        <is>
          <t>O2</t>
        </is>
      </c>
      <c r="F241" s="2" t="inlineStr">
        <is>
          <t>¿Explica supuesto/impacto y permite seguir una recomendación?</t>
        </is>
      </c>
      <c r="G241" t="n">
        <v>1</v>
      </c>
      <c r="H241" t="inlineStr">
        <is>
          <t>Oficial</t>
        </is>
      </c>
      <c r="I241" s="2" t="inlineStr">
        <is>
          <t>Advisor explica el impacto y metodologia de ahorro por recomendacion, pero la documentacion revisada no describe un sistema de seguimiento de estado integrado ("no detalla como hacer seguimiento del estado especifico de cada recomendacion").</t>
        </is>
      </c>
      <c r="J241" t="inlineStr">
        <is>
          <t>https://learn.microsoft.com/en-us/azure/advisor/advisor-reference-cost-recommendations</t>
        </is>
      </c>
      <c r="K241" t="inlineStr">
        <is>
          <t>2026-09-16</t>
        </is>
      </c>
      <c r="L241" s="2" t="inlineStr"/>
    </row>
    <row r="242">
      <c r="A242" t="inlineStr">
        <is>
          <t>E5</t>
        </is>
      </c>
      <c r="B242" t="inlineStr">
        <is>
          <t>Cloud nativa</t>
        </is>
      </c>
      <c r="C242" t="inlineStr">
        <is>
          <t>Azure Cost Management</t>
        </is>
      </c>
      <c r="D242" t="inlineStr">
        <is>
          <t>Automatizacion</t>
        </is>
      </c>
      <c r="E242" t="inlineStr">
        <is>
          <t>AU1</t>
        </is>
      </c>
      <c r="F242" s="2" t="inlineStr">
        <is>
          <t>¿Ejecuta o bloquea acciones/políticas de costo con control verificable?</t>
        </is>
      </c>
      <c r="G242" t="n">
        <v>2</v>
      </c>
      <c r="H242" t="inlineStr">
        <is>
          <t>Oficial</t>
        </is>
      </c>
      <c r="I242" s="2" t="inlineStr">
        <is>
          <t>Los budgets disparan Action Groups que ejecutan Automation Runbooks/Logic Apps/webhooks automáticamente al superar un umbral; el escenario oficial detiene VMs automáticamente al 80% y 100% del presupuesto, sin paso de aprobación incorporado.</t>
        </is>
      </c>
      <c r="J242" t="inlineStr">
        <is>
          <t>https://learn.microsoft.com/en-us/azure/cost-management-billing/manage/cost-management-budget-scenario</t>
        </is>
      </c>
      <c r="K242" t="inlineStr">
        <is>
          <t>2026-09-16</t>
        </is>
      </c>
      <c r="L242" s="2" t="inlineStr">
        <is>
          <t>Celda heredada FP-180 (2026-09-16): el valor 2 proviene de la investigacion del escenario E1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243">
      <c r="A243" t="inlineStr">
        <is>
          <t>E5</t>
        </is>
      </c>
      <c r="B243" t="inlineStr">
        <is>
          <t>Cloud nativa</t>
        </is>
      </c>
      <c r="C243" t="inlineStr">
        <is>
          <t>Azure Cost Management</t>
        </is>
      </c>
      <c r="D243" t="inlineStr">
        <is>
          <t>Automatizacion</t>
        </is>
      </c>
      <c r="E243" t="inlineStr">
        <is>
          <t>AU2</t>
        </is>
      </c>
      <c r="F243" s="2" t="inlineStr">
        <is>
          <t>¿Ofrece aprobación, reversión, registro o límites antes de actuar?</t>
        </is>
      </c>
      <c r="G243" t="n">
        <v>1</v>
      </c>
      <c r="H243" t="inlineStr">
        <is>
          <t>Oficial</t>
        </is>
      </c>
      <c r="I243" s="2" t="inlineStr">
        <is>
          <t>La documentación no describe un paso de aprobación manual nativo antes de ejecutar la acción, ni detalla registro de auditoría o reversión; requeriría construir esa salvaguarda dentro del Logic App/Runbook.</t>
        </is>
      </c>
      <c r="J243" t="inlineStr">
        <is>
          <t>https://learn.microsoft.com/en-us/azure/cost-management-billing/manage/cost-management-budget-scenario</t>
        </is>
      </c>
      <c r="K243" t="inlineStr">
        <is>
          <t>2026-09-16</t>
        </is>
      </c>
      <c r="L243" s="2" t="inlineStr"/>
    </row>
    <row r="244">
      <c r="A244" t="inlineStr">
        <is>
          <t>E5</t>
        </is>
      </c>
      <c r="B244" t="inlineStr">
        <is>
          <t>Cloud nativa</t>
        </is>
      </c>
      <c r="C244" t="inlineStr">
        <is>
          <t>Azure Cost Management</t>
        </is>
      </c>
      <c r="D244" t="inlineStr">
        <is>
          <t>Multicloud</t>
        </is>
      </c>
      <c r="E244" t="inlineStr">
        <is>
          <t>M1</t>
        </is>
      </c>
      <c r="F244" s="2" t="inlineStr">
        <is>
          <t>¿Consolida al menos dos proveedores bajo el mismo esquema declarado?</t>
        </is>
      </c>
      <c r="G244" t="n">
        <v>0</v>
      </c>
      <c r="H244" t="inlineStr">
        <is>
          <t>Oficial</t>
        </is>
      </c>
      <c r="I244" s="2" t="inlineStr">
        <is>
          <t>Cost Management cubre exclusivamente cuentas y suscripciones de Azure; no ingiere ni consolida datos de AWS/GCP dentro de la misma consola.</t>
        </is>
      </c>
      <c r="J244" t="inlineStr">
        <is>
          <t>https://learn.microsoft.com/en-us/azure/cost-management-billing/dataset-schema/cost-usage-details-focus</t>
        </is>
      </c>
      <c r="K244" t="inlineStr">
        <is>
          <t>2026-09-16</t>
        </is>
      </c>
      <c r="L244" s="2" t="inlineStr"/>
    </row>
    <row r="245">
      <c r="A245" t="inlineStr">
        <is>
          <t>E5</t>
        </is>
      </c>
      <c r="B245" t="inlineStr">
        <is>
          <t>Cloud nativa</t>
        </is>
      </c>
      <c r="C245" t="inlineStr">
        <is>
          <t>Azure Cost Management</t>
        </is>
      </c>
      <c r="D245" t="inlineStr">
        <is>
          <t>Multicloud</t>
        </is>
      </c>
      <c r="E245" t="inlineStr">
        <is>
          <t>M2</t>
        </is>
      </c>
      <c r="F245" s="2" t="inlineStr">
        <is>
          <t>¿Hace visibles proveedor, cobertura y diferencias semánticas?</t>
        </is>
      </c>
      <c r="G245" t="n">
        <v>0</v>
      </c>
      <c r="H245" t="inlineStr">
        <is>
          <t>Oficial</t>
        </is>
      </c>
      <c r="I245" s="2" t="inlineStr">
        <is>
          <t>Al no consolidar otros proveedores, no expone diferencias de cobertura o semántica entre nubes.</t>
        </is>
      </c>
      <c r="J245" t="inlineStr">
        <is>
          <t>https://learn.microsoft.com/en-us/azure/cost-management-billing/dataset-schema/cost-usage-details-focus</t>
        </is>
      </c>
      <c r="K245" t="inlineStr">
        <is>
          <t>2026-09-16</t>
        </is>
      </c>
      <c r="L245" s="2" t="inlineStr"/>
    </row>
    <row r="246">
      <c r="A246" t="inlineStr">
        <is>
          <t>E5</t>
        </is>
      </c>
      <c r="B246" t="inlineStr">
        <is>
          <t>Cloud nativa</t>
        </is>
      </c>
      <c r="C246" t="inlineStr">
        <is>
          <t>Azure Cost Management</t>
        </is>
      </c>
      <c r="D246" t="inlineStr">
        <is>
          <t>Integracion</t>
        </is>
      </c>
      <c r="E246" t="inlineStr">
        <is>
          <t>I1</t>
        </is>
      </c>
      <c r="F246" s="2" t="inlineStr">
        <is>
          <t>¿Integra datos requeridos (facturación, uso, clúster o IaC) del escenario?</t>
        </is>
      </c>
      <c r="G246" t="n">
        <v>2</v>
      </c>
      <c r="H246" t="inlineStr">
        <is>
          <t>Oficial</t>
        </is>
      </c>
      <c r="I246"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46" t="inlineStr">
        <is>
          <t>https://learn.microsoft.com/en-us/azure/aks/cost-analysis</t>
        </is>
      </c>
      <c r="K246" t="inlineStr">
        <is>
          <t>2026-09-16</t>
        </is>
      </c>
      <c r="L246" s="2" t="inlineStr">
        <is>
          <t>Celda heredada FP-180 (2026-09-16): el valor 2 proviene de la investigacion del escenario E1 y no cuenta con evidencia propia de E5. Segun FP-177 el indicador I1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247">
      <c r="A247" t="inlineStr">
        <is>
          <t>E5</t>
        </is>
      </c>
      <c r="B247" t="inlineStr">
        <is>
          <t>Cloud nativa</t>
        </is>
      </c>
      <c r="C247" t="inlineStr">
        <is>
          <t>Azure Cost Management</t>
        </is>
      </c>
      <c r="D247" t="inlineStr">
        <is>
          <t>Integracion</t>
        </is>
      </c>
      <c r="E247" t="inlineStr">
        <is>
          <t>I2</t>
        </is>
      </c>
      <c r="F247" s="2" t="inlineStr">
        <is>
          <t>¿Se integra con el flujo de trabajo relevante (alerta, ticket, CI/CD o reporte)?</t>
        </is>
      </c>
      <c r="G247" t="n">
        <v>2</v>
      </c>
      <c r="H247" t="inlineStr">
        <is>
          <t>Oficial</t>
        </is>
      </c>
      <c r="I247" s="2" t="inlineStr">
        <is>
          <t>Los Action Groups integran budgets con notificaciones, webhooks y Logic Apps, incorporando el evento de costo a un flujo operativo.</t>
        </is>
      </c>
      <c r="J247" t="inlineStr">
        <is>
          <t>https://learn.microsoft.com/en-us/azure/cost-management-billing/manage/cost-management-budget-scenario</t>
        </is>
      </c>
      <c r="K247" t="inlineStr">
        <is>
          <t>2026-09-16</t>
        </is>
      </c>
      <c r="L247" s="2" t="inlineStr">
        <is>
          <t>Celda heredada FP-180 (2026-09-16): el valor 2 proviene de la investigacion del escenario E1 y no cuenta con evidencia propia de E5. Segun FP-177 el indicador I2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248">
      <c r="A248" t="inlineStr">
        <is>
          <t>E5</t>
        </is>
      </c>
      <c r="B248" t="inlineStr">
        <is>
          <t>Cloud nativa</t>
        </is>
      </c>
      <c r="C248" t="inlineStr">
        <is>
          <t>Azure Cost Management</t>
        </is>
      </c>
      <c r="D248" t="inlineStr">
        <is>
          <t>Adopcion</t>
        </is>
      </c>
      <c r="E248" t="inlineStr">
        <is>
          <t>AD1</t>
        </is>
      </c>
      <c r="F248" s="2" t="inlineStr">
        <is>
          <t>¿Soporta acceso/entrega para los roles del escenario?</t>
        </is>
      </c>
      <c r="G248" t="n">
        <v>2</v>
      </c>
      <c r="H248" t="inlineStr">
        <is>
          <t>Oficial</t>
        </is>
      </c>
      <c r="I248" s="2" t="inlineStr">
        <is>
          <t>El acceso a los datos de Cost Management se controla con roles RBAC ("Cost Management Reader"/"Contributor") acotados por scope (grupo de gestion, suscripcion, grupo de recursos).</t>
        </is>
      </c>
      <c r="J248" t="inlineStr">
        <is>
          <t>https://learn.microsoft.com/en-us/azure/cost-management-billing/costs/assign-access-acm-data</t>
        </is>
      </c>
      <c r="K248" t="inlineStr">
        <is>
          <t>2026-09-16</t>
        </is>
      </c>
      <c r="L248" s="2" t="inlineStr">
        <is>
          <t>Celda heredada FP-180 (2026-09-16): el valor 2 proviene de la investigacion del escenario E1 y no cuenta con evidencia propia de E5. Segun FP-177 el indicador AD1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249">
      <c r="A249" t="inlineStr">
        <is>
          <t>E5</t>
        </is>
      </c>
      <c r="B249" t="inlineStr">
        <is>
          <t>Cloud nativa</t>
        </is>
      </c>
      <c r="C249" t="inlineStr">
        <is>
          <t>Azure Cost Management</t>
        </is>
      </c>
      <c r="D249" t="inlineStr">
        <is>
          <t>Adopcion</t>
        </is>
      </c>
      <c r="E249" t="inlineStr">
        <is>
          <t>AD2</t>
        </is>
      </c>
      <c r="F249" s="2" t="inlineStr">
        <is>
          <t>¿Ofrece guías, ownership o mecanismos de seguimiento para uso sostenido?</t>
        </is>
      </c>
      <c r="G249" t="n">
        <v>2</v>
      </c>
      <c r="H249" t="inlineStr">
        <is>
          <t>Oficial</t>
        </is>
      </c>
      <c r="I249" s="2" t="inlineStr">
        <is>
          <t>Microsoft mantiene guias oficiales de adopcion y un blog dedicado de FinOps ("FinOps Blog") con practicas de gestion de costo.</t>
        </is>
      </c>
      <c r="J249" t="inlineStr">
        <is>
          <t>https://techcommunity.microsoft.com/blog/finopsblog/generally-available-enhanced-cost-management-exports/4407748</t>
        </is>
      </c>
      <c r="K249" t="inlineStr">
        <is>
          <t>2026-09-16</t>
        </is>
      </c>
      <c r="L249" s="2" t="inlineStr"/>
    </row>
    <row r="250">
      <c r="A250" t="inlineStr">
        <is>
          <t>E5</t>
        </is>
      </c>
      <c r="B250" t="inlineStr">
        <is>
          <t>Cloud nativa</t>
        </is>
      </c>
      <c r="C250" t="inlineStr">
        <is>
          <t>Azure Cost Management</t>
        </is>
      </c>
      <c r="D250" t="inlineStr">
        <is>
          <t>Precio</t>
        </is>
      </c>
      <c r="E250" t="inlineStr">
        <is>
          <t>P1</t>
        </is>
      </c>
      <c r="F250" s="2" t="inlineStr">
        <is>
          <t>¿Expone precio, moneda, región, unidad, período y supuestos relevantes?</t>
        </is>
      </c>
      <c r="G250" t="n">
        <v>2</v>
      </c>
      <c r="H250" t="inlineStr">
        <is>
          <t>Oficial</t>
        </is>
      </c>
      <c r="I250" s="2" t="inlineStr">
        <is>
          <t>Los exports en esquema FOCUS exponen columnas estandarizadas (BilledCost, EffectiveCost, ListCost, PricingQuantity) con moneda, periodo y servicio.</t>
        </is>
      </c>
      <c r="J250" t="inlineStr">
        <is>
          <t>https://learn.microsoft.com/en-us/azure/cost-management-billing/dataset-schema/cost-usage-details-focus</t>
        </is>
      </c>
      <c r="K250" t="inlineStr">
        <is>
          <t>2026-09-16</t>
        </is>
      </c>
      <c r="L250" s="2" t="inlineStr"/>
    </row>
    <row r="251">
      <c r="A251" t="inlineStr">
        <is>
          <t>E5</t>
        </is>
      </c>
      <c r="B251" t="inlineStr">
        <is>
          <t>Cloud nativa</t>
        </is>
      </c>
      <c r="C251" t="inlineStr">
        <is>
          <t>Azure Cost Management</t>
        </is>
      </c>
      <c r="D251" t="inlineStr">
        <is>
          <t>Precio</t>
        </is>
      </c>
      <c r="E251" t="inlineStr">
        <is>
          <t>P2</t>
        </is>
      </c>
      <c r="F251" s="2" t="inlineStr">
        <is>
          <t>¿Permite estimar o comparar componentes sin ocultar límites de equivalencia?</t>
        </is>
      </c>
      <c r="G251" t="n">
        <v>1</v>
      </c>
      <c r="H251" t="inlineStr">
        <is>
          <t>Oficial</t>
        </is>
      </c>
      <c r="I251" s="2" t="inlineStr">
        <is>
          <t>Cost Management no incluye una calculadora de estimacion de componentes previa al despliegue (esa funcion es de Azure Pricing Calculator, evaluada aparte en E4).</t>
        </is>
      </c>
      <c r="J251" t="inlineStr">
        <is>
          <t>https://learn.microsoft.com/en-us/azure/cost-management-billing/costs/cost-analysis-common-uses</t>
        </is>
      </c>
      <c r="K251" t="inlineStr">
        <is>
          <t>2026-09-16</t>
        </is>
      </c>
      <c r="L251" s="2" t="inlineStr">
        <is>
          <t>Celda heredada FP-180 (2026-09-16): el valor 1 proviene de la investigacion del escenario E1 y no cuenta con evidencia propia de E5. Segun FP-177 el indicador P2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252">
      <c r="A252" t="inlineStr">
        <is>
          <t>E5</t>
        </is>
      </c>
      <c r="B252" t="inlineStr">
        <is>
          <t>Cloud nativa</t>
        </is>
      </c>
      <c r="C252" t="inlineStr">
        <is>
          <t>Azure Cost Management</t>
        </is>
      </c>
      <c r="D252" t="inlineStr">
        <is>
          <t>Dependencia</t>
        </is>
      </c>
      <c r="E252" t="inlineStr">
        <is>
          <t>D1</t>
        </is>
      </c>
      <c r="F252" s="2" t="inlineStr">
        <is>
          <t>¿Exporta datos/resultados en formato utilizable y documentado?</t>
        </is>
      </c>
      <c r="G252" t="n">
        <v>2</v>
      </c>
      <c r="H252" t="inlineStr">
        <is>
          <t>Oficial</t>
        </is>
      </c>
      <c r="I252" s="2" t="inlineStr">
        <is>
          <t>Los exports entregan datos en CSV/Parquet y en el esquema abierto FOCUS hacia una cuenta de almacenamiento.</t>
        </is>
      </c>
      <c r="J252" t="inlineStr">
        <is>
          <t>https://learn.microsoft.com/en-us/azure/cost-management-billing/costs/tutorial-improved-exports</t>
        </is>
      </c>
      <c r="K252" t="inlineStr">
        <is>
          <t>2026-09-16</t>
        </is>
      </c>
      <c r="L252" s="2" t="inlineStr"/>
    </row>
    <row r="253">
      <c r="A253" t="inlineStr">
        <is>
          <t>E5</t>
        </is>
      </c>
      <c r="B253" t="inlineStr">
        <is>
          <t>Cloud nativa</t>
        </is>
      </c>
      <c r="C253" t="inlineStr">
        <is>
          <t>Azure Cost Management</t>
        </is>
      </c>
      <c r="D253" t="inlineStr">
        <is>
          <t>Dependencia</t>
        </is>
      </c>
      <c r="E253" t="inlineStr">
        <is>
          <t>D2</t>
        </is>
      </c>
      <c r="F253" s="2" t="inlineStr">
        <is>
          <t>¿Documenta dependencias propietarias y un camino de salida/configuración reversible?</t>
        </is>
      </c>
      <c r="G253" t="n">
        <v>1</v>
      </c>
      <c r="H253" t="inlineStr">
        <is>
          <t>Oficial</t>
        </is>
      </c>
      <c r="I253" s="2" t="inlineStr">
        <is>
          <t>No se encontró documentación dedicada sobre un camino de salida o reversibilidad de la configuración; el riesgo de dependencia se atenúa porque los datos son exportables en formato estándar FOCUS.</t>
        </is>
      </c>
      <c r="J253" t="inlineStr">
        <is>
          <t>https://learn.microsoft.com/en-us/azure/cost-management-billing/dataset-schema/cost-usage-details-focus</t>
        </is>
      </c>
      <c r="K253" t="inlineStr">
        <is>
          <t>2026-09-16</t>
        </is>
      </c>
      <c r="L253" s="2" t="inlineStr"/>
    </row>
    <row r="254">
      <c r="A254" t="inlineStr">
        <is>
          <t>E6</t>
        </is>
      </c>
      <c r="B254" t="inlineStr">
        <is>
          <t>Cloud nativa</t>
        </is>
      </c>
      <c r="C254" t="inlineStr">
        <is>
          <t>Azure Cost Management</t>
        </is>
      </c>
      <c r="D254" t="inlineStr">
        <is>
          <t>Visibilidad</t>
        </is>
      </c>
      <c r="E254" t="inlineStr">
        <is>
          <t>V1</t>
        </is>
      </c>
      <c r="F254" s="2" t="inlineStr">
        <is>
          <t>¿Desagrega costo y uso por cuenta/proyecto, servicio y período?</t>
        </is>
      </c>
      <c r="G254" t="inlineStr">
        <is>
          <t>NE</t>
        </is>
      </c>
      <c r="H254" t="inlineStr">
        <is>
          <t>Pendiente</t>
        </is>
      </c>
      <c r="I254" s="2" t="inlineStr">
        <is>
          <t>Cost analysis permite desglosar y filtrar por suscripción, grupo de recursos, servicio, etiqueta y periodo ("Common cost analysis uses"); en AKS ofrece además vistas de Kubernetes namespaces y assets con desglose de idle/service/system/unallocated charges.</t>
        </is>
      </c>
      <c r="J254" t="inlineStr">
        <is>
          <t>https://learn.microsoft.com/en-us/azure/cost-management-billing/costs/cost-analysis-common-uses</t>
        </is>
      </c>
      <c r="K254" t="inlineStr">
        <is>
          <t>2026-09-16</t>
        </is>
      </c>
      <c r="L254" s="2" t="inlineStr">
        <is>
          <t>Celda heredada FP-180 (2026-09-16): el valor 2 proviene de la investigacion del escenario E1 y no cuenta con evidencia propia de E6. Segun FP-177 el indicador V1 depende del escenario, por lo que pasa a NE (no evidenciado, reduce cobertura) hasta investigarlo. La evidencia y la fuente originales se conservan como referencia del escenario de origen.</t>
        </is>
      </c>
    </row>
    <row r="255">
      <c r="A255" t="inlineStr">
        <is>
          <t>E6</t>
        </is>
      </c>
      <c r="B255" t="inlineStr">
        <is>
          <t>Cloud nativa</t>
        </is>
      </c>
      <c r="C255" t="inlineStr">
        <is>
          <t>Azure Cost Management</t>
        </is>
      </c>
      <c r="D255" t="inlineStr">
        <is>
          <t>Visibilidad</t>
        </is>
      </c>
      <c r="E255" t="inlineStr">
        <is>
          <t>V2</t>
        </is>
      </c>
      <c r="F255" s="2" t="inlineStr">
        <is>
          <t>¿Permite rastrear un total hasta registros o fuente de facturación?</t>
        </is>
      </c>
      <c r="G255" t="n">
        <v>2</v>
      </c>
      <c r="H255" t="inlineStr">
        <is>
          <t>Oficial</t>
        </is>
      </c>
      <c r="I255" s="2" t="inlineStr">
        <is>
          <t>Los exports de Cost Management (incluido el esquema FOCUS) reconcilian con la factura: "Usage data is reconciled with your Azure invoice data".</t>
        </is>
      </c>
      <c r="J255" t="inlineStr">
        <is>
          <t>https://learn.microsoft.com/en-us/azure/aks/cost-analysis</t>
        </is>
      </c>
      <c r="K255" t="inlineStr">
        <is>
          <t>2026-09-16</t>
        </is>
      </c>
      <c r="L255" s="2" t="inlineStr"/>
    </row>
    <row r="256">
      <c r="A256" t="inlineStr">
        <is>
          <t>E6</t>
        </is>
      </c>
      <c r="B256" t="inlineStr">
        <is>
          <t>Cloud nativa</t>
        </is>
      </c>
      <c r="C256" t="inlineStr">
        <is>
          <t>Azure Cost Management</t>
        </is>
      </c>
      <c r="D256" t="inlineStr">
        <is>
          <t>Asignacion</t>
        </is>
      </c>
      <c r="E256" t="inlineStr">
        <is>
          <t>A1</t>
        </is>
      </c>
      <c r="F256" s="2" t="inlineStr">
        <is>
          <t>¿Calcula gasto asignado/no asignado por responsable, centro o entidad?</t>
        </is>
      </c>
      <c r="G256" t="n">
        <v>2</v>
      </c>
      <c r="H256" t="inlineStr">
        <is>
          <t>Oficial</t>
        </is>
      </c>
      <c r="I256" s="2" t="inlineStr">
        <is>
          <t>Cost allocation rules reasignan costos de servicios compartidos entre suscripciones/grupos de recursos/etiquetas; en AKS se expone explícitamente una categoria de "Unallocated charges" (costo no asignable a namespaces).</t>
        </is>
      </c>
      <c r="J256" t="inlineStr">
        <is>
          <t>https://learn.microsoft.com/en-us/azure/cost-management-billing/costs/allocate-costs</t>
        </is>
      </c>
      <c r="K256" t="inlineStr">
        <is>
          <t>2026-09-16</t>
        </is>
      </c>
      <c r="L256" s="2" t="inlineStr">
        <is>
          <t>Celda heredada FP-180 (2026-09-16): el valor 2 proviene de la investigacion del escenario E1 y no cuenta con evidencia propia de E6. Segun FP-177 el indicador A1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257">
      <c r="A257" t="inlineStr">
        <is>
          <t>E6</t>
        </is>
      </c>
      <c r="B257" t="inlineStr">
        <is>
          <t>Cloud nativa</t>
        </is>
      </c>
      <c r="C257" t="inlineStr">
        <is>
          <t>Azure Cost Management</t>
        </is>
      </c>
      <c r="D257" t="inlineStr">
        <is>
          <t>Asignacion</t>
        </is>
      </c>
      <c r="E257" t="inlineStr">
        <is>
          <t>A2</t>
        </is>
      </c>
      <c r="F257" s="2" t="inlineStr">
        <is>
          <t>¿Explicita y aplica reglas para costo compartido/multi-tenant?</t>
        </is>
      </c>
      <c r="G257" t="n">
        <v>2</v>
      </c>
      <c r="H257" t="inlineStr">
        <is>
          <t>Oficial</t>
        </is>
      </c>
      <c r="I257" s="2" t="inlineStr">
        <is>
          <t>Las cost allocation rules ofrecen varios metodos de reparto (Distribute evenly, Total/Compute/Storage/Network cost, Custom) con porcentajes explicitos que "don't change" salvo edicion manual de la regla, y se procesan "in the order in which they get created".</t>
        </is>
      </c>
      <c r="J257" t="inlineStr">
        <is>
          <t>https://learn.microsoft.com/en-us/azure/cost-management-billing/costs/allocate-costs</t>
        </is>
      </c>
      <c r="K257" t="inlineStr">
        <is>
          <t>2026-09-16</t>
        </is>
      </c>
      <c r="L257" s="2" t="inlineStr">
        <is>
          <t>Celda heredada FP-180 (2026-09-16): el valor 2 proviene de la investigacion del escenario E1 y no cuenta con evidencia propia de E6. Segun FP-177 el indicador A2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258">
      <c r="A258" t="inlineStr">
        <is>
          <t>E6</t>
        </is>
      </c>
      <c r="B258" t="inlineStr">
        <is>
          <t>Cloud nativa</t>
        </is>
      </c>
      <c r="C258" t="inlineStr">
        <is>
          <t>Azure Cost Management</t>
        </is>
      </c>
      <c r="D258" t="inlineStr">
        <is>
          <t>Optimizacion</t>
        </is>
      </c>
      <c r="E258" t="inlineStr">
        <is>
          <t>O1</t>
        </is>
      </c>
      <c r="F258" s="2" t="inlineStr">
        <is>
          <t>¿Detecta desperdicio, rightsizing o compromiso relevante al escenario?</t>
        </is>
      </c>
      <c r="G258" t="n">
        <v>2</v>
      </c>
      <c r="H258" t="inlineStr">
        <is>
          <t>Oficial</t>
        </is>
      </c>
      <c r="I258" s="2" t="inlineStr">
        <is>
          <t>Azure Advisor genera recomendaciones de rightsizing/apagado de recursos inactivos y reservas en múltiples servicios (VM, App Service, MySQL, Cosmos DB, Data Explorer), con métodos de cálculo de ahorro documentados por servicio.</t>
        </is>
      </c>
      <c r="J258" t="inlineStr">
        <is>
          <t>https://learn.microsoft.com/en-us/azure/advisor/advisor-reference-cost-recommendations</t>
        </is>
      </c>
      <c r="K258" t="inlineStr">
        <is>
          <t>2026-09-16</t>
        </is>
      </c>
      <c r="L258" s="2" t="inlineStr">
        <is>
          <t>Celda heredada FP-180 (2026-09-16): el valor 2 proviene de la investigacion del escenario E1 y no cuenta con evidencia propia de E6. Segun FP-177 el indicador O1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259">
      <c r="A259" t="inlineStr">
        <is>
          <t>E6</t>
        </is>
      </c>
      <c r="B259" t="inlineStr">
        <is>
          <t>Cloud nativa</t>
        </is>
      </c>
      <c r="C259" t="inlineStr">
        <is>
          <t>Azure Cost Management</t>
        </is>
      </c>
      <c r="D259" t="inlineStr">
        <is>
          <t>Optimizacion</t>
        </is>
      </c>
      <c r="E259" t="inlineStr">
        <is>
          <t>O2</t>
        </is>
      </c>
      <c r="F259" s="2" t="inlineStr">
        <is>
          <t>¿Explica supuesto/impacto y permite seguir una recomendación?</t>
        </is>
      </c>
      <c r="G259" t="n">
        <v>1</v>
      </c>
      <c r="H259" t="inlineStr">
        <is>
          <t>Oficial</t>
        </is>
      </c>
      <c r="I259" s="2" t="inlineStr">
        <is>
          <t>Advisor explica el impacto y metodologia de ahorro por recomendacion, pero la documentacion revisada no describe un sistema de seguimiento de estado integrado ("no detalla como hacer seguimiento del estado especifico de cada recomendacion").</t>
        </is>
      </c>
      <c r="J259" t="inlineStr">
        <is>
          <t>https://learn.microsoft.com/en-us/azure/advisor/advisor-reference-cost-recommendations</t>
        </is>
      </c>
      <c r="K259" t="inlineStr">
        <is>
          <t>2026-09-16</t>
        </is>
      </c>
      <c r="L259" s="2" t="inlineStr"/>
    </row>
    <row r="260">
      <c r="A260" t="inlineStr">
        <is>
          <t>E6</t>
        </is>
      </c>
      <c r="B260" t="inlineStr">
        <is>
          <t>Cloud nativa</t>
        </is>
      </c>
      <c r="C260" t="inlineStr">
        <is>
          <t>Azure Cost Management</t>
        </is>
      </c>
      <c r="D260" t="inlineStr">
        <is>
          <t>Automatizacion</t>
        </is>
      </c>
      <c r="E260" t="inlineStr">
        <is>
          <t>AU1</t>
        </is>
      </c>
      <c r="F260" s="2" t="inlineStr">
        <is>
          <t>¿Ejecuta o bloquea acciones/políticas de costo con control verificable?</t>
        </is>
      </c>
      <c r="G260" t="n">
        <v>2</v>
      </c>
      <c r="H260" t="inlineStr">
        <is>
          <t>Oficial</t>
        </is>
      </c>
      <c r="I260" s="2" t="inlineStr">
        <is>
          <t>Los budgets disparan Action Groups que ejecutan Automation Runbooks/Logic Apps/webhooks automáticamente al superar un umbral; el escenario oficial detiene VMs automáticamente al 80% y 100% del presupuesto, sin paso de aprobación incorporado.</t>
        </is>
      </c>
      <c r="J260" t="inlineStr">
        <is>
          <t>https://learn.microsoft.com/en-us/azure/cost-management-billing/manage/cost-management-budget-scenario</t>
        </is>
      </c>
      <c r="K260" t="inlineStr">
        <is>
          <t>2026-09-16</t>
        </is>
      </c>
      <c r="L260" s="2" t="inlineStr">
        <is>
          <t>Celda heredada FP-180 (2026-09-16): el valor 2 proviene de la investigacion del escenario E1 y no cuenta con evidencia propia de E6. Segun FP-177 el indicador AU1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261">
      <c r="A261" t="inlineStr">
        <is>
          <t>E6</t>
        </is>
      </c>
      <c r="B261" t="inlineStr">
        <is>
          <t>Cloud nativa</t>
        </is>
      </c>
      <c r="C261" t="inlineStr">
        <is>
          <t>Azure Cost Management</t>
        </is>
      </c>
      <c r="D261" t="inlineStr">
        <is>
          <t>Automatizacion</t>
        </is>
      </c>
      <c r="E261" t="inlineStr">
        <is>
          <t>AU2</t>
        </is>
      </c>
      <c r="F261" s="2" t="inlineStr">
        <is>
          <t>¿Ofrece aprobación, reversión, registro o límites antes de actuar?</t>
        </is>
      </c>
      <c r="G261" t="n">
        <v>1</v>
      </c>
      <c r="H261" t="inlineStr">
        <is>
          <t>Oficial</t>
        </is>
      </c>
      <c r="I261" s="2" t="inlineStr">
        <is>
          <t>La documentación no describe un paso de aprobación manual nativo antes de ejecutar la acción, ni detalla registro de auditoría o reversión; requeriría construir esa salvaguarda dentro del Logic App/Runbook.</t>
        </is>
      </c>
      <c r="J261" t="inlineStr">
        <is>
          <t>https://learn.microsoft.com/en-us/azure/cost-management-billing/manage/cost-management-budget-scenario</t>
        </is>
      </c>
      <c r="K261" t="inlineStr">
        <is>
          <t>2026-09-16</t>
        </is>
      </c>
      <c r="L261" s="2" t="inlineStr"/>
    </row>
    <row r="262">
      <c r="A262" t="inlineStr">
        <is>
          <t>E6</t>
        </is>
      </c>
      <c r="B262" t="inlineStr">
        <is>
          <t>Cloud nativa</t>
        </is>
      </c>
      <c r="C262" t="inlineStr">
        <is>
          <t>Azure Cost Management</t>
        </is>
      </c>
      <c r="D262" t="inlineStr">
        <is>
          <t>Multicloud</t>
        </is>
      </c>
      <c r="E262" t="inlineStr">
        <is>
          <t>M1</t>
        </is>
      </c>
      <c r="F262" s="2" t="inlineStr">
        <is>
          <t>¿Consolida al menos dos proveedores bajo el mismo esquema declarado?</t>
        </is>
      </c>
      <c r="G262" t="n">
        <v>0</v>
      </c>
      <c r="H262" t="inlineStr">
        <is>
          <t>Oficial</t>
        </is>
      </c>
      <c r="I262" s="2" t="inlineStr">
        <is>
          <t>Cost Management cubre exclusivamente cuentas y suscripciones de Azure; no ingiere ni consolida datos de AWS/GCP dentro de la misma consola.</t>
        </is>
      </c>
      <c r="J262" t="inlineStr">
        <is>
          <t>https://learn.microsoft.com/en-us/azure/cost-management-billing/dataset-schema/cost-usage-details-focus</t>
        </is>
      </c>
      <c r="K262" t="inlineStr">
        <is>
          <t>2026-09-16</t>
        </is>
      </c>
      <c r="L262" s="2" t="inlineStr"/>
    </row>
    <row r="263">
      <c r="A263" t="inlineStr">
        <is>
          <t>E6</t>
        </is>
      </c>
      <c r="B263" t="inlineStr">
        <is>
          <t>Cloud nativa</t>
        </is>
      </c>
      <c r="C263" t="inlineStr">
        <is>
          <t>Azure Cost Management</t>
        </is>
      </c>
      <c r="D263" t="inlineStr">
        <is>
          <t>Multicloud</t>
        </is>
      </c>
      <c r="E263" t="inlineStr">
        <is>
          <t>M2</t>
        </is>
      </c>
      <c r="F263" s="2" t="inlineStr">
        <is>
          <t>¿Hace visibles proveedor, cobertura y diferencias semánticas?</t>
        </is>
      </c>
      <c r="G263" t="n">
        <v>0</v>
      </c>
      <c r="H263" t="inlineStr">
        <is>
          <t>Oficial</t>
        </is>
      </c>
      <c r="I263" s="2" t="inlineStr">
        <is>
          <t>Al no consolidar otros proveedores, no expone diferencias de cobertura o semántica entre nubes.</t>
        </is>
      </c>
      <c r="J263" t="inlineStr">
        <is>
          <t>https://learn.microsoft.com/en-us/azure/cost-management-billing/dataset-schema/cost-usage-details-focus</t>
        </is>
      </c>
      <c r="K263" t="inlineStr">
        <is>
          <t>2026-09-16</t>
        </is>
      </c>
      <c r="L263" s="2" t="inlineStr"/>
    </row>
    <row r="264">
      <c r="A264" t="inlineStr">
        <is>
          <t>E6</t>
        </is>
      </c>
      <c r="B264" t="inlineStr">
        <is>
          <t>Cloud nativa</t>
        </is>
      </c>
      <c r="C264" t="inlineStr">
        <is>
          <t>Azure Cost Management</t>
        </is>
      </c>
      <c r="D264" t="inlineStr">
        <is>
          <t>Integracion</t>
        </is>
      </c>
      <c r="E264" t="inlineStr">
        <is>
          <t>I1</t>
        </is>
      </c>
      <c r="F264" s="2" t="inlineStr">
        <is>
          <t>¿Integra datos requeridos (facturación, uso, clúster o IaC) del escenario?</t>
        </is>
      </c>
      <c r="G264" t="inlineStr">
        <is>
          <t>NE</t>
        </is>
      </c>
      <c r="H264" t="inlineStr">
        <is>
          <t>Pendiente</t>
        </is>
      </c>
      <c r="I264" s="2" t="inlineStr">
        <is>
          <t>Los exports automatizan la ingesta de datos de costo/uso; para AKS, Cost Analysis integra métricas de clúster a nivel de namespace de forma nativa ("detailed cost allocation scoped to Kubernetes constructs, such as clusters and namespaces"), sin requerir un add-on de terceros.</t>
        </is>
      </c>
      <c r="J264" t="inlineStr">
        <is>
          <t>https://learn.microsoft.com/en-us/azure/aks/cost-analysis</t>
        </is>
      </c>
      <c r="K264" t="inlineStr">
        <is>
          <t>2026-09-16</t>
        </is>
      </c>
      <c r="L264" s="2" t="inlineStr">
        <is>
          <t>Celda heredada FP-180 (2026-09-16): el valor 2 proviene de la investigacion del escenario E1 y no cuenta con evidencia propia de E6. Segun FP-177 el indicador I1 depende del escenario, por lo que pasa a NE (no evidenciado, reduce cobertura) hasta investigarlo. La evidencia y la fuente originales se conservan como referencia del escenario de origen.</t>
        </is>
      </c>
    </row>
    <row r="265">
      <c r="A265" t="inlineStr">
        <is>
          <t>E6</t>
        </is>
      </c>
      <c r="B265" t="inlineStr">
        <is>
          <t>Cloud nativa</t>
        </is>
      </c>
      <c r="C265" t="inlineStr">
        <is>
          <t>Azure Cost Management</t>
        </is>
      </c>
      <c r="D265" t="inlineStr">
        <is>
          <t>Integracion</t>
        </is>
      </c>
      <c r="E265" t="inlineStr">
        <is>
          <t>I2</t>
        </is>
      </c>
      <c r="F265" s="2" t="inlineStr">
        <is>
          <t>¿Se integra con el flujo de trabajo relevante (alerta, ticket, CI/CD o reporte)?</t>
        </is>
      </c>
      <c r="G265" t="n">
        <v>2</v>
      </c>
      <c r="H265" t="inlineStr">
        <is>
          <t>Oficial</t>
        </is>
      </c>
      <c r="I265" s="2" t="inlineStr">
        <is>
          <t>Los Action Groups integran budgets con notificaciones, webhooks y Logic Apps, incorporando el evento de costo a un flujo operativo.</t>
        </is>
      </c>
      <c r="J265" t="inlineStr">
        <is>
          <t>https://learn.microsoft.com/en-us/azure/cost-management-billing/manage/cost-management-budget-scenario</t>
        </is>
      </c>
      <c r="K265" t="inlineStr">
        <is>
          <t>2026-09-16</t>
        </is>
      </c>
      <c r="L265" s="2" t="inlineStr">
        <is>
          <t>Celda heredada FP-180 (2026-09-16): el valor 2 proviene de la investigacion del escenario E1 y no cuenta con evidencia propia de E6. Segun FP-177 el indicador I2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266">
      <c r="A266" t="inlineStr">
        <is>
          <t>E6</t>
        </is>
      </c>
      <c r="B266" t="inlineStr">
        <is>
          <t>Cloud nativa</t>
        </is>
      </c>
      <c r="C266" t="inlineStr">
        <is>
          <t>Azure Cost Management</t>
        </is>
      </c>
      <c r="D266" t="inlineStr">
        <is>
          <t>Adopcion</t>
        </is>
      </c>
      <c r="E266" t="inlineStr">
        <is>
          <t>AD1</t>
        </is>
      </c>
      <c r="F266" s="2" t="inlineStr">
        <is>
          <t>¿Soporta acceso/entrega para los roles del escenario?</t>
        </is>
      </c>
      <c r="G266" t="n">
        <v>2</v>
      </c>
      <c r="H266" t="inlineStr">
        <is>
          <t>Oficial</t>
        </is>
      </c>
      <c r="I266" s="2" t="inlineStr">
        <is>
          <t>El acceso a los datos de Cost Management se controla con roles RBAC ("Cost Management Reader"/"Contributor") acotados por scope (grupo de gestion, suscripcion, grupo de recursos).</t>
        </is>
      </c>
      <c r="J266" t="inlineStr">
        <is>
          <t>https://learn.microsoft.com/en-us/azure/cost-management-billing/costs/assign-access-acm-data</t>
        </is>
      </c>
      <c r="K266" t="inlineStr">
        <is>
          <t>2026-09-16</t>
        </is>
      </c>
      <c r="L266" s="2" t="inlineStr">
        <is>
          <t>Celda heredada FP-180 (2026-09-16): el valor 2 proviene de la investigacion del escenario E1 y no cuenta con evidencia propia de E6. Segun FP-177 el indicador AD1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267">
      <c r="A267" t="inlineStr">
        <is>
          <t>E6</t>
        </is>
      </c>
      <c r="B267" t="inlineStr">
        <is>
          <t>Cloud nativa</t>
        </is>
      </c>
      <c r="C267" t="inlineStr">
        <is>
          <t>Azure Cost Management</t>
        </is>
      </c>
      <c r="D267" t="inlineStr">
        <is>
          <t>Adopcion</t>
        </is>
      </c>
      <c r="E267" t="inlineStr">
        <is>
          <t>AD2</t>
        </is>
      </c>
      <c r="F267" s="2" t="inlineStr">
        <is>
          <t>¿Ofrece guías, ownership o mecanismos de seguimiento para uso sostenido?</t>
        </is>
      </c>
      <c r="G267" t="n">
        <v>2</v>
      </c>
      <c r="H267" t="inlineStr">
        <is>
          <t>Oficial</t>
        </is>
      </c>
      <c r="I267" s="2" t="inlineStr">
        <is>
          <t>Microsoft mantiene guias oficiales de adopcion y un blog dedicado de FinOps ("FinOps Blog") con practicas de gestion de costo.</t>
        </is>
      </c>
      <c r="J267" t="inlineStr">
        <is>
          <t>https://techcommunity.microsoft.com/blog/finopsblog/generally-available-enhanced-cost-management-exports/4407748</t>
        </is>
      </c>
      <c r="K267" t="inlineStr">
        <is>
          <t>2026-09-16</t>
        </is>
      </c>
      <c r="L267" s="2" t="inlineStr"/>
    </row>
    <row r="268">
      <c r="A268" t="inlineStr">
        <is>
          <t>E6</t>
        </is>
      </c>
      <c r="B268" t="inlineStr">
        <is>
          <t>Cloud nativa</t>
        </is>
      </c>
      <c r="C268" t="inlineStr">
        <is>
          <t>Azure Cost Management</t>
        </is>
      </c>
      <c r="D268" t="inlineStr">
        <is>
          <t>Precio</t>
        </is>
      </c>
      <c r="E268" t="inlineStr">
        <is>
          <t>P1</t>
        </is>
      </c>
      <c r="F268" s="2" t="inlineStr">
        <is>
          <t>¿Expone precio, moneda, región, unidad, período y supuestos relevantes?</t>
        </is>
      </c>
      <c r="G268" t="n">
        <v>2</v>
      </c>
      <c r="H268" t="inlineStr">
        <is>
          <t>Oficial</t>
        </is>
      </c>
      <c r="I268" s="2" t="inlineStr">
        <is>
          <t>Los exports en esquema FOCUS exponen columnas estandarizadas (BilledCost, EffectiveCost, ListCost, PricingQuantity) con moneda, periodo y servicio.</t>
        </is>
      </c>
      <c r="J268" t="inlineStr">
        <is>
          <t>https://learn.microsoft.com/en-us/azure/cost-management-billing/dataset-schema/cost-usage-details-focus</t>
        </is>
      </c>
      <c r="K268" t="inlineStr">
        <is>
          <t>2026-09-16</t>
        </is>
      </c>
      <c r="L268" s="2" t="inlineStr"/>
    </row>
    <row r="269">
      <c r="A269" t="inlineStr">
        <is>
          <t>E6</t>
        </is>
      </c>
      <c r="B269" t="inlineStr">
        <is>
          <t>Cloud nativa</t>
        </is>
      </c>
      <c r="C269" t="inlineStr">
        <is>
          <t>Azure Cost Management</t>
        </is>
      </c>
      <c r="D269" t="inlineStr">
        <is>
          <t>Precio</t>
        </is>
      </c>
      <c r="E269" t="inlineStr">
        <is>
          <t>P2</t>
        </is>
      </c>
      <c r="F269" s="2" t="inlineStr">
        <is>
          <t>¿Permite estimar o comparar componentes sin ocultar límites de equivalencia?</t>
        </is>
      </c>
      <c r="G269" t="n">
        <v>1</v>
      </c>
      <c r="H269" t="inlineStr">
        <is>
          <t>Oficial</t>
        </is>
      </c>
      <c r="I269" s="2" t="inlineStr">
        <is>
          <t>Cost Management no incluye una calculadora de estimacion de componentes previa al despliegue (esa funcion es de Azure Pricing Calculator, evaluada aparte en E4).</t>
        </is>
      </c>
      <c r="J269" t="inlineStr">
        <is>
          <t>https://learn.microsoft.com/en-us/azure/cost-management-billing/costs/cost-analysis-common-uses</t>
        </is>
      </c>
      <c r="K269" t="inlineStr">
        <is>
          <t>2026-09-16</t>
        </is>
      </c>
      <c r="L269" s="2" t="inlineStr">
        <is>
          <t>Celda heredada FP-180 (2026-09-16): el valor 1 proviene de la investigacion del escenario E1 y no cuenta con evidencia propia de E6. Segun FP-177 el indicador P2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270">
      <c r="A270" t="inlineStr">
        <is>
          <t>E6</t>
        </is>
      </c>
      <c r="B270" t="inlineStr">
        <is>
          <t>Cloud nativa</t>
        </is>
      </c>
      <c r="C270" t="inlineStr">
        <is>
          <t>Azure Cost Management</t>
        </is>
      </c>
      <c r="D270" t="inlineStr">
        <is>
          <t>Dependencia</t>
        </is>
      </c>
      <c r="E270" t="inlineStr">
        <is>
          <t>D1</t>
        </is>
      </c>
      <c r="F270" s="2" t="inlineStr">
        <is>
          <t>¿Exporta datos/resultados en formato utilizable y documentado?</t>
        </is>
      </c>
      <c r="G270" t="n">
        <v>2</v>
      </c>
      <c r="H270" t="inlineStr">
        <is>
          <t>Oficial</t>
        </is>
      </c>
      <c r="I270" s="2" t="inlineStr">
        <is>
          <t>Los exports entregan datos en CSV/Parquet y en el esquema abierto FOCUS hacia una cuenta de almacenamiento.</t>
        </is>
      </c>
      <c r="J270" t="inlineStr">
        <is>
          <t>https://learn.microsoft.com/en-us/azure/cost-management-billing/costs/tutorial-improved-exports</t>
        </is>
      </c>
      <c r="K270" t="inlineStr">
        <is>
          <t>2026-09-16</t>
        </is>
      </c>
      <c r="L270" s="2" t="inlineStr"/>
    </row>
    <row r="271">
      <c r="A271" t="inlineStr">
        <is>
          <t>E6</t>
        </is>
      </c>
      <c r="B271" t="inlineStr">
        <is>
          <t>Cloud nativa</t>
        </is>
      </c>
      <c r="C271" t="inlineStr">
        <is>
          <t>Azure Cost Management</t>
        </is>
      </c>
      <c r="D271" t="inlineStr">
        <is>
          <t>Dependencia</t>
        </is>
      </c>
      <c r="E271" t="inlineStr">
        <is>
          <t>D2</t>
        </is>
      </c>
      <c r="F271" s="2" t="inlineStr">
        <is>
          <t>¿Documenta dependencias propietarias y un camino de salida/configuración reversible?</t>
        </is>
      </c>
      <c r="G271" t="n">
        <v>1</v>
      </c>
      <c r="H271" t="inlineStr">
        <is>
          <t>Oficial</t>
        </is>
      </c>
      <c r="I271" s="2" t="inlineStr">
        <is>
          <t>No se encontró documentación dedicada sobre un camino de salida o reversibilidad de la configuración; el riesgo de dependencia se atenúa porque los datos son exportables en formato estándar FOCUS.</t>
        </is>
      </c>
      <c r="J271" t="inlineStr">
        <is>
          <t>https://learn.microsoft.com/en-us/azure/cost-management-billing/dataset-schema/cost-usage-details-focus</t>
        </is>
      </c>
      <c r="K271" t="inlineStr">
        <is>
          <t>2026-09-16</t>
        </is>
      </c>
      <c r="L271" s="2" t="inlineStr"/>
    </row>
    <row r="272">
      <c r="A272" t="inlineStr">
        <is>
          <t>E1</t>
        </is>
      </c>
      <c r="B272" t="inlineStr">
        <is>
          <t>Cloud nativa</t>
        </is>
      </c>
      <c r="C272" t="inlineStr">
        <is>
          <t>Google Cloud Billing</t>
        </is>
      </c>
      <c r="D272" t="inlineStr">
        <is>
          <t>Visibilidad</t>
        </is>
      </c>
      <c r="E272" t="inlineStr">
        <is>
          <t>V1</t>
        </is>
      </c>
      <c r="F272" s="2" t="inlineStr">
        <is>
          <t>¿Desagrega costo y uso por cuenta/proyecto, servicio y período?</t>
        </is>
      </c>
      <c r="G272" t="n">
        <v>2</v>
      </c>
      <c r="H272" t="inlineStr">
        <is>
          <t>Oficial</t>
        </is>
      </c>
      <c r="I272" s="2" t="inlineStr">
        <is>
          <t>Cloud Billing Reports agrupa costos "by Project", "by Service", por SKU y por "Label keys"; el reporte cambia dinámicamente al ajustar rango de tiempo, agrupación y filtros.</t>
        </is>
      </c>
      <c r="J272" t="inlineStr">
        <is>
          <t>https://docs.cloud.google.com/billing/docs/how-to/reports</t>
        </is>
      </c>
      <c r="K272" t="inlineStr">
        <is>
          <t>2026-09-16</t>
        </is>
      </c>
      <c r="L272" s="2" t="inlineStr"/>
    </row>
    <row r="273">
      <c r="A273" t="inlineStr">
        <is>
          <t>E1</t>
        </is>
      </c>
      <c r="B273" t="inlineStr">
        <is>
          <t>Cloud nativa</t>
        </is>
      </c>
      <c r="C273" t="inlineStr">
        <is>
          <t>Google Cloud Billing</t>
        </is>
      </c>
      <c r="D273" t="inlineStr">
        <is>
          <t>Visibilidad</t>
        </is>
      </c>
      <c r="E273" t="inlineStr">
        <is>
          <t>V2</t>
        </is>
      </c>
      <c r="F273" s="2" t="inlineStr">
        <is>
          <t>¿Permite rastrear un total hasta registros o fuente de facturación?</t>
        </is>
      </c>
      <c r="G273" t="n">
        <v>2</v>
      </c>
      <c r="H273" t="inlineStr">
        <is>
          <t>Oficial</t>
        </is>
      </c>
      <c r="I273" s="2" t="inlineStr">
        <is>
          <t>El export detallado de facturación a BigQuery entrega el detalle a nivel de línea de uso/costo, sirviendo de fuente trazable para reconciliar reportes.</t>
        </is>
      </c>
      <c r="J273" t="inlineStr">
        <is>
          <t>https://docs.cloud.google.com/billing/docs/how-to/export-data-bigquery-tables/detailed-usage</t>
        </is>
      </c>
      <c r="K273" t="inlineStr">
        <is>
          <t>2026-09-16</t>
        </is>
      </c>
      <c r="L273" s="2" t="inlineStr"/>
    </row>
    <row r="274">
      <c r="A274" t="inlineStr">
        <is>
          <t>E1</t>
        </is>
      </c>
      <c r="B274" t="inlineStr">
        <is>
          <t>Cloud nativa</t>
        </is>
      </c>
      <c r="C274" t="inlineStr">
        <is>
          <t>Google Cloud Billing</t>
        </is>
      </c>
      <c r="D274" t="inlineStr">
        <is>
          <t>Asignacion</t>
        </is>
      </c>
      <c r="E274" t="inlineStr">
        <is>
          <t>A1</t>
        </is>
      </c>
      <c r="F274" s="2" t="inlineStr">
        <is>
          <t>¿Calcula gasto asignado/no asignado por responsable, centro o entidad?</t>
        </is>
      </c>
      <c r="G274" t="n">
        <v>1</v>
      </c>
      <c r="H274" t="inlineStr">
        <is>
          <t>Oficial (ausencia verificada de una función equivalente; ver notas)</t>
        </is>
      </c>
      <c r="I274" s="2" t="inlineStr">
        <is>
          <t>La atribución nativa se basa en jerarquía de proyectos y labels; no se encontró una función equivalente a las "cost allocation rules" de Azure o "Cost Categories" de AWS que muestre explícitamente un total "no asignado".</t>
        </is>
      </c>
      <c r="J274" t="inlineStr">
        <is>
          <t>https://docs.cloud.google.com/billing/docs/how-to/reports</t>
        </is>
      </c>
      <c r="K274" t="inlineStr">
        <is>
          <t>2026-09-16</t>
        </is>
      </c>
      <c r="L274" s="2" t="inlineStr"/>
    </row>
    <row r="275">
      <c r="A275" t="inlineStr">
        <is>
          <t>E1</t>
        </is>
      </c>
      <c r="B275" t="inlineStr">
        <is>
          <t>Cloud nativa</t>
        </is>
      </c>
      <c r="C275" t="inlineStr">
        <is>
          <t>Google Cloud Billing</t>
        </is>
      </c>
      <c r="D275" t="inlineStr">
        <is>
          <t>Asignacion</t>
        </is>
      </c>
      <c r="E275" t="inlineStr">
        <is>
          <t>A2</t>
        </is>
      </c>
      <c r="F275" s="2" t="inlineStr">
        <is>
          <t>¿Explicita y aplica reglas para costo compartido/multi-tenant?</t>
        </is>
      </c>
      <c r="G275" t="n">
        <v>0</v>
      </c>
      <c r="H275" t="inlineStr">
        <is>
          <t>Ausencia verificada (búsqueda documental)</t>
        </is>
      </c>
      <c r="I275"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275" t="inlineStr">
        <is>
          <t>https://docs.cloud.google.com/billing/docs/how-to/reports</t>
        </is>
      </c>
      <c r="K275" t="inlineStr">
        <is>
          <t>2026-09-16</t>
        </is>
      </c>
      <c r="L275" s="2" t="inlineStr"/>
    </row>
    <row r="276">
      <c r="A276" t="inlineStr">
        <is>
          <t>E1</t>
        </is>
      </c>
      <c r="B276" t="inlineStr">
        <is>
          <t>Cloud nativa</t>
        </is>
      </c>
      <c r="C276" t="inlineStr">
        <is>
          <t>Google Cloud Billing</t>
        </is>
      </c>
      <c r="D276" t="inlineStr">
        <is>
          <t>Optimizacion</t>
        </is>
      </c>
      <c r="E276" t="inlineStr">
        <is>
          <t>O1</t>
        </is>
      </c>
      <c r="F276" s="2" t="inlineStr">
        <is>
          <t>¿Detecta desperdicio, rightsizing o compromiso relevante al escenario?</t>
        </is>
      </c>
      <c r="G276" t="n">
        <v>0</v>
      </c>
      <c r="H276" t="inlineStr">
        <is>
          <t>Oficial (ausencia verificada)</t>
        </is>
      </c>
      <c r="I276" s="2" t="inlineStr">
        <is>
          <t>Cloud Billing (reportes/presupuestos/export) no genera por sí mismo recomendaciones de optimización; esa función corresponde a Recommender/FinOps hub, evaluado como producto aparte.</t>
        </is>
      </c>
      <c r="J276" t="inlineStr">
        <is>
          <t>https://docs.cloud.google.com/billing/docs/how-to/finops-hub</t>
        </is>
      </c>
      <c r="K276" t="inlineStr">
        <is>
          <t>2026-09-16</t>
        </is>
      </c>
      <c r="L27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277">
      <c r="A277" t="inlineStr">
        <is>
          <t>E1</t>
        </is>
      </c>
      <c r="B277" t="inlineStr">
        <is>
          <t>Cloud nativa</t>
        </is>
      </c>
      <c r="C277" t="inlineStr">
        <is>
          <t>Google Cloud Billing</t>
        </is>
      </c>
      <c r="D277" t="inlineStr">
        <is>
          <t>Optimizacion</t>
        </is>
      </c>
      <c r="E277" t="inlineStr">
        <is>
          <t>O2</t>
        </is>
      </c>
      <c r="F277" s="2" t="inlineStr">
        <is>
          <t>¿Explica supuesto/impacto y permite seguir una recomendación?</t>
        </is>
      </c>
      <c r="G277" t="n">
        <v>0</v>
      </c>
      <c r="H277" t="inlineStr">
        <is>
          <t>Oficial (ausencia verificada)</t>
        </is>
      </c>
      <c r="I277" s="2" t="inlineStr">
        <is>
          <t>Mismo alcance de diseño que O1.</t>
        </is>
      </c>
      <c r="J277" t="inlineStr">
        <is>
          <t>https://docs.cloud.google.com/billing/docs/how-to/finops-hub</t>
        </is>
      </c>
      <c r="K277" t="inlineStr">
        <is>
          <t>2026-09-16</t>
        </is>
      </c>
      <c r="L27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278">
      <c r="A278" t="inlineStr">
        <is>
          <t>E1</t>
        </is>
      </c>
      <c r="B278" t="inlineStr">
        <is>
          <t>Cloud nativa</t>
        </is>
      </c>
      <c r="C278" t="inlineStr">
        <is>
          <t>Google Cloud Billing</t>
        </is>
      </c>
      <c r="D278" t="inlineStr">
        <is>
          <t>Automatizacion</t>
        </is>
      </c>
      <c r="E278" t="inlineStr">
        <is>
          <t>AU1</t>
        </is>
      </c>
      <c r="F278" s="2" t="inlineStr">
        <is>
          <t>¿Ejecuta o bloquea acciones/políticas de costo con control verificable?</t>
        </is>
      </c>
      <c r="G278" t="n">
        <v>2</v>
      </c>
      <c r="H278" t="inlineStr">
        <is>
          <t>Oficial</t>
        </is>
      </c>
      <c r="I278" s="2" t="inlineStr">
        <is>
          <t>Las notificaciones programáticas de presupuesto vía Pub/Sub permiten "automatizar respuestas de control de costos", incluida deshabilitar la facturación o limitar recursos mediante Cloud Run/Functions, sin paso de aprobación documentado.</t>
        </is>
      </c>
      <c r="J278" t="inlineStr">
        <is>
          <t>https://docs.cloud.google.com/billing/docs/how-to/budgets-programmatic-notifications</t>
        </is>
      </c>
      <c r="K278" t="inlineStr">
        <is>
          <t>2026-09-16</t>
        </is>
      </c>
      <c r="L278" s="2" t="inlineStr"/>
    </row>
    <row r="279">
      <c r="A279" t="inlineStr">
        <is>
          <t>E1</t>
        </is>
      </c>
      <c r="B279" t="inlineStr">
        <is>
          <t>Cloud nativa</t>
        </is>
      </c>
      <c r="C279" t="inlineStr">
        <is>
          <t>Google Cloud Billing</t>
        </is>
      </c>
      <c r="D279" t="inlineStr">
        <is>
          <t>Automatizacion</t>
        </is>
      </c>
      <c r="E279" t="inlineStr">
        <is>
          <t>AU2</t>
        </is>
      </c>
      <c r="F279" s="2" t="inlineStr">
        <is>
          <t>¿Ofrece aprobación, reversión, registro o límites antes de actuar?</t>
        </is>
      </c>
      <c r="G279" t="n">
        <v>1</v>
      </c>
      <c r="H279" t="inlineStr">
        <is>
          <t>Oficial</t>
        </is>
      </c>
      <c r="I279" s="2" t="inlineStr">
        <is>
          <t>La documentación no describe un paso de aprobación manual nativo ni un registro de auditoría/reversión; esas salvaguardas dependerían de la Cloud Function que el equipo construya.</t>
        </is>
      </c>
      <c r="J279" t="inlineStr">
        <is>
          <t>https://docs.cloud.google.com/billing/docs/how-to/budgets-programmatic-notifications</t>
        </is>
      </c>
      <c r="K279" t="inlineStr">
        <is>
          <t>2026-09-16</t>
        </is>
      </c>
      <c r="L279" s="2" t="inlineStr"/>
    </row>
    <row r="280">
      <c r="A280" t="inlineStr">
        <is>
          <t>E1</t>
        </is>
      </c>
      <c r="B280" t="inlineStr">
        <is>
          <t>Cloud nativa</t>
        </is>
      </c>
      <c r="C280" t="inlineStr">
        <is>
          <t>Google Cloud Billing</t>
        </is>
      </c>
      <c r="D280" t="inlineStr">
        <is>
          <t>Multicloud</t>
        </is>
      </c>
      <c r="E280" t="inlineStr">
        <is>
          <t>M1</t>
        </is>
      </c>
      <c r="F280" s="2" t="inlineStr">
        <is>
          <t>¿Consolida al menos dos proveedores bajo el mismo esquema declarado?</t>
        </is>
      </c>
      <c r="G280" t="n">
        <v>0</v>
      </c>
      <c r="H280" t="inlineStr">
        <is>
          <t>Oficial</t>
        </is>
      </c>
      <c r="I280" s="2" t="inlineStr">
        <is>
          <t>Cloud Billing cubre exclusivamente cuentas de Google Cloud; no ingiere ni consolida datos de AWS/Azure dentro de la misma consola.</t>
        </is>
      </c>
      <c r="J280" t="inlineStr">
        <is>
          <t>https://docs.cloud.google.com/billing/docs/how-to/export-data-bigquery-tables/focus-export</t>
        </is>
      </c>
      <c r="K280" t="inlineStr">
        <is>
          <t>2026-09-16</t>
        </is>
      </c>
      <c r="L280" s="2" t="inlineStr"/>
    </row>
    <row r="281">
      <c r="A281" t="inlineStr">
        <is>
          <t>E1</t>
        </is>
      </c>
      <c r="B281" t="inlineStr">
        <is>
          <t>Cloud nativa</t>
        </is>
      </c>
      <c r="C281" t="inlineStr">
        <is>
          <t>Google Cloud Billing</t>
        </is>
      </c>
      <c r="D281" t="inlineStr">
        <is>
          <t>Multicloud</t>
        </is>
      </c>
      <c r="E281" t="inlineStr">
        <is>
          <t>M2</t>
        </is>
      </c>
      <c r="F281" s="2" t="inlineStr">
        <is>
          <t>¿Hace visibles proveedor, cobertura y diferencias semánticas?</t>
        </is>
      </c>
      <c r="G281" t="n">
        <v>0</v>
      </c>
      <c r="H281" t="inlineStr">
        <is>
          <t>Oficial</t>
        </is>
      </c>
      <c r="I281" s="2" t="inlineStr">
        <is>
          <t>Al no consolidar otros proveedores, no expone diferencias de cobertura o semántica entre nubes.</t>
        </is>
      </c>
      <c r="J281" t="inlineStr">
        <is>
          <t>https://docs.cloud.google.com/billing/docs/how-to/export-data-bigquery-tables/focus-export</t>
        </is>
      </c>
      <c r="K281" t="inlineStr">
        <is>
          <t>2026-09-16</t>
        </is>
      </c>
      <c r="L281" s="2" t="inlineStr"/>
    </row>
    <row r="282">
      <c r="A282" t="inlineStr">
        <is>
          <t>E1</t>
        </is>
      </c>
      <c r="B282" t="inlineStr">
        <is>
          <t>Cloud nativa</t>
        </is>
      </c>
      <c r="C282" t="inlineStr">
        <is>
          <t>Google Cloud Billing</t>
        </is>
      </c>
      <c r="D282" t="inlineStr">
        <is>
          <t>Integracion</t>
        </is>
      </c>
      <c r="E282" t="inlineStr">
        <is>
          <t>I1</t>
        </is>
      </c>
      <c r="F282" s="2" t="inlineStr">
        <is>
          <t>¿Integra datos requeridos (facturación, uso, clúster o IaC) del escenario?</t>
        </is>
      </c>
      <c r="G282" t="n">
        <v>2</v>
      </c>
      <c r="H282" t="inlineStr">
        <is>
          <t>Oficial</t>
        </is>
      </c>
      <c r="I282" s="2" t="inlineStr">
        <is>
          <t>El export detallado a BigQuery ingiere datos de costo/uso de forma automatizada; GKE cost allocation (opt-in con "--enable-cost-allocation") añade granularidad de namespace/workload/pod (hasta 50 etiquetas por Pod) al mismo export, con hasta 3 días de latencia.</t>
        </is>
      </c>
      <c r="J282" t="inlineStr">
        <is>
          <t>https://docs.cloud.google.com/kubernetes-engine/docs/how-to/cost-allocations</t>
        </is>
      </c>
      <c r="K282" t="inlineStr">
        <is>
          <t>2026-09-16</t>
        </is>
      </c>
      <c r="L282" s="2" t="inlineStr"/>
    </row>
    <row r="283">
      <c r="A283" t="inlineStr">
        <is>
          <t>E1</t>
        </is>
      </c>
      <c r="B283" t="inlineStr">
        <is>
          <t>Cloud nativa</t>
        </is>
      </c>
      <c r="C283" t="inlineStr">
        <is>
          <t>Google Cloud Billing</t>
        </is>
      </c>
      <c r="D283" t="inlineStr">
        <is>
          <t>Integracion</t>
        </is>
      </c>
      <c r="E283" t="inlineStr">
        <is>
          <t>I2</t>
        </is>
      </c>
      <c r="F283" s="2" t="inlineStr">
        <is>
          <t>¿Se integra con el flujo de trabajo relevante (alerta, ticket, CI/CD o reporte)?</t>
        </is>
      </c>
      <c r="G283" t="n">
        <v>2</v>
      </c>
      <c r="H283" t="inlineStr">
        <is>
          <t>Oficial</t>
        </is>
      </c>
      <c r="I283" s="2" t="inlineStr">
        <is>
          <t>Las notificaciones Pub/Sub se integran con Slack y otras herramientas operativas para "respuesta más rápida" al evento de costo.</t>
        </is>
      </c>
      <c r="J283" t="inlineStr">
        <is>
          <t>https://docs.cloud.google.com/billing/docs/how-to/budgets-programmatic-notifications</t>
        </is>
      </c>
      <c r="K283" t="inlineStr">
        <is>
          <t>2026-09-16</t>
        </is>
      </c>
      <c r="L283" s="2" t="inlineStr"/>
    </row>
    <row r="284">
      <c r="A284" t="inlineStr">
        <is>
          <t>E1</t>
        </is>
      </c>
      <c r="B284" t="inlineStr">
        <is>
          <t>Cloud nativa</t>
        </is>
      </c>
      <c r="C284" t="inlineStr">
        <is>
          <t>Google Cloud Billing</t>
        </is>
      </c>
      <c r="D284" t="inlineStr">
        <is>
          <t>Adopcion</t>
        </is>
      </c>
      <c r="E284" t="inlineStr">
        <is>
          <t>AD1</t>
        </is>
      </c>
      <c r="F284" s="2" t="inlineStr">
        <is>
          <t>¿Soporta acceso/entrega para los roles del escenario?</t>
        </is>
      </c>
      <c r="G284" t="n">
        <v>2</v>
      </c>
      <c r="H284" t="inlineStr">
        <is>
          <t>Oficial</t>
        </is>
      </c>
      <c r="I284" s="2" t="inlineStr">
        <is>
          <t>Roles de IAM predefinidos ("Billing Account Viewer", "Billing Account Costs Manager", "Project Billing Costs Manager") separan acceso de solo lectura de costos del resto de permisos de administración, incluso acotado por proyecto.</t>
        </is>
      </c>
      <c r="J284" t="inlineStr">
        <is>
          <t>https://docs.cloud.google.com/billing/docs/how-to/billing-access</t>
        </is>
      </c>
      <c r="K284" t="inlineStr">
        <is>
          <t>2026-09-16</t>
        </is>
      </c>
      <c r="L284" s="2" t="inlineStr"/>
    </row>
    <row r="285">
      <c r="A285" t="inlineStr">
        <is>
          <t>E1</t>
        </is>
      </c>
      <c r="B285" t="inlineStr">
        <is>
          <t>Cloud nativa</t>
        </is>
      </c>
      <c r="C285" t="inlineStr">
        <is>
          <t>Google Cloud Billing</t>
        </is>
      </c>
      <c r="D285" t="inlineStr">
        <is>
          <t>Adopcion</t>
        </is>
      </c>
      <c r="E285" t="inlineStr">
        <is>
          <t>AD2</t>
        </is>
      </c>
      <c r="F285" s="2" t="inlineStr">
        <is>
          <t>¿Ofrece guías, ownership o mecanismos de seguimiento para uso sostenido?</t>
        </is>
      </c>
      <c r="G285" t="n">
        <v>1</v>
      </c>
      <c r="H285" t="inlineStr">
        <is>
          <t>Oficial</t>
        </is>
      </c>
      <c r="I285" s="2" t="inlineStr">
        <is>
          <t>Existen guías oficiales generales de uso, pero la medición formal de adopción/gobernanza (el "FinOps score") corresponde a FinOps hub, evaluado como producto aparte.</t>
        </is>
      </c>
      <c r="J285" t="inlineStr">
        <is>
          <t>https://docs.cloud.google.com/billing/docs/how-to/finops-hub</t>
        </is>
      </c>
      <c r="K285" t="inlineStr">
        <is>
          <t>2026-09-16</t>
        </is>
      </c>
      <c r="L285" s="2" t="inlineStr"/>
    </row>
    <row r="286">
      <c r="A286" t="inlineStr">
        <is>
          <t>E1</t>
        </is>
      </c>
      <c r="B286" t="inlineStr">
        <is>
          <t>Cloud nativa</t>
        </is>
      </c>
      <c r="C286" t="inlineStr">
        <is>
          <t>Google Cloud Billing</t>
        </is>
      </c>
      <c r="D286" t="inlineStr">
        <is>
          <t>Precio</t>
        </is>
      </c>
      <c r="E286" t="inlineStr">
        <is>
          <t>P1</t>
        </is>
      </c>
      <c r="F286" s="2" t="inlineStr">
        <is>
          <t>¿Expone precio, moneda, región, unidad, período y supuestos relevantes?</t>
        </is>
      </c>
      <c r="G286" t="n">
        <v>2</v>
      </c>
      <c r="H286" t="inlineStr">
        <is>
          <t>Oficial</t>
        </is>
      </c>
      <c r="I286" s="2" t="inlineStr">
        <is>
          <t>El export FOCUS y el export detallado exponen campos estandarizados (BilledCost, ListCost, ContractedCost, ServiceName, SkuId, RegionId) con moneda, período y región.</t>
        </is>
      </c>
      <c r="J286" t="inlineStr">
        <is>
          <t>https://docs.cloud.google.com/billing/docs/how-to/export-data-bigquery-tables/focus-export</t>
        </is>
      </c>
      <c r="K286" t="inlineStr">
        <is>
          <t>2026-09-16</t>
        </is>
      </c>
      <c r="L286" s="2" t="inlineStr"/>
    </row>
    <row r="287">
      <c r="A287" t="inlineStr">
        <is>
          <t>E1</t>
        </is>
      </c>
      <c r="B287" t="inlineStr">
        <is>
          <t>Cloud nativa</t>
        </is>
      </c>
      <c r="C287" t="inlineStr">
        <is>
          <t>Google Cloud Billing</t>
        </is>
      </c>
      <c r="D287" t="inlineStr">
        <is>
          <t>Precio</t>
        </is>
      </c>
      <c r="E287" t="inlineStr">
        <is>
          <t>P2</t>
        </is>
      </c>
      <c r="F287" s="2" t="inlineStr">
        <is>
          <t>¿Permite estimar o comparar componentes sin ocultar límites de equivalencia?</t>
        </is>
      </c>
      <c r="G287" t="n">
        <v>1</v>
      </c>
      <c r="H287" t="inlineStr">
        <is>
          <t>Oficial</t>
        </is>
      </c>
      <c r="I287" s="2" t="inlineStr">
        <is>
          <t>Cloud Billing Reports no incluye una calculadora de estimación de componentes previa al despliegue (esa función es de Google Cloud Pricing Calculator, evaluada aparte en E4).</t>
        </is>
      </c>
      <c r="J287" t="inlineStr">
        <is>
          <t>https://docs.cloud.google.com/billing/docs/how-to/reports</t>
        </is>
      </c>
      <c r="K287" t="inlineStr">
        <is>
          <t>2026-09-16</t>
        </is>
      </c>
      <c r="L287" s="2" t="inlineStr"/>
    </row>
    <row r="288">
      <c r="A288" t="inlineStr">
        <is>
          <t>E1</t>
        </is>
      </c>
      <c r="B288" t="inlineStr">
        <is>
          <t>Cloud nativa</t>
        </is>
      </c>
      <c r="C288" t="inlineStr">
        <is>
          <t>Google Cloud Billing</t>
        </is>
      </c>
      <c r="D288" t="inlineStr">
        <is>
          <t>Dependencia</t>
        </is>
      </c>
      <c r="E288" t="inlineStr">
        <is>
          <t>D1</t>
        </is>
      </c>
      <c r="F288" s="2" t="inlineStr">
        <is>
          <t>¿Exporta datos/resultados en formato utilizable y documentado?</t>
        </is>
      </c>
      <c r="G288" t="n">
        <v>2</v>
      </c>
      <c r="H288" t="inlineStr">
        <is>
          <t>Oficial</t>
        </is>
      </c>
      <c r="I288" s="2" t="inlineStr">
        <is>
          <t>El export estándar y detallado a BigQuery, y el export en esquema FOCUS, entregan datos en formato abierto y consultable con SQL.</t>
        </is>
      </c>
      <c r="J288" t="inlineStr">
        <is>
          <t>https://docs.cloud.google.com/billing/docs/how-to/export-data-bigquery-tables/focus-export</t>
        </is>
      </c>
      <c r="K288" t="inlineStr">
        <is>
          <t>2026-09-16</t>
        </is>
      </c>
      <c r="L288" s="2" t="inlineStr"/>
    </row>
    <row r="289">
      <c r="A289" t="inlineStr">
        <is>
          <t>E1</t>
        </is>
      </c>
      <c r="B289" t="inlineStr">
        <is>
          <t>Cloud nativa</t>
        </is>
      </c>
      <c r="C289" t="inlineStr">
        <is>
          <t>Google Cloud Billing</t>
        </is>
      </c>
      <c r="D289" t="inlineStr">
        <is>
          <t>Dependencia</t>
        </is>
      </c>
      <c r="E289" t="inlineStr">
        <is>
          <t>D2</t>
        </is>
      </c>
      <c r="F289" s="2" t="inlineStr">
        <is>
          <t>¿Documenta dependencias propietarias y un camino de salida/configuración reversible?</t>
        </is>
      </c>
      <c r="G289" t="n">
        <v>1</v>
      </c>
      <c r="H289" t="inlineStr">
        <is>
          <t>Oficial</t>
        </is>
      </c>
      <c r="I289" s="2" t="inlineStr">
        <is>
          <t>No se encontró documentación dedicada sobre un camino de salida o reversibilidad; el riesgo de dependencia se atenúa por el export en formato FOCUS/BigQuery estándar.</t>
        </is>
      </c>
      <c r="J289" t="inlineStr">
        <is>
          <t>https://docs.cloud.google.com/billing/docs/how-to/export-data-bigquery-tables/focus-export</t>
        </is>
      </c>
      <c r="K289" t="inlineStr">
        <is>
          <t>2026-09-16</t>
        </is>
      </c>
      <c r="L289" s="2" t="inlineStr"/>
    </row>
    <row r="290">
      <c r="A290" t="inlineStr">
        <is>
          <t>E2</t>
        </is>
      </c>
      <c r="B290" t="inlineStr">
        <is>
          <t>Cloud nativa</t>
        </is>
      </c>
      <c r="C290" t="inlineStr">
        <is>
          <t>Google Cloud Billing</t>
        </is>
      </c>
      <c r="D290" t="inlineStr">
        <is>
          <t>Visibilidad</t>
        </is>
      </c>
      <c r="E290" t="inlineStr">
        <is>
          <t>V1</t>
        </is>
      </c>
      <c r="F290" s="2" t="inlineStr">
        <is>
          <t>¿Desagrega costo y uso por cuenta/proyecto, servicio y período?</t>
        </is>
      </c>
      <c r="G290" t="inlineStr">
        <is>
          <t>NE</t>
        </is>
      </c>
      <c r="H290" t="inlineStr">
        <is>
          <t>Pendiente</t>
        </is>
      </c>
      <c r="I290" s="2" t="inlineStr">
        <is>
          <t>Cloud Billing Reports agrupa costos "by Project", "by Service", por SKU y por "Label keys"; el reporte cambia dinámicamente al ajustar rango de tiempo, agrupación y filtros.</t>
        </is>
      </c>
      <c r="J290" t="inlineStr">
        <is>
          <t>https://docs.cloud.google.com/billing/docs/how-to/reports</t>
        </is>
      </c>
      <c r="K290" t="inlineStr">
        <is>
          <t>2026-09-16</t>
        </is>
      </c>
      <c r="L290" s="2" t="inlineStr">
        <is>
          <t>Celda heredada FP-180 (2026-09-16): el valor 2 proviene de la investigacion del escenario E1 y no cuenta con evidencia propia de E2. Segun FP-177 el indicador V1 depende del escenario, por lo que pasa a NE (no evidenciado, reduce cobertura) hasta investigarlo. La evidencia y la fuente originales se conservan como referencia del escenario de origen.</t>
        </is>
      </c>
    </row>
    <row r="291">
      <c r="A291" t="inlineStr">
        <is>
          <t>E2</t>
        </is>
      </c>
      <c r="B291" t="inlineStr">
        <is>
          <t>Cloud nativa</t>
        </is>
      </c>
      <c r="C291" t="inlineStr">
        <is>
          <t>Google Cloud Billing</t>
        </is>
      </c>
      <c r="D291" t="inlineStr">
        <is>
          <t>Visibilidad</t>
        </is>
      </c>
      <c r="E291" t="inlineStr">
        <is>
          <t>V2</t>
        </is>
      </c>
      <c r="F291" s="2" t="inlineStr">
        <is>
          <t>¿Permite rastrear un total hasta registros o fuente de facturación?</t>
        </is>
      </c>
      <c r="G291" t="n">
        <v>2</v>
      </c>
      <c r="H291" t="inlineStr">
        <is>
          <t>Oficial</t>
        </is>
      </c>
      <c r="I291" s="2" t="inlineStr">
        <is>
          <t>El export detallado de facturación a BigQuery entrega el detalle a nivel de línea de uso/costo, sirviendo de fuente trazable para reconciliar reportes.</t>
        </is>
      </c>
      <c r="J291" t="inlineStr">
        <is>
          <t>https://docs.cloud.google.com/billing/docs/how-to/export-data-bigquery-tables/detailed-usage</t>
        </is>
      </c>
      <c r="K291" t="inlineStr">
        <is>
          <t>2026-09-16</t>
        </is>
      </c>
      <c r="L291" s="2" t="inlineStr"/>
    </row>
    <row r="292">
      <c r="A292" t="inlineStr">
        <is>
          <t>E2</t>
        </is>
      </c>
      <c r="B292" t="inlineStr">
        <is>
          <t>Cloud nativa</t>
        </is>
      </c>
      <c r="C292" t="inlineStr">
        <is>
          <t>Google Cloud Billing</t>
        </is>
      </c>
      <c r="D292" t="inlineStr">
        <is>
          <t>Asignacion</t>
        </is>
      </c>
      <c r="E292" t="inlineStr">
        <is>
          <t>A1</t>
        </is>
      </c>
      <c r="F292" s="2" t="inlineStr">
        <is>
          <t>¿Calcula gasto asignado/no asignado por responsable, centro o entidad?</t>
        </is>
      </c>
      <c r="G292" t="inlineStr">
        <is>
          <t>NE</t>
        </is>
      </c>
      <c r="H292" t="inlineStr">
        <is>
          <t>Pendiente</t>
        </is>
      </c>
      <c r="I292" s="2" t="inlineStr">
        <is>
          <t>La atribución nativa se basa en jerarquía de proyectos y labels; no se encontró una función equivalente a las "cost allocation rules" de Azure o "Cost Categories" de AWS que muestre explícitamente un total "no asignado".</t>
        </is>
      </c>
      <c r="J292" t="inlineStr">
        <is>
          <t>https://docs.cloud.google.com/billing/docs/how-to/reports</t>
        </is>
      </c>
      <c r="K292" t="inlineStr">
        <is>
          <t>2026-09-16</t>
        </is>
      </c>
      <c r="L292" s="2" t="inlineStr">
        <is>
          <t>Celda heredada FP-180 (2026-09-16): el valor 1 proviene de la investigacion del escenario E1 y no cuenta con evidencia propia de E2. Segun FP-177 el indicador A1 depende del escenario, por lo que pasa a NE (no evidenciado, reduce cobertura) hasta investigarlo. La evidencia y la fuente originales se conservan como referencia del escenario de origen.</t>
        </is>
      </c>
    </row>
    <row r="293">
      <c r="A293" t="inlineStr">
        <is>
          <t>E2</t>
        </is>
      </c>
      <c r="B293" t="inlineStr">
        <is>
          <t>Cloud nativa</t>
        </is>
      </c>
      <c r="C293" t="inlineStr">
        <is>
          <t>Google Cloud Billing</t>
        </is>
      </c>
      <c r="D293" t="inlineStr">
        <is>
          <t>Asignacion</t>
        </is>
      </c>
      <c r="E293" t="inlineStr">
        <is>
          <t>A2</t>
        </is>
      </c>
      <c r="F293" s="2" t="inlineStr">
        <is>
          <t>¿Explicita y aplica reglas para costo compartido/multi-tenant?</t>
        </is>
      </c>
      <c r="G293" t="inlineStr">
        <is>
          <t>NE</t>
        </is>
      </c>
      <c r="H293" t="inlineStr">
        <is>
          <t>Pendiente</t>
        </is>
      </c>
      <c r="I293"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293" t="inlineStr">
        <is>
          <t>https://docs.cloud.google.com/billing/docs/how-to/reports</t>
        </is>
      </c>
      <c r="K293" t="inlineStr">
        <is>
          <t>2026-09-16</t>
        </is>
      </c>
      <c r="L293" s="2" t="inlineStr">
        <is>
          <t>Celda heredada FP-180 (2026-09-16): el valor 0 proviene de la investigacion del escenario E1 y no cuenta con evidencia propia de E2. Segun FP-177 el indicador A2 depende del escenario, por lo que pasa a NE (no evidenciado, reduce cobertura) hasta investigarlo. La evidencia y la fuente originales se conservan como referencia del escenario de origen.</t>
        </is>
      </c>
    </row>
    <row r="294">
      <c r="A294" t="inlineStr">
        <is>
          <t>E2</t>
        </is>
      </c>
      <c r="B294" t="inlineStr">
        <is>
          <t>Cloud nativa</t>
        </is>
      </c>
      <c r="C294" t="inlineStr">
        <is>
          <t>Google Cloud Billing</t>
        </is>
      </c>
      <c r="D294" t="inlineStr">
        <is>
          <t>Optimizacion</t>
        </is>
      </c>
      <c r="E294" t="inlineStr">
        <is>
          <t>O1</t>
        </is>
      </c>
      <c r="F294" s="2" t="inlineStr">
        <is>
          <t>¿Detecta desperdicio, rightsizing o compromiso relevante al escenario?</t>
        </is>
      </c>
      <c r="G294" t="inlineStr">
        <is>
          <t>NE</t>
        </is>
      </c>
      <c r="H294" t="inlineStr">
        <is>
          <t>Pendiente</t>
        </is>
      </c>
      <c r="I294" s="2" t="inlineStr">
        <is>
          <t>Cloud Billing (reportes/presupuestos/export) no genera por sí mismo recomendaciones de optimización; esa función corresponde a Recommender/FinOps hub, evaluado como producto aparte.</t>
        </is>
      </c>
      <c r="J294" t="inlineStr">
        <is>
          <t>https://docs.cloud.google.com/billing/docs/how-to/finops-hub</t>
        </is>
      </c>
      <c r="K294" t="inlineStr">
        <is>
          <t>2026-09-16</t>
        </is>
      </c>
      <c r="L29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O1 depende del escenario, por lo que pasa a NE (no evidenciado, reduce cobertura) hasta investigarlo. La evidencia y la fuente originales se conservan como referencia del escenario de origen.</t>
        </is>
      </c>
    </row>
    <row r="295">
      <c r="A295" t="inlineStr">
        <is>
          <t>E2</t>
        </is>
      </c>
      <c r="B295" t="inlineStr">
        <is>
          <t>Cloud nativa</t>
        </is>
      </c>
      <c r="C295" t="inlineStr">
        <is>
          <t>Google Cloud Billing</t>
        </is>
      </c>
      <c r="D295" t="inlineStr">
        <is>
          <t>Optimizacion</t>
        </is>
      </c>
      <c r="E295" t="inlineStr">
        <is>
          <t>O2</t>
        </is>
      </c>
      <c r="F295" s="2" t="inlineStr">
        <is>
          <t>¿Explica supuesto/impacto y permite seguir una recomendación?</t>
        </is>
      </c>
      <c r="G295" t="n">
        <v>0</v>
      </c>
      <c r="H295" t="inlineStr">
        <is>
          <t>Oficial (ausencia verificada)</t>
        </is>
      </c>
      <c r="I295" s="2" t="inlineStr">
        <is>
          <t>Mismo alcance de diseño que O1.</t>
        </is>
      </c>
      <c r="J295" t="inlineStr">
        <is>
          <t>https://docs.cloud.google.com/billing/docs/how-to/finops-hub</t>
        </is>
      </c>
      <c r="K295" t="inlineStr">
        <is>
          <t>2026-09-16</t>
        </is>
      </c>
      <c r="L29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296">
      <c r="A296" t="inlineStr">
        <is>
          <t>E2</t>
        </is>
      </c>
      <c r="B296" t="inlineStr">
        <is>
          <t>Cloud nativa</t>
        </is>
      </c>
      <c r="C296" t="inlineStr">
        <is>
          <t>Google Cloud Billing</t>
        </is>
      </c>
      <c r="D296" t="inlineStr">
        <is>
          <t>Automatizacion</t>
        </is>
      </c>
      <c r="E296" t="inlineStr">
        <is>
          <t>AU1</t>
        </is>
      </c>
      <c r="F296" s="2" t="inlineStr">
        <is>
          <t>¿Ejecuta o bloquea acciones/políticas de costo con control verificable?</t>
        </is>
      </c>
      <c r="G296" t="inlineStr">
        <is>
          <t>NE</t>
        </is>
      </c>
      <c r="H296" t="inlineStr">
        <is>
          <t>Pendiente</t>
        </is>
      </c>
      <c r="I296" s="2" t="inlineStr">
        <is>
          <t>Las notificaciones programáticas de presupuesto vía Pub/Sub permiten "automatizar respuestas de control de costos", incluida deshabilitar la facturación o limitar recursos mediante Cloud Run/Functions, sin paso de aprobación documentado.</t>
        </is>
      </c>
      <c r="J296" t="inlineStr">
        <is>
          <t>https://docs.cloud.google.com/billing/docs/how-to/budgets-programmatic-notifications</t>
        </is>
      </c>
      <c r="K296" t="inlineStr">
        <is>
          <t>2026-09-16</t>
        </is>
      </c>
      <c r="L296" s="2" t="inlineStr">
        <is>
          <t>Celda heredada FP-180 (2026-09-16): el valor 2 proviene de la investigacion del escenario E1 y no cuenta con evidencia propia de E2. Segun FP-177 el indicador AU1 depende del escenario, por lo que pasa a NE (no evidenciado, reduce cobertura) hasta investigarlo. La evidencia y la fuente originales se conservan como referencia del escenario de origen.</t>
        </is>
      </c>
    </row>
    <row r="297">
      <c r="A297" t="inlineStr">
        <is>
          <t>E2</t>
        </is>
      </c>
      <c r="B297" t="inlineStr">
        <is>
          <t>Cloud nativa</t>
        </is>
      </c>
      <c r="C297" t="inlineStr">
        <is>
          <t>Google Cloud Billing</t>
        </is>
      </c>
      <c r="D297" t="inlineStr">
        <is>
          <t>Automatizacion</t>
        </is>
      </c>
      <c r="E297" t="inlineStr">
        <is>
          <t>AU2</t>
        </is>
      </c>
      <c r="F297" s="2" t="inlineStr">
        <is>
          <t>¿Ofrece aprobación, reversión, registro o límites antes de actuar?</t>
        </is>
      </c>
      <c r="G297" t="n">
        <v>1</v>
      </c>
      <c r="H297" t="inlineStr">
        <is>
          <t>Oficial</t>
        </is>
      </c>
      <c r="I297" s="2" t="inlineStr">
        <is>
          <t>La documentación no describe un paso de aprobación manual nativo ni un registro de auditoría/reversión; esas salvaguardas dependerían de la Cloud Function que el equipo construya.</t>
        </is>
      </c>
      <c r="J297" t="inlineStr">
        <is>
          <t>https://docs.cloud.google.com/billing/docs/how-to/budgets-programmatic-notifications</t>
        </is>
      </c>
      <c r="K297" t="inlineStr">
        <is>
          <t>2026-09-16</t>
        </is>
      </c>
      <c r="L297" s="2" t="inlineStr"/>
    </row>
    <row r="298">
      <c r="A298" t="inlineStr">
        <is>
          <t>E2</t>
        </is>
      </c>
      <c r="B298" t="inlineStr">
        <is>
          <t>Cloud nativa</t>
        </is>
      </c>
      <c r="C298" t="inlineStr">
        <is>
          <t>Google Cloud Billing</t>
        </is>
      </c>
      <c r="D298" t="inlineStr">
        <is>
          <t>Multicloud</t>
        </is>
      </c>
      <c r="E298" t="inlineStr">
        <is>
          <t>M1</t>
        </is>
      </c>
      <c r="F298" s="2" t="inlineStr">
        <is>
          <t>¿Consolida al menos dos proveedores bajo el mismo esquema declarado?</t>
        </is>
      </c>
      <c r="G298" t="inlineStr">
        <is>
          <t>NA</t>
        </is>
      </c>
      <c r="H298" t="inlineStr">
        <is>
          <t>Justificacion de alcance</t>
        </is>
      </c>
      <c r="I298" s="2"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298" t="inlineStr">
        <is>
          <t>https://docs.cloud.google.com/billing/docs/how-to/export-data-bigquery-tables/focus-export</t>
        </is>
      </c>
      <c r="K298" t="inlineStr">
        <is>
          <t>2026-09-16</t>
        </is>
      </c>
      <c r="L298" s="2" t="inlineStr">
        <is>
          <t>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299">
      <c r="A299" t="inlineStr">
        <is>
          <t>E2</t>
        </is>
      </c>
      <c r="B299" t="inlineStr">
        <is>
          <t>Cloud nativa</t>
        </is>
      </c>
      <c r="C299" t="inlineStr">
        <is>
          <t>Google Cloud Billing</t>
        </is>
      </c>
      <c r="D299" t="inlineStr">
        <is>
          <t>Multicloud</t>
        </is>
      </c>
      <c r="E299" t="inlineStr">
        <is>
          <t>M2</t>
        </is>
      </c>
      <c r="F299" s="2" t="inlineStr">
        <is>
          <t>¿Hace visibles proveedor, cobertura y diferencias semánticas?</t>
        </is>
      </c>
      <c r="G299" t="inlineStr">
        <is>
          <t>NA</t>
        </is>
      </c>
      <c r="H299" t="inlineStr">
        <is>
          <t>Justificacion de alcance</t>
        </is>
      </c>
      <c r="I299" s="2"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299" t="inlineStr">
        <is>
          <t>https://docs.cloud.google.com/billing/docs/how-to/export-data-bigquery-tables/focus-export</t>
        </is>
      </c>
      <c r="K299" t="inlineStr">
        <is>
          <t>2026-09-16</t>
        </is>
      </c>
      <c r="L299" s="2" t="inlineStr">
        <is>
          <t>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300">
      <c r="A300" t="inlineStr">
        <is>
          <t>E2</t>
        </is>
      </c>
      <c r="B300" t="inlineStr">
        <is>
          <t>Cloud nativa</t>
        </is>
      </c>
      <c r="C300" t="inlineStr">
        <is>
          <t>Google Cloud Billing</t>
        </is>
      </c>
      <c r="D300" t="inlineStr">
        <is>
          <t>Integracion</t>
        </is>
      </c>
      <c r="E300" t="inlineStr">
        <is>
          <t>I1</t>
        </is>
      </c>
      <c r="F300" s="2" t="inlineStr">
        <is>
          <t>¿Integra datos requeridos (facturación, uso, clúster o IaC) del escenario?</t>
        </is>
      </c>
      <c r="G300" t="inlineStr">
        <is>
          <t>NE</t>
        </is>
      </c>
      <c r="H300" t="inlineStr">
        <is>
          <t>Pendiente</t>
        </is>
      </c>
      <c r="I300" s="2" t="inlineStr">
        <is>
          <t>El export detallado a BigQuery ingiere datos de costo/uso de forma automatizada; GKE cost allocation (opt-in con "--enable-cost-allocation") añade granularidad de namespace/workload/pod (hasta 50 etiquetas por Pod) al mismo export, con hasta 3 días de latencia.</t>
        </is>
      </c>
      <c r="J300" t="inlineStr">
        <is>
          <t>https://docs.cloud.google.com/kubernetes-engine/docs/how-to/cost-allocations</t>
        </is>
      </c>
      <c r="K300" t="inlineStr">
        <is>
          <t>2026-09-16</t>
        </is>
      </c>
      <c r="L300" s="2" t="inlineStr">
        <is>
          <t>Celda heredada FP-180 (2026-09-16): el valor 2 proviene de la investigacion del escenario E1 y no cuenta con evidencia propia de E2. Segun FP-177 el indicador I1 depende del escenario, por lo que pasa a NE (no evidenciado, reduce cobertura) hasta investigarlo. La evidencia y la fuente originales se conservan como referencia del escenario de origen.</t>
        </is>
      </c>
    </row>
    <row r="301">
      <c r="A301" t="inlineStr">
        <is>
          <t>E2</t>
        </is>
      </c>
      <c r="B301" t="inlineStr">
        <is>
          <t>Cloud nativa</t>
        </is>
      </c>
      <c r="C301" t="inlineStr">
        <is>
          <t>Google Cloud Billing</t>
        </is>
      </c>
      <c r="D301" t="inlineStr">
        <is>
          <t>Integracion</t>
        </is>
      </c>
      <c r="E301" t="inlineStr">
        <is>
          <t>I2</t>
        </is>
      </c>
      <c r="F301" s="2" t="inlineStr">
        <is>
          <t>¿Se integra con el flujo de trabajo relevante (alerta, ticket, CI/CD o reporte)?</t>
        </is>
      </c>
      <c r="G301" t="inlineStr">
        <is>
          <t>NE</t>
        </is>
      </c>
      <c r="H301" t="inlineStr">
        <is>
          <t>Pendiente</t>
        </is>
      </c>
      <c r="I301" s="2" t="inlineStr">
        <is>
          <t>Las notificaciones Pub/Sub se integran con Slack y otras herramientas operativas para "respuesta más rápida" al evento de costo.</t>
        </is>
      </c>
      <c r="J301" t="inlineStr">
        <is>
          <t>https://docs.cloud.google.com/billing/docs/how-to/budgets-programmatic-notifications</t>
        </is>
      </c>
      <c r="K301" t="inlineStr">
        <is>
          <t>2026-09-16</t>
        </is>
      </c>
      <c r="L301" s="2" t="inlineStr">
        <is>
          <t>Celda heredada FP-180 (2026-09-16): el valor 2 proviene de la investigacion del escenario E1 y no cuenta con evidencia propia de E2. Segun FP-177 el indicador I2 depende del escenario, por lo que pasa a NE (no evidenciado, reduce cobertura) hasta investigarlo. La evidencia y la fuente originales se conservan como referencia del escenario de origen.</t>
        </is>
      </c>
    </row>
    <row r="302">
      <c r="A302" t="inlineStr">
        <is>
          <t>E2</t>
        </is>
      </c>
      <c r="B302" t="inlineStr">
        <is>
          <t>Cloud nativa</t>
        </is>
      </c>
      <c r="C302" t="inlineStr">
        <is>
          <t>Google Cloud Billing</t>
        </is>
      </c>
      <c r="D302" t="inlineStr">
        <is>
          <t>Adopcion</t>
        </is>
      </c>
      <c r="E302" t="inlineStr">
        <is>
          <t>AD1</t>
        </is>
      </c>
      <c r="F302" s="2" t="inlineStr">
        <is>
          <t>¿Soporta acceso/entrega para los roles del escenario?</t>
        </is>
      </c>
      <c r="G302" t="inlineStr">
        <is>
          <t>NE</t>
        </is>
      </c>
      <c r="H302" t="inlineStr">
        <is>
          <t>Pendiente</t>
        </is>
      </c>
      <c r="I302" s="2" t="inlineStr">
        <is>
          <t>Roles de IAM predefinidos ("Billing Account Viewer", "Billing Account Costs Manager", "Project Billing Costs Manager") separan acceso de solo lectura de costos del resto de permisos de administración, incluso acotado por proyecto.</t>
        </is>
      </c>
      <c r="J302" t="inlineStr">
        <is>
          <t>https://docs.cloud.google.com/billing/docs/how-to/billing-access</t>
        </is>
      </c>
      <c r="K302" t="inlineStr">
        <is>
          <t>2026-09-16</t>
        </is>
      </c>
      <c r="L302" s="2" t="inlineStr">
        <is>
          <t>Celda heredada FP-180 (2026-09-16): el valor 2 proviene de la investigacion del escenario E1 y no cuenta con evidencia propia de E2. Segun FP-177 el indicador AD1 depende del escenario, por lo que pasa a NE (no evidenciado, reduce cobertura) hasta investigarlo. La evidencia y la fuente originales se conservan como referencia del escenario de origen.</t>
        </is>
      </c>
    </row>
    <row r="303">
      <c r="A303" t="inlineStr">
        <is>
          <t>E2</t>
        </is>
      </c>
      <c r="B303" t="inlineStr">
        <is>
          <t>Cloud nativa</t>
        </is>
      </c>
      <c r="C303" t="inlineStr">
        <is>
          <t>Google Cloud Billing</t>
        </is>
      </c>
      <c r="D303" t="inlineStr">
        <is>
          <t>Adopcion</t>
        </is>
      </c>
      <c r="E303" t="inlineStr">
        <is>
          <t>AD2</t>
        </is>
      </c>
      <c r="F303" s="2" t="inlineStr">
        <is>
          <t>¿Ofrece guías, ownership o mecanismos de seguimiento para uso sostenido?</t>
        </is>
      </c>
      <c r="G303" t="n">
        <v>1</v>
      </c>
      <c r="H303" t="inlineStr">
        <is>
          <t>Oficial</t>
        </is>
      </c>
      <c r="I303" s="2" t="inlineStr">
        <is>
          <t>Existen guías oficiales generales de uso, pero la medición formal de adopción/gobernanza (el "FinOps score") corresponde a FinOps hub, evaluado como producto aparte.</t>
        </is>
      </c>
      <c r="J303" t="inlineStr">
        <is>
          <t>https://docs.cloud.google.com/billing/docs/how-to/finops-hub</t>
        </is>
      </c>
      <c r="K303" t="inlineStr">
        <is>
          <t>2026-09-16</t>
        </is>
      </c>
      <c r="L303" s="2" t="inlineStr"/>
    </row>
    <row r="304">
      <c r="A304" t="inlineStr">
        <is>
          <t>E2</t>
        </is>
      </c>
      <c r="B304" t="inlineStr">
        <is>
          <t>Cloud nativa</t>
        </is>
      </c>
      <c r="C304" t="inlineStr">
        <is>
          <t>Google Cloud Billing</t>
        </is>
      </c>
      <c r="D304" t="inlineStr">
        <is>
          <t>Precio</t>
        </is>
      </c>
      <c r="E304" t="inlineStr">
        <is>
          <t>P1</t>
        </is>
      </c>
      <c r="F304" s="2" t="inlineStr">
        <is>
          <t>¿Expone precio, moneda, región, unidad, período y supuestos relevantes?</t>
        </is>
      </c>
      <c r="G304" t="n">
        <v>2</v>
      </c>
      <c r="H304" t="inlineStr">
        <is>
          <t>Oficial</t>
        </is>
      </c>
      <c r="I304" s="2" t="inlineStr">
        <is>
          <t>El export FOCUS y el export detallado exponen campos estandarizados (BilledCost, ListCost, ContractedCost, ServiceName, SkuId, RegionId) con moneda, período y región.</t>
        </is>
      </c>
      <c r="J304" t="inlineStr">
        <is>
          <t>https://docs.cloud.google.com/billing/docs/how-to/export-data-bigquery-tables/focus-export</t>
        </is>
      </c>
      <c r="K304" t="inlineStr">
        <is>
          <t>2026-09-16</t>
        </is>
      </c>
      <c r="L304" s="2" t="inlineStr"/>
    </row>
    <row r="305">
      <c r="A305" t="inlineStr">
        <is>
          <t>E2</t>
        </is>
      </c>
      <c r="B305" t="inlineStr">
        <is>
          <t>Cloud nativa</t>
        </is>
      </c>
      <c r="C305" t="inlineStr">
        <is>
          <t>Google Cloud Billing</t>
        </is>
      </c>
      <c r="D305" t="inlineStr">
        <is>
          <t>Precio</t>
        </is>
      </c>
      <c r="E305" t="inlineStr">
        <is>
          <t>P2</t>
        </is>
      </c>
      <c r="F305" s="2" t="inlineStr">
        <is>
          <t>¿Permite estimar o comparar componentes sin ocultar límites de equivalencia?</t>
        </is>
      </c>
      <c r="G305" t="inlineStr">
        <is>
          <t>NE</t>
        </is>
      </c>
      <c r="H305" t="inlineStr">
        <is>
          <t>Pendiente</t>
        </is>
      </c>
      <c r="I305" s="2" t="inlineStr">
        <is>
          <t>Cloud Billing Reports no incluye una calculadora de estimación de componentes previa al despliegue (esa función es de Google Cloud Pricing Calculator, evaluada aparte en E4).</t>
        </is>
      </c>
      <c r="J305" t="inlineStr">
        <is>
          <t>https://docs.cloud.google.com/billing/docs/how-to/reports</t>
        </is>
      </c>
      <c r="K305" t="inlineStr">
        <is>
          <t>2026-09-16</t>
        </is>
      </c>
      <c r="L305" s="2" t="inlineStr">
        <is>
          <t>Celda heredada FP-180 (2026-09-16): el valor 1 proviene de la investigacion del escenario E1 y no cuenta con evidencia propia de E2. Segun FP-177 el indicador P2 depende del escenario, por lo que pasa a NE (no evidenciado, reduce cobertura) hasta investigarlo. La evidencia y la fuente originales se conservan como referencia del escenario de origen.</t>
        </is>
      </c>
    </row>
    <row r="306">
      <c r="A306" t="inlineStr">
        <is>
          <t>E2</t>
        </is>
      </c>
      <c r="B306" t="inlineStr">
        <is>
          <t>Cloud nativa</t>
        </is>
      </c>
      <c r="C306" t="inlineStr">
        <is>
          <t>Google Cloud Billing</t>
        </is>
      </c>
      <c r="D306" t="inlineStr">
        <is>
          <t>Dependencia</t>
        </is>
      </c>
      <c r="E306" t="inlineStr">
        <is>
          <t>D1</t>
        </is>
      </c>
      <c r="F306" s="2" t="inlineStr">
        <is>
          <t>¿Exporta datos/resultados en formato utilizable y documentado?</t>
        </is>
      </c>
      <c r="G306" t="n">
        <v>2</v>
      </c>
      <c r="H306" t="inlineStr">
        <is>
          <t>Oficial</t>
        </is>
      </c>
      <c r="I306" s="2" t="inlineStr">
        <is>
          <t>El export estándar y detallado a BigQuery, y el export en esquema FOCUS, entregan datos en formato abierto y consultable con SQL.</t>
        </is>
      </c>
      <c r="J306" t="inlineStr">
        <is>
          <t>https://docs.cloud.google.com/billing/docs/how-to/export-data-bigquery-tables/focus-export</t>
        </is>
      </c>
      <c r="K306" t="inlineStr">
        <is>
          <t>2026-09-16</t>
        </is>
      </c>
      <c r="L306" s="2" t="inlineStr"/>
    </row>
    <row r="307">
      <c r="A307" t="inlineStr">
        <is>
          <t>E2</t>
        </is>
      </c>
      <c r="B307" t="inlineStr">
        <is>
          <t>Cloud nativa</t>
        </is>
      </c>
      <c r="C307" t="inlineStr">
        <is>
          <t>Google Cloud Billing</t>
        </is>
      </c>
      <c r="D307" t="inlineStr">
        <is>
          <t>Dependencia</t>
        </is>
      </c>
      <c r="E307" t="inlineStr">
        <is>
          <t>D2</t>
        </is>
      </c>
      <c r="F307" s="2" t="inlineStr">
        <is>
          <t>¿Documenta dependencias propietarias y un camino de salida/configuración reversible?</t>
        </is>
      </c>
      <c r="G307" t="n">
        <v>1</v>
      </c>
      <c r="H307" t="inlineStr">
        <is>
          <t>Oficial</t>
        </is>
      </c>
      <c r="I307" s="2" t="inlineStr">
        <is>
          <t>No se encontró documentación dedicada sobre un camino de salida o reversibilidad; el riesgo de dependencia se atenúa por el export en formato FOCUS/BigQuery estándar.</t>
        </is>
      </c>
      <c r="J307" t="inlineStr">
        <is>
          <t>https://docs.cloud.google.com/billing/docs/how-to/export-data-bigquery-tables/focus-export</t>
        </is>
      </c>
      <c r="K307" t="inlineStr">
        <is>
          <t>2026-09-16</t>
        </is>
      </c>
      <c r="L307" s="2" t="inlineStr"/>
    </row>
    <row r="308">
      <c r="A308" t="inlineStr">
        <is>
          <t>E3</t>
        </is>
      </c>
      <c r="B308" t="inlineStr">
        <is>
          <t>Cloud nativa</t>
        </is>
      </c>
      <c r="C308" t="inlineStr">
        <is>
          <t>Google Cloud Billing</t>
        </is>
      </c>
      <c r="D308" t="inlineStr">
        <is>
          <t>Visibilidad</t>
        </is>
      </c>
      <c r="E308" t="inlineStr">
        <is>
          <t>V1</t>
        </is>
      </c>
      <c r="F308" s="2" t="inlineStr">
        <is>
          <t>¿Desagrega costo y uso por cuenta/proyecto, servicio y período?</t>
        </is>
      </c>
      <c r="G308" t="inlineStr">
        <is>
          <t>NE</t>
        </is>
      </c>
      <c r="H308" t="inlineStr">
        <is>
          <t>Pendiente</t>
        </is>
      </c>
      <c r="I308" s="2" t="inlineStr">
        <is>
          <t>Cloud Billing Reports agrupa costos "by Project", "by Service", por SKU y por "Label keys"; el reporte cambia dinámicamente al ajustar rango de tiempo, agrupación y filtros.</t>
        </is>
      </c>
      <c r="J308" t="inlineStr">
        <is>
          <t>https://docs.cloud.google.com/billing/docs/how-to/reports</t>
        </is>
      </c>
      <c r="K308" t="inlineStr">
        <is>
          <t>2026-09-16</t>
        </is>
      </c>
      <c r="L308" s="2" t="inlineStr">
        <is>
          <t>Celda heredada FP-180 (2026-09-16): el valor 2 proviene de la investigacion del escenario E1 y no cuenta con evidencia propia de E3. Segun FP-177 el indicador V1 depende del escenario, por lo que pasa a NE (no evidenciado, reduce cobertura) hasta investigarlo. La evidencia y la fuente originales se conservan como referencia del escenario de origen.</t>
        </is>
      </c>
    </row>
    <row r="309">
      <c r="A309" t="inlineStr">
        <is>
          <t>E3</t>
        </is>
      </c>
      <c r="B309" t="inlineStr">
        <is>
          <t>Cloud nativa</t>
        </is>
      </c>
      <c r="C309" t="inlineStr">
        <is>
          <t>Google Cloud Billing</t>
        </is>
      </c>
      <c r="D309" t="inlineStr">
        <is>
          <t>Visibilidad</t>
        </is>
      </c>
      <c r="E309" t="inlineStr">
        <is>
          <t>V2</t>
        </is>
      </c>
      <c r="F309" s="2" t="inlineStr">
        <is>
          <t>¿Permite rastrear un total hasta registros o fuente de facturación?</t>
        </is>
      </c>
      <c r="G309" t="n">
        <v>2</v>
      </c>
      <c r="H309" t="inlineStr">
        <is>
          <t>Oficial</t>
        </is>
      </c>
      <c r="I309" s="2" t="inlineStr">
        <is>
          <t>El export detallado de facturación a BigQuery entrega el detalle a nivel de línea de uso/costo, sirviendo de fuente trazable para reconciliar reportes.</t>
        </is>
      </c>
      <c r="J309" t="inlineStr">
        <is>
          <t>https://docs.cloud.google.com/billing/docs/how-to/export-data-bigquery-tables/detailed-usage</t>
        </is>
      </c>
      <c r="K309" t="inlineStr">
        <is>
          <t>2026-09-16</t>
        </is>
      </c>
      <c r="L309" s="2" t="inlineStr"/>
    </row>
    <row r="310">
      <c r="A310" t="inlineStr">
        <is>
          <t>E3</t>
        </is>
      </c>
      <c r="B310" t="inlineStr">
        <is>
          <t>Cloud nativa</t>
        </is>
      </c>
      <c r="C310" t="inlineStr">
        <is>
          <t>Google Cloud Billing</t>
        </is>
      </c>
      <c r="D310" t="inlineStr">
        <is>
          <t>Asignacion</t>
        </is>
      </c>
      <c r="E310" t="inlineStr">
        <is>
          <t>A1</t>
        </is>
      </c>
      <c r="F310" s="2" t="inlineStr">
        <is>
          <t>¿Calcula gasto asignado/no asignado por responsable, centro o entidad?</t>
        </is>
      </c>
      <c r="G310" t="inlineStr">
        <is>
          <t>NE</t>
        </is>
      </c>
      <c r="H310" t="inlineStr">
        <is>
          <t>Pendiente</t>
        </is>
      </c>
      <c r="I310" s="2" t="inlineStr">
        <is>
          <t>La atribución nativa se basa en jerarquía de proyectos y labels; no se encontró una función equivalente a las "cost allocation rules" de Azure o "Cost Categories" de AWS que muestre explícitamente un total "no asignado".</t>
        </is>
      </c>
      <c r="J310" t="inlineStr">
        <is>
          <t>https://docs.cloud.google.com/billing/docs/how-to/reports</t>
        </is>
      </c>
      <c r="K310" t="inlineStr">
        <is>
          <t>2026-09-16</t>
        </is>
      </c>
      <c r="L310" s="2" t="inlineStr">
        <is>
          <t>Celda heredada FP-180 (2026-09-16): el valor 1 proviene de la investigacion del escenario E1 y no cuenta con evidencia propia de E3. Segun FP-177 el indicador A1 depende del escenario, por lo que pasa a NE (no evidenciado, reduce cobertura) hasta investigarlo. La evidencia y la fuente originales se conservan como referencia del escenario de origen.</t>
        </is>
      </c>
    </row>
    <row r="311">
      <c r="A311" t="inlineStr">
        <is>
          <t>E3</t>
        </is>
      </c>
      <c r="B311" t="inlineStr">
        <is>
          <t>Cloud nativa</t>
        </is>
      </c>
      <c r="C311" t="inlineStr">
        <is>
          <t>Google Cloud Billing</t>
        </is>
      </c>
      <c r="D311" t="inlineStr">
        <is>
          <t>Asignacion</t>
        </is>
      </c>
      <c r="E311" t="inlineStr">
        <is>
          <t>A2</t>
        </is>
      </c>
      <c r="F311" s="2" t="inlineStr">
        <is>
          <t>¿Explicita y aplica reglas para costo compartido/multi-tenant?</t>
        </is>
      </c>
      <c r="G311" t="inlineStr">
        <is>
          <t>NE</t>
        </is>
      </c>
      <c r="H311" t="inlineStr">
        <is>
          <t>Pendiente</t>
        </is>
      </c>
      <c r="I311"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311" t="inlineStr">
        <is>
          <t>https://docs.cloud.google.com/billing/docs/how-to/reports</t>
        </is>
      </c>
      <c r="K311" t="inlineStr">
        <is>
          <t>2026-09-16</t>
        </is>
      </c>
      <c r="L311" s="2" t="inlineStr">
        <is>
          <t>Celda heredada FP-180 (2026-09-16): el valor 0 proviene de la investigacion del escenario E1 y no cuenta con evidencia propia de E3. Segun FP-177 el indicador A2 depende del escenario, por lo que pasa a NE (no evidenciado, reduce cobertura) hasta investigarlo. La evidencia y la fuente originales se conservan como referencia del escenario de origen.</t>
        </is>
      </c>
    </row>
    <row r="312">
      <c r="A312" t="inlineStr">
        <is>
          <t>E3</t>
        </is>
      </c>
      <c r="B312" t="inlineStr">
        <is>
          <t>Cloud nativa</t>
        </is>
      </c>
      <c r="C312" t="inlineStr">
        <is>
          <t>Google Cloud Billing</t>
        </is>
      </c>
      <c r="D312" t="inlineStr">
        <is>
          <t>Optimizacion</t>
        </is>
      </c>
      <c r="E312" t="inlineStr">
        <is>
          <t>O1</t>
        </is>
      </c>
      <c r="F312" s="2" t="inlineStr">
        <is>
          <t>¿Detecta desperdicio, rightsizing o compromiso relevante al escenario?</t>
        </is>
      </c>
      <c r="G312" t="inlineStr">
        <is>
          <t>NE</t>
        </is>
      </c>
      <c r="H312" t="inlineStr">
        <is>
          <t>Pendiente</t>
        </is>
      </c>
      <c r="I312" s="2" t="inlineStr">
        <is>
          <t>Cloud Billing (reportes/presupuestos/export) no genera por sí mismo recomendaciones de optimización; esa función corresponde a Recommender/FinOps hub, evaluado como producto aparte.</t>
        </is>
      </c>
      <c r="J312" t="inlineStr">
        <is>
          <t>https://docs.cloud.google.com/billing/docs/how-to/finops-hub</t>
        </is>
      </c>
      <c r="K312" t="inlineStr">
        <is>
          <t>2026-09-16</t>
        </is>
      </c>
      <c r="L31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O1 depende del escenario, por lo que pasa a NE (no evidenciado, reduce cobertura) hasta investigarlo. La evidencia y la fuente originales se conservan como referencia del escenario de origen.</t>
        </is>
      </c>
    </row>
    <row r="313">
      <c r="A313" t="inlineStr">
        <is>
          <t>E3</t>
        </is>
      </c>
      <c r="B313" t="inlineStr">
        <is>
          <t>Cloud nativa</t>
        </is>
      </c>
      <c r="C313" t="inlineStr">
        <is>
          <t>Google Cloud Billing</t>
        </is>
      </c>
      <c r="D313" t="inlineStr">
        <is>
          <t>Optimizacion</t>
        </is>
      </c>
      <c r="E313" t="inlineStr">
        <is>
          <t>O2</t>
        </is>
      </c>
      <c r="F313" s="2" t="inlineStr">
        <is>
          <t>¿Explica supuesto/impacto y permite seguir una recomendación?</t>
        </is>
      </c>
      <c r="G313" t="n">
        <v>0</v>
      </c>
      <c r="H313" t="inlineStr">
        <is>
          <t>Oficial (ausencia verificada)</t>
        </is>
      </c>
      <c r="I313" s="2" t="inlineStr">
        <is>
          <t>Mismo alcance de diseño que O1.</t>
        </is>
      </c>
      <c r="J313" t="inlineStr">
        <is>
          <t>https://docs.cloud.google.com/billing/docs/how-to/finops-hub</t>
        </is>
      </c>
      <c r="K313" t="inlineStr">
        <is>
          <t>2026-09-16</t>
        </is>
      </c>
      <c r="L31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14">
      <c r="A314" t="inlineStr">
        <is>
          <t>E3</t>
        </is>
      </c>
      <c r="B314" t="inlineStr">
        <is>
          <t>Cloud nativa</t>
        </is>
      </c>
      <c r="C314" t="inlineStr">
        <is>
          <t>Google Cloud Billing</t>
        </is>
      </c>
      <c r="D314" t="inlineStr">
        <is>
          <t>Automatizacion</t>
        </is>
      </c>
      <c r="E314" t="inlineStr">
        <is>
          <t>AU1</t>
        </is>
      </c>
      <c r="F314" s="2" t="inlineStr">
        <is>
          <t>¿Ejecuta o bloquea acciones/políticas de costo con control verificable?</t>
        </is>
      </c>
      <c r="G314" t="inlineStr">
        <is>
          <t>NE</t>
        </is>
      </c>
      <c r="H314" t="inlineStr">
        <is>
          <t>Pendiente</t>
        </is>
      </c>
      <c r="I314" s="2" t="inlineStr">
        <is>
          <t>Las notificaciones programáticas de presupuesto vía Pub/Sub permiten "automatizar respuestas de control de costos", incluida deshabilitar la facturación o limitar recursos mediante Cloud Run/Functions, sin paso de aprobación documentado.</t>
        </is>
      </c>
      <c r="J314" t="inlineStr">
        <is>
          <t>https://docs.cloud.google.com/billing/docs/how-to/budgets-programmatic-notifications</t>
        </is>
      </c>
      <c r="K314" t="inlineStr">
        <is>
          <t>2026-09-16</t>
        </is>
      </c>
      <c r="L314" s="2" t="inlineStr">
        <is>
          <t>Celda heredada FP-180 (2026-09-16): el valor 2 proviene de la investigacion del escenario E1 y no cuenta con evidencia propia de E3. Segun FP-177 el indicador AU1 depende del escenario, por lo que pasa a NE (no evidenciado, reduce cobertura) hasta investigarlo. La evidencia y la fuente originales se conservan como referencia del escenario de origen.</t>
        </is>
      </c>
    </row>
    <row r="315">
      <c r="A315" t="inlineStr">
        <is>
          <t>E3</t>
        </is>
      </c>
      <c r="B315" t="inlineStr">
        <is>
          <t>Cloud nativa</t>
        </is>
      </c>
      <c r="C315" t="inlineStr">
        <is>
          <t>Google Cloud Billing</t>
        </is>
      </c>
      <c r="D315" t="inlineStr">
        <is>
          <t>Automatizacion</t>
        </is>
      </c>
      <c r="E315" t="inlineStr">
        <is>
          <t>AU2</t>
        </is>
      </c>
      <c r="F315" s="2" t="inlineStr">
        <is>
          <t>¿Ofrece aprobación, reversión, registro o límites antes de actuar?</t>
        </is>
      </c>
      <c r="G315" t="n">
        <v>1</v>
      </c>
      <c r="H315" t="inlineStr">
        <is>
          <t>Oficial</t>
        </is>
      </c>
      <c r="I315" s="2" t="inlineStr">
        <is>
          <t>La documentación no describe un paso de aprobación manual nativo ni un registro de auditoría/reversión; esas salvaguardas dependerían de la Cloud Function que el equipo construya.</t>
        </is>
      </c>
      <c r="J315" t="inlineStr">
        <is>
          <t>https://docs.cloud.google.com/billing/docs/how-to/budgets-programmatic-notifications</t>
        </is>
      </c>
      <c r="K315" t="inlineStr">
        <is>
          <t>2026-09-16</t>
        </is>
      </c>
      <c r="L315" s="2" t="inlineStr"/>
    </row>
    <row r="316">
      <c r="A316" t="inlineStr">
        <is>
          <t>E3</t>
        </is>
      </c>
      <c r="B316" t="inlineStr">
        <is>
          <t>Cloud nativa</t>
        </is>
      </c>
      <c r="C316" t="inlineStr">
        <is>
          <t>Google Cloud Billing</t>
        </is>
      </c>
      <c r="D316" t="inlineStr">
        <is>
          <t>Multicloud</t>
        </is>
      </c>
      <c r="E316" t="inlineStr">
        <is>
          <t>M1</t>
        </is>
      </c>
      <c r="F316" s="2" t="inlineStr">
        <is>
          <t>¿Consolida al menos dos proveedores bajo el mismo esquema declarado?</t>
        </is>
      </c>
      <c r="G316" t="n">
        <v>0</v>
      </c>
      <c r="H316" t="inlineStr">
        <is>
          <t>Oficial</t>
        </is>
      </c>
      <c r="I316" s="2" t="inlineStr">
        <is>
          <t>Cloud Billing cubre exclusivamente cuentas de Google Cloud; no ingiere ni consolida datos de AWS/Azure dentro de la misma consola.</t>
        </is>
      </c>
      <c r="J316" t="inlineStr">
        <is>
          <t>https://docs.cloud.google.com/billing/docs/how-to/export-data-bigquery-tables/focus-export</t>
        </is>
      </c>
      <c r="K316" t="inlineStr">
        <is>
          <t>2026-09-16</t>
        </is>
      </c>
      <c r="L316" s="2" t="inlineStr"/>
    </row>
    <row r="317">
      <c r="A317" t="inlineStr">
        <is>
          <t>E3</t>
        </is>
      </c>
      <c r="B317" t="inlineStr">
        <is>
          <t>Cloud nativa</t>
        </is>
      </c>
      <c r="C317" t="inlineStr">
        <is>
          <t>Google Cloud Billing</t>
        </is>
      </c>
      <c r="D317" t="inlineStr">
        <is>
          <t>Multicloud</t>
        </is>
      </c>
      <c r="E317" t="inlineStr">
        <is>
          <t>M2</t>
        </is>
      </c>
      <c r="F317" s="2" t="inlineStr">
        <is>
          <t>¿Hace visibles proveedor, cobertura y diferencias semánticas?</t>
        </is>
      </c>
      <c r="G317" t="n">
        <v>0</v>
      </c>
      <c r="H317" t="inlineStr">
        <is>
          <t>Oficial</t>
        </is>
      </c>
      <c r="I317" s="2" t="inlineStr">
        <is>
          <t>Al no consolidar otros proveedores, no expone diferencias de cobertura o semántica entre nubes.</t>
        </is>
      </c>
      <c r="J317" t="inlineStr">
        <is>
          <t>https://docs.cloud.google.com/billing/docs/how-to/export-data-bigquery-tables/focus-export</t>
        </is>
      </c>
      <c r="K317" t="inlineStr">
        <is>
          <t>2026-09-16</t>
        </is>
      </c>
      <c r="L317" s="2" t="inlineStr"/>
    </row>
    <row r="318">
      <c r="A318" t="inlineStr">
        <is>
          <t>E3</t>
        </is>
      </c>
      <c r="B318" t="inlineStr">
        <is>
          <t>Cloud nativa</t>
        </is>
      </c>
      <c r="C318" t="inlineStr">
        <is>
          <t>Google Cloud Billing</t>
        </is>
      </c>
      <c r="D318" t="inlineStr">
        <is>
          <t>Integracion</t>
        </is>
      </c>
      <c r="E318" t="inlineStr">
        <is>
          <t>I1</t>
        </is>
      </c>
      <c r="F318" s="2" t="inlineStr">
        <is>
          <t>¿Integra datos requeridos (facturación, uso, clúster o IaC) del escenario?</t>
        </is>
      </c>
      <c r="G318" t="inlineStr">
        <is>
          <t>NE</t>
        </is>
      </c>
      <c r="H318" t="inlineStr">
        <is>
          <t>Pendiente</t>
        </is>
      </c>
      <c r="I318" s="2" t="inlineStr">
        <is>
          <t>El export detallado a BigQuery ingiere datos de costo/uso de forma automatizada; GKE cost allocation (opt-in con "--enable-cost-allocation") añade granularidad de namespace/workload/pod (hasta 50 etiquetas por Pod) al mismo export, con hasta 3 días de latencia.</t>
        </is>
      </c>
      <c r="J318" t="inlineStr">
        <is>
          <t>https://docs.cloud.google.com/kubernetes-engine/docs/how-to/cost-allocations</t>
        </is>
      </c>
      <c r="K318" t="inlineStr">
        <is>
          <t>2026-09-16</t>
        </is>
      </c>
      <c r="L318" s="2" t="inlineStr">
        <is>
          <t>Celda heredada FP-180 (2026-09-16): el valor 2 proviene de la investigacion del escenario E1 y no cuenta con evidencia propia de E3. Segun FP-177 el indicador I1 depende del escenario, por lo que pasa a NE (no evidenciado, reduce cobertura) hasta investigarlo. La evidencia y la fuente originales se conservan como referencia del escenario de origen.</t>
        </is>
      </c>
    </row>
    <row r="319">
      <c r="A319" t="inlineStr">
        <is>
          <t>E3</t>
        </is>
      </c>
      <c r="B319" t="inlineStr">
        <is>
          <t>Cloud nativa</t>
        </is>
      </c>
      <c r="C319" t="inlineStr">
        <is>
          <t>Google Cloud Billing</t>
        </is>
      </c>
      <c r="D319" t="inlineStr">
        <is>
          <t>Integracion</t>
        </is>
      </c>
      <c r="E319" t="inlineStr">
        <is>
          <t>I2</t>
        </is>
      </c>
      <c r="F319" s="2" t="inlineStr">
        <is>
          <t>¿Se integra con el flujo de trabajo relevante (alerta, ticket, CI/CD o reporte)?</t>
        </is>
      </c>
      <c r="G319" t="inlineStr">
        <is>
          <t>NE</t>
        </is>
      </c>
      <c r="H319" t="inlineStr">
        <is>
          <t>Pendiente</t>
        </is>
      </c>
      <c r="I319" s="2" t="inlineStr">
        <is>
          <t>Las notificaciones Pub/Sub se integran con Slack y otras herramientas operativas para "respuesta más rápida" al evento de costo.</t>
        </is>
      </c>
      <c r="J319" t="inlineStr">
        <is>
          <t>https://docs.cloud.google.com/billing/docs/how-to/budgets-programmatic-notifications</t>
        </is>
      </c>
      <c r="K319" t="inlineStr">
        <is>
          <t>2026-09-16</t>
        </is>
      </c>
      <c r="L319" s="2" t="inlineStr">
        <is>
          <t>Celda heredada FP-180 (2026-09-16): el valor 2 proviene de la investigacion del escenario E1 y no cuenta con evidencia propia de E3. Segun FP-177 el indicador I2 depende del escenario, por lo que pasa a NE (no evidenciado, reduce cobertura) hasta investigarlo. La evidencia y la fuente originales se conservan como referencia del escenario de origen.</t>
        </is>
      </c>
    </row>
    <row r="320">
      <c r="A320" t="inlineStr">
        <is>
          <t>E3</t>
        </is>
      </c>
      <c r="B320" t="inlineStr">
        <is>
          <t>Cloud nativa</t>
        </is>
      </c>
      <c r="C320" t="inlineStr">
        <is>
          <t>Google Cloud Billing</t>
        </is>
      </c>
      <c r="D320" t="inlineStr">
        <is>
          <t>Adopcion</t>
        </is>
      </c>
      <c r="E320" t="inlineStr">
        <is>
          <t>AD1</t>
        </is>
      </c>
      <c r="F320" s="2" t="inlineStr">
        <is>
          <t>¿Soporta acceso/entrega para los roles del escenario?</t>
        </is>
      </c>
      <c r="G320" t="inlineStr">
        <is>
          <t>NE</t>
        </is>
      </c>
      <c r="H320" t="inlineStr">
        <is>
          <t>Pendiente</t>
        </is>
      </c>
      <c r="I320" s="2" t="inlineStr">
        <is>
          <t>Roles de IAM predefinidos ("Billing Account Viewer", "Billing Account Costs Manager", "Project Billing Costs Manager") separan acceso de solo lectura de costos del resto de permisos de administración, incluso acotado por proyecto.</t>
        </is>
      </c>
      <c r="J320" t="inlineStr">
        <is>
          <t>https://docs.cloud.google.com/billing/docs/how-to/billing-access</t>
        </is>
      </c>
      <c r="K320" t="inlineStr">
        <is>
          <t>2026-09-16</t>
        </is>
      </c>
      <c r="L320" s="2" t="inlineStr">
        <is>
          <t>Celda heredada FP-180 (2026-09-16): el valor 2 proviene de la investigacion del escenario E1 y no cuenta con evidencia propia de E3. Segun FP-177 el indicador AD1 depende del escenario, por lo que pasa a NE (no evidenciado, reduce cobertura) hasta investigarlo. La evidencia y la fuente originales se conservan como referencia del escenario de origen.</t>
        </is>
      </c>
    </row>
    <row r="321">
      <c r="A321" t="inlineStr">
        <is>
          <t>E3</t>
        </is>
      </c>
      <c r="B321" t="inlineStr">
        <is>
          <t>Cloud nativa</t>
        </is>
      </c>
      <c r="C321" t="inlineStr">
        <is>
          <t>Google Cloud Billing</t>
        </is>
      </c>
      <c r="D321" t="inlineStr">
        <is>
          <t>Adopcion</t>
        </is>
      </c>
      <c r="E321" t="inlineStr">
        <is>
          <t>AD2</t>
        </is>
      </c>
      <c r="F321" s="2" t="inlineStr">
        <is>
          <t>¿Ofrece guías, ownership o mecanismos de seguimiento para uso sostenido?</t>
        </is>
      </c>
      <c r="G321" t="n">
        <v>1</v>
      </c>
      <c r="H321" t="inlineStr">
        <is>
          <t>Oficial</t>
        </is>
      </c>
      <c r="I321" s="2" t="inlineStr">
        <is>
          <t>Existen guías oficiales generales de uso, pero la medición formal de adopción/gobernanza (el "FinOps score") corresponde a FinOps hub, evaluado como producto aparte.</t>
        </is>
      </c>
      <c r="J321" t="inlineStr">
        <is>
          <t>https://docs.cloud.google.com/billing/docs/how-to/finops-hub</t>
        </is>
      </c>
      <c r="K321" t="inlineStr">
        <is>
          <t>2026-09-16</t>
        </is>
      </c>
      <c r="L321" s="2" t="inlineStr"/>
    </row>
    <row r="322">
      <c r="A322" t="inlineStr">
        <is>
          <t>E3</t>
        </is>
      </c>
      <c r="B322" t="inlineStr">
        <is>
          <t>Cloud nativa</t>
        </is>
      </c>
      <c r="C322" t="inlineStr">
        <is>
          <t>Google Cloud Billing</t>
        </is>
      </c>
      <c r="D322" t="inlineStr">
        <is>
          <t>Precio</t>
        </is>
      </c>
      <c r="E322" t="inlineStr">
        <is>
          <t>P1</t>
        </is>
      </c>
      <c r="F322" s="2" t="inlineStr">
        <is>
          <t>¿Expone precio, moneda, región, unidad, período y supuestos relevantes?</t>
        </is>
      </c>
      <c r="G322" t="n">
        <v>2</v>
      </c>
      <c r="H322" t="inlineStr">
        <is>
          <t>Oficial</t>
        </is>
      </c>
      <c r="I322" s="2" t="inlineStr">
        <is>
          <t>El export FOCUS y el export detallado exponen campos estandarizados (BilledCost, ListCost, ContractedCost, ServiceName, SkuId, RegionId) con moneda, período y región.</t>
        </is>
      </c>
      <c r="J322" t="inlineStr">
        <is>
          <t>https://docs.cloud.google.com/billing/docs/how-to/export-data-bigquery-tables/focus-export</t>
        </is>
      </c>
      <c r="K322" t="inlineStr">
        <is>
          <t>2026-09-16</t>
        </is>
      </c>
      <c r="L322" s="2" t="inlineStr"/>
    </row>
    <row r="323">
      <c r="A323" t="inlineStr">
        <is>
          <t>E3</t>
        </is>
      </c>
      <c r="B323" t="inlineStr">
        <is>
          <t>Cloud nativa</t>
        </is>
      </c>
      <c r="C323" t="inlineStr">
        <is>
          <t>Google Cloud Billing</t>
        </is>
      </c>
      <c r="D323" t="inlineStr">
        <is>
          <t>Precio</t>
        </is>
      </c>
      <c r="E323" t="inlineStr">
        <is>
          <t>P2</t>
        </is>
      </c>
      <c r="F323" s="2" t="inlineStr">
        <is>
          <t>¿Permite estimar o comparar componentes sin ocultar límites de equivalencia?</t>
        </is>
      </c>
      <c r="G323" t="inlineStr">
        <is>
          <t>NE</t>
        </is>
      </c>
      <c r="H323" t="inlineStr">
        <is>
          <t>Pendiente</t>
        </is>
      </c>
      <c r="I323" s="2" t="inlineStr">
        <is>
          <t>Cloud Billing Reports no incluye una calculadora de estimación de componentes previa al despliegue (esa función es de Google Cloud Pricing Calculator, evaluada aparte en E4).</t>
        </is>
      </c>
      <c r="J323" t="inlineStr">
        <is>
          <t>https://docs.cloud.google.com/billing/docs/how-to/reports</t>
        </is>
      </c>
      <c r="K323" t="inlineStr">
        <is>
          <t>2026-09-16</t>
        </is>
      </c>
      <c r="L323" s="2" t="inlineStr">
        <is>
          <t>Celda heredada FP-180 (2026-09-16): el valor 1 proviene de la investigacion del escenario E1 y no cuenta con evidencia propia de E3. Segun FP-177 el indicador P2 depende del escenario, por lo que pasa a NE (no evidenciado, reduce cobertura) hasta investigarlo. La evidencia y la fuente originales se conservan como referencia del escenario de origen.</t>
        </is>
      </c>
    </row>
    <row r="324">
      <c r="A324" t="inlineStr">
        <is>
          <t>E3</t>
        </is>
      </c>
      <c r="B324" t="inlineStr">
        <is>
          <t>Cloud nativa</t>
        </is>
      </c>
      <c r="C324" t="inlineStr">
        <is>
          <t>Google Cloud Billing</t>
        </is>
      </c>
      <c r="D324" t="inlineStr">
        <is>
          <t>Dependencia</t>
        </is>
      </c>
      <c r="E324" t="inlineStr">
        <is>
          <t>D1</t>
        </is>
      </c>
      <c r="F324" s="2" t="inlineStr">
        <is>
          <t>¿Exporta datos/resultados en formato utilizable y documentado?</t>
        </is>
      </c>
      <c r="G324" t="n">
        <v>2</v>
      </c>
      <c r="H324" t="inlineStr">
        <is>
          <t>Oficial</t>
        </is>
      </c>
      <c r="I324" s="2" t="inlineStr">
        <is>
          <t>El export estándar y detallado a BigQuery, y el export en esquema FOCUS, entregan datos en formato abierto y consultable con SQL.</t>
        </is>
      </c>
      <c r="J324" t="inlineStr">
        <is>
          <t>https://docs.cloud.google.com/billing/docs/how-to/export-data-bigquery-tables/focus-export</t>
        </is>
      </c>
      <c r="K324" t="inlineStr">
        <is>
          <t>2026-09-16</t>
        </is>
      </c>
      <c r="L324" s="2" t="inlineStr"/>
    </row>
    <row r="325">
      <c r="A325" t="inlineStr">
        <is>
          <t>E3</t>
        </is>
      </c>
      <c r="B325" t="inlineStr">
        <is>
          <t>Cloud nativa</t>
        </is>
      </c>
      <c r="C325" t="inlineStr">
        <is>
          <t>Google Cloud Billing</t>
        </is>
      </c>
      <c r="D325" t="inlineStr">
        <is>
          <t>Dependencia</t>
        </is>
      </c>
      <c r="E325" t="inlineStr">
        <is>
          <t>D2</t>
        </is>
      </c>
      <c r="F325" s="2" t="inlineStr">
        <is>
          <t>¿Documenta dependencias propietarias y un camino de salida/configuración reversible?</t>
        </is>
      </c>
      <c r="G325" t="n">
        <v>1</v>
      </c>
      <c r="H325" t="inlineStr">
        <is>
          <t>Oficial</t>
        </is>
      </c>
      <c r="I325" s="2" t="inlineStr">
        <is>
          <t>No se encontró documentación dedicada sobre un camino de salida o reversibilidad; el riesgo de dependencia se atenúa por el export en formato FOCUS/BigQuery estándar.</t>
        </is>
      </c>
      <c r="J325" t="inlineStr">
        <is>
          <t>https://docs.cloud.google.com/billing/docs/how-to/export-data-bigquery-tables/focus-export</t>
        </is>
      </c>
      <c r="K325" t="inlineStr">
        <is>
          <t>2026-09-16</t>
        </is>
      </c>
      <c r="L325" s="2" t="inlineStr"/>
    </row>
    <row r="326">
      <c r="A326" t="inlineStr">
        <is>
          <t>E5</t>
        </is>
      </c>
      <c r="B326" t="inlineStr">
        <is>
          <t>Cloud nativa</t>
        </is>
      </c>
      <c r="C326" t="inlineStr">
        <is>
          <t>Google Cloud Billing</t>
        </is>
      </c>
      <c r="D326" t="inlineStr">
        <is>
          <t>Visibilidad</t>
        </is>
      </c>
      <c r="E326" t="inlineStr">
        <is>
          <t>V1</t>
        </is>
      </c>
      <c r="F326" s="2" t="inlineStr">
        <is>
          <t>¿Desagrega costo y uso por cuenta/proyecto, servicio y período?</t>
        </is>
      </c>
      <c r="G326" t="n">
        <v>2</v>
      </c>
      <c r="H326" t="inlineStr">
        <is>
          <t>Oficial</t>
        </is>
      </c>
      <c r="I326" s="2" t="inlineStr">
        <is>
          <t>Cloud Billing Reports agrupa costos "by Project", "by Service", por SKU y por "Label keys"; el reporte cambia dinámicamente al ajustar rango de tiempo, agrupación y filtros.</t>
        </is>
      </c>
      <c r="J326" t="inlineStr">
        <is>
          <t>https://docs.cloud.google.com/billing/docs/how-to/reports</t>
        </is>
      </c>
      <c r="K326" t="inlineStr">
        <is>
          <t>2026-09-16</t>
        </is>
      </c>
      <c r="L326" s="2" t="inlineStr">
        <is>
          <t>Celda heredada FP-180 (2026-09-16): el valor 2 proviene de la investigacion del escenario E1 y no cuenta con evidencia propia de E5. Segun FP-177 el indicador V1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327">
      <c r="A327" t="inlineStr">
        <is>
          <t>E5</t>
        </is>
      </c>
      <c r="B327" t="inlineStr">
        <is>
          <t>Cloud nativa</t>
        </is>
      </c>
      <c r="C327" t="inlineStr">
        <is>
          <t>Google Cloud Billing</t>
        </is>
      </c>
      <c r="D327" t="inlineStr">
        <is>
          <t>Visibilidad</t>
        </is>
      </c>
      <c r="E327" t="inlineStr">
        <is>
          <t>V2</t>
        </is>
      </c>
      <c r="F327" s="2" t="inlineStr">
        <is>
          <t>¿Permite rastrear un total hasta registros o fuente de facturación?</t>
        </is>
      </c>
      <c r="G327" t="n">
        <v>2</v>
      </c>
      <c r="H327" t="inlineStr">
        <is>
          <t>Oficial</t>
        </is>
      </c>
      <c r="I327" s="2" t="inlineStr">
        <is>
          <t>El export detallado de facturación a BigQuery entrega el detalle a nivel de línea de uso/costo, sirviendo de fuente trazable para reconciliar reportes.</t>
        </is>
      </c>
      <c r="J327" t="inlineStr">
        <is>
          <t>https://docs.cloud.google.com/billing/docs/how-to/export-data-bigquery-tables/detailed-usage</t>
        </is>
      </c>
      <c r="K327" t="inlineStr">
        <is>
          <t>2026-09-16</t>
        </is>
      </c>
      <c r="L327" s="2" t="inlineStr"/>
    </row>
    <row r="328">
      <c r="A328" t="inlineStr">
        <is>
          <t>E5</t>
        </is>
      </c>
      <c r="B328" t="inlineStr">
        <is>
          <t>Cloud nativa</t>
        </is>
      </c>
      <c r="C328" t="inlineStr">
        <is>
          <t>Google Cloud Billing</t>
        </is>
      </c>
      <c r="D328" t="inlineStr">
        <is>
          <t>Asignacion</t>
        </is>
      </c>
      <c r="E328" t="inlineStr">
        <is>
          <t>A1</t>
        </is>
      </c>
      <c r="F328" s="2" t="inlineStr">
        <is>
          <t>¿Calcula gasto asignado/no asignado por responsable, centro o entidad?</t>
        </is>
      </c>
      <c r="G328" t="n">
        <v>1</v>
      </c>
      <c r="H328" t="inlineStr">
        <is>
          <t>Oficial (ausencia verificada de una función equivalente; ver notas)</t>
        </is>
      </c>
      <c r="I328" s="2" t="inlineStr">
        <is>
          <t>La atribución nativa se basa en jerarquía de proyectos y labels; no se encontró una función equivalente a las "cost allocation rules" de Azure o "Cost Categories" de AWS que muestre explícitamente un total "no asignado".</t>
        </is>
      </c>
      <c r="J328" t="inlineStr">
        <is>
          <t>https://docs.cloud.google.com/billing/docs/how-to/reports</t>
        </is>
      </c>
      <c r="K328" t="inlineStr">
        <is>
          <t>2026-09-16</t>
        </is>
      </c>
      <c r="L328" s="2" t="inlineStr">
        <is>
          <t>Celda heredada FP-180 (2026-09-16): el valor 1 proviene de la investigacion del escenario E1 y no cuenta con evidencia propia de E5. Segun FP-177 el indicador A1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329">
      <c r="A329" t="inlineStr">
        <is>
          <t>E5</t>
        </is>
      </c>
      <c r="B329" t="inlineStr">
        <is>
          <t>Cloud nativa</t>
        </is>
      </c>
      <c r="C329" t="inlineStr">
        <is>
          <t>Google Cloud Billing</t>
        </is>
      </c>
      <c r="D329" t="inlineStr">
        <is>
          <t>Asignacion</t>
        </is>
      </c>
      <c r="E329" t="inlineStr">
        <is>
          <t>A2</t>
        </is>
      </c>
      <c r="F329" s="2" t="inlineStr">
        <is>
          <t>¿Explicita y aplica reglas para costo compartido/multi-tenant?</t>
        </is>
      </c>
      <c r="G329" t="n">
        <v>1</v>
      </c>
      <c r="H329" t="inlineStr">
        <is>
          <t>Oficial</t>
        </is>
      </c>
      <c r="I329" s="2" t="inlineStr">
        <is>
          <t>A diferencia de AWS y Azure, la documentacion no describe una regla de reparto de costo compartido dentro del producto, y lo reconoce de forma explicita: «Some projects include shared resources that support many tenants, but billing reports can't granularly attribute usage to individual tenants». La guia recomienda resolverlo fuera de la herramienta, por proceso interno de la organizacion: «you might assign this to a shared IT cost center or split the cost proportionally among cost centers based on the number of workloads that use the platform». El reparto existe, pero es manual y externo al producto, que es el ancla 1 del indicador. Las etiquetas y el export a BigQuery sostienen el analisis posterior, no la regla de reparto en si.</t>
        </is>
      </c>
      <c r="J329" t="inlineStr">
        <is>
          <t>https://docs.cloud.google.com/architecture/blueprints/enterprise-application-blueprint/manage-costs-attributions ; https://docs.cloud.google.com/billing/docs/how-to/export-data-bigquery-tables/detailed-usage</t>
        </is>
      </c>
      <c r="K329" t="inlineStr">
        <is>
          <t>2026-09-16</t>
        </is>
      </c>
      <c r="L329" s="2" t="inlineStr">
        <is>
          <t>Celda heredada FP-180 (2026-09-16): el valor 0 proviene de la investigacion del escenario E1 y no cuenta con evidencia propia de E5. Segun FP-177 el indicador A2 depende del escenario, por lo que pasa a NE (no evidenciado, reduce cobertura) hasta investigarlo. La evidencia y la fuente originales se conservan como referencia del escenario de origen. | Investigacion propia de E5 (2026-09-16): regla de reparto del costo compartido verificada contra la salida esperada del escenario, que exige el metodo de reparto y la porcion no atribuible.</t>
        </is>
      </c>
    </row>
    <row r="330">
      <c r="A330" t="inlineStr">
        <is>
          <t>E5</t>
        </is>
      </c>
      <c r="B330" t="inlineStr">
        <is>
          <t>Cloud nativa</t>
        </is>
      </c>
      <c r="C330" t="inlineStr">
        <is>
          <t>Google Cloud Billing</t>
        </is>
      </c>
      <c r="D330" t="inlineStr">
        <is>
          <t>Optimizacion</t>
        </is>
      </c>
      <c r="E330" t="inlineStr">
        <is>
          <t>O1</t>
        </is>
      </c>
      <c r="F330" s="2" t="inlineStr">
        <is>
          <t>¿Detecta desperdicio, rightsizing o compromiso relevante al escenario?</t>
        </is>
      </c>
      <c r="G330" t="n">
        <v>0</v>
      </c>
      <c r="H330" t="inlineStr">
        <is>
          <t>Oficial (ausencia verificada)</t>
        </is>
      </c>
      <c r="I330" s="2" t="inlineStr">
        <is>
          <t>Cloud Billing (reportes/presupuestos/export) no genera por sí mismo recomendaciones de optimización; esa función corresponde a Recommender/FinOps hub, evaluado como producto aparte.</t>
        </is>
      </c>
      <c r="J330" t="inlineStr">
        <is>
          <t>https://docs.cloud.google.com/billing/docs/how-to/finops-hub</t>
        </is>
      </c>
      <c r="K330" t="inlineStr">
        <is>
          <t>2026-09-16</t>
        </is>
      </c>
      <c r="L33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O1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331">
      <c r="A331" t="inlineStr">
        <is>
          <t>E5</t>
        </is>
      </c>
      <c r="B331" t="inlineStr">
        <is>
          <t>Cloud nativa</t>
        </is>
      </c>
      <c r="C331" t="inlineStr">
        <is>
          <t>Google Cloud Billing</t>
        </is>
      </c>
      <c r="D331" t="inlineStr">
        <is>
          <t>Optimizacion</t>
        </is>
      </c>
      <c r="E331" t="inlineStr">
        <is>
          <t>O2</t>
        </is>
      </c>
      <c r="F331" s="2" t="inlineStr">
        <is>
          <t>¿Explica supuesto/impacto y permite seguir una recomendación?</t>
        </is>
      </c>
      <c r="G331" t="n">
        <v>0</v>
      </c>
      <c r="H331" t="inlineStr">
        <is>
          <t>Oficial (ausencia verificada)</t>
        </is>
      </c>
      <c r="I331" s="2" t="inlineStr">
        <is>
          <t>Mismo alcance de diseño que O1.</t>
        </is>
      </c>
      <c r="J331" t="inlineStr">
        <is>
          <t>https://docs.cloud.google.com/billing/docs/how-to/finops-hub</t>
        </is>
      </c>
      <c r="K331" t="inlineStr">
        <is>
          <t>2026-09-16</t>
        </is>
      </c>
      <c r="L33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32">
      <c r="A332" t="inlineStr">
        <is>
          <t>E5</t>
        </is>
      </c>
      <c r="B332" t="inlineStr">
        <is>
          <t>Cloud nativa</t>
        </is>
      </c>
      <c r="C332" t="inlineStr">
        <is>
          <t>Google Cloud Billing</t>
        </is>
      </c>
      <c r="D332" t="inlineStr">
        <is>
          <t>Automatizacion</t>
        </is>
      </c>
      <c r="E332" t="inlineStr">
        <is>
          <t>AU1</t>
        </is>
      </c>
      <c r="F332" s="2" t="inlineStr">
        <is>
          <t>¿Ejecuta o bloquea acciones/políticas de costo con control verificable?</t>
        </is>
      </c>
      <c r="G332" t="n">
        <v>2</v>
      </c>
      <c r="H332" t="inlineStr">
        <is>
          <t>Oficial</t>
        </is>
      </c>
      <c r="I332" s="2" t="inlineStr">
        <is>
          <t>Las notificaciones programáticas de presupuesto vía Pub/Sub permiten "automatizar respuestas de control de costos", incluida deshabilitar la facturación o limitar recursos mediante Cloud Run/Functions, sin paso de aprobación documentado.</t>
        </is>
      </c>
      <c r="J332" t="inlineStr">
        <is>
          <t>https://docs.cloud.google.com/billing/docs/how-to/budgets-programmatic-notifications</t>
        </is>
      </c>
      <c r="K332" t="inlineStr">
        <is>
          <t>2026-09-16</t>
        </is>
      </c>
      <c r="L332" s="2" t="inlineStr">
        <is>
          <t>Celda heredada FP-180 (2026-09-16): el valor 2 proviene de la investigacion del escenario E1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333">
      <c r="A333" t="inlineStr">
        <is>
          <t>E5</t>
        </is>
      </c>
      <c r="B333" t="inlineStr">
        <is>
          <t>Cloud nativa</t>
        </is>
      </c>
      <c r="C333" t="inlineStr">
        <is>
          <t>Google Cloud Billing</t>
        </is>
      </c>
      <c r="D333" t="inlineStr">
        <is>
          <t>Automatizacion</t>
        </is>
      </c>
      <c r="E333" t="inlineStr">
        <is>
          <t>AU2</t>
        </is>
      </c>
      <c r="F333" s="2" t="inlineStr">
        <is>
          <t>¿Ofrece aprobación, reversión, registro o límites antes de actuar?</t>
        </is>
      </c>
      <c r="G333" t="n">
        <v>1</v>
      </c>
      <c r="H333" t="inlineStr">
        <is>
          <t>Oficial</t>
        </is>
      </c>
      <c r="I333" s="2" t="inlineStr">
        <is>
          <t>La documentación no describe un paso de aprobación manual nativo ni un registro de auditoría/reversión; esas salvaguardas dependerían de la Cloud Function que el equipo construya.</t>
        </is>
      </c>
      <c r="J333" t="inlineStr">
        <is>
          <t>https://docs.cloud.google.com/billing/docs/how-to/budgets-programmatic-notifications</t>
        </is>
      </c>
      <c r="K333" t="inlineStr">
        <is>
          <t>2026-09-16</t>
        </is>
      </c>
      <c r="L333" s="2" t="inlineStr"/>
    </row>
    <row r="334">
      <c r="A334" t="inlineStr">
        <is>
          <t>E5</t>
        </is>
      </c>
      <c r="B334" t="inlineStr">
        <is>
          <t>Cloud nativa</t>
        </is>
      </c>
      <c r="C334" t="inlineStr">
        <is>
          <t>Google Cloud Billing</t>
        </is>
      </c>
      <c r="D334" t="inlineStr">
        <is>
          <t>Multicloud</t>
        </is>
      </c>
      <c r="E334" t="inlineStr">
        <is>
          <t>M1</t>
        </is>
      </c>
      <c r="F334" s="2" t="inlineStr">
        <is>
          <t>¿Consolida al menos dos proveedores bajo el mismo esquema declarado?</t>
        </is>
      </c>
      <c r="G334" t="n">
        <v>0</v>
      </c>
      <c r="H334" t="inlineStr">
        <is>
          <t>Oficial</t>
        </is>
      </c>
      <c r="I334" s="2" t="inlineStr">
        <is>
          <t>Cloud Billing cubre exclusivamente cuentas de Google Cloud; no ingiere ni consolida datos de AWS/Azure dentro de la misma consola.</t>
        </is>
      </c>
      <c r="J334" t="inlineStr">
        <is>
          <t>https://docs.cloud.google.com/billing/docs/how-to/export-data-bigquery-tables/focus-export</t>
        </is>
      </c>
      <c r="K334" t="inlineStr">
        <is>
          <t>2026-09-16</t>
        </is>
      </c>
      <c r="L334" s="2" t="inlineStr"/>
    </row>
    <row r="335">
      <c r="A335" t="inlineStr">
        <is>
          <t>E5</t>
        </is>
      </c>
      <c r="B335" t="inlineStr">
        <is>
          <t>Cloud nativa</t>
        </is>
      </c>
      <c r="C335" t="inlineStr">
        <is>
          <t>Google Cloud Billing</t>
        </is>
      </c>
      <c r="D335" t="inlineStr">
        <is>
          <t>Multicloud</t>
        </is>
      </c>
      <c r="E335" t="inlineStr">
        <is>
          <t>M2</t>
        </is>
      </c>
      <c r="F335" s="2" t="inlineStr">
        <is>
          <t>¿Hace visibles proveedor, cobertura y diferencias semánticas?</t>
        </is>
      </c>
      <c r="G335" t="n">
        <v>0</v>
      </c>
      <c r="H335" t="inlineStr">
        <is>
          <t>Oficial</t>
        </is>
      </c>
      <c r="I335" s="2" t="inlineStr">
        <is>
          <t>Al no consolidar otros proveedores, no expone diferencias de cobertura o semántica entre nubes.</t>
        </is>
      </c>
      <c r="J335" t="inlineStr">
        <is>
          <t>https://docs.cloud.google.com/billing/docs/how-to/export-data-bigquery-tables/focus-export</t>
        </is>
      </c>
      <c r="K335" t="inlineStr">
        <is>
          <t>2026-09-16</t>
        </is>
      </c>
      <c r="L335" s="2" t="inlineStr"/>
    </row>
    <row r="336">
      <c r="A336" t="inlineStr">
        <is>
          <t>E5</t>
        </is>
      </c>
      <c r="B336" t="inlineStr">
        <is>
          <t>Cloud nativa</t>
        </is>
      </c>
      <c r="C336" t="inlineStr">
        <is>
          <t>Google Cloud Billing</t>
        </is>
      </c>
      <c r="D336" t="inlineStr">
        <is>
          <t>Integracion</t>
        </is>
      </c>
      <c r="E336" t="inlineStr">
        <is>
          <t>I1</t>
        </is>
      </c>
      <c r="F336" s="2" t="inlineStr">
        <is>
          <t>¿Integra datos requeridos (facturación, uso, clúster o IaC) del escenario?</t>
        </is>
      </c>
      <c r="G336" t="n">
        <v>2</v>
      </c>
      <c r="H336" t="inlineStr">
        <is>
          <t>Oficial</t>
        </is>
      </c>
      <c r="I336" s="2" t="inlineStr">
        <is>
          <t>El export detallado a BigQuery ingiere datos de costo/uso de forma automatizada; GKE cost allocation (opt-in con "--enable-cost-allocation") añade granularidad de namespace/workload/pod (hasta 50 etiquetas por Pod) al mismo export, con hasta 3 días de latencia.</t>
        </is>
      </c>
      <c r="J336" t="inlineStr">
        <is>
          <t>https://docs.cloud.google.com/kubernetes-engine/docs/how-to/cost-allocations</t>
        </is>
      </c>
      <c r="K336" t="inlineStr">
        <is>
          <t>2026-09-16</t>
        </is>
      </c>
      <c r="L336" s="2" t="inlineStr">
        <is>
          <t>Celda heredada FP-180 (2026-09-16): el valor 2 proviene de la investigacion del escenario E1 y no cuenta con evidencia propia de E5. Segun FP-177 el indicador I1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337">
      <c r="A337" t="inlineStr">
        <is>
          <t>E5</t>
        </is>
      </c>
      <c r="B337" t="inlineStr">
        <is>
          <t>Cloud nativa</t>
        </is>
      </c>
      <c r="C337" t="inlineStr">
        <is>
          <t>Google Cloud Billing</t>
        </is>
      </c>
      <c r="D337" t="inlineStr">
        <is>
          <t>Integracion</t>
        </is>
      </c>
      <c r="E337" t="inlineStr">
        <is>
          <t>I2</t>
        </is>
      </c>
      <c r="F337" s="2" t="inlineStr">
        <is>
          <t>¿Se integra con el flujo de trabajo relevante (alerta, ticket, CI/CD o reporte)?</t>
        </is>
      </c>
      <c r="G337" t="n">
        <v>2</v>
      </c>
      <c r="H337" t="inlineStr">
        <is>
          <t>Oficial</t>
        </is>
      </c>
      <c r="I337" s="2" t="inlineStr">
        <is>
          <t>Las notificaciones Pub/Sub se integran con Slack y otras herramientas operativas para "respuesta más rápida" al evento de costo.</t>
        </is>
      </c>
      <c r="J337" t="inlineStr">
        <is>
          <t>https://docs.cloud.google.com/billing/docs/how-to/budgets-programmatic-notifications</t>
        </is>
      </c>
      <c r="K337" t="inlineStr">
        <is>
          <t>2026-09-16</t>
        </is>
      </c>
      <c r="L337" s="2" t="inlineStr">
        <is>
          <t>Celda heredada FP-180 (2026-09-16): el valor 2 proviene de la investigacion del escenario E1 y no cuenta con evidencia propia de E5. Segun FP-177 el indicador I2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338">
      <c r="A338" t="inlineStr">
        <is>
          <t>E5</t>
        </is>
      </c>
      <c r="B338" t="inlineStr">
        <is>
          <t>Cloud nativa</t>
        </is>
      </c>
      <c r="C338" t="inlineStr">
        <is>
          <t>Google Cloud Billing</t>
        </is>
      </c>
      <c r="D338" t="inlineStr">
        <is>
          <t>Adopcion</t>
        </is>
      </c>
      <c r="E338" t="inlineStr">
        <is>
          <t>AD1</t>
        </is>
      </c>
      <c r="F338" s="2" t="inlineStr">
        <is>
          <t>¿Soporta acceso/entrega para los roles del escenario?</t>
        </is>
      </c>
      <c r="G338" t="n">
        <v>2</v>
      </c>
      <c r="H338" t="inlineStr">
        <is>
          <t>Oficial</t>
        </is>
      </c>
      <c r="I338" s="2" t="inlineStr">
        <is>
          <t>Roles de IAM predefinidos ("Billing Account Viewer", "Billing Account Costs Manager", "Project Billing Costs Manager") separan acceso de solo lectura de costos del resto de permisos de administración, incluso acotado por proyecto.</t>
        </is>
      </c>
      <c r="J338" t="inlineStr">
        <is>
          <t>https://docs.cloud.google.com/billing/docs/how-to/billing-access</t>
        </is>
      </c>
      <c r="K338" t="inlineStr">
        <is>
          <t>2026-09-16</t>
        </is>
      </c>
      <c r="L338" s="2" t="inlineStr">
        <is>
          <t>Celda heredada FP-180 (2026-09-16): el valor 2 proviene de la investigacion del escenario E1 y no cuenta con evidencia propia de E5. Segun FP-177 el indicador AD1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339">
      <c r="A339" t="inlineStr">
        <is>
          <t>E5</t>
        </is>
      </c>
      <c r="B339" t="inlineStr">
        <is>
          <t>Cloud nativa</t>
        </is>
      </c>
      <c r="C339" t="inlineStr">
        <is>
          <t>Google Cloud Billing</t>
        </is>
      </c>
      <c r="D339" t="inlineStr">
        <is>
          <t>Adopcion</t>
        </is>
      </c>
      <c r="E339" t="inlineStr">
        <is>
          <t>AD2</t>
        </is>
      </c>
      <c r="F339" s="2" t="inlineStr">
        <is>
          <t>¿Ofrece guías, ownership o mecanismos de seguimiento para uso sostenido?</t>
        </is>
      </c>
      <c r="G339" t="n">
        <v>1</v>
      </c>
      <c r="H339" t="inlineStr">
        <is>
          <t>Oficial</t>
        </is>
      </c>
      <c r="I339" s="2" t="inlineStr">
        <is>
          <t>Existen guías oficiales generales de uso, pero la medición formal de adopción/gobernanza (el "FinOps score") corresponde a FinOps hub, evaluado como producto aparte.</t>
        </is>
      </c>
      <c r="J339" t="inlineStr">
        <is>
          <t>https://docs.cloud.google.com/billing/docs/how-to/finops-hub</t>
        </is>
      </c>
      <c r="K339" t="inlineStr">
        <is>
          <t>2026-09-16</t>
        </is>
      </c>
      <c r="L339" s="2" t="inlineStr"/>
    </row>
    <row r="340">
      <c r="A340" t="inlineStr">
        <is>
          <t>E5</t>
        </is>
      </c>
      <c r="B340" t="inlineStr">
        <is>
          <t>Cloud nativa</t>
        </is>
      </c>
      <c r="C340" t="inlineStr">
        <is>
          <t>Google Cloud Billing</t>
        </is>
      </c>
      <c r="D340" t="inlineStr">
        <is>
          <t>Precio</t>
        </is>
      </c>
      <c r="E340" t="inlineStr">
        <is>
          <t>P1</t>
        </is>
      </c>
      <c r="F340" s="2" t="inlineStr">
        <is>
          <t>¿Expone precio, moneda, región, unidad, período y supuestos relevantes?</t>
        </is>
      </c>
      <c r="G340" t="n">
        <v>2</v>
      </c>
      <c r="H340" t="inlineStr">
        <is>
          <t>Oficial</t>
        </is>
      </c>
      <c r="I340" s="2" t="inlineStr">
        <is>
          <t>El export FOCUS y el export detallado exponen campos estandarizados (BilledCost, ListCost, ContractedCost, ServiceName, SkuId, RegionId) con moneda, período y región.</t>
        </is>
      </c>
      <c r="J340" t="inlineStr">
        <is>
          <t>https://docs.cloud.google.com/billing/docs/how-to/export-data-bigquery-tables/focus-export</t>
        </is>
      </c>
      <c r="K340" t="inlineStr">
        <is>
          <t>2026-09-16</t>
        </is>
      </c>
      <c r="L340" s="2" t="inlineStr"/>
    </row>
    <row r="341">
      <c r="A341" t="inlineStr">
        <is>
          <t>E5</t>
        </is>
      </c>
      <c r="B341" t="inlineStr">
        <is>
          <t>Cloud nativa</t>
        </is>
      </c>
      <c r="C341" t="inlineStr">
        <is>
          <t>Google Cloud Billing</t>
        </is>
      </c>
      <c r="D341" t="inlineStr">
        <is>
          <t>Precio</t>
        </is>
      </c>
      <c r="E341" t="inlineStr">
        <is>
          <t>P2</t>
        </is>
      </c>
      <c r="F341" s="2" t="inlineStr">
        <is>
          <t>¿Permite estimar o comparar componentes sin ocultar límites de equivalencia?</t>
        </is>
      </c>
      <c r="G341" t="n">
        <v>1</v>
      </c>
      <c r="H341" t="inlineStr">
        <is>
          <t>Oficial</t>
        </is>
      </c>
      <c r="I341" s="2" t="inlineStr">
        <is>
          <t>Cloud Billing Reports no incluye una calculadora de estimación de componentes previa al despliegue (esa función es de Google Cloud Pricing Calculator, evaluada aparte en E4).</t>
        </is>
      </c>
      <c r="J341" t="inlineStr">
        <is>
          <t>https://docs.cloud.google.com/billing/docs/how-to/reports</t>
        </is>
      </c>
      <c r="K341" t="inlineStr">
        <is>
          <t>2026-09-16</t>
        </is>
      </c>
      <c r="L341" s="2" t="inlineStr">
        <is>
          <t>Celda heredada FP-180 (2026-09-16): el valor 1 proviene de la investigacion del escenario E1 y no cuenta con evidencia propia de E5. Segun FP-177 el indicador P2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342">
      <c r="A342" t="inlineStr">
        <is>
          <t>E5</t>
        </is>
      </c>
      <c r="B342" t="inlineStr">
        <is>
          <t>Cloud nativa</t>
        </is>
      </c>
      <c r="C342" t="inlineStr">
        <is>
          <t>Google Cloud Billing</t>
        </is>
      </c>
      <c r="D342" t="inlineStr">
        <is>
          <t>Dependencia</t>
        </is>
      </c>
      <c r="E342" t="inlineStr">
        <is>
          <t>D1</t>
        </is>
      </c>
      <c r="F342" s="2" t="inlineStr">
        <is>
          <t>¿Exporta datos/resultados en formato utilizable y documentado?</t>
        </is>
      </c>
      <c r="G342" t="n">
        <v>2</v>
      </c>
      <c r="H342" t="inlineStr">
        <is>
          <t>Oficial</t>
        </is>
      </c>
      <c r="I342" s="2" t="inlineStr">
        <is>
          <t>El export estándar y detallado a BigQuery, y el export en esquema FOCUS, entregan datos en formato abierto y consultable con SQL.</t>
        </is>
      </c>
      <c r="J342" t="inlineStr">
        <is>
          <t>https://docs.cloud.google.com/billing/docs/how-to/export-data-bigquery-tables/focus-export</t>
        </is>
      </c>
      <c r="K342" t="inlineStr">
        <is>
          <t>2026-09-16</t>
        </is>
      </c>
      <c r="L342" s="2" t="inlineStr"/>
    </row>
    <row r="343">
      <c r="A343" t="inlineStr">
        <is>
          <t>E5</t>
        </is>
      </c>
      <c r="B343" t="inlineStr">
        <is>
          <t>Cloud nativa</t>
        </is>
      </c>
      <c r="C343" t="inlineStr">
        <is>
          <t>Google Cloud Billing</t>
        </is>
      </c>
      <c r="D343" t="inlineStr">
        <is>
          <t>Dependencia</t>
        </is>
      </c>
      <c r="E343" t="inlineStr">
        <is>
          <t>D2</t>
        </is>
      </c>
      <c r="F343" s="2" t="inlineStr">
        <is>
          <t>¿Documenta dependencias propietarias y un camino de salida/configuración reversible?</t>
        </is>
      </c>
      <c r="G343" t="n">
        <v>1</v>
      </c>
      <c r="H343" t="inlineStr">
        <is>
          <t>Oficial</t>
        </is>
      </c>
      <c r="I343" s="2" t="inlineStr">
        <is>
          <t>No se encontró documentación dedicada sobre un camino de salida o reversibilidad; el riesgo de dependencia se atenúa por el export en formato FOCUS/BigQuery estándar.</t>
        </is>
      </c>
      <c r="J343" t="inlineStr">
        <is>
          <t>https://docs.cloud.google.com/billing/docs/how-to/export-data-bigquery-tables/focus-export</t>
        </is>
      </c>
      <c r="K343" t="inlineStr">
        <is>
          <t>2026-09-16</t>
        </is>
      </c>
      <c r="L343" s="2" t="inlineStr"/>
    </row>
    <row r="344">
      <c r="A344" t="inlineStr">
        <is>
          <t>E6</t>
        </is>
      </c>
      <c r="B344" t="inlineStr">
        <is>
          <t>Cloud nativa</t>
        </is>
      </c>
      <c r="C344" t="inlineStr">
        <is>
          <t>Google Cloud Billing</t>
        </is>
      </c>
      <c r="D344" t="inlineStr">
        <is>
          <t>Visibilidad</t>
        </is>
      </c>
      <c r="E344" t="inlineStr">
        <is>
          <t>V1</t>
        </is>
      </c>
      <c r="F344" s="2" t="inlineStr">
        <is>
          <t>¿Desagrega costo y uso por cuenta/proyecto, servicio y período?</t>
        </is>
      </c>
      <c r="G344" t="inlineStr">
        <is>
          <t>NE</t>
        </is>
      </c>
      <c r="H344" t="inlineStr">
        <is>
          <t>Pendiente</t>
        </is>
      </c>
      <c r="I344" s="2" t="inlineStr">
        <is>
          <t>Cloud Billing Reports agrupa costos "by Project", "by Service", por SKU y por "Label keys"; el reporte cambia dinámicamente al ajustar rango de tiempo, agrupación y filtros.</t>
        </is>
      </c>
      <c r="J344" t="inlineStr">
        <is>
          <t>https://docs.cloud.google.com/billing/docs/how-to/reports</t>
        </is>
      </c>
      <c r="K344" t="inlineStr">
        <is>
          <t>2026-09-16</t>
        </is>
      </c>
      <c r="L344" s="2" t="inlineStr">
        <is>
          <t>Celda heredada FP-180 (2026-09-16): el valor 2 proviene de la investigacion del escenario E1 y no cuenta con evidencia propia de E6. Segun FP-177 el indicador V1 depende del escenario, por lo que pasa a NE (no evidenciado, reduce cobertura) hasta investigarlo. La evidencia y la fuente originales se conservan como referencia del escenario de origen.</t>
        </is>
      </c>
    </row>
    <row r="345">
      <c r="A345" t="inlineStr">
        <is>
          <t>E6</t>
        </is>
      </c>
      <c r="B345" t="inlineStr">
        <is>
          <t>Cloud nativa</t>
        </is>
      </c>
      <c r="C345" t="inlineStr">
        <is>
          <t>Google Cloud Billing</t>
        </is>
      </c>
      <c r="D345" t="inlineStr">
        <is>
          <t>Visibilidad</t>
        </is>
      </c>
      <c r="E345" t="inlineStr">
        <is>
          <t>V2</t>
        </is>
      </c>
      <c r="F345" s="2" t="inlineStr">
        <is>
          <t>¿Permite rastrear un total hasta registros o fuente de facturación?</t>
        </is>
      </c>
      <c r="G345" t="n">
        <v>2</v>
      </c>
      <c r="H345" t="inlineStr">
        <is>
          <t>Oficial</t>
        </is>
      </c>
      <c r="I345" s="2" t="inlineStr">
        <is>
          <t>El export detallado de facturación a BigQuery entrega el detalle a nivel de línea de uso/costo, sirviendo de fuente trazable para reconciliar reportes.</t>
        </is>
      </c>
      <c r="J345" t="inlineStr">
        <is>
          <t>https://docs.cloud.google.com/billing/docs/how-to/export-data-bigquery-tables/detailed-usage</t>
        </is>
      </c>
      <c r="K345" t="inlineStr">
        <is>
          <t>2026-09-16</t>
        </is>
      </c>
      <c r="L345" s="2" t="inlineStr"/>
    </row>
    <row r="346">
      <c r="A346" t="inlineStr">
        <is>
          <t>E6</t>
        </is>
      </c>
      <c r="B346" t="inlineStr">
        <is>
          <t>Cloud nativa</t>
        </is>
      </c>
      <c r="C346" t="inlineStr">
        <is>
          <t>Google Cloud Billing</t>
        </is>
      </c>
      <c r="D346" t="inlineStr">
        <is>
          <t>Asignacion</t>
        </is>
      </c>
      <c r="E346" t="inlineStr">
        <is>
          <t>A1</t>
        </is>
      </c>
      <c r="F346" s="2" t="inlineStr">
        <is>
          <t>¿Calcula gasto asignado/no asignado por responsable, centro o entidad?</t>
        </is>
      </c>
      <c r="G346" t="n">
        <v>1</v>
      </c>
      <c r="H346" t="inlineStr">
        <is>
          <t>Oficial (ausencia verificada de una función equivalente; ver notas)</t>
        </is>
      </c>
      <c r="I346" s="2" t="inlineStr">
        <is>
          <t>La atribución nativa se basa en jerarquía de proyectos y labels; no se encontró una función equivalente a las "cost allocation rules" de Azure o "Cost Categories" de AWS que muestre explícitamente un total "no asignado".</t>
        </is>
      </c>
      <c r="J346" t="inlineStr">
        <is>
          <t>https://docs.cloud.google.com/billing/docs/how-to/reports</t>
        </is>
      </c>
      <c r="K346" t="inlineStr">
        <is>
          <t>2026-09-16</t>
        </is>
      </c>
      <c r="L346" s="2" t="inlineStr">
        <is>
          <t>Celda heredada FP-180 (2026-09-16): el valor 1 proviene de la investigacion del escenario E1 y no cuenta con evidencia propia de E6. Segun FP-177 el indicador A1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347">
      <c r="A347" t="inlineStr">
        <is>
          <t>E6</t>
        </is>
      </c>
      <c r="B347" t="inlineStr">
        <is>
          <t>Cloud nativa</t>
        </is>
      </c>
      <c r="C347" t="inlineStr">
        <is>
          <t>Google Cloud Billing</t>
        </is>
      </c>
      <c r="D347" t="inlineStr">
        <is>
          <t>Asignacion</t>
        </is>
      </c>
      <c r="E347" t="inlineStr">
        <is>
          <t>A2</t>
        </is>
      </c>
      <c r="F347" s="2" t="inlineStr">
        <is>
          <t>¿Explicita y aplica reglas para costo compartido/multi-tenant?</t>
        </is>
      </c>
      <c r="G347" t="n">
        <v>0</v>
      </c>
      <c r="H347" t="inlineStr">
        <is>
          <t>Ausencia verificada (búsqueda documental)</t>
        </is>
      </c>
      <c r="I347" s="2" t="inlineStr">
        <is>
          <t>No se encontró una función nativa de reparto porcentual de costo compartido entre múltiples proyectos/equipos equivalente a las split charge rules de Azure/Cost Categories de AWS; los labels permiten atribuir pero no dividen automáticamente un mismo recurso.</t>
        </is>
      </c>
      <c r="J347" t="inlineStr">
        <is>
          <t>https://docs.cloud.google.com/billing/docs/how-to/reports</t>
        </is>
      </c>
      <c r="K347" t="inlineStr">
        <is>
          <t>2026-09-16</t>
        </is>
      </c>
      <c r="L347" s="2" t="inlineStr">
        <is>
          <t>Celda heredada FP-180 (2026-09-16): el valor 0 proviene de la investigacion del escenario E1 y no cuenta con evidencia propia de E6. Segun FP-177 el indicador A2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348">
      <c r="A348" t="inlineStr">
        <is>
          <t>E6</t>
        </is>
      </c>
      <c r="B348" t="inlineStr">
        <is>
          <t>Cloud nativa</t>
        </is>
      </c>
      <c r="C348" t="inlineStr">
        <is>
          <t>Google Cloud Billing</t>
        </is>
      </c>
      <c r="D348" t="inlineStr">
        <is>
          <t>Optimizacion</t>
        </is>
      </c>
      <c r="E348" t="inlineStr">
        <is>
          <t>O1</t>
        </is>
      </c>
      <c r="F348" s="2" t="inlineStr">
        <is>
          <t>¿Detecta desperdicio, rightsizing o compromiso relevante al escenario?</t>
        </is>
      </c>
      <c r="G348" t="n">
        <v>0</v>
      </c>
      <c r="H348" t="inlineStr">
        <is>
          <t>Oficial (ausencia verificada)</t>
        </is>
      </c>
      <c r="I348" s="2" t="inlineStr">
        <is>
          <t>Cloud Billing (reportes/presupuestos/export) no genera por sí mismo recomendaciones de optimización; esa función corresponde a Recommender/FinOps hub, evaluado como producto aparte.</t>
        </is>
      </c>
      <c r="J348" t="inlineStr">
        <is>
          <t>https://docs.cloud.google.com/billing/docs/how-to/finops-hub</t>
        </is>
      </c>
      <c r="K348" t="inlineStr">
        <is>
          <t>2026-09-16</t>
        </is>
      </c>
      <c r="L34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O1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349">
      <c r="A349" t="inlineStr">
        <is>
          <t>E6</t>
        </is>
      </c>
      <c r="B349" t="inlineStr">
        <is>
          <t>Cloud nativa</t>
        </is>
      </c>
      <c r="C349" t="inlineStr">
        <is>
          <t>Google Cloud Billing</t>
        </is>
      </c>
      <c r="D349" t="inlineStr">
        <is>
          <t>Optimizacion</t>
        </is>
      </c>
      <c r="E349" t="inlineStr">
        <is>
          <t>O2</t>
        </is>
      </c>
      <c r="F349" s="2" t="inlineStr">
        <is>
          <t>¿Explica supuesto/impacto y permite seguir una recomendación?</t>
        </is>
      </c>
      <c r="G349" t="n">
        <v>0</v>
      </c>
      <c r="H349" t="inlineStr">
        <is>
          <t>Oficial (ausencia verificada)</t>
        </is>
      </c>
      <c r="I349" s="2" t="inlineStr">
        <is>
          <t>Mismo alcance de diseño que O1.</t>
        </is>
      </c>
      <c r="J349" t="inlineStr">
        <is>
          <t>https://docs.cloud.google.com/billing/docs/how-to/finops-hub</t>
        </is>
      </c>
      <c r="K349" t="inlineStr">
        <is>
          <t>2026-09-16</t>
        </is>
      </c>
      <c r="L34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50">
      <c r="A350" t="inlineStr">
        <is>
          <t>E6</t>
        </is>
      </c>
      <c r="B350" t="inlineStr">
        <is>
          <t>Cloud nativa</t>
        </is>
      </c>
      <c r="C350" t="inlineStr">
        <is>
          <t>Google Cloud Billing</t>
        </is>
      </c>
      <c r="D350" t="inlineStr">
        <is>
          <t>Automatizacion</t>
        </is>
      </c>
      <c r="E350" t="inlineStr">
        <is>
          <t>AU1</t>
        </is>
      </c>
      <c r="F350" s="2" t="inlineStr">
        <is>
          <t>¿Ejecuta o bloquea acciones/políticas de costo con control verificable?</t>
        </is>
      </c>
      <c r="G350" t="n">
        <v>2</v>
      </c>
      <c r="H350" t="inlineStr">
        <is>
          <t>Oficial</t>
        </is>
      </c>
      <c r="I350" s="2" t="inlineStr">
        <is>
          <t>Las notificaciones programáticas de presupuesto vía Pub/Sub permiten "automatizar respuestas de control de costos", incluida deshabilitar la facturación o limitar recursos mediante Cloud Run/Functions, sin paso de aprobación documentado.</t>
        </is>
      </c>
      <c r="J350" t="inlineStr">
        <is>
          <t>https://docs.cloud.google.com/billing/docs/how-to/budgets-programmatic-notifications</t>
        </is>
      </c>
      <c r="K350" t="inlineStr">
        <is>
          <t>2026-09-16</t>
        </is>
      </c>
      <c r="L350" s="2" t="inlineStr">
        <is>
          <t>Celda heredada FP-180 (2026-09-16): el valor 2 proviene de la investigacion del escenario E1 y no cuenta con evidencia propia de E6. Segun FP-177 el indicador AU1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351">
      <c r="A351" t="inlineStr">
        <is>
          <t>E6</t>
        </is>
      </c>
      <c r="B351" t="inlineStr">
        <is>
          <t>Cloud nativa</t>
        </is>
      </c>
      <c r="C351" t="inlineStr">
        <is>
          <t>Google Cloud Billing</t>
        </is>
      </c>
      <c r="D351" t="inlineStr">
        <is>
          <t>Automatizacion</t>
        </is>
      </c>
      <c r="E351" t="inlineStr">
        <is>
          <t>AU2</t>
        </is>
      </c>
      <c r="F351" s="2" t="inlineStr">
        <is>
          <t>¿Ofrece aprobación, reversión, registro o límites antes de actuar?</t>
        </is>
      </c>
      <c r="G351" t="n">
        <v>1</v>
      </c>
      <c r="H351" t="inlineStr">
        <is>
          <t>Oficial</t>
        </is>
      </c>
      <c r="I351" s="2" t="inlineStr">
        <is>
          <t>La documentación no describe un paso de aprobación manual nativo ni un registro de auditoría/reversión; esas salvaguardas dependerían de la Cloud Function que el equipo construya.</t>
        </is>
      </c>
      <c r="J351" t="inlineStr">
        <is>
          <t>https://docs.cloud.google.com/billing/docs/how-to/budgets-programmatic-notifications</t>
        </is>
      </c>
      <c r="K351" t="inlineStr">
        <is>
          <t>2026-09-16</t>
        </is>
      </c>
      <c r="L351" s="2" t="inlineStr"/>
    </row>
    <row r="352">
      <c r="A352" t="inlineStr">
        <is>
          <t>E6</t>
        </is>
      </c>
      <c r="B352" t="inlineStr">
        <is>
          <t>Cloud nativa</t>
        </is>
      </c>
      <c r="C352" t="inlineStr">
        <is>
          <t>Google Cloud Billing</t>
        </is>
      </c>
      <c r="D352" t="inlineStr">
        <is>
          <t>Multicloud</t>
        </is>
      </c>
      <c r="E352" t="inlineStr">
        <is>
          <t>M1</t>
        </is>
      </c>
      <c r="F352" s="2" t="inlineStr">
        <is>
          <t>¿Consolida al menos dos proveedores bajo el mismo esquema declarado?</t>
        </is>
      </c>
      <c r="G352" t="n">
        <v>0</v>
      </c>
      <c r="H352" t="inlineStr">
        <is>
          <t>Oficial</t>
        </is>
      </c>
      <c r="I352" s="2" t="inlineStr">
        <is>
          <t>Cloud Billing cubre exclusivamente cuentas de Google Cloud; no ingiere ni consolida datos de AWS/Azure dentro de la misma consola.</t>
        </is>
      </c>
      <c r="J352" t="inlineStr">
        <is>
          <t>https://docs.cloud.google.com/billing/docs/how-to/export-data-bigquery-tables/focus-export</t>
        </is>
      </c>
      <c r="K352" t="inlineStr">
        <is>
          <t>2026-09-16</t>
        </is>
      </c>
      <c r="L352" s="2" t="inlineStr"/>
    </row>
    <row r="353">
      <c r="A353" t="inlineStr">
        <is>
          <t>E6</t>
        </is>
      </c>
      <c r="B353" t="inlineStr">
        <is>
          <t>Cloud nativa</t>
        </is>
      </c>
      <c r="C353" t="inlineStr">
        <is>
          <t>Google Cloud Billing</t>
        </is>
      </c>
      <c r="D353" t="inlineStr">
        <is>
          <t>Multicloud</t>
        </is>
      </c>
      <c r="E353" t="inlineStr">
        <is>
          <t>M2</t>
        </is>
      </c>
      <c r="F353" s="2" t="inlineStr">
        <is>
          <t>¿Hace visibles proveedor, cobertura y diferencias semánticas?</t>
        </is>
      </c>
      <c r="G353" t="n">
        <v>0</v>
      </c>
      <c r="H353" t="inlineStr">
        <is>
          <t>Oficial</t>
        </is>
      </c>
      <c r="I353" s="2" t="inlineStr">
        <is>
          <t>Al no consolidar otros proveedores, no expone diferencias de cobertura o semántica entre nubes.</t>
        </is>
      </c>
      <c r="J353" t="inlineStr">
        <is>
          <t>https://docs.cloud.google.com/billing/docs/how-to/export-data-bigquery-tables/focus-export</t>
        </is>
      </c>
      <c r="K353" t="inlineStr">
        <is>
          <t>2026-09-16</t>
        </is>
      </c>
      <c r="L353" s="2" t="inlineStr"/>
    </row>
    <row r="354">
      <c r="A354" t="inlineStr">
        <is>
          <t>E6</t>
        </is>
      </c>
      <c r="B354" t="inlineStr">
        <is>
          <t>Cloud nativa</t>
        </is>
      </c>
      <c r="C354" t="inlineStr">
        <is>
          <t>Google Cloud Billing</t>
        </is>
      </c>
      <c r="D354" t="inlineStr">
        <is>
          <t>Integracion</t>
        </is>
      </c>
      <c r="E354" t="inlineStr">
        <is>
          <t>I1</t>
        </is>
      </c>
      <c r="F354" s="2" t="inlineStr">
        <is>
          <t>¿Integra datos requeridos (facturación, uso, clúster o IaC) del escenario?</t>
        </is>
      </c>
      <c r="G354" t="inlineStr">
        <is>
          <t>NE</t>
        </is>
      </c>
      <c r="H354" t="inlineStr">
        <is>
          <t>Pendiente</t>
        </is>
      </c>
      <c r="I354" s="2" t="inlineStr">
        <is>
          <t>El export detallado a BigQuery ingiere datos de costo/uso de forma automatizada; GKE cost allocation (opt-in con "--enable-cost-allocation") añade granularidad de namespace/workload/pod (hasta 50 etiquetas por Pod) al mismo export, con hasta 3 días de latencia.</t>
        </is>
      </c>
      <c r="J354" t="inlineStr">
        <is>
          <t>https://docs.cloud.google.com/kubernetes-engine/docs/how-to/cost-allocations</t>
        </is>
      </c>
      <c r="K354" t="inlineStr">
        <is>
          <t>2026-09-16</t>
        </is>
      </c>
      <c r="L354" s="2" t="inlineStr">
        <is>
          <t>Celda heredada FP-180 (2026-09-16): el valor 2 proviene de la investigacion del escenario E1 y no cuenta con evidencia propia de E6. Segun FP-177 el indicador I1 depende del escenario, por lo que pasa a NE (no evidenciado, reduce cobertura) hasta investigarlo. La evidencia y la fuente originales se conservan como referencia del escenario de origen.</t>
        </is>
      </c>
    </row>
    <row r="355">
      <c r="A355" t="inlineStr">
        <is>
          <t>E6</t>
        </is>
      </c>
      <c r="B355" t="inlineStr">
        <is>
          <t>Cloud nativa</t>
        </is>
      </c>
      <c r="C355" t="inlineStr">
        <is>
          <t>Google Cloud Billing</t>
        </is>
      </c>
      <c r="D355" t="inlineStr">
        <is>
          <t>Integracion</t>
        </is>
      </c>
      <c r="E355" t="inlineStr">
        <is>
          <t>I2</t>
        </is>
      </c>
      <c r="F355" s="2" t="inlineStr">
        <is>
          <t>¿Se integra con el flujo de trabajo relevante (alerta, ticket, CI/CD o reporte)?</t>
        </is>
      </c>
      <c r="G355" t="n">
        <v>2</v>
      </c>
      <c r="H355" t="inlineStr">
        <is>
          <t>Oficial</t>
        </is>
      </c>
      <c r="I355" s="2" t="inlineStr">
        <is>
          <t>Las notificaciones Pub/Sub se integran con Slack y otras herramientas operativas para "respuesta más rápida" al evento de costo.</t>
        </is>
      </c>
      <c r="J355" t="inlineStr">
        <is>
          <t>https://docs.cloud.google.com/billing/docs/how-to/budgets-programmatic-notifications</t>
        </is>
      </c>
      <c r="K355" t="inlineStr">
        <is>
          <t>2026-09-16</t>
        </is>
      </c>
      <c r="L355" s="2" t="inlineStr">
        <is>
          <t>Celda heredada FP-180 (2026-09-16): el valor 2 proviene de la investigacion del escenario E1 y no cuenta con evidencia propia de E6. Segun FP-177 el indicador I2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356">
      <c r="A356" t="inlineStr">
        <is>
          <t>E6</t>
        </is>
      </c>
      <c r="B356" t="inlineStr">
        <is>
          <t>Cloud nativa</t>
        </is>
      </c>
      <c r="C356" t="inlineStr">
        <is>
          <t>Google Cloud Billing</t>
        </is>
      </c>
      <c r="D356" t="inlineStr">
        <is>
          <t>Adopcion</t>
        </is>
      </c>
      <c r="E356" t="inlineStr">
        <is>
          <t>AD1</t>
        </is>
      </c>
      <c r="F356" s="2" t="inlineStr">
        <is>
          <t>¿Soporta acceso/entrega para los roles del escenario?</t>
        </is>
      </c>
      <c r="G356" t="n">
        <v>2</v>
      </c>
      <c r="H356" t="inlineStr">
        <is>
          <t>Oficial</t>
        </is>
      </c>
      <c r="I356" s="2" t="inlineStr">
        <is>
          <t>Roles de IAM predefinidos ("Billing Account Viewer", "Billing Account Costs Manager", "Project Billing Costs Manager") separan acceso de solo lectura de costos del resto de permisos de administración, incluso acotado por proyecto.</t>
        </is>
      </c>
      <c r="J356" t="inlineStr">
        <is>
          <t>https://docs.cloud.google.com/billing/docs/how-to/billing-access</t>
        </is>
      </c>
      <c r="K356" t="inlineStr">
        <is>
          <t>2026-09-16</t>
        </is>
      </c>
      <c r="L356" s="2" t="inlineStr">
        <is>
          <t>Celda heredada FP-180 (2026-09-16): el valor 2 proviene de la investigacion del escenario E1 y no cuenta con evidencia propia de E6. Segun FP-177 el indicador AD1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357">
      <c r="A357" t="inlineStr">
        <is>
          <t>E6</t>
        </is>
      </c>
      <c r="B357" t="inlineStr">
        <is>
          <t>Cloud nativa</t>
        </is>
      </c>
      <c r="C357" t="inlineStr">
        <is>
          <t>Google Cloud Billing</t>
        </is>
      </c>
      <c r="D357" t="inlineStr">
        <is>
          <t>Adopcion</t>
        </is>
      </c>
      <c r="E357" t="inlineStr">
        <is>
          <t>AD2</t>
        </is>
      </c>
      <c r="F357" s="2" t="inlineStr">
        <is>
          <t>¿Ofrece guías, ownership o mecanismos de seguimiento para uso sostenido?</t>
        </is>
      </c>
      <c r="G357" t="n">
        <v>1</v>
      </c>
      <c r="H357" t="inlineStr">
        <is>
          <t>Oficial</t>
        </is>
      </c>
      <c r="I357" s="2" t="inlineStr">
        <is>
          <t>Existen guías oficiales generales de uso, pero la medición formal de adopción/gobernanza (el "FinOps score") corresponde a FinOps hub, evaluado como producto aparte.</t>
        </is>
      </c>
      <c r="J357" t="inlineStr">
        <is>
          <t>https://docs.cloud.google.com/billing/docs/how-to/finops-hub</t>
        </is>
      </c>
      <c r="K357" t="inlineStr">
        <is>
          <t>2026-09-16</t>
        </is>
      </c>
      <c r="L357" s="2" t="inlineStr"/>
    </row>
    <row r="358">
      <c r="A358" t="inlineStr">
        <is>
          <t>E6</t>
        </is>
      </c>
      <c r="B358" t="inlineStr">
        <is>
          <t>Cloud nativa</t>
        </is>
      </c>
      <c r="C358" t="inlineStr">
        <is>
          <t>Google Cloud Billing</t>
        </is>
      </c>
      <c r="D358" t="inlineStr">
        <is>
          <t>Precio</t>
        </is>
      </c>
      <c r="E358" t="inlineStr">
        <is>
          <t>P1</t>
        </is>
      </c>
      <c r="F358" s="2" t="inlineStr">
        <is>
          <t>¿Expone precio, moneda, región, unidad, período y supuestos relevantes?</t>
        </is>
      </c>
      <c r="G358" t="n">
        <v>2</v>
      </c>
      <c r="H358" t="inlineStr">
        <is>
          <t>Oficial</t>
        </is>
      </c>
      <c r="I358" s="2" t="inlineStr">
        <is>
          <t>El export FOCUS y el export detallado exponen campos estandarizados (BilledCost, ListCost, ContractedCost, ServiceName, SkuId, RegionId) con moneda, período y región.</t>
        </is>
      </c>
      <c r="J358" t="inlineStr">
        <is>
          <t>https://docs.cloud.google.com/billing/docs/how-to/export-data-bigquery-tables/focus-export</t>
        </is>
      </c>
      <c r="K358" t="inlineStr">
        <is>
          <t>2026-09-16</t>
        </is>
      </c>
      <c r="L358" s="2" t="inlineStr"/>
    </row>
    <row r="359">
      <c r="A359" t="inlineStr">
        <is>
          <t>E6</t>
        </is>
      </c>
      <c r="B359" t="inlineStr">
        <is>
          <t>Cloud nativa</t>
        </is>
      </c>
      <c r="C359" t="inlineStr">
        <is>
          <t>Google Cloud Billing</t>
        </is>
      </c>
      <c r="D359" t="inlineStr">
        <is>
          <t>Precio</t>
        </is>
      </c>
      <c r="E359" t="inlineStr">
        <is>
          <t>P2</t>
        </is>
      </c>
      <c r="F359" s="2" t="inlineStr">
        <is>
          <t>¿Permite estimar o comparar componentes sin ocultar límites de equivalencia?</t>
        </is>
      </c>
      <c r="G359" t="n">
        <v>1</v>
      </c>
      <c r="H359" t="inlineStr">
        <is>
          <t>Oficial</t>
        </is>
      </c>
      <c r="I359" s="2" t="inlineStr">
        <is>
          <t>Cloud Billing Reports no incluye una calculadora de estimación de componentes previa al despliegue (esa función es de Google Cloud Pricing Calculator, evaluada aparte en E4).</t>
        </is>
      </c>
      <c r="J359" t="inlineStr">
        <is>
          <t>https://docs.cloud.google.com/billing/docs/how-to/reports</t>
        </is>
      </c>
      <c r="K359" t="inlineStr">
        <is>
          <t>2026-09-16</t>
        </is>
      </c>
      <c r="L359" s="2" t="inlineStr">
        <is>
          <t>Celda heredada FP-180 (2026-09-16): el valor 1 proviene de la investigacion del escenario E1 y no cuenta con evidencia propia de E6. Segun FP-177 el indicador P2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360">
      <c r="A360" t="inlineStr">
        <is>
          <t>E6</t>
        </is>
      </c>
      <c r="B360" t="inlineStr">
        <is>
          <t>Cloud nativa</t>
        </is>
      </c>
      <c r="C360" t="inlineStr">
        <is>
          <t>Google Cloud Billing</t>
        </is>
      </c>
      <c r="D360" t="inlineStr">
        <is>
          <t>Dependencia</t>
        </is>
      </c>
      <c r="E360" t="inlineStr">
        <is>
          <t>D1</t>
        </is>
      </c>
      <c r="F360" s="2" t="inlineStr">
        <is>
          <t>¿Exporta datos/resultados en formato utilizable y documentado?</t>
        </is>
      </c>
      <c r="G360" t="n">
        <v>2</v>
      </c>
      <c r="H360" t="inlineStr">
        <is>
          <t>Oficial</t>
        </is>
      </c>
      <c r="I360" s="2" t="inlineStr">
        <is>
          <t>El export estándar y detallado a BigQuery, y el export en esquema FOCUS, entregan datos en formato abierto y consultable con SQL.</t>
        </is>
      </c>
      <c r="J360" t="inlineStr">
        <is>
          <t>https://docs.cloud.google.com/billing/docs/how-to/export-data-bigquery-tables/focus-export</t>
        </is>
      </c>
      <c r="K360" t="inlineStr">
        <is>
          <t>2026-09-16</t>
        </is>
      </c>
      <c r="L360" s="2" t="inlineStr"/>
    </row>
    <row r="361">
      <c r="A361" t="inlineStr">
        <is>
          <t>E6</t>
        </is>
      </c>
      <c r="B361" t="inlineStr">
        <is>
          <t>Cloud nativa</t>
        </is>
      </c>
      <c r="C361" t="inlineStr">
        <is>
          <t>Google Cloud Billing</t>
        </is>
      </c>
      <c r="D361" t="inlineStr">
        <is>
          <t>Dependencia</t>
        </is>
      </c>
      <c r="E361" t="inlineStr">
        <is>
          <t>D2</t>
        </is>
      </c>
      <c r="F361" s="2" t="inlineStr">
        <is>
          <t>¿Documenta dependencias propietarias y un camino de salida/configuración reversible?</t>
        </is>
      </c>
      <c r="G361" t="n">
        <v>1</v>
      </c>
      <c r="H361" t="inlineStr">
        <is>
          <t>Oficial</t>
        </is>
      </c>
      <c r="I361" s="2" t="inlineStr">
        <is>
          <t>No se encontró documentación dedicada sobre un camino de salida o reversibilidad; el riesgo de dependencia se atenúa por el export en formato FOCUS/BigQuery estándar.</t>
        </is>
      </c>
      <c r="J361" t="inlineStr">
        <is>
          <t>https://docs.cloud.google.com/billing/docs/how-to/export-data-bigquery-tables/focus-export</t>
        </is>
      </c>
      <c r="K361" t="inlineStr">
        <is>
          <t>2026-09-16</t>
        </is>
      </c>
      <c r="L361" s="2" t="inlineStr"/>
    </row>
    <row r="362">
      <c r="A362" t="inlineStr">
        <is>
          <t>E1</t>
        </is>
      </c>
      <c r="B362" t="inlineStr">
        <is>
          <t>Cloud nativa</t>
        </is>
      </c>
      <c r="C362" t="inlineStr">
        <is>
          <t>Google Cloud FinOps Hub</t>
        </is>
      </c>
      <c r="D362" t="inlineStr">
        <is>
          <t>Visibilidad</t>
        </is>
      </c>
      <c r="E362" t="inlineStr">
        <is>
          <t>V1</t>
        </is>
      </c>
      <c r="F362" s="2" t="inlineStr">
        <is>
          <t>¿Desagrega costo y uso por cuenta/proyecto, servicio y período?</t>
        </is>
      </c>
      <c r="G362" t="n">
        <v>0</v>
      </c>
      <c r="H362" t="inlineStr">
        <is>
          <t>Oficial (ausencia verificada)</t>
        </is>
      </c>
      <c r="I362" s="2" t="inlineStr">
        <is>
          <t>FinOps hub consolida ahorro y recomendaciones, no un desglose general de costo/uso (esa función es de Cloud Billing Reports).</t>
        </is>
      </c>
      <c r="J362" t="inlineStr">
        <is>
          <t>https://docs.cloud.google.com/billing/docs/how-to/finops-hub</t>
        </is>
      </c>
      <c r="K362" t="inlineStr">
        <is>
          <t>2026-09-16</t>
        </is>
      </c>
      <c r="L36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3">
      <c r="A363" t="inlineStr">
        <is>
          <t>E1</t>
        </is>
      </c>
      <c r="B363" t="inlineStr">
        <is>
          <t>Cloud nativa</t>
        </is>
      </c>
      <c r="C363" t="inlineStr">
        <is>
          <t>Google Cloud FinOps Hub</t>
        </is>
      </c>
      <c r="D363" t="inlineStr">
        <is>
          <t>Visibilidad</t>
        </is>
      </c>
      <c r="E363" t="inlineStr">
        <is>
          <t>V2</t>
        </is>
      </c>
      <c r="F363" s="2" t="inlineStr">
        <is>
          <t>¿Permite rastrear un total hasta registros o fuente de facturación?</t>
        </is>
      </c>
      <c r="G363" t="n">
        <v>0</v>
      </c>
      <c r="H363" t="inlineStr">
        <is>
          <t>Oficial (ausencia verificada)</t>
        </is>
      </c>
      <c r="I363" s="2" t="inlineStr">
        <is>
          <t>Mismo alcance de diseño que V1.</t>
        </is>
      </c>
      <c r="J363" t="inlineStr">
        <is>
          <t>https://docs.cloud.google.com/billing/docs/how-to/finops-hub</t>
        </is>
      </c>
      <c r="K363" t="inlineStr">
        <is>
          <t>2026-09-16</t>
        </is>
      </c>
      <c r="L36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4">
      <c r="A364" t="inlineStr">
        <is>
          <t>E1</t>
        </is>
      </c>
      <c r="B364" t="inlineStr">
        <is>
          <t>Cloud nativa</t>
        </is>
      </c>
      <c r="C364" t="inlineStr">
        <is>
          <t>Google Cloud FinOps Hub</t>
        </is>
      </c>
      <c r="D364" t="inlineStr">
        <is>
          <t>Asignacion</t>
        </is>
      </c>
      <c r="E364" t="inlineStr">
        <is>
          <t>A1</t>
        </is>
      </c>
      <c r="F364" s="2" t="inlineStr">
        <is>
          <t>¿Calcula gasto asignado/no asignado por responsable, centro o entidad?</t>
        </is>
      </c>
      <c r="G364" t="n">
        <v>0</v>
      </c>
      <c r="H364" t="inlineStr">
        <is>
          <t>Oficial (ausencia verificada)</t>
        </is>
      </c>
      <c r="I364" s="2" t="inlineStr">
        <is>
          <t>No calcula asignación de gasto por responsable/centro de costo.</t>
        </is>
      </c>
      <c r="J364" t="inlineStr">
        <is>
          <t>https://docs.cloud.google.com/billing/docs/how-to/finops-hub</t>
        </is>
      </c>
      <c r="K364" t="inlineStr">
        <is>
          <t>2026-09-16</t>
        </is>
      </c>
      <c r="L36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5">
      <c r="A365" t="inlineStr">
        <is>
          <t>E1</t>
        </is>
      </c>
      <c r="B365" t="inlineStr">
        <is>
          <t>Cloud nativa</t>
        </is>
      </c>
      <c r="C365" t="inlineStr">
        <is>
          <t>Google Cloud FinOps Hub</t>
        </is>
      </c>
      <c r="D365" t="inlineStr">
        <is>
          <t>Asignacion</t>
        </is>
      </c>
      <c r="E365" t="inlineStr">
        <is>
          <t>A2</t>
        </is>
      </c>
      <c r="F365" s="2" t="inlineStr">
        <is>
          <t>¿Explicita y aplica reglas para costo compartido/multi-tenant?</t>
        </is>
      </c>
      <c r="G365" t="n">
        <v>0</v>
      </c>
      <c r="H365" t="inlineStr">
        <is>
          <t>Oficial (ausencia verificada)</t>
        </is>
      </c>
      <c r="I365" s="2" t="inlineStr">
        <is>
          <t>No define reglas de reparto de costo compartido.</t>
        </is>
      </c>
      <c r="J365" t="inlineStr">
        <is>
          <t>https://docs.cloud.google.com/billing/docs/how-to/finops-hub</t>
        </is>
      </c>
      <c r="K365" t="inlineStr">
        <is>
          <t>2026-09-16</t>
        </is>
      </c>
      <c r="L36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66">
      <c r="A366" t="inlineStr">
        <is>
          <t>E1</t>
        </is>
      </c>
      <c r="B366" t="inlineStr">
        <is>
          <t>Cloud nativa</t>
        </is>
      </c>
      <c r="C366" t="inlineStr">
        <is>
          <t>Google Cloud FinOps Hub</t>
        </is>
      </c>
      <c r="D366" t="inlineStr">
        <is>
          <t>Optimizacion</t>
        </is>
      </c>
      <c r="E366" t="inlineStr">
        <is>
          <t>O1</t>
        </is>
      </c>
      <c r="F366" s="2" t="inlineStr">
        <is>
          <t>¿Detecta desperdicio, rightsizing o compromiso relevante al escenario?</t>
        </is>
      </c>
      <c r="G366" t="n">
        <v>2</v>
      </c>
      <c r="H366" t="inlineStr">
        <is>
          <t>Oficial</t>
        </is>
      </c>
      <c r="I366" s="2" t="inlineStr">
        <is>
          <t>"Explore new recommended opportunities to optimize costs" agregando recomendaciones de Compute Engine, GKE, Cloud SQL y Cloud Run en cuatro prácticas: recursos inactivos, rightsizing, cambios de configuración y CUDs.</t>
        </is>
      </c>
      <c r="J366" t="inlineStr">
        <is>
          <t>https://docs.cloud.google.com/billing/docs/how-to/finops-hub</t>
        </is>
      </c>
      <c r="K366" t="inlineStr">
        <is>
          <t>2026-09-16</t>
        </is>
      </c>
      <c r="L366" s="2" t="inlineStr"/>
    </row>
    <row r="367">
      <c r="A367" t="inlineStr">
        <is>
          <t>E1</t>
        </is>
      </c>
      <c r="B367" t="inlineStr">
        <is>
          <t>Cloud nativa</t>
        </is>
      </c>
      <c r="C367" t="inlineStr">
        <is>
          <t>Google Cloud FinOps Hub</t>
        </is>
      </c>
      <c r="D367" t="inlineStr">
        <is>
          <t>Optimizacion</t>
        </is>
      </c>
      <c r="E367" t="inlineStr">
        <is>
          <t>O2</t>
        </is>
      </c>
      <c r="F367" s="2" t="inlineStr">
        <is>
          <t>¿Explica supuesto/impacto y permite seguir una recomendación?</t>
        </is>
      </c>
      <c r="G367" t="n">
        <v>2</v>
      </c>
      <c r="H367" t="inlineStr">
        <is>
          <t>Oficial</t>
        </is>
      </c>
      <c r="I367" s="2" t="inlineStr">
        <is>
          <t>El panel muestra "Last month's realized savings" y "Potential savings per month", permitiendo comparar ahorro potencial vs. realizado a lo largo del tiempo.</t>
        </is>
      </c>
      <c r="J367" t="inlineStr">
        <is>
          <t>https://docs.cloud.google.com/billing/docs/how-to/finops-hub</t>
        </is>
      </c>
      <c r="K367" t="inlineStr">
        <is>
          <t>2026-09-16</t>
        </is>
      </c>
      <c r="L367" s="2" t="inlineStr"/>
    </row>
    <row r="368">
      <c r="A368" t="inlineStr">
        <is>
          <t>E1</t>
        </is>
      </c>
      <c r="B368" t="inlineStr">
        <is>
          <t>Cloud nativa</t>
        </is>
      </c>
      <c r="C368" t="inlineStr">
        <is>
          <t>Google Cloud FinOps Hub</t>
        </is>
      </c>
      <c r="D368" t="inlineStr">
        <is>
          <t>Automatizacion</t>
        </is>
      </c>
      <c r="E368" t="inlineStr">
        <is>
          <t>AU1</t>
        </is>
      </c>
      <c r="F368" s="2" t="inlineStr">
        <is>
          <t>¿Ejecuta o bloquea acciones/políticas de costo con control verificable?</t>
        </is>
      </c>
      <c r="G368" t="n">
        <v>1</v>
      </c>
      <c r="H368" t="inlineStr">
        <is>
          <t>Oficial</t>
        </is>
      </c>
      <c r="I368" s="2" t="inlineStr">
        <is>
          <t>Existe una guía oficial para "Review and apply FinOps hub Recommendations": el usuario revisa y aplica manualmente cada recomendación desde el panel; no se documenta ejecución autónoma sin intervención.</t>
        </is>
      </c>
      <c r="J368" t="inlineStr">
        <is>
          <t>https://docs.cloud.google.com/billing/docs/how-to/finops-recommendations-dashboard</t>
        </is>
      </c>
      <c r="K368" t="inlineStr">
        <is>
          <t>2026-09-16</t>
        </is>
      </c>
      <c r="L368" s="2" t="inlineStr"/>
    </row>
    <row r="369">
      <c r="A369" t="inlineStr">
        <is>
          <t>E1</t>
        </is>
      </c>
      <c r="B369" t="inlineStr">
        <is>
          <t>Cloud nativa</t>
        </is>
      </c>
      <c r="C369" t="inlineStr">
        <is>
          <t>Google Cloud FinOps Hub</t>
        </is>
      </c>
      <c r="D369" t="inlineStr">
        <is>
          <t>Automatizacion</t>
        </is>
      </c>
      <c r="E369" t="inlineStr">
        <is>
          <t>AU2</t>
        </is>
      </c>
      <c r="F369" s="2" t="inlineStr">
        <is>
          <t>¿Ofrece aprobación, reversión, registro o límites antes de actuar?</t>
        </is>
      </c>
      <c r="G369" t="inlineStr">
        <is>
          <t>NE</t>
        </is>
      </c>
      <c r="H369" t="inlineStr">
        <is>
          <t>Pendiente</t>
        </is>
      </c>
      <c r="I369" s="2" t="inlineStr">
        <is>
          <t>La naturaleza de "revisar y aplicar" ya exige acción manual del usuario (cubierto en AU1); no se documenta una salvaguarda adicional distinta.</t>
        </is>
      </c>
      <c r="J369" t="inlineStr">
        <is>
          <t>https://docs.cloud.google.com/billing/docs/how-to/finops-recommendations-dashboard</t>
        </is>
      </c>
      <c r="K369" t="inlineStr">
        <is>
          <t>2026-09-16</t>
        </is>
      </c>
      <c r="L36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370">
      <c r="A370" t="inlineStr">
        <is>
          <t>E1</t>
        </is>
      </c>
      <c r="B370" t="inlineStr">
        <is>
          <t>Cloud nativa</t>
        </is>
      </c>
      <c r="C370" t="inlineStr">
        <is>
          <t>Google Cloud FinOps Hub</t>
        </is>
      </c>
      <c r="D370" t="inlineStr">
        <is>
          <t>Multicloud</t>
        </is>
      </c>
      <c r="E370" t="inlineStr">
        <is>
          <t>M1</t>
        </is>
      </c>
      <c r="F370" s="2" t="inlineStr">
        <is>
          <t>¿Consolida al menos dos proveedores bajo el mismo esquema declarado?</t>
        </is>
      </c>
      <c r="G370" t="n">
        <v>0</v>
      </c>
      <c r="H370" t="inlineStr">
        <is>
          <t>Oficial (ausencia verificada)</t>
        </is>
      </c>
      <c r="I370" s="2" t="inlineStr">
        <is>
          <t>Cubre exclusivamente recomendaciones sobre recursos de Google Cloud.</t>
        </is>
      </c>
      <c r="J370" t="inlineStr">
        <is>
          <t>https://docs.cloud.google.com/billing/docs/how-to/finops-hub</t>
        </is>
      </c>
      <c r="K370" t="inlineStr">
        <is>
          <t>2026-09-16</t>
        </is>
      </c>
      <c r="L37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1">
      <c r="A371" t="inlineStr">
        <is>
          <t>E1</t>
        </is>
      </c>
      <c r="B371" t="inlineStr">
        <is>
          <t>Cloud nativa</t>
        </is>
      </c>
      <c r="C371" t="inlineStr">
        <is>
          <t>Google Cloud FinOps Hub</t>
        </is>
      </c>
      <c r="D371" t="inlineStr">
        <is>
          <t>Multicloud</t>
        </is>
      </c>
      <c r="E371" t="inlineStr">
        <is>
          <t>M2</t>
        </is>
      </c>
      <c r="F371" s="2" t="inlineStr">
        <is>
          <t>¿Hace visibles proveedor, cobertura y diferencias semánticas?</t>
        </is>
      </c>
      <c r="G371" t="n">
        <v>0</v>
      </c>
      <c r="H371" t="inlineStr">
        <is>
          <t>Oficial (ausencia verificada)</t>
        </is>
      </c>
      <c r="I371" s="2" t="inlineStr">
        <is>
          <t>Mismo alcance de diseño que M1.</t>
        </is>
      </c>
      <c r="J371" t="inlineStr">
        <is>
          <t>https://docs.cloud.google.com/billing/docs/how-to/finops-hub</t>
        </is>
      </c>
      <c r="K371" t="inlineStr">
        <is>
          <t>2026-09-16</t>
        </is>
      </c>
      <c r="L37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2">
      <c r="A372" t="inlineStr">
        <is>
          <t>E1</t>
        </is>
      </c>
      <c r="B372" t="inlineStr">
        <is>
          <t>Cloud nativa</t>
        </is>
      </c>
      <c r="C372" t="inlineStr">
        <is>
          <t>Google Cloud FinOps Hub</t>
        </is>
      </c>
      <c r="D372" t="inlineStr">
        <is>
          <t>Integracion</t>
        </is>
      </c>
      <c r="E372" t="inlineStr">
        <is>
          <t>I1</t>
        </is>
      </c>
      <c r="F372" s="2" t="inlineStr">
        <is>
          <t>¿Integra datos requeridos (facturación, uso, clúster o IaC) del escenario?</t>
        </is>
      </c>
      <c r="G372" t="n">
        <v>2</v>
      </c>
      <c r="H372" t="inlineStr">
        <is>
          <t>Oficial</t>
        </is>
      </c>
      <c r="I372" s="2" t="inlineStr">
        <is>
          <t>Agrega datos de múltiples recomendadores de servicios de Google Cloud (Compute Engine, GKE, Cloud SQL, Cloud Run) en un panel único.</t>
        </is>
      </c>
      <c r="J372" t="inlineStr">
        <is>
          <t>https://docs.cloud.google.com/billing/docs/how-to/finops-hub</t>
        </is>
      </c>
      <c r="K372" t="inlineStr">
        <is>
          <t>2026-09-16</t>
        </is>
      </c>
      <c r="L372" s="2" t="inlineStr"/>
    </row>
    <row r="373">
      <c r="A373" t="inlineStr">
        <is>
          <t>E1</t>
        </is>
      </c>
      <c r="B373" t="inlineStr">
        <is>
          <t>Cloud nativa</t>
        </is>
      </c>
      <c r="C373" t="inlineStr">
        <is>
          <t>Google Cloud FinOps Hub</t>
        </is>
      </c>
      <c r="D373" t="inlineStr">
        <is>
          <t>Integracion</t>
        </is>
      </c>
      <c r="E373" t="inlineStr">
        <is>
          <t>I2</t>
        </is>
      </c>
      <c r="F373" s="2" t="inlineStr">
        <is>
          <t>¿Se integra con el flujo de trabajo relevante (alerta, ticket, CI/CD o reporte)?</t>
        </is>
      </c>
      <c r="G373" t="n">
        <v>1</v>
      </c>
      <c r="H373" t="inlineStr">
        <is>
          <t>Oficial</t>
        </is>
      </c>
      <c r="I373" s="2" t="inlineStr">
        <is>
          <t>El panel concentra el flujo de revisión dentro de la consola de Google Cloud; no se documentó integración directa con ticketing/CI-CD externos.</t>
        </is>
      </c>
      <c r="J373" t="inlineStr">
        <is>
          <t>https://docs.cloud.google.com/billing/docs/how-to/finops-hub</t>
        </is>
      </c>
      <c r="K373" t="inlineStr">
        <is>
          <t>2026-09-16</t>
        </is>
      </c>
      <c r="L373" s="2" t="inlineStr"/>
    </row>
    <row r="374">
      <c r="A374" t="inlineStr">
        <is>
          <t>E1</t>
        </is>
      </c>
      <c r="B374" t="inlineStr">
        <is>
          <t>Cloud nativa</t>
        </is>
      </c>
      <c r="C374" t="inlineStr">
        <is>
          <t>Google Cloud FinOps Hub</t>
        </is>
      </c>
      <c r="D374" t="inlineStr">
        <is>
          <t>Adopcion</t>
        </is>
      </c>
      <c r="E374" t="inlineStr">
        <is>
          <t>AD1</t>
        </is>
      </c>
      <c r="F374" s="2" t="inlineStr">
        <is>
          <t>¿Soporta acceso/entrega para los roles del escenario?</t>
        </is>
      </c>
      <c r="G374" t="n">
        <v>1</v>
      </c>
      <c r="H374" t="inlineStr">
        <is>
          <t>Oficial</t>
        </is>
      </c>
      <c r="I374" s="2" t="inlineStr">
        <is>
          <t>El acceso está condicionado a contar con permisos completos de la cuenta de facturación ("solo disponible con permisos de cuenta de facturación completos"), un control más binario que los roles graduales de Cloud Billing.</t>
        </is>
      </c>
      <c r="J374" t="inlineStr">
        <is>
          <t>https://docs.cloud.google.com/billing/docs/how-to/finops-hub</t>
        </is>
      </c>
      <c r="K374" t="inlineStr">
        <is>
          <t>2026-09-16</t>
        </is>
      </c>
      <c r="L374" s="2" t="inlineStr"/>
    </row>
    <row r="375">
      <c r="A375" t="inlineStr">
        <is>
          <t>E1</t>
        </is>
      </c>
      <c r="B375" t="inlineStr">
        <is>
          <t>Cloud nativa</t>
        </is>
      </c>
      <c r="C375" t="inlineStr">
        <is>
          <t>Google Cloud FinOps Hub</t>
        </is>
      </c>
      <c r="D375" t="inlineStr">
        <is>
          <t>Adopcion</t>
        </is>
      </c>
      <c r="E375" t="inlineStr">
        <is>
          <t>AD2</t>
        </is>
      </c>
      <c r="F375" s="2" t="inlineStr">
        <is>
          <t>¿Ofrece guías, ownership o mecanismos de seguimiento para uso sostenido?</t>
        </is>
      </c>
      <c r="G375" t="n">
        <v>2</v>
      </c>
      <c r="H375" t="inlineStr">
        <is>
          <t>Oficial (candidato a 3 si se corrobora con una segunda fuente independiente o verificación práctica)</t>
        </is>
      </c>
      <c r="I375" s="2" t="inlineStr">
        <is>
          <t>El "FinOps score" mide explícitamente qué tan bien la organización usa las herramientas de monitoreo/ahorro de Google Cloud (etiquetado, automatización, compra de CUDs), acercándose a una medición integrada de adopción.</t>
        </is>
      </c>
      <c r="J375" t="inlineStr">
        <is>
          <t>https://docs.cloud.google.com/billing/docs/how-to/finops-hub</t>
        </is>
      </c>
      <c r="K375" t="inlineStr">
        <is>
          <t>2026-09-16</t>
        </is>
      </c>
      <c r="L375" s="2" t="inlineStr"/>
    </row>
    <row r="376">
      <c r="A376" t="inlineStr">
        <is>
          <t>E1</t>
        </is>
      </c>
      <c r="B376" t="inlineStr">
        <is>
          <t>Cloud nativa</t>
        </is>
      </c>
      <c r="C376" t="inlineStr">
        <is>
          <t>Google Cloud FinOps Hub</t>
        </is>
      </c>
      <c r="D376" t="inlineStr">
        <is>
          <t>Precio</t>
        </is>
      </c>
      <c r="E376" t="inlineStr">
        <is>
          <t>P1</t>
        </is>
      </c>
      <c r="F376" s="2" t="inlineStr">
        <is>
          <t>¿Expone precio, moneda, región, unidad, período y supuestos relevantes?</t>
        </is>
      </c>
      <c r="G376" t="n">
        <v>0</v>
      </c>
      <c r="H376" t="inlineStr">
        <is>
          <t>Oficial (ausencia verificada)</t>
        </is>
      </c>
      <c r="I376" s="2" t="inlineStr">
        <is>
          <t>No es una herramienta de transparencia de precio general (esa función es de Cloud Billing Reports/export).</t>
        </is>
      </c>
      <c r="J376" t="inlineStr">
        <is>
          <t>https://docs.cloud.google.com/billing/docs/how-to/finops-hub</t>
        </is>
      </c>
      <c r="K376" t="inlineStr">
        <is>
          <t>2026-09-16</t>
        </is>
      </c>
      <c r="L37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7">
      <c r="A377" t="inlineStr">
        <is>
          <t>E1</t>
        </is>
      </c>
      <c r="B377" t="inlineStr">
        <is>
          <t>Cloud nativa</t>
        </is>
      </c>
      <c r="C377" t="inlineStr">
        <is>
          <t>Google Cloud FinOps Hub</t>
        </is>
      </c>
      <c r="D377" t="inlineStr">
        <is>
          <t>Precio</t>
        </is>
      </c>
      <c r="E377" t="inlineStr">
        <is>
          <t>P2</t>
        </is>
      </c>
      <c r="F377" s="2" t="inlineStr">
        <is>
          <t>¿Permite estimar o comparar componentes sin ocultar límites de equivalencia?</t>
        </is>
      </c>
      <c r="G377" t="n">
        <v>0</v>
      </c>
      <c r="H377" t="inlineStr">
        <is>
          <t>Oficial (ausencia verificada)</t>
        </is>
      </c>
      <c r="I377" s="2" t="inlineStr">
        <is>
          <t>No es una calculadora de estimación de componentes (esa función es de Google Cloud Pricing Calculator, evaluada aparte en E4).</t>
        </is>
      </c>
      <c r="J377" t="inlineStr">
        <is>
          <t>https://docs.cloud.google.com/billing/docs/how-to/finops-hub</t>
        </is>
      </c>
      <c r="K377" t="inlineStr">
        <is>
          <t>2026-09-16</t>
        </is>
      </c>
      <c r="L37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78">
      <c r="A378" t="inlineStr">
        <is>
          <t>E1</t>
        </is>
      </c>
      <c r="B378" t="inlineStr">
        <is>
          <t>Cloud nativa</t>
        </is>
      </c>
      <c r="C378" t="inlineStr">
        <is>
          <t>Google Cloud FinOps Hub</t>
        </is>
      </c>
      <c r="D378" t="inlineStr">
        <is>
          <t>Dependencia</t>
        </is>
      </c>
      <c r="E378" t="inlineStr">
        <is>
          <t>D1</t>
        </is>
      </c>
      <c r="F378" s="2" t="inlineStr">
        <is>
          <t>¿Exporta datos/resultados en formato utilizable y documentado?</t>
        </is>
      </c>
      <c r="G378" t="inlineStr">
        <is>
          <t>NE</t>
        </is>
      </c>
      <c r="H378" t="inlineStr">
        <is>
          <t>Pendiente</t>
        </is>
      </c>
      <c r="I378" s="2" t="inlineStr">
        <is>
          <t>No es la fuente primaria de exportación de datos de costo/uso (esa función es del export de Cloud Billing, evaluada aparte); simplificación de alcance para evitar doble conteo.</t>
        </is>
      </c>
      <c r="J378" t="inlineStr">
        <is>
          <t>https://docs.cloud.google.com/billing/docs/how-to/finops-hub</t>
        </is>
      </c>
      <c r="K378" t="inlineStr">
        <is>
          <t>2026-09-16</t>
        </is>
      </c>
      <c r="L378"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79">
      <c r="A379" t="inlineStr">
        <is>
          <t>E1</t>
        </is>
      </c>
      <c r="B379" t="inlineStr">
        <is>
          <t>Cloud nativa</t>
        </is>
      </c>
      <c r="C379" t="inlineStr">
        <is>
          <t>Google Cloud FinOps Hub</t>
        </is>
      </c>
      <c r="D379" t="inlineStr">
        <is>
          <t>Dependencia</t>
        </is>
      </c>
      <c r="E379" t="inlineStr">
        <is>
          <t>D2</t>
        </is>
      </c>
      <c r="F379" s="2" t="inlineStr">
        <is>
          <t>¿Documenta dependencias propietarias y un camino de salida/configuración reversible?</t>
        </is>
      </c>
      <c r="G379" t="inlineStr">
        <is>
          <t>NE</t>
        </is>
      </c>
      <c r="H379" t="inlineStr">
        <is>
          <t>Pendiente</t>
        </is>
      </c>
      <c r="I379" s="2" t="inlineStr">
        <is>
          <t>Mismo alcance de diseño que D1.</t>
        </is>
      </c>
      <c r="J379" t="inlineStr">
        <is>
          <t>https://docs.cloud.google.com/billing/docs/how-to/finops-hub</t>
        </is>
      </c>
      <c r="K379" t="inlineStr">
        <is>
          <t>2026-09-16</t>
        </is>
      </c>
      <c r="L379"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80">
      <c r="A380" t="inlineStr">
        <is>
          <t>E2</t>
        </is>
      </c>
      <c r="B380" t="inlineStr">
        <is>
          <t>Cloud nativa</t>
        </is>
      </c>
      <c r="C380" t="inlineStr">
        <is>
          <t>Google Cloud FinOps Hub</t>
        </is>
      </c>
      <c r="D380" t="inlineStr">
        <is>
          <t>Visibilidad</t>
        </is>
      </c>
      <c r="E380" t="inlineStr">
        <is>
          <t>V1</t>
        </is>
      </c>
      <c r="F380" s="2" t="inlineStr">
        <is>
          <t>¿Desagrega costo y uso por cuenta/proyecto, servicio y período?</t>
        </is>
      </c>
      <c r="G380" t="inlineStr">
        <is>
          <t>NE</t>
        </is>
      </c>
      <c r="H380" t="inlineStr">
        <is>
          <t>Pendiente</t>
        </is>
      </c>
      <c r="I380" s="2" t="inlineStr">
        <is>
          <t>FinOps hub consolida ahorro y recomendaciones, no un desglose general de costo/uso (esa función es de Cloud Billing Reports).</t>
        </is>
      </c>
      <c r="J380" t="inlineStr">
        <is>
          <t>https://docs.cloud.google.com/billing/docs/how-to/finops-hub</t>
        </is>
      </c>
      <c r="K380" t="inlineStr">
        <is>
          <t>2026-09-16</t>
        </is>
      </c>
      <c r="L38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V1 depende del escenario, por lo que pasa a NE (no evidenciado, reduce cobertura) hasta investigarlo. La evidencia y la fuente originales se conservan como referencia del escenario de origen.</t>
        </is>
      </c>
    </row>
    <row r="381">
      <c r="A381" t="inlineStr">
        <is>
          <t>E2</t>
        </is>
      </c>
      <c r="B381" t="inlineStr">
        <is>
          <t>Cloud nativa</t>
        </is>
      </c>
      <c r="C381" t="inlineStr">
        <is>
          <t>Google Cloud FinOps Hub</t>
        </is>
      </c>
      <c r="D381" t="inlineStr">
        <is>
          <t>Visibilidad</t>
        </is>
      </c>
      <c r="E381" t="inlineStr">
        <is>
          <t>V2</t>
        </is>
      </c>
      <c r="F381" s="2" t="inlineStr">
        <is>
          <t>¿Permite rastrear un total hasta registros o fuente de facturación?</t>
        </is>
      </c>
      <c r="G381" t="n">
        <v>0</v>
      </c>
      <c r="H381" t="inlineStr">
        <is>
          <t>Oficial (ausencia verificada)</t>
        </is>
      </c>
      <c r="I381" s="2" t="inlineStr">
        <is>
          <t>Mismo alcance de diseño que V1.</t>
        </is>
      </c>
      <c r="J381" t="inlineStr">
        <is>
          <t>https://docs.cloud.google.com/billing/docs/how-to/finops-hub</t>
        </is>
      </c>
      <c r="K381" t="inlineStr">
        <is>
          <t>2026-09-16</t>
        </is>
      </c>
      <c r="L38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82">
      <c r="A382" t="inlineStr">
        <is>
          <t>E2</t>
        </is>
      </c>
      <c r="B382" t="inlineStr">
        <is>
          <t>Cloud nativa</t>
        </is>
      </c>
      <c r="C382" t="inlineStr">
        <is>
          <t>Google Cloud FinOps Hub</t>
        </is>
      </c>
      <c r="D382" t="inlineStr">
        <is>
          <t>Asignacion</t>
        </is>
      </c>
      <c r="E382" t="inlineStr">
        <is>
          <t>A1</t>
        </is>
      </c>
      <c r="F382" s="2" t="inlineStr">
        <is>
          <t>¿Calcula gasto asignado/no asignado por responsable, centro o entidad?</t>
        </is>
      </c>
      <c r="G382" t="inlineStr">
        <is>
          <t>NE</t>
        </is>
      </c>
      <c r="H382" t="inlineStr">
        <is>
          <t>Pendiente</t>
        </is>
      </c>
      <c r="I382" s="2" t="inlineStr">
        <is>
          <t>No calcula asignación de gasto por responsable/centro de costo.</t>
        </is>
      </c>
      <c r="J382" t="inlineStr">
        <is>
          <t>https://docs.cloud.google.com/billing/docs/how-to/finops-hub</t>
        </is>
      </c>
      <c r="K382" t="inlineStr">
        <is>
          <t>2026-09-16</t>
        </is>
      </c>
      <c r="L38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A1 depende del escenario, por lo que pasa a NE (no evidenciado, reduce cobertura) hasta investigarlo. La evidencia y la fuente originales se conservan como referencia del escenario de origen.</t>
        </is>
      </c>
    </row>
    <row r="383">
      <c r="A383" t="inlineStr">
        <is>
          <t>E2</t>
        </is>
      </c>
      <c r="B383" t="inlineStr">
        <is>
          <t>Cloud nativa</t>
        </is>
      </c>
      <c r="C383" t="inlineStr">
        <is>
          <t>Google Cloud FinOps Hub</t>
        </is>
      </c>
      <c r="D383" t="inlineStr">
        <is>
          <t>Asignacion</t>
        </is>
      </c>
      <c r="E383" t="inlineStr">
        <is>
          <t>A2</t>
        </is>
      </c>
      <c r="F383" s="2" t="inlineStr">
        <is>
          <t>¿Explicita y aplica reglas para costo compartido/multi-tenant?</t>
        </is>
      </c>
      <c r="G383" t="inlineStr">
        <is>
          <t>NE</t>
        </is>
      </c>
      <c r="H383" t="inlineStr">
        <is>
          <t>Pendiente</t>
        </is>
      </c>
      <c r="I383" s="2" t="inlineStr">
        <is>
          <t>No define reglas de reparto de costo compartido.</t>
        </is>
      </c>
      <c r="J383" t="inlineStr">
        <is>
          <t>https://docs.cloud.google.com/billing/docs/how-to/finops-hub</t>
        </is>
      </c>
      <c r="K383" t="inlineStr">
        <is>
          <t>2026-09-16</t>
        </is>
      </c>
      <c r="L38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A2 depende del escenario, por lo que pasa a NE (no evidenciado, reduce cobertura) hasta investigarlo. La evidencia y la fuente originales se conservan como referencia del escenario de origen.</t>
        </is>
      </c>
    </row>
    <row r="384">
      <c r="A384" t="inlineStr">
        <is>
          <t>E2</t>
        </is>
      </c>
      <c r="B384" t="inlineStr">
        <is>
          <t>Cloud nativa</t>
        </is>
      </c>
      <c r="C384" t="inlineStr">
        <is>
          <t>Google Cloud FinOps Hub</t>
        </is>
      </c>
      <c r="D384" t="inlineStr">
        <is>
          <t>Optimizacion</t>
        </is>
      </c>
      <c r="E384" t="inlineStr">
        <is>
          <t>O1</t>
        </is>
      </c>
      <c r="F384" s="2" t="inlineStr">
        <is>
          <t>¿Detecta desperdicio, rightsizing o compromiso relevante al escenario?</t>
        </is>
      </c>
      <c r="G384" t="inlineStr">
        <is>
          <t>NE</t>
        </is>
      </c>
      <c r="H384" t="inlineStr">
        <is>
          <t>Pendiente</t>
        </is>
      </c>
      <c r="I384" s="2" t="inlineStr">
        <is>
          <t>"Explore new recommended opportunities to optimize costs" agregando recomendaciones de Compute Engine, GKE, Cloud SQL y Cloud Run en cuatro prácticas: recursos inactivos, rightsizing, cambios de configuración y CUDs.</t>
        </is>
      </c>
      <c r="J384" t="inlineStr">
        <is>
          <t>https://docs.cloud.google.com/billing/docs/how-to/finops-hub</t>
        </is>
      </c>
      <c r="K384" t="inlineStr">
        <is>
          <t>2026-09-16</t>
        </is>
      </c>
      <c r="L384" s="2" t="inlineStr">
        <is>
          <t>Celda heredada FP-180 (2026-09-16): el valor 2 proviene de la investigacion del escenario E1 y no cuenta con evidencia propia de E2. Segun FP-177 el indicador O1 depende del escenario, por lo que pasa a NE (no evidenciado, reduce cobertura) hasta investigarlo. La evidencia y la fuente originales se conservan como referencia del escenario de origen.</t>
        </is>
      </c>
    </row>
    <row r="385">
      <c r="A385" t="inlineStr">
        <is>
          <t>E2</t>
        </is>
      </c>
      <c r="B385" t="inlineStr">
        <is>
          <t>Cloud nativa</t>
        </is>
      </c>
      <c r="C385" t="inlineStr">
        <is>
          <t>Google Cloud FinOps Hub</t>
        </is>
      </c>
      <c r="D385" t="inlineStr">
        <is>
          <t>Optimizacion</t>
        </is>
      </c>
      <c r="E385" t="inlineStr">
        <is>
          <t>O2</t>
        </is>
      </c>
      <c r="F385" s="2" t="inlineStr">
        <is>
          <t>¿Explica supuesto/impacto y permite seguir una recomendación?</t>
        </is>
      </c>
      <c r="G385" t="n">
        <v>2</v>
      </c>
      <c r="H385" t="inlineStr">
        <is>
          <t>Oficial</t>
        </is>
      </c>
      <c r="I385" s="2" t="inlineStr">
        <is>
          <t>El panel muestra "Last month's realized savings" y "Potential savings per month", permitiendo comparar ahorro potencial vs. realizado a lo largo del tiempo.</t>
        </is>
      </c>
      <c r="J385" t="inlineStr">
        <is>
          <t>https://docs.cloud.google.com/billing/docs/how-to/finops-hub</t>
        </is>
      </c>
      <c r="K385" t="inlineStr">
        <is>
          <t>2026-09-16</t>
        </is>
      </c>
      <c r="L385" s="2" t="inlineStr"/>
    </row>
    <row r="386">
      <c r="A386" t="inlineStr">
        <is>
          <t>E2</t>
        </is>
      </c>
      <c r="B386" t="inlineStr">
        <is>
          <t>Cloud nativa</t>
        </is>
      </c>
      <c r="C386" t="inlineStr">
        <is>
          <t>Google Cloud FinOps Hub</t>
        </is>
      </c>
      <c r="D386" t="inlineStr">
        <is>
          <t>Automatizacion</t>
        </is>
      </c>
      <c r="E386" t="inlineStr">
        <is>
          <t>AU1</t>
        </is>
      </c>
      <c r="F386" s="2" t="inlineStr">
        <is>
          <t>¿Ejecuta o bloquea acciones/políticas de costo con control verificable?</t>
        </is>
      </c>
      <c r="G386" t="inlineStr">
        <is>
          <t>NE</t>
        </is>
      </c>
      <c r="H386" t="inlineStr">
        <is>
          <t>Pendiente</t>
        </is>
      </c>
      <c r="I386" s="2" t="inlineStr">
        <is>
          <t>Existe una guía oficial para "Review and apply FinOps hub Recommendations": el usuario revisa y aplica manualmente cada recomendación desde el panel; no se documenta ejecución autónoma sin intervención.</t>
        </is>
      </c>
      <c r="J386" t="inlineStr">
        <is>
          <t>https://docs.cloud.google.com/billing/docs/how-to/finops-recommendations-dashboard</t>
        </is>
      </c>
      <c r="K386" t="inlineStr">
        <is>
          <t>2026-09-16</t>
        </is>
      </c>
      <c r="L386" s="2" t="inlineStr">
        <is>
          <t>Celda heredada FP-180 (2026-09-16): el valor 1 proviene de la investigacion del escenario E1 y no cuenta con evidencia propia de E2. Segun FP-177 el indicador AU1 depende del escenario, por lo que pasa a NE (no evidenciado, reduce cobertura) hasta investigarlo. La evidencia y la fuente originales se conservan como referencia del escenario de origen.</t>
        </is>
      </c>
    </row>
    <row r="387">
      <c r="A387" t="inlineStr">
        <is>
          <t>E2</t>
        </is>
      </c>
      <c r="B387" t="inlineStr">
        <is>
          <t>Cloud nativa</t>
        </is>
      </c>
      <c r="C387" t="inlineStr">
        <is>
          <t>Google Cloud FinOps Hub</t>
        </is>
      </c>
      <c r="D387" t="inlineStr">
        <is>
          <t>Automatizacion</t>
        </is>
      </c>
      <c r="E387" t="inlineStr">
        <is>
          <t>AU2</t>
        </is>
      </c>
      <c r="F387" s="2" t="inlineStr">
        <is>
          <t>¿Ofrece aprobación, reversión, registro o límites antes de actuar?</t>
        </is>
      </c>
      <c r="G387" t="inlineStr">
        <is>
          <t>NE</t>
        </is>
      </c>
      <c r="H387" t="inlineStr">
        <is>
          <t>Pendiente</t>
        </is>
      </c>
      <c r="I387" s="2" t="inlineStr">
        <is>
          <t>La naturaleza de "revisar y aplicar" ya exige acción manual del usuario (cubierto en AU1); no se documenta una salvaguarda adicional distinta.</t>
        </is>
      </c>
      <c r="J387" t="inlineStr">
        <is>
          <t>https://docs.cloud.google.com/billing/docs/how-to/finops-recommendations-dashboard</t>
        </is>
      </c>
      <c r="K387" t="inlineStr">
        <is>
          <t>2026-09-16</t>
        </is>
      </c>
      <c r="L387"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388">
      <c r="A388" t="inlineStr">
        <is>
          <t>E2</t>
        </is>
      </c>
      <c r="B388" t="inlineStr">
        <is>
          <t>Cloud nativa</t>
        </is>
      </c>
      <c r="C388" t="inlineStr">
        <is>
          <t>Google Cloud FinOps Hub</t>
        </is>
      </c>
      <c r="D388" t="inlineStr">
        <is>
          <t>Multicloud</t>
        </is>
      </c>
      <c r="E388" t="inlineStr">
        <is>
          <t>M1</t>
        </is>
      </c>
      <c r="F388" s="2" t="inlineStr">
        <is>
          <t>¿Consolida al menos dos proveedores bajo el mismo esquema declarado?</t>
        </is>
      </c>
      <c r="G388" t="inlineStr">
        <is>
          <t>NA</t>
        </is>
      </c>
      <c r="H388" t="inlineStr">
        <is>
          <t>Justificacion de alcance</t>
        </is>
      </c>
      <c r="I388" s="2"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388" t="inlineStr">
        <is>
          <t>https://docs.cloud.google.com/billing/docs/how-to/finops-hub</t>
        </is>
      </c>
      <c r="K388" t="inlineStr">
        <is>
          <t>2026-09-16</t>
        </is>
      </c>
      <c r="L38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389">
      <c r="A389" t="inlineStr">
        <is>
          <t>E2</t>
        </is>
      </c>
      <c r="B389" t="inlineStr">
        <is>
          <t>Cloud nativa</t>
        </is>
      </c>
      <c r="C389" t="inlineStr">
        <is>
          <t>Google Cloud FinOps Hub</t>
        </is>
      </c>
      <c r="D389" t="inlineStr">
        <is>
          <t>Multicloud</t>
        </is>
      </c>
      <c r="E389" t="inlineStr">
        <is>
          <t>M2</t>
        </is>
      </c>
      <c r="F389" s="2" t="inlineStr">
        <is>
          <t>¿Hace visibles proveedor, cobertura y diferencias semánticas?</t>
        </is>
      </c>
      <c r="G389" t="inlineStr">
        <is>
          <t>NA</t>
        </is>
      </c>
      <c r="H389" t="inlineStr">
        <is>
          <t>Justificacion de alcance</t>
        </is>
      </c>
      <c r="I389" s="2"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389" t="inlineStr">
        <is>
          <t>https://docs.cloud.google.com/billing/docs/how-to/finops-hub</t>
        </is>
      </c>
      <c r="K389" t="inlineStr">
        <is>
          <t>2026-09-16</t>
        </is>
      </c>
      <c r="L38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390">
      <c r="A390" t="inlineStr">
        <is>
          <t>E2</t>
        </is>
      </c>
      <c r="B390" t="inlineStr">
        <is>
          <t>Cloud nativa</t>
        </is>
      </c>
      <c r="C390" t="inlineStr">
        <is>
          <t>Google Cloud FinOps Hub</t>
        </is>
      </c>
      <c r="D390" t="inlineStr">
        <is>
          <t>Integracion</t>
        </is>
      </c>
      <c r="E390" t="inlineStr">
        <is>
          <t>I1</t>
        </is>
      </c>
      <c r="F390" s="2" t="inlineStr">
        <is>
          <t>¿Integra datos requeridos (facturación, uso, clúster o IaC) del escenario?</t>
        </is>
      </c>
      <c r="G390" t="inlineStr">
        <is>
          <t>NE</t>
        </is>
      </c>
      <c r="H390" t="inlineStr">
        <is>
          <t>Pendiente</t>
        </is>
      </c>
      <c r="I390" s="2" t="inlineStr">
        <is>
          <t>Agrega datos de múltiples recomendadores de servicios de Google Cloud (Compute Engine, GKE, Cloud SQL, Cloud Run) en un panel único.</t>
        </is>
      </c>
      <c r="J390" t="inlineStr">
        <is>
          <t>https://docs.cloud.google.com/billing/docs/how-to/finops-hub</t>
        </is>
      </c>
      <c r="K390" t="inlineStr">
        <is>
          <t>2026-09-16</t>
        </is>
      </c>
      <c r="L390" s="2" t="inlineStr">
        <is>
          <t>Celda heredada FP-180 (2026-09-16): el valor 2 proviene de la investigacion del escenario E1 y no cuenta con evidencia propia de E2. Segun FP-177 el indicador I1 depende del escenario, por lo que pasa a NE (no evidenciado, reduce cobertura) hasta investigarlo. La evidencia y la fuente originales se conservan como referencia del escenario de origen.</t>
        </is>
      </c>
    </row>
    <row r="391">
      <c r="A391" t="inlineStr">
        <is>
          <t>E2</t>
        </is>
      </c>
      <c r="B391" t="inlineStr">
        <is>
          <t>Cloud nativa</t>
        </is>
      </c>
      <c r="C391" t="inlineStr">
        <is>
          <t>Google Cloud FinOps Hub</t>
        </is>
      </c>
      <c r="D391" t="inlineStr">
        <is>
          <t>Integracion</t>
        </is>
      </c>
      <c r="E391" t="inlineStr">
        <is>
          <t>I2</t>
        </is>
      </c>
      <c r="F391" s="2" t="inlineStr">
        <is>
          <t>¿Se integra con el flujo de trabajo relevante (alerta, ticket, CI/CD o reporte)?</t>
        </is>
      </c>
      <c r="G391" t="inlineStr">
        <is>
          <t>NE</t>
        </is>
      </c>
      <c r="H391" t="inlineStr">
        <is>
          <t>Pendiente</t>
        </is>
      </c>
      <c r="I391" s="2" t="inlineStr">
        <is>
          <t>El panel concentra el flujo de revisión dentro de la consola de Google Cloud; no se documentó integración directa con ticketing/CI-CD externos.</t>
        </is>
      </c>
      <c r="J391" t="inlineStr">
        <is>
          <t>https://docs.cloud.google.com/billing/docs/how-to/finops-hub</t>
        </is>
      </c>
      <c r="K391" t="inlineStr">
        <is>
          <t>2026-09-16</t>
        </is>
      </c>
      <c r="L391" s="2" t="inlineStr">
        <is>
          <t>Celda heredada FP-180 (2026-09-16): el valor 1 proviene de la investigacion del escenario E1 y no cuenta con evidencia propia de E2. Segun FP-177 el indicador I2 depende del escenario, por lo que pasa a NE (no evidenciado, reduce cobertura) hasta investigarlo. La evidencia y la fuente originales se conservan como referencia del escenario de origen.</t>
        </is>
      </c>
    </row>
    <row r="392">
      <c r="A392" t="inlineStr">
        <is>
          <t>E2</t>
        </is>
      </c>
      <c r="B392" t="inlineStr">
        <is>
          <t>Cloud nativa</t>
        </is>
      </c>
      <c r="C392" t="inlineStr">
        <is>
          <t>Google Cloud FinOps Hub</t>
        </is>
      </c>
      <c r="D392" t="inlineStr">
        <is>
          <t>Adopcion</t>
        </is>
      </c>
      <c r="E392" t="inlineStr">
        <is>
          <t>AD1</t>
        </is>
      </c>
      <c r="F392" s="2" t="inlineStr">
        <is>
          <t>¿Soporta acceso/entrega para los roles del escenario?</t>
        </is>
      </c>
      <c r="G392" t="inlineStr">
        <is>
          <t>NE</t>
        </is>
      </c>
      <c r="H392" t="inlineStr">
        <is>
          <t>Pendiente</t>
        </is>
      </c>
      <c r="I392" s="2" t="inlineStr">
        <is>
          <t>El acceso está condicionado a contar con permisos completos de la cuenta de facturación ("solo disponible con permisos de cuenta de facturación completos"), un control más binario que los roles graduales de Cloud Billing.</t>
        </is>
      </c>
      <c r="J392" t="inlineStr">
        <is>
          <t>https://docs.cloud.google.com/billing/docs/how-to/finops-hub</t>
        </is>
      </c>
      <c r="K392" t="inlineStr">
        <is>
          <t>2026-09-16</t>
        </is>
      </c>
      <c r="L392" s="2" t="inlineStr">
        <is>
          <t>Celda heredada FP-180 (2026-09-16): el valor 1 proviene de la investigacion del escenario E1 y no cuenta con evidencia propia de E2. Segun FP-177 el indicador AD1 depende del escenario, por lo que pasa a NE (no evidenciado, reduce cobertura) hasta investigarlo. La evidencia y la fuente originales se conservan como referencia del escenario de origen.</t>
        </is>
      </c>
    </row>
    <row r="393">
      <c r="A393" t="inlineStr">
        <is>
          <t>E2</t>
        </is>
      </c>
      <c r="B393" t="inlineStr">
        <is>
          <t>Cloud nativa</t>
        </is>
      </c>
      <c r="C393" t="inlineStr">
        <is>
          <t>Google Cloud FinOps Hub</t>
        </is>
      </c>
      <c r="D393" t="inlineStr">
        <is>
          <t>Adopcion</t>
        </is>
      </c>
      <c r="E393" t="inlineStr">
        <is>
          <t>AD2</t>
        </is>
      </c>
      <c r="F393" s="2" t="inlineStr">
        <is>
          <t>¿Ofrece guías, ownership o mecanismos de seguimiento para uso sostenido?</t>
        </is>
      </c>
      <c r="G393" t="n">
        <v>2</v>
      </c>
      <c r="H393" t="inlineStr">
        <is>
          <t>Oficial (candidato a 3 si se corrobora con una segunda fuente independiente o verificación práctica)</t>
        </is>
      </c>
      <c r="I393" s="2" t="inlineStr">
        <is>
          <t>El "FinOps score" mide explícitamente qué tan bien la organización usa las herramientas de monitoreo/ahorro de Google Cloud (etiquetado, automatización, compra de CUDs), acercándose a una medición integrada de adopción.</t>
        </is>
      </c>
      <c r="J393" t="inlineStr">
        <is>
          <t>https://docs.cloud.google.com/billing/docs/how-to/finops-hub</t>
        </is>
      </c>
      <c r="K393" t="inlineStr">
        <is>
          <t>2026-09-16</t>
        </is>
      </c>
      <c r="L393" s="2" t="inlineStr"/>
    </row>
    <row r="394">
      <c r="A394" t="inlineStr">
        <is>
          <t>E2</t>
        </is>
      </c>
      <c r="B394" t="inlineStr">
        <is>
          <t>Cloud nativa</t>
        </is>
      </c>
      <c r="C394" t="inlineStr">
        <is>
          <t>Google Cloud FinOps Hub</t>
        </is>
      </c>
      <c r="D394" t="inlineStr">
        <is>
          <t>Precio</t>
        </is>
      </c>
      <c r="E394" t="inlineStr">
        <is>
          <t>P1</t>
        </is>
      </c>
      <c r="F394" s="2" t="inlineStr">
        <is>
          <t>¿Expone precio, moneda, región, unidad, período y supuestos relevantes?</t>
        </is>
      </c>
      <c r="G394" t="n">
        <v>0</v>
      </c>
      <c r="H394" t="inlineStr">
        <is>
          <t>Oficial (ausencia verificada)</t>
        </is>
      </c>
      <c r="I394" s="2" t="inlineStr">
        <is>
          <t>No es una herramienta de transparencia de precio general (esa función es de Cloud Billing Reports/export).</t>
        </is>
      </c>
      <c r="J394" t="inlineStr">
        <is>
          <t>https://docs.cloud.google.com/billing/docs/how-to/finops-hub</t>
        </is>
      </c>
      <c r="K394" t="inlineStr">
        <is>
          <t>2026-09-16</t>
        </is>
      </c>
      <c r="L39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395">
      <c r="A395" t="inlineStr">
        <is>
          <t>E2</t>
        </is>
      </c>
      <c r="B395" t="inlineStr">
        <is>
          <t>Cloud nativa</t>
        </is>
      </c>
      <c r="C395" t="inlineStr">
        <is>
          <t>Google Cloud FinOps Hub</t>
        </is>
      </c>
      <c r="D395" t="inlineStr">
        <is>
          <t>Precio</t>
        </is>
      </c>
      <c r="E395" t="inlineStr">
        <is>
          <t>P2</t>
        </is>
      </c>
      <c r="F395" s="2" t="inlineStr">
        <is>
          <t>¿Permite estimar o comparar componentes sin ocultar límites de equivalencia?</t>
        </is>
      </c>
      <c r="G395" t="inlineStr">
        <is>
          <t>NE</t>
        </is>
      </c>
      <c r="H395" t="inlineStr">
        <is>
          <t>Pendiente</t>
        </is>
      </c>
      <c r="I395" s="2" t="inlineStr">
        <is>
          <t>No es una calculadora de estimación de componentes (esa función es de Google Cloud Pricing Calculator, evaluada aparte en E4).</t>
        </is>
      </c>
      <c r="J395" t="inlineStr">
        <is>
          <t>https://docs.cloud.google.com/billing/docs/how-to/finops-hub</t>
        </is>
      </c>
      <c r="K395" t="inlineStr">
        <is>
          <t>2026-09-16</t>
        </is>
      </c>
      <c r="L39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E2. Segun FP-177 el indicador P2 depende del escenario, por lo que pasa a NE (no evidenciado, reduce cobertura) hasta investigarlo. La evidencia y la fuente originales se conservan como referencia del escenario de origen.</t>
        </is>
      </c>
    </row>
    <row r="396">
      <c r="A396" t="inlineStr">
        <is>
          <t>E2</t>
        </is>
      </c>
      <c r="B396" t="inlineStr">
        <is>
          <t>Cloud nativa</t>
        </is>
      </c>
      <c r="C396" t="inlineStr">
        <is>
          <t>Google Cloud FinOps Hub</t>
        </is>
      </c>
      <c r="D396" t="inlineStr">
        <is>
          <t>Dependencia</t>
        </is>
      </c>
      <c r="E396" t="inlineStr">
        <is>
          <t>D1</t>
        </is>
      </c>
      <c r="F396" s="2" t="inlineStr">
        <is>
          <t>¿Exporta datos/resultados en formato utilizable y documentado?</t>
        </is>
      </c>
      <c r="G396" t="inlineStr">
        <is>
          <t>NE</t>
        </is>
      </c>
      <c r="H396" t="inlineStr">
        <is>
          <t>Pendiente</t>
        </is>
      </c>
      <c r="I396" s="2" t="inlineStr">
        <is>
          <t>No es la fuente primaria de exportación de datos de costo/uso (esa función es del export de Cloud Billing, evaluada aparte); simplificación de alcance para evitar doble conteo.</t>
        </is>
      </c>
      <c r="J396" t="inlineStr">
        <is>
          <t>https://docs.cloud.google.com/billing/docs/how-to/finops-hub</t>
        </is>
      </c>
      <c r="K396" t="inlineStr">
        <is>
          <t>2026-09-16</t>
        </is>
      </c>
      <c r="L396"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97">
      <c r="A397" t="inlineStr">
        <is>
          <t>E2</t>
        </is>
      </c>
      <c r="B397" t="inlineStr">
        <is>
          <t>Cloud nativa</t>
        </is>
      </c>
      <c r="C397" t="inlineStr">
        <is>
          <t>Google Cloud FinOps Hub</t>
        </is>
      </c>
      <c r="D397" t="inlineStr">
        <is>
          <t>Dependencia</t>
        </is>
      </c>
      <c r="E397" t="inlineStr">
        <is>
          <t>D2</t>
        </is>
      </c>
      <c r="F397" s="2" t="inlineStr">
        <is>
          <t>¿Documenta dependencias propietarias y un camino de salida/configuración reversible?</t>
        </is>
      </c>
      <c r="G397" t="inlineStr">
        <is>
          <t>NE</t>
        </is>
      </c>
      <c r="H397" t="inlineStr">
        <is>
          <t>Pendiente</t>
        </is>
      </c>
      <c r="I397" s="2" t="inlineStr">
        <is>
          <t>Mismo alcance de diseño que D1.</t>
        </is>
      </c>
      <c r="J397" t="inlineStr">
        <is>
          <t>https://docs.cloud.google.com/billing/docs/how-to/finops-hub</t>
        </is>
      </c>
      <c r="K397" t="inlineStr">
        <is>
          <t>2026-09-16</t>
        </is>
      </c>
      <c r="L397"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398">
      <c r="A398" t="inlineStr">
        <is>
          <t>E3</t>
        </is>
      </c>
      <c r="B398" t="inlineStr">
        <is>
          <t>Cloud nativa</t>
        </is>
      </c>
      <c r="C398" t="inlineStr">
        <is>
          <t>Google Cloud FinOps Hub</t>
        </is>
      </c>
      <c r="D398" t="inlineStr">
        <is>
          <t>Visibilidad</t>
        </is>
      </c>
      <c r="E398" t="inlineStr">
        <is>
          <t>V1</t>
        </is>
      </c>
      <c r="F398" s="2" t="inlineStr">
        <is>
          <t>¿Desagrega costo y uso por cuenta/proyecto, servicio y período?</t>
        </is>
      </c>
      <c r="G398" t="inlineStr">
        <is>
          <t>NE</t>
        </is>
      </c>
      <c r="H398" t="inlineStr">
        <is>
          <t>Pendiente</t>
        </is>
      </c>
      <c r="I398" s="2" t="inlineStr">
        <is>
          <t>FinOps hub consolida ahorro y recomendaciones, no un desglose general de costo/uso (esa función es de Cloud Billing Reports).</t>
        </is>
      </c>
      <c r="J398" t="inlineStr">
        <is>
          <t>https://docs.cloud.google.com/billing/docs/how-to/finops-hub</t>
        </is>
      </c>
      <c r="K398" t="inlineStr">
        <is>
          <t>2026-09-16</t>
        </is>
      </c>
      <c r="L39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V1 depende del escenario, por lo que pasa a NE (no evidenciado, reduce cobertura) hasta investigarlo. La evidencia y la fuente originales se conservan como referencia del escenario de origen.</t>
        </is>
      </c>
    </row>
    <row r="399">
      <c r="A399" t="inlineStr">
        <is>
          <t>E3</t>
        </is>
      </c>
      <c r="B399" t="inlineStr">
        <is>
          <t>Cloud nativa</t>
        </is>
      </c>
      <c r="C399" t="inlineStr">
        <is>
          <t>Google Cloud FinOps Hub</t>
        </is>
      </c>
      <c r="D399" t="inlineStr">
        <is>
          <t>Visibilidad</t>
        </is>
      </c>
      <c r="E399" t="inlineStr">
        <is>
          <t>V2</t>
        </is>
      </c>
      <c r="F399" s="2" t="inlineStr">
        <is>
          <t>¿Permite rastrear un total hasta registros o fuente de facturación?</t>
        </is>
      </c>
      <c r="G399" t="n">
        <v>0</v>
      </c>
      <c r="H399" t="inlineStr">
        <is>
          <t>Oficial (ausencia verificada)</t>
        </is>
      </c>
      <c r="I399" s="2" t="inlineStr">
        <is>
          <t>Mismo alcance de diseño que V1.</t>
        </is>
      </c>
      <c r="J399" t="inlineStr">
        <is>
          <t>https://docs.cloud.google.com/billing/docs/how-to/finops-hub</t>
        </is>
      </c>
      <c r="K399" t="inlineStr">
        <is>
          <t>2026-09-16</t>
        </is>
      </c>
      <c r="L39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00">
      <c r="A400" t="inlineStr">
        <is>
          <t>E3</t>
        </is>
      </c>
      <c r="B400" t="inlineStr">
        <is>
          <t>Cloud nativa</t>
        </is>
      </c>
      <c r="C400" t="inlineStr">
        <is>
          <t>Google Cloud FinOps Hub</t>
        </is>
      </c>
      <c r="D400" t="inlineStr">
        <is>
          <t>Asignacion</t>
        </is>
      </c>
      <c r="E400" t="inlineStr">
        <is>
          <t>A1</t>
        </is>
      </c>
      <c r="F400" s="2" t="inlineStr">
        <is>
          <t>¿Calcula gasto asignado/no asignado por responsable, centro o entidad?</t>
        </is>
      </c>
      <c r="G400" t="inlineStr">
        <is>
          <t>NE</t>
        </is>
      </c>
      <c r="H400" t="inlineStr">
        <is>
          <t>Pendiente</t>
        </is>
      </c>
      <c r="I400" s="2" t="inlineStr">
        <is>
          <t>No calcula asignación de gasto por responsable/centro de costo.</t>
        </is>
      </c>
      <c r="J400" t="inlineStr">
        <is>
          <t>https://docs.cloud.google.com/billing/docs/how-to/finops-hub</t>
        </is>
      </c>
      <c r="K400" t="inlineStr">
        <is>
          <t>2026-09-16</t>
        </is>
      </c>
      <c r="L40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A1 depende del escenario, por lo que pasa a NE (no evidenciado, reduce cobertura) hasta investigarlo. La evidencia y la fuente originales se conservan como referencia del escenario de origen.</t>
        </is>
      </c>
    </row>
    <row r="401">
      <c r="A401" t="inlineStr">
        <is>
          <t>E3</t>
        </is>
      </c>
      <c r="B401" t="inlineStr">
        <is>
          <t>Cloud nativa</t>
        </is>
      </c>
      <c r="C401" t="inlineStr">
        <is>
          <t>Google Cloud FinOps Hub</t>
        </is>
      </c>
      <c r="D401" t="inlineStr">
        <is>
          <t>Asignacion</t>
        </is>
      </c>
      <c r="E401" t="inlineStr">
        <is>
          <t>A2</t>
        </is>
      </c>
      <c r="F401" s="2" t="inlineStr">
        <is>
          <t>¿Explicita y aplica reglas para costo compartido/multi-tenant?</t>
        </is>
      </c>
      <c r="G401" t="inlineStr">
        <is>
          <t>NE</t>
        </is>
      </c>
      <c r="H401" t="inlineStr">
        <is>
          <t>Pendiente</t>
        </is>
      </c>
      <c r="I401" s="2" t="inlineStr">
        <is>
          <t>No define reglas de reparto de costo compartido.</t>
        </is>
      </c>
      <c r="J401" t="inlineStr">
        <is>
          <t>https://docs.cloud.google.com/billing/docs/how-to/finops-hub</t>
        </is>
      </c>
      <c r="K401" t="inlineStr">
        <is>
          <t>2026-09-16</t>
        </is>
      </c>
      <c r="L40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A2 depende del escenario, por lo que pasa a NE (no evidenciado, reduce cobertura) hasta investigarlo. La evidencia y la fuente originales se conservan como referencia del escenario de origen.</t>
        </is>
      </c>
    </row>
    <row r="402">
      <c r="A402" t="inlineStr">
        <is>
          <t>E3</t>
        </is>
      </c>
      <c r="B402" t="inlineStr">
        <is>
          <t>Cloud nativa</t>
        </is>
      </c>
      <c r="C402" t="inlineStr">
        <is>
          <t>Google Cloud FinOps Hub</t>
        </is>
      </c>
      <c r="D402" t="inlineStr">
        <is>
          <t>Optimizacion</t>
        </is>
      </c>
      <c r="E402" t="inlineStr">
        <is>
          <t>O1</t>
        </is>
      </c>
      <c r="F402" s="2" t="inlineStr">
        <is>
          <t>¿Detecta desperdicio, rightsizing o compromiso relevante al escenario?</t>
        </is>
      </c>
      <c r="G402" t="inlineStr">
        <is>
          <t>NE</t>
        </is>
      </c>
      <c r="H402" t="inlineStr">
        <is>
          <t>Pendiente</t>
        </is>
      </c>
      <c r="I402" s="2" t="inlineStr">
        <is>
          <t>"Explore new recommended opportunities to optimize costs" agregando recomendaciones de Compute Engine, GKE, Cloud SQL y Cloud Run en cuatro prácticas: recursos inactivos, rightsizing, cambios de configuración y CUDs.</t>
        </is>
      </c>
      <c r="J402" t="inlineStr">
        <is>
          <t>https://docs.cloud.google.com/billing/docs/how-to/finops-hub</t>
        </is>
      </c>
      <c r="K402" t="inlineStr">
        <is>
          <t>2026-09-16</t>
        </is>
      </c>
      <c r="L402" s="2" t="inlineStr">
        <is>
          <t>Celda heredada FP-180 (2026-09-16): el valor 2 proviene de la investigacion del escenario E1 y no cuenta con evidencia propia de E3. Segun FP-177 el indicador O1 depende del escenario, por lo que pasa a NE (no evidenciado, reduce cobertura) hasta investigarlo. La evidencia y la fuente originales se conservan como referencia del escenario de origen.</t>
        </is>
      </c>
    </row>
    <row r="403">
      <c r="A403" t="inlineStr">
        <is>
          <t>E3</t>
        </is>
      </c>
      <c r="B403" t="inlineStr">
        <is>
          <t>Cloud nativa</t>
        </is>
      </c>
      <c r="C403" t="inlineStr">
        <is>
          <t>Google Cloud FinOps Hub</t>
        </is>
      </c>
      <c r="D403" t="inlineStr">
        <is>
          <t>Optimizacion</t>
        </is>
      </c>
      <c r="E403" t="inlineStr">
        <is>
          <t>O2</t>
        </is>
      </c>
      <c r="F403" s="2" t="inlineStr">
        <is>
          <t>¿Explica supuesto/impacto y permite seguir una recomendación?</t>
        </is>
      </c>
      <c r="G403" t="n">
        <v>2</v>
      </c>
      <c r="H403" t="inlineStr">
        <is>
          <t>Oficial</t>
        </is>
      </c>
      <c r="I403" s="2" t="inlineStr">
        <is>
          <t>El panel muestra "Last month's realized savings" y "Potential savings per month", permitiendo comparar ahorro potencial vs. realizado a lo largo del tiempo.</t>
        </is>
      </c>
      <c r="J403" t="inlineStr">
        <is>
          <t>https://docs.cloud.google.com/billing/docs/how-to/finops-hub</t>
        </is>
      </c>
      <c r="K403" t="inlineStr">
        <is>
          <t>2026-09-16</t>
        </is>
      </c>
      <c r="L403" s="2" t="inlineStr"/>
    </row>
    <row r="404">
      <c r="A404" t="inlineStr">
        <is>
          <t>E3</t>
        </is>
      </c>
      <c r="B404" t="inlineStr">
        <is>
          <t>Cloud nativa</t>
        </is>
      </c>
      <c r="C404" t="inlineStr">
        <is>
          <t>Google Cloud FinOps Hub</t>
        </is>
      </c>
      <c r="D404" t="inlineStr">
        <is>
          <t>Automatizacion</t>
        </is>
      </c>
      <c r="E404" t="inlineStr">
        <is>
          <t>AU1</t>
        </is>
      </c>
      <c r="F404" s="2" t="inlineStr">
        <is>
          <t>¿Ejecuta o bloquea acciones/políticas de costo con control verificable?</t>
        </is>
      </c>
      <c r="G404" t="inlineStr">
        <is>
          <t>NE</t>
        </is>
      </c>
      <c r="H404" t="inlineStr">
        <is>
          <t>Pendiente</t>
        </is>
      </c>
      <c r="I404" s="2" t="inlineStr">
        <is>
          <t>Existe una guía oficial para "Review and apply FinOps hub Recommendations": el usuario revisa y aplica manualmente cada recomendación desde el panel; no se documenta ejecución autónoma sin intervención.</t>
        </is>
      </c>
      <c r="J404" t="inlineStr">
        <is>
          <t>https://docs.cloud.google.com/billing/docs/how-to/finops-recommendations-dashboard</t>
        </is>
      </c>
      <c r="K404" t="inlineStr">
        <is>
          <t>2026-09-16</t>
        </is>
      </c>
      <c r="L404" s="2" t="inlineStr">
        <is>
          <t>Celda heredada FP-180 (2026-09-16): el valor 1 proviene de la investigacion del escenario E1 y no cuenta con evidencia propia de E3. Segun FP-177 el indicador AU1 depende del escenario, por lo que pasa a NE (no evidenciado, reduce cobertura) hasta investigarlo. La evidencia y la fuente originales se conservan como referencia del escenario de origen.</t>
        </is>
      </c>
    </row>
    <row r="405">
      <c r="A405" t="inlineStr">
        <is>
          <t>E3</t>
        </is>
      </c>
      <c r="B405" t="inlineStr">
        <is>
          <t>Cloud nativa</t>
        </is>
      </c>
      <c r="C405" t="inlineStr">
        <is>
          <t>Google Cloud FinOps Hub</t>
        </is>
      </c>
      <c r="D405" t="inlineStr">
        <is>
          <t>Automatizacion</t>
        </is>
      </c>
      <c r="E405" t="inlineStr">
        <is>
          <t>AU2</t>
        </is>
      </c>
      <c r="F405" s="2" t="inlineStr">
        <is>
          <t>¿Ofrece aprobación, reversión, registro o límites antes de actuar?</t>
        </is>
      </c>
      <c r="G405" t="inlineStr">
        <is>
          <t>NE</t>
        </is>
      </c>
      <c r="H405" t="inlineStr">
        <is>
          <t>Pendiente</t>
        </is>
      </c>
      <c r="I405" s="2" t="inlineStr">
        <is>
          <t>La naturaleza de "revisar y aplicar" ya exige acción manual del usuario (cubierto en AU1); no se documenta una salvaguarda adicional distinta.</t>
        </is>
      </c>
      <c r="J405" t="inlineStr">
        <is>
          <t>https://docs.cloud.google.com/billing/docs/how-to/finops-recommendations-dashboard</t>
        </is>
      </c>
      <c r="K405" t="inlineStr">
        <is>
          <t>2026-09-16</t>
        </is>
      </c>
      <c r="L405"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406">
      <c r="A406" t="inlineStr">
        <is>
          <t>E3</t>
        </is>
      </c>
      <c r="B406" t="inlineStr">
        <is>
          <t>Cloud nativa</t>
        </is>
      </c>
      <c r="C406" t="inlineStr">
        <is>
          <t>Google Cloud FinOps Hub</t>
        </is>
      </c>
      <c r="D406" t="inlineStr">
        <is>
          <t>Multicloud</t>
        </is>
      </c>
      <c r="E406" t="inlineStr">
        <is>
          <t>M1</t>
        </is>
      </c>
      <c r="F406" s="2" t="inlineStr">
        <is>
          <t>¿Consolida al menos dos proveedores bajo el mismo esquema declarado?</t>
        </is>
      </c>
      <c r="G406" t="n">
        <v>0</v>
      </c>
      <c r="H406" t="inlineStr">
        <is>
          <t>Oficial (ausencia verificada)</t>
        </is>
      </c>
      <c r="I406" s="2" t="inlineStr">
        <is>
          <t>Cubre exclusivamente recomendaciones sobre recursos de Google Cloud.</t>
        </is>
      </c>
      <c r="J406" t="inlineStr">
        <is>
          <t>https://docs.cloud.google.com/billing/docs/how-to/finops-hub</t>
        </is>
      </c>
      <c r="K406" t="inlineStr">
        <is>
          <t>2026-09-16</t>
        </is>
      </c>
      <c r="L40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07">
      <c r="A407" t="inlineStr">
        <is>
          <t>E3</t>
        </is>
      </c>
      <c r="B407" t="inlineStr">
        <is>
          <t>Cloud nativa</t>
        </is>
      </c>
      <c r="C407" t="inlineStr">
        <is>
          <t>Google Cloud FinOps Hub</t>
        </is>
      </c>
      <c r="D407" t="inlineStr">
        <is>
          <t>Multicloud</t>
        </is>
      </c>
      <c r="E407" t="inlineStr">
        <is>
          <t>M2</t>
        </is>
      </c>
      <c r="F407" s="2" t="inlineStr">
        <is>
          <t>¿Hace visibles proveedor, cobertura y diferencias semánticas?</t>
        </is>
      </c>
      <c r="G407" t="n">
        <v>0</v>
      </c>
      <c r="H407" t="inlineStr">
        <is>
          <t>Oficial (ausencia verificada)</t>
        </is>
      </c>
      <c r="I407" s="2" t="inlineStr">
        <is>
          <t>Mismo alcance de diseño que M1.</t>
        </is>
      </c>
      <c r="J407" t="inlineStr">
        <is>
          <t>https://docs.cloud.google.com/billing/docs/how-to/finops-hub</t>
        </is>
      </c>
      <c r="K407" t="inlineStr">
        <is>
          <t>2026-09-16</t>
        </is>
      </c>
      <c r="L40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08">
      <c r="A408" t="inlineStr">
        <is>
          <t>E3</t>
        </is>
      </c>
      <c r="B408" t="inlineStr">
        <is>
          <t>Cloud nativa</t>
        </is>
      </c>
      <c r="C408" t="inlineStr">
        <is>
          <t>Google Cloud FinOps Hub</t>
        </is>
      </c>
      <c r="D408" t="inlineStr">
        <is>
          <t>Integracion</t>
        </is>
      </c>
      <c r="E408" t="inlineStr">
        <is>
          <t>I1</t>
        </is>
      </c>
      <c r="F408" s="2" t="inlineStr">
        <is>
          <t>¿Integra datos requeridos (facturación, uso, clúster o IaC) del escenario?</t>
        </is>
      </c>
      <c r="G408" t="inlineStr">
        <is>
          <t>NE</t>
        </is>
      </c>
      <c r="H408" t="inlineStr">
        <is>
          <t>Pendiente</t>
        </is>
      </c>
      <c r="I408" s="2" t="inlineStr">
        <is>
          <t>Agrega datos de múltiples recomendadores de servicios de Google Cloud (Compute Engine, GKE, Cloud SQL, Cloud Run) en un panel único.</t>
        </is>
      </c>
      <c r="J408" t="inlineStr">
        <is>
          <t>https://docs.cloud.google.com/billing/docs/how-to/finops-hub</t>
        </is>
      </c>
      <c r="K408" t="inlineStr">
        <is>
          <t>2026-09-16</t>
        </is>
      </c>
      <c r="L408" s="2" t="inlineStr">
        <is>
          <t>Celda heredada FP-180 (2026-09-16): el valor 2 proviene de la investigacion del escenario E1 y no cuenta con evidencia propia de E3. Segun FP-177 el indicador I1 depende del escenario, por lo que pasa a NE (no evidenciado, reduce cobertura) hasta investigarlo. La evidencia y la fuente originales se conservan como referencia del escenario de origen.</t>
        </is>
      </c>
    </row>
    <row r="409">
      <c r="A409" t="inlineStr">
        <is>
          <t>E3</t>
        </is>
      </c>
      <c r="B409" t="inlineStr">
        <is>
          <t>Cloud nativa</t>
        </is>
      </c>
      <c r="C409" t="inlineStr">
        <is>
          <t>Google Cloud FinOps Hub</t>
        </is>
      </c>
      <c r="D409" t="inlineStr">
        <is>
          <t>Integracion</t>
        </is>
      </c>
      <c r="E409" t="inlineStr">
        <is>
          <t>I2</t>
        </is>
      </c>
      <c r="F409" s="2" t="inlineStr">
        <is>
          <t>¿Se integra con el flujo de trabajo relevante (alerta, ticket, CI/CD o reporte)?</t>
        </is>
      </c>
      <c r="G409" t="inlineStr">
        <is>
          <t>NE</t>
        </is>
      </c>
      <c r="H409" t="inlineStr">
        <is>
          <t>Pendiente</t>
        </is>
      </c>
      <c r="I409" s="2" t="inlineStr">
        <is>
          <t>El panel concentra el flujo de revisión dentro de la consola de Google Cloud; no se documentó integración directa con ticketing/CI-CD externos.</t>
        </is>
      </c>
      <c r="J409" t="inlineStr">
        <is>
          <t>https://docs.cloud.google.com/billing/docs/how-to/finops-hub</t>
        </is>
      </c>
      <c r="K409" t="inlineStr">
        <is>
          <t>2026-09-16</t>
        </is>
      </c>
      <c r="L409" s="2" t="inlineStr">
        <is>
          <t>Celda heredada FP-180 (2026-09-16): el valor 1 proviene de la investigacion del escenario E1 y no cuenta con evidencia propia de E3. Segun FP-177 el indicador I2 depende del escenario, por lo que pasa a NE (no evidenciado, reduce cobertura) hasta investigarlo. La evidencia y la fuente originales se conservan como referencia del escenario de origen.</t>
        </is>
      </c>
    </row>
    <row r="410">
      <c r="A410" t="inlineStr">
        <is>
          <t>E3</t>
        </is>
      </c>
      <c r="B410" t="inlineStr">
        <is>
          <t>Cloud nativa</t>
        </is>
      </c>
      <c r="C410" t="inlineStr">
        <is>
          <t>Google Cloud FinOps Hub</t>
        </is>
      </c>
      <c r="D410" t="inlineStr">
        <is>
          <t>Adopcion</t>
        </is>
      </c>
      <c r="E410" t="inlineStr">
        <is>
          <t>AD1</t>
        </is>
      </c>
      <c r="F410" s="2" t="inlineStr">
        <is>
          <t>¿Soporta acceso/entrega para los roles del escenario?</t>
        </is>
      </c>
      <c r="G410" t="inlineStr">
        <is>
          <t>NE</t>
        </is>
      </c>
      <c r="H410" t="inlineStr">
        <is>
          <t>Pendiente</t>
        </is>
      </c>
      <c r="I410" s="2" t="inlineStr">
        <is>
          <t>El acceso está condicionado a contar con permisos completos de la cuenta de facturación ("solo disponible con permisos de cuenta de facturación completos"), un control más binario que los roles graduales de Cloud Billing.</t>
        </is>
      </c>
      <c r="J410" t="inlineStr">
        <is>
          <t>https://docs.cloud.google.com/billing/docs/how-to/finops-hub</t>
        </is>
      </c>
      <c r="K410" t="inlineStr">
        <is>
          <t>2026-09-16</t>
        </is>
      </c>
      <c r="L410" s="2" t="inlineStr">
        <is>
          <t>Celda heredada FP-180 (2026-09-16): el valor 1 proviene de la investigacion del escenario E1 y no cuenta con evidencia propia de E3. Segun FP-177 el indicador AD1 depende del escenario, por lo que pasa a NE (no evidenciado, reduce cobertura) hasta investigarlo. La evidencia y la fuente originales se conservan como referencia del escenario de origen.</t>
        </is>
      </c>
    </row>
    <row r="411">
      <c r="A411" t="inlineStr">
        <is>
          <t>E3</t>
        </is>
      </c>
      <c r="B411" t="inlineStr">
        <is>
          <t>Cloud nativa</t>
        </is>
      </c>
      <c r="C411" t="inlineStr">
        <is>
          <t>Google Cloud FinOps Hub</t>
        </is>
      </c>
      <c r="D411" t="inlineStr">
        <is>
          <t>Adopcion</t>
        </is>
      </c>
      <c r="E411" t="inlineStr">
        <is>
          <t>AD2</t>
        </is>
      </c>
      <c r="F411" s="2" t="inlineStr">
        <is>
          <t>¿Ofrece guías, ownership o mecanismos de seguimiento para uso sostenido?</t>
        </is>
      </c>
      <c r="G411" t="n">
        <v>2</v>
      </c>
      <c r="H411" t="inlineStr">
        <is>
          <t>Oficial (candidato a 3 si se corrobora con una segunda fuente independiente o verificación práctica)</t>
        </is>
      </c>
      <c r="I411" s="2" t="inlineStr">
        <is>
          <t>El "FinOps score" mide explícitamente qué tan bien la organización usa las herramientas de monitoreo/ahorro de Google Cloud (etiquetado, automatización, compra de CUDs), acercándose a una medición integrada de adopción.</t>
        </is>
      </c>
      <c r="J411" t="inlineStr">
        <is>
          <t>https://docs.cloud.google.com/billing/docs/how-to/finops-hub</t>
        </is>
      </c>
      <c r="K411" t="inlineStr">
        <is>
          <t>2026-09-16</t>
        </is>
      </c>
      <c r="L411" s="2" t="inlineStr"/>
    </row>
    <row r="412">
      <c r="A412" t="inlineStr">
        <is>
          <t>E3</t>
        </is>
      </c>
      <c r="B412" t="inlineStr">
        <is>
          <t>Cloud nativa</t>
        </is>
      </c>
      <c r="C412" t="inlineStr">
        <is>
          <t>Google Cloud FinOps Hub</t>
        </is>
      </c>
      <c r="D412" t="inlineStr">
        <is>
          <t>Precio</t>
        </is>
      </c>
      <c r="E412" t="inlineStr">
        <is>
          <t>P1</t>
        </is>
      </c>
      <c r="F412" s="2" t="inlineStr">
        <is>
          <t>¿Expone precio, moneda, región, unidad, período y supuestos relevantes?</t>
        </is>
      </c>
      <c r="G412" t="n">
        <v>0</v>
      </c>
      <c r="H412" t="inlineStr">
        <is>
          <t>Oficial (ausencia verificada)</t>
        </is>
      </c>
      <c r="I412" s="2" t="inlineStr">
        <is>
          <t>No es una herramienta de transparencia de precio general (esa función es de Cloud Billing Reports/export).</t>
        </is>
      </c>
      <c r="J412" t="inlineStr">
        <is>
          <t>https://docs.cloud.google.com/billing/docs/how-to/finops-hub</t>
        </is>
      </c>
      <c r="K412" t="inlineStr">
        <is>
          <t>2026-09-16</t>
        </is>
      </c>
      <c r="L41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13">
      <c r="A413" t="inlineStr">
        <is>
          <t>E3</t>
        </is>
      </c>
      <c r="B413" t="inlineStr">
        <is>
          <t>Cloud nativa</t>
        </is>
      </c>
      <c r="C413" t="inlineStr">
        <is>
          <t>Google Cloud FinOps Hub</t>
        </is>
      </c>
      <c r="D413" t="inlineStr">
        <is>
          <t>Precio</t>
        </is>
      </c>
      <c r="E413" t="inlineStr">
        <is>
          <t>P2</t>
        </is>
      </c>
      <c r="F413" s="2" t="inlineStr">
        <is>
          <t>¿Permite estimar o comparar componentes sin ocultar límites de equivalencia?</t>
        </is>
      </c>
      <c r="G413" t="inlineStr">
        <is>
          <t>NE</t>
        </is>
      </c>
      <c r="H413" t="inlineStr">
        <is>
          <t>Pendiente</t>
        </is>
      </c>
      <c r="I413" s="2" t="inlineStr">
        <is>
          <t>No es una calculadora de estimación de componentes (esa función es de Google Cloud Pricing Calculator, evaluada aparte en E4).</t>
        </is>
      </c>
      <c r="J413" t="inlineStr">
        <is>
          <t>https://docs.cloud.google.com/billing/docs/how-to/finops-hub</t>
        </is>
      </c>
      <c r="K413" t="inlineStr">
        <is>
          <t>2026-09-16</t>
        </is>
      </c>
      <c r="L41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E3. Segun FP-177 el indicador P2 depende del escenario, por lo que pasa a NE (no evidenciado, reduce cobertura) hasta investigarlo. La evidencia y la fuente originales se conservan como referencia del escenario de origen.</t>
        </is>
      </c>
    </row>
    <row r="414">
      <c r="A414" t="inlineStr">
        <is>
          <t>E3</t>
        </is>
      </c>
      <c r="B414" t="inlineStr">
        <is>
          <t>Cloud nativa</t>
        </is>
      </c>
      <c r="C414" t="inlineStr">
        <is>
          <t>Google Cloud FinOps Hub</t>
        </is>
      </c>
      <c r="D414" t="inlineStr">
        <is>
          <t>Dependencia</t>
        </is>
      </c>
      <c r="E414" t="inlineStr">
        <is>
          <t>D1</t>
        </is>
      </c>
      <c r="F414" s="2" t="inlineStr">
        <is>
          <t>¿Exporta datos/resultados en formato utilizable y documentado?</t>
        </is>
      </c>
      <c r="G414" t="inlineStr">
        <is>
          <t>NE</t>
        </is>
      </c>
      <c r="H414" t="inlineStr">
        <is>
          <t>Pendiente</t>
        </is>
      </c>
      <c r="I414" s="2" t="inlineStr">
        <is>
          <t>No es la fuente primaria de exportación de datos de costo/uso (esa función es del export de Cloud Billing, evaluada aparte); simplificación de alcance para evitar doble conteo.</t>
        </is>
      </c>
      <c r="J414" t="inlineStr">
        <is>
          <t>https://docs.cloud.google.com/billing/docs/how-to/finops-hub</t>
        </is>
      </c>
      <c r="K414" t="inlineStr">
        <is>
          <t>2026-09-16</t>
        </is>
      </c>
      <c r="L414"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15">
      <c r="A415" t="inlineStr">
        <is>
          <t>E3</t>
        </is>
      </c>
      <c r="B415" t="inlineStr">
        <is>
          <t>Cloud nativa</t>
        </is>
      </c>
      <c r="C415" t="inlineStr">
        <is>
          <t>Google Cloud FinOps Hub</t>
        </is>
      </c>
      <c r="D415" t="inlineStr">
        <is>
          <t>Dependencia</t>
        </is>
      </c>
      <c r="E415" t="inlineStr">
        <is>
          <t>D2</t>
        </is>
      </c>
      <c r="F415" s="2" t="inlineStr">
        <is>
          <t>¿Documenta dependencias propietarias y un camino de salida/configuración reversible?</t>
        </is>
      </c>
      <c r="G415" t="inlineStr">
        <is>
          <t>NE</t>
        </is>
      </c>
      <c r="H415" t="inlineStr">
        <is>
          <t>Pendiente</t>
        </is>
      </c>
      <c r="I415" s="2" t="inlineStr">
        <is>
          <t>Mismo alcance de diseño que D1.</t>
        </is>
      </c>
      <c r="J415" t="inlineStr">
        <is>
          <t>https://docs.cloud.google.com/billing/docs/how-to/finops-hub</t>
        </is>
      </c>
      <c r="K415" t="inlineStr">
        <is>
          <t>2026-09-16</t>
        </is>
      </c>
      <c r="L415"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16">
      <c r="A416" t="inlineStr">
        <is>
          <t>E5</t>
        </is>
      </c>
      <c r="B416" t="inlineStr">
        <is>
          <t>Cloud nativa</t>
        </is>
      </c>
      <c r="C416" t="inlineStr">
        <is>
          <t>Google Cloud FinOps Hub</t>
        </is>
      </c>
      <c r="D416" t="inlineStr">
        <is>
          <t>Visibilidad</t>
        </is>
      </c>
      <c r="E416" t="inlineStr">
        <is>
          <t>V1</t>
        </is>
      </c>
      <c r="F416" s="2" t="inlineStr">
        <is>
          <t>¿Desagrega costo y uso por cuenta/proyecto, servicio y período?</t>
        </is>
      </c>
      <c r="G416" t="n">
        <v>0</v>
      </c>
      <c r="H416" t="inlineStr">
        <is>
          <t>Oficial (ausencia verificada)</t>
        </is>
      </c>
      <c r="I416" s="2" t="inlineStr">
        <is>
          <t>FinOps hub consolida ahorro y recomendaciones, no un desglose general de costo/uso (esa función es de Cloud Billing Reports).</t>
        </is>
      </c>
      <c r="J416" t="inlineStr">
        <is>
          <t>https://docs.cloud.google.com/billing/docs/how-to/finops-hub</t>
        </is>
      </c>
      <c r="K416" t="inlineStr">
        <is>
          <t>2026-09-16</t>
        </is>
      </c>
      <c r="L41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V1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17">
      <c r="A417" t="inlineStr">
        <is>
          <t>E5</t>
        </is>
      </c>
      <c r="B417" t="inlineStr">
        <is>
          <t>Cloud nativa</t>
        </is>
      </c>
      <c r="C417" t="inlineStr">
        <is>
          <t>Google Cloud FinOps Hub</t>
        </is>
      </c>
      <c r="D417" t="inlineStr">
        <is>
          <t>Visibilidad</t>
        </is>
      </c>
      <c r="E417" t="inlineStr">
        <is>
          <t>V2</t>
        </is>
      </c>
      <c r="F417" s="2" t="inlineStr">
        <is>
          <t>¿Permite rastrear un total hasta registros o fuente de facturación?</t>
        </is>
      </c>
      <c r="G417" t="n">
        <v>0</v>
      </c>
      <c r="H417" t="inlineStr">
        <is>
          <t>Oficial (ausencia verificada)</t>
        </is>
      </c>
      <c r="I417" s="2" t="inlineStr">
        <is>
          <t>Mismo alcance de diseño que V1.</t>
        </is>
      </c>
      <c r="J417" t="inlineStr">
        <is>
          <t>https://docs.cloud.google.com/billing/docs/how-to/finops-hub</t>
        </is>
      </c>
      <c r="K417" t="inlineStr">
        <is>
          <t>2026-09-16</t>
        </is>
      </c>
      <c r="L41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18">
      <c r="A418" t="inlineStr">
        <is>
          <t>E5</t>
        </is>
      </c>
      <c r="B418" t="inlineStr">
        <is>
          <t>Cloud nativa</t>
        </is>
      </c>
      <c r="C418" t="inlineStr">
        <is>
          <t>Google Cloud FinOps Hub</t>
        </is>
      </c>
      <c r="D418" t="inlineStr">
        <is>
          <t>Asignacion</t>
        </is>
      </c>
      <c r="E418" t="inlineStr">
        <is>
          <t>A1</t>
        </is>
      </c>
      <c r="F418" s="2" t="inlineStr">
        <is>
          <t>¿Calcula gasto asignado/no asignado por responsable, centro o entidad?</t>
        </is>
      </c>
      <c r="G418" t="n">
        <v>0</v>
      </c>
      <c r="H418" t="inlineStr">
        <is>
          <t>Oficial (ausencia verificada)</t>
        </is>
      </c>
      <c r="I418" s="2" t="inlineStr">
        <is>
          <t>No calcula asignación de gasto por responsable/centro de costo.</t>
        </is>
      </c>
      <c r="J418" t="inlineStr">
        <is>
          <t>https://docs.cloud.google.com/billing/docs/how-to/finops-hub</t>
        </is>
      </c>
      <c r="K418" t="inlineStr">
        <is>
          <t>2026-09-16</t>
        </is>
      </c>
      <c r="L41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A1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19">
      <c r="A419" t="inlineStr">
        <is>
          <t>E5</t>
        </is>
      </c>
      <c r="B419" t="inlineStr">
        <is>
          <t>Cloud nativa</t>
        </is>
      </c>
      <c r="C419" t="inlineStr">
        <is>
          <t>Google Cloud FinOps Hub</t>
        </is>
      </c>
      <c r="D419" t="inlineStr">
        <is>
          <t>Asignacion</t>
        </is>
      </c>
      <c r="E419" t="inlineStr">
        <is>
          <t>A2</t>
        </is>
      </c>
      <c r="F419" s="2" t="inlineStr">
        <is>
          <t>¿Explicita y aplica reglas para costo compartido/multi-tenant?</t>
        </is>
      </c>
      <c r="G419" t="inlineStr">
        <is>
          <t>NE</t>
        </is>
      </c>
      <c r="H419" t="inlineStr">
        <is>
          <t>Pendiente</t>
        </is>
      </c>
      <c r="I419" s="2" t="inlineStr">
        <is>
          <t>No define reglas de reparto de costo compartido.</t>
        </is>
      </c>
      <c r="J419" t="inlineStr">
        <is>
          <t>https://docs.cloud.google.com/billing/docs/how-to/finops-hub</t>
        </is>
      </c>
      <c r="K419" t="inlineStr">
        <is>
          <t>2026-09-16</t>
        </is>
      </c>
      <c r="L41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A2 depende del escenario, por lo que pasa a NE (no evidenciado, reduce cobertura) hasta investigarlo. La evidencia y la fuente originales se conservan como referencia del escenario de origen.</t>
        </is>
      </c>
    </row>
    <row r="420">
      <c r="A420" t="inlineStr">
        <is>
          <t>E5</t>
        </is>
      </c>
      <c r="B420" t="inlineStr">
        <is>
          <t>Cloud nativa</t>
        </is>
      </c>
      <c r="C420" t="inlineStr">
        <is>
          <t>Google Cloud FinOps Hub</t>
        </is>
      </c>
      <c r="D420" t="inlineStr">
        <is>
          <t>Optimizacion</t>
        </is>
      </c>
      <c r="E420" t="inlineStr">
        <is>
          <t>O1</t>
        </is>
      </c>
      <c r="F420" s="2" t="inlineStr">
        <is>
          <t>¿Detecta desperdicio, rightsizing o compromiso relevante al escenario?</t>
        </is>
      </c>
      <c r="G420" t="n">
        <v>2</v>
      </c>
      <c r="H420" t="inlineStr">
        <is>
          <t>Oficial</t>
        </is>
      </c>
      <c r="I420" s="2" t="inlineStr">
        <is>
          <t>"Explore new recommended opportunities to optimize costs" agregando recomendaciones de Compute Engine, GKE, Cloud SQL y Cloud Run en cuatro prácticas: recursos inactivos, rightsizing, cambios de configuración y CUDs.</t>
        </is>
      </c>
      <c r="J420" t="inlineStr">
        <is>
          <t>https://docs.cloud.google.com/billing/docs/how-to/finops-hub</t>
        </is>
      </c>
      <c r="K420" t="inlineStr">
        <is>
          <t>2026-09-16</t>
        </is>
      </c>
      <c r="L420" s="2" t="inlineStr">
        <is>
          <t>Celda heredada FP-180 (2026-09-16): el valor 2 proviene de la investigacion del escenario E1 y no cuenta con evidencia propia de E5. Segun FP-177 el indicador O1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21">
      <c r="A421" t="inlineStr">
        <is>
          <t>E5</t>
        </is>
      </c>
      <c r="B421" t="inlineStr">
        <is>
          <t>Cloud nativa</t>
        </is>
      </c>
      <c r="C421" t="inlineStr">
        <is>
          <t>Google Cloud FinOps Hub</t>
        </is>
      </c>
      <c r="D421" t="inlineStr">
        <is>
          <t>Optimizacion</t>
        </is>
      </c>
      <c r="E421" t="inlineStr">
        <is>
          <t>O2</t>
        </is>
      </c>
      <c r="F421" s="2" t="inlineStr">
        <is>
          <t>¿Explica supuesto/impacto y permite seguir una recomendación?</t>
        </is>
      </c>
      <c r="G421" t="n">
        <v>2</v>
      </c>
      <c r="H421" t="inlineStr">
        <is>
          <t>Oficial</t>
        </is>
      </c>
      <c r="I421" s="2" t="inlineStr">
        <is>
          <t>El panel muestra "Last month's realized savings" y "Potential savings per month", permitiendo comparar ahorro potencial vs. realizado a lo largo del tiempo.</t>
        </is>
      </c>
      <c r="J421" t="inlineStr">
        <is>
          <t>https://docs.cloud.google.com/billing/docs/how-to/finops-hub</t>
        </is>
      </c>
      <c r="K421" t="inlineStr">
        <is>
          <t>2026-09-16</t>
        </is>
      </c>
      <c r="L421" s="2" t="inlineStr"/>
    </row>
    <row r="422">
      <c r="A422" t="inlineStr">
        <is>
          <t>E5</t>
        </is>
      </c>
      <c r="B422" t="inlineStr">
        <is>
          <t>Cloud nativa</t>
        </is>
      </c>
      <c r="C422" t="inlineStr">
        <is>
          <t>Google Cloud FinOps Hub</t>
        </is>
      </c>
      <c r="D422" t="inlineStr">
        <is>
          <t>Automatizacion</t>
        </is>
      </c>
      <c r="E422" t="inlineStr">
        <is>
          <t>AU1</t>
        </is>
      </c>
      <c r="F422" s="2" t="inlineStr">
        <is>
          <t>¿Ejecuta o bloquea acciones/políticas de costo con control verificable?</t>
        </is>
      </c>
      <c r="G422" t="n">
        <v>1</v>
      </c>
      <c r="H422" t="inlineStr">
        <is>
          <t>Oficial</t>
        </is>
      </c>
      <c r="I422" s="2" t="inlineStr">
        <is>
          <t>Existe una guía oficial para "Review and apply FinOps hub Recommendations": el usuario revisa y aplica manualmente cada recomendación desde el panel; no se documenta ejecución autónoma sin intervención.</t>
        </is>
      </c>
      <c r="J422" t="inlineStr">
        <is>
          <t>https://docs.cloud.google.com/billing/docs/how-to/finops-recommendations-dashboard</t>
        </is>
      </c>
      <c r="K422" t="inlineStr">
        <is>
          <t>2026-09-16</t>
        </is>
      </c>
      <c r="L422" s="2" t="inlineStr">
        <is>
          <t>Celda heredada FP-180 (2026-09-16): el valor 1 proviene de la investigacion del escenario E1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23">
      <c r="A423" t="inlineStr">
        <is>
          <t>E5</t>
        </is>
      </c>
      <c r="B423" t="inlineStr">
        <is>
          <t>Cloud nativa</t>
        </is>
      </c>
      <c r="C423" t="inlineStr">
        <is>
          <t>Google Cloud FinOps Hub</t>
        </is>
      </c>
      <c r="D423" t="inlineStr">
        <is>
          <t>Automatizacion</t>
        </is>
      </c>
      <c r="E423" t="inlineStr">
        <is>
          <t>AU2</t>
        </is>
      </c>
      <c r="F423" s="2" t="inlineStr">
        <is>
          <t>¿Ofrece aprobación, reversión, registro o límites antes de actuar?</t>
        </is>
      </c>
      <c r="G423" t="inlineStr">
        <is>
          <t>NE</t>
        </is>
      </c>
      <c r="H423" t="inlineStr">
        <is>
          <t>Pendiente</t>
        </is>
      </c>
      <c r="I423" s="2" t="inlineStr">
        <is>
          <t>La naturaleza de "revisar y aplicar" ya exige acción manual del usuario (cubierto en AU1); no se documenta una salvaguarda adicional distinta.</t>
        </is>
      </c>
      <c r="J423" t="inlineStr">
        <is>
          <t>https://docs.cloud.google.com/billing/docs/how-to/finops-recommendations-dashboard</t>
        </is>
      </c>
      <c r="K423" t="inlineStr">
        <is>
          <t>2026-09-16</t>
        </is>
      </c>
      <c r="L42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424">
      <c r="A424" t="inlineStr">
        <is>
          <t>E5</t>
        </is>
      </c>
      <c r="B424" t="inlineStr">
        <is>
          <t>Cloud nativa</t>
        </is>
      </c>
      <c r="C424" t="inlineStr">
        <is>
          <t>Google Cloud FinOps Hub</t>
        </is>
      </c>
      <c r="D424" t="inlineStr">
        <is>
          <t>Multicloud</t>
        </is>
      </c>
      <c r="E424" t="inlineStr">
        <is>
          <t>M1</t>
        </is>
      </c>
      <c r="F424" s="2" t="inlineStr">
        <is>
          <t>¿Consolida al menos dos proveedores bajo el mismo esquema declarado?</t>
        </is>
      </c>
      <c r="G424" t="n">
        <v>0</v>
      </c>
      <c r="H424" t="inlineStr">
        <is>
          <t>Oficial (ausencia verificada)</t>
        </is>
      </c>
      <c r="I424" s="2" t="inlineStr">
        <is>
          <t>Cubre exclusivamente recomendaciones sobre recursos de Google Cloud.</t>
        </is>
      </c>
      <c r="J424" t="inlineStr">
        <is>
          <t>https://docs.cloud.google.com/billing/docs/how-to/finops-hub</t>
        </is>
      </c>
      <c r="K424" t="inlineStr">
        <is>
          <t>2026-09-16</t>
        </is>
      </c>
      <c r="L42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25">
      <c r="A425" t="inlineStr">
        <is>
          <t>E5</t>
        </is>
      </c>
      <c r="B425" t="inlineStr">
        <is>
          <t>Cloud nativa</t>
        </is>
      </c>
      <c r="C425" t="inlineStr">
        <is>
          <t>Google Cloud FinOps Hub</t>
        </is>
      </c>
      <c r="D425" t="inlineStr">
        <is>
          <t>Multicloud</t>
        </is>
      </c>
      <c r="E425" t="inlineStr">
        <is>
          <t>M2</t>
        </is>
      </c>
      <c r="F425" s="2" t="inlineStr">
        <is>
          <t>¿Hace visibles proveedor, cobertura y diferencias semánticas?</t>
        </is>
      </c>
      <c r="G425" t="n">
        <v>0</v>
      </c>
      <c r="H425" t="inlineStr">
        <is>
          <t>Oficial (ausencia verificada)</t>
        </is>
      </c>
      <c r="I425" s="2" t="inlineStr">
        <is>
          <t>Mismo alcance de diseño que M1.</t>
        </is>
      </c>
      <c r="J425" t="inlineStr">
        <is>
          <t>https://docs.cloud.google.com/billing/docs/how-to/finops-hub</t>
        </is>
      </c>
      <c r="K425" t="inlineStr">
        <is>
          <t>2026-09-16</t>
        </is>
      </c>
      <c r="L42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26">
      <c r="A426" t="inlineStr">
        <is>
          <t>E5</t>
        </is>
      </c>
      <c r="B426" t="inlineStr">
        <is>
          <t>Cloud nativa</t>
        </is>
      </c>
      <c r="C426" t="inlineStr">
        <is>
          <t>Google Cloud FinOps Hub</t>
        </is>
      </c>
      <c r="D426" t="inlineStr">
        <is>
          <t>Integracion</t>
        </is>
      </c>
      <c r="E426" t="inlineStr">
        <is>
          <t>I1</t>
        </is>
      </c>
      <c r="F426" s="2" t="inlineStr">
        <is>
          <t>¿Integra datos requeridos (facturación, uso, clúster o IaC) del escenario?</t>
        </is>
      </c>
      <c r="G426" t="n">
        <v>2</v>
      </c>
      <c r="H426" t="inlineStr">
        <is>
          <t>Oficial</t>
        </is>
      </c>
      <c r="I426" s="2" t="inlineStr">
        <is>
          <t>Agrega datos de múltiples recomendadores de servicios de Google Cloud (Compute Engine, GKE, Cloud SQL, Cloud Run) en un panel único.</t>
        </is>
      </c>
      <c r="J426" t="inlineStr">
        <is>
          <t>https://docs.cloud.google.com/billing/docs/how-to/finops-hub</t>
        </is>
      </c>
      <c r="K426" t="inlineStr">
        <is>
          <t>2026-09-16</t>
        </is>
      </c>
      <c r="L426" s="2" t="inlineStr">
        <is>
          <t>Celda heredada FP-180 (2026-09-16): el valor 2 proviene de la investigacion del escenario E1 y no cuenta con evidencia propia de E5. Segun FP-177 el indicador I1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27">
      <c r="A427" t="inlineStr">
        <is>
          <t>E5</t>
        </is>
      </c>
      <c r="B427" t="inlineStr">
        <is>
          <t>Cloud nativa</t>
        </is>
      </c>
      <c r="C427" t="inlineStr">
        <is>
          <t>Google Cloud FinOps Hub</t>
        </is>
      </c>
      <c r="D427" t="inlineStr">
        <is>
          <t>Integracion</t>
        </is>
      </c>
      <c r="E427" t="inlineStr">
        <is>
          <t>I2</t>
        </is>
      </c>
      <c r="F427" s="2" t="inlineStr">
        <is>
          <t>¿Se integra con el flujo de trabajo relevante (alerta, ticket, CI/CD o reporte)?</t>
        </is>
      </c>
      <c r="G427" t="n">
        <v>1</v>
      </c>
      <c r="H427" t="inlineStr">
        <is>
          <t>Oficial</t>
        </is>
      </c>
      <c r="I427" s="2" t="inlineStr">
        <is>
          <t>El panel concentra el flujo de revisión dentro de la consola de Google Cloud; no se documentó integración directa con ticketing/CI-CD externos.</t>
        </is>
      </c>
      <c r="J427" t="inlineStr">
        <is>
          <t>https://docs.cloud.google.com/billing/docs/how-to/finops-hub</t>
        </is>
      </c>
      <c r="K427" t="inlineStr">
        <is>
          <t>2026-09-16</t>
        </is>
      </c>
      <c r="L427" s="2" t="inlineStr">
        <is>
          <t>Celda heredada FP-180 (2026-09-16): el valor 1 proviene de la investigacion del escenario E1 y no cuenta con evidencia propia de E5. Segun FP-177 el indicador I2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28">
      <c r="A428" t="inlineStr">
        <is>
          <t>E5</t>
        </is>
      </c>
      <c r="B428" t="inlineStr">
        <is>
          <t>Cloud nativa</t>
        </is>
      </c>
      <c r="C428" t="inlineStr">
        <is>
          <t>Google Cloud FinOps Hub</t>
        </is>
      </c>
      <c r="D428" t="inlineStr">
        <is>
          <t>Adopcion</t>
        </is>
      </c>
      <c r="E428" t="inlineStr">
        <is>
          <t>AD1</t>
        </is>
      </c>
      <c r="F428" s="2" t="inlineStr">
        <is>
          <t>¿Soporta acceso/entrega para los roles del escenario?</t>
        </is>
      </c>
      <c r="G428" t="n">
        <v>1</v>
      </c>
      <c r="H428" t="inlineStr">
        <is>
          <t>Oficial</t>
        </is>
      </c>
      <c r="I428" s="2" t="inlineStr">
        <is>
          <t>El acceso está condicionado a contar con permisos completos de la cuenta de facturación ("solo disponible con permisos de cuenta de facturación completos"), un control más binario que los roles graduales de Cloud Billing.</t>
        </is>
      </c>
      <c r="J428" t="inlineStr">
        <is>
          <t>https://docs.cloud.google.com/billing/docs/how-to/finops-hub</t>
        </is>
      </c>
      <c r="K428" t="inlineStr">
        <is>
          <t>2026-09-16</t>
        </is>
      </c>
      <c r="L428" s="2" t="inlineStr">
        <is>
          <t>Celda heredada FP-180 (2026-09-16): el valor 1 proviene de la investigacion del escenario E1 y no cuenta con evidencia propia de E5. Segun FP-177 el indicador AD1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29">
      <c r="A429" t="inlineStr">
        <is>
          <t>E5</t>
        </is>
      </c>
      <c r="B429" t="inlineStr">
        <is>
          <t>Cloud nativa</t>
        </is>
      </c>
      <c r="C429" t="inlineStr">
        <is>
          <t>Google Cloud FinOps Hub</t>
        </is>
      </c>
      <c r="D429" t="inlineStr">
        <is>
          <t>Adopcion</t>
        </is>
      </c>
      <c r="E429" t="inlineStr">
        <is>
          <t>AD2</t>
        </is>
      </c>
      <c r="F429" s="2" t="inlineStr">
        <is>
          <t>¿Ofrece guías, ownership o mecanismos de seguimiento para uso sostenido?</t>
        </is>
      </c>
      <c r="G429" t="n">
        <v>2</v>
      </c>
      <c r="H429" t="inlineStr">
        <is>
          <t>Oficial (candidato a 3 si se corrobora con una segunda fuente independiente o verificación práctica)</t>
        </is>
      </c>
      <c r="I429" s="2" t="inlineStr">
        <is>
          <t>El "FinOps score" mide explícitamente qué tan bien la organización usa las herramientas de monitoreo/ahorro de Google Cloud (etiquetado, automatización, compra de CUDs), acercándose a una medición integrada de adopción.</t>
        </is>
      </c>
      <c r="J429" t="inlineStr">
        <is>
          <t>https://docs.cloud.google.com/billing/docs/how-to/finops-hub</t>
        </is>
      </c>
      <c r="K429" t="inlineStr">
        <is>
          <t>2026-09-16</t>
        </is>
      </c>
      <c r="L429" s="2" t="inlineStr"/>
    </row>
    <row r="430">
      <c r="A430" t="inlineStr">
        <is>
          <t>E5</t>
        </is>
      </c>
      <c r="B430" t="inlineStr">
        <is>
          <t>Cloud nativa</t>
        </is>
      </c>
      <c r="C430" t="inlineStr">
        <is>
          <t>Google Cloud FinOps Hub</t>
        </is>
      </c>
      <c r="D430" t="inlineStr">
        <is>
          <t>Precio</t>
        </is>
      </c>
      <c r="E430" t="inlineStr">
        <is>
          <t>P1</t>
        </is>
      </c>
      <c r="F430" s="2" t="inlineStr">
        <is>
          <t>¿Expone precio, moneda, región, unidad, período y supuestos relevantes?</t>
        </is>
      </c>
      <c r="G430" t="n">
        <v>0</v>
      </c>
      <c r="H430" t="inlineStr">
        <is>
          <t>Oficial (ausencia verificada)</t>
        </is>
      </c>
      <c r="I430" s="2" t="inlineStr">
        <is>
          <t>No es una herramienta de transparencia de precio general (esa función es de Cloud Billing Reports/export).</t>
        </is>
      </c>
      <c r="J430" t="inlineStr">
        <is>
          <t>https://docs.cloud.google.com/billing/docs/how-to/finops-hub</t>
        </is>
      </c>
      <c r="K430" t="inlineStr">
        <is>
          <t>2026-09-16</t>
        </is>
      </c>
      <c r="L430"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31">
      <c r="A431" t="inlineStr">
        <is>
          <t>E5</t>
        </is>
      </c>
      <c r="B431" t="inlineStr">
        <is>
          <t>Cloud nativa</t>
        </is>
      </c>
      <c r="C431" t="inlineStr">
        <is>
          <t>Google Cloud FinOps Hub</t>
        </is>
      </c>
      <c r="D431" t="inlineStr">
        <is>
          <t>Precio</t>
        </is>
      </c>
      <c r="E431" t="inlineStr">
        <is>
          <t>P2</t>
        </is>
      </c>
      <c r="F431" s="2" t="inlineStr">
        <is>
          <t>¿Permite estimar o comparar componentes sin ocultar límites de equivalencia?</t>
        </is>
      </c>
      <c r="G431" t="n">
        <v>0</v>
      </c>
      <c r="H431" t="inlineStr">
        <is>
          <t>Oficial (ausencia verificada)</t>
        </is>
      </c>
      <c r="I431" s="2" t="inlineStr">
        <is>
          <t>No es una calculadora de estimación de componentes (esa función es de Google Cloud Pricing Calculator, evaluada aparte en E4).</t>
        </is>
      </c>
      <c r="J431" t="inlineStr">
        <is>
          <t>https://docs.cloud.google.com/billing/docs/how-to/finops-hub</t>
        </is>
      </c>
      <c r="K431" t="inlineStr">
        <is>
          <t>2026-09-16</t>
        </is>
      </c>
      <c r="L431"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E5. Segun FP-177 el indicador P2 depende del escenario, por lo que pasa a NE (no evidenciado, reduce cobertura) hasta investigarlo. La evidencia y la fuente originales se conservan como referencia del escenario de origen.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32">
      <c r="A432" t="inlineStr">
        <is>
          <t>E5</t>
        </is>
      </c>
      <c r="B432" t="inlineStr">
        <is>
          <t>Cloud nativa</t>
        </is>
      </c>
      <c r="C432" t="inlineStr">
        <is>
          <t>Google Cloud FinOps Hub</t>
        </is>
      </c>
      <c r="D432" t="inlineStr">
        <is>
          <t>Dependencia</t>
        </is>
      </c>
      <c r="E432" t="inlineStr">
        <is>
          <t>D1</t>
        </is>
      </c>
      <c r="F432" s="2" t="inlineStr">
        <is>
          <t>¿Exporta datos/resultados en formato utilizable y documentado?</t>
        </is>
      </c>
      <c r="G432" t="inlineStr">
        <is>
          <t>NE</t>
        </is>
      </c>
      <c r="H432" t="inlineStr">
        <is>
          <t>Pendiente</t>
        </is>
      </c>
      <c r="I432" s="2" t="inlineStr">
        <is>
          <t>No es la fuente primaria de exportación de datos de costo/uso (esa función es del export de Cloud Billing, evaluada aparte); simplificación de alcance para evitar doble conteo.</t>
        </is>
      </c>
      <c r="J432" t="inlineStr">
        <is>
          <t>https://docs.cloud.google.com/billing/docs/how-to/finops-hub</t>
        </is>
      </c>
      <c r="K432" t="inlineStr">
        <is>
          <t>2026-09-16</t>
        </is>
      </c>
      <c r="L432"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33">
      <c r="A433" t="inlineStr">
        <is>
          <t>E5</t>
        </is>
      </c>
      <c r="B433" t="inlineStr">
        <is>
          <t>Cloud nativa</t>
        </is>
      </c>
      <c r="C433" t="inlineStr">
        <is>
          <t>Google Cloud FinOps Hub</t>
        </is>
      </c>
      <c r="D433" t="inlineStr">
        <is>
          <t>Dependencia</t>
        </is>
      </c>
      <c r="E433" t="inlineStr">
        <is>
          <t>D2</t>
        </is>
      </c>
      <c r="F433" s="2" t="inlineStr">
        <is>
          <t>¿Documenta dependencias propietarias y un camino de salida/configuración reversible?</t>
        </is>
      </c>
      <c r="G433" t="inlineStr">
        <is>
          <t>NE</t>
        </is>
      </c>
      <c r="H433" t="inlineStr">
        <is>
          <t>Pendiente</t>
        </is>
      </c>
      <c r="I433" s="2" t="inlineStr">
        <is>
          <t>Mismo alcance de diseño que D1.</t>
        </is>
      </c>
      <c r="J433" t="inlineStr">
        <is>
          <t>https://docs.cloud.google.com/billing/docs/how-to/finops-hub</t>
        </is>
      </c>
      <c r="K433" t="inlineStr">
        <is>
          <t>2026-09-16</t>
        </is>
      </c>
      <c r="L433"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34">
      <c r="A434" t="inlineStr">
        <is>
          <t>E6</t>
        </is>
      </c>
      <c r="B434" t="inlineStr">
        <is>
          <t>Cloud nativa</t>
        </is>
      </c>
      <c r="C434" t="inlineStr">
        <is>
          <t>Google Cloud FinOps Hub</t>
        </is>
      </c>
      <c r="D434" t="inlineStr">
        <is>
          <t>Visibilidad</t>
        </is>
      </c>
      <c r="E434" t="inlineStr">
        <is>
          <t>V1</t>
        </is>
      </c>
      <c r="F434" s="2" t="inlineStr">
        <is>
          <t>¿Desagrega costo y uso por cuenta/proyecto, servicio y período?</t>
        </is>
      </c>
      <c r="G434" t="inlineStr">
        <is>
          <t>NE</t>
        </is>
      </c>
      <c r="H434" t="inlineStr">
        <is>
          <t>Pendiente</t>
        </is>
      </c>
      <c r="I434" s="2" t="inlineStr">
        <is>
          <t>FinOps hub consolida ahorro y recomendaciones, no un desglose general de costo/uso (esa función es de Cloud Billing Reports).</t>
        </is>
      </c>
      <c r="J434" t="inlineStr">
        <is>
          <t>https://docs.cloud.google.com/billing/docs/how-to/finops-hub</t>
        </is>
      </c>
      <c r="K434" t="inlineStr">
        <is>
          <t>2026-09-16</t>
        </is>
      </c>
      <c r="L43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V1 depende del escenario, por lo que pasa a NE (no evidenciado, reduce cobertura) hasta investigarlo. La evidencia y la fuente originales se conservan como referencia del escenario de origen.</t>
        </is>
      </c>
    </row>
    <row r="435">
      <c r="A435" t="inlineStr">
        <is>
          <t>E6</t>
        </is>
      </c>
      <c r="B435" t="inlineStr">
        <is>
          <t>Cloud nativa</t>
        </is>
      </c>
      <c r="C435" t="inlineStr">
        <is>
          <t>Google Cloud FinOps Hub</t>
        </is>
      </c>
      <c r="D435" t="inlineStr">
        <is>
          <t>Visibilidad</t>
        </is>
      </c>
      <c r="E435" t="inlineStr">
        <is>
          <t>V2</t>
        </is>
      </c>
      <c r="F435" s="2" t="inlineStr">
        <is>
          <t>¿Permite rastrear un total hasta registros o fuente de facturación?</t>
        </is>
      </c>
      <c r="G435" t="n">
        <v>0</v>
      </c>
      <c r="H435" t="inlineStr">
        <is>
          <t>Oficial (ausencia verificada)</t>
        </is>
      </c>
      <c r="I435" s="2" t="inlineStr">
        <is>
          <t>Mismo alcance de diseño que V1.</t>
        </is>
      </c>
      <c r="J435" t="inlineStr">
        <is>
          <t>https://docs.cloud.google.com/billing/docs/how-to/finops-hub</t>
        </is>
      </c>
      <c r="K435" t="inlineStr">
        <is>
          <t>2026-09-16</t>
        </is>
      </c>
      <c r="L43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36">
      <c r="A436" t="inlineStr">
        <is>
          <t>E6</t>
        </is>
      </c>
      <c r="B436" t="inlineStr">
        <is>
          <t>Cloud nativa</t>
        </is>
      </c>
      <c r="C436" t="inlineStr">
        <is>
          <t>Google Cloud FinOps Hub</t>
        </is>
      </c>
      <c r="D436" t="inlineStr">
        <is>
          <t>Asignacion</t>
        </is>
      </c>
      <c r="E436" t="inlineStr">
        <is>
          <t>A1</t>
        </is>
      </c>
      <c r="F436" s="2" t="inlineStr">
        <is>
          <t>¿Calcula gasto asignado/no asignado por responsable, centro o entidad?</t>
        </is>
      </c>
      <c r="G436" t="n">
        <v>0</v>
      </c>
      <c r="H436" t="inlineStr">
        <is>
          <t>Oficial (ausencia verificada)</t>
        </is>
      </c>
      <c r="I436" s="2" t="inlineStr">
        <is>
          <t>No calcula asignación de gasto por responsable/centro de costo.</t>
        </is>
      </c>
      <c r="J436" t="inlineStr">
        <is>
          <t>https://docs.cloud.google.com/billing/docs/how-to/finops-hub</t>
        </is>
      </c>
      <c r="K436" t="inlineStr">
        <is>
          <t>2026-09-16</t>
        </is>
      </c>
      <c r="L43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A1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437">
      <c r="A437" t="inlineStr">
        <is>
          <t>E6</t>
        </is>
      </c>
      <c r="B437" t="inlineStr">
        <is>
          <t>Cloud nativa</t>
        </is>
      </c>
      <c r="C437" t="inlineStr">
        <is>
          <t>Google Cloud FinOps Hub</t>
        </is>
      </c>
      <c r="D437" t="inlineStr">
        <is>
          <t>Asignacion</t>
        </is>
      </c>
      <c r="E437" t="inlineStr">
        <is>
          <t>A2</t>
        </is>
      </c>
      <c r="F437" s="2" t="inlineStr">
        <is>
          <t>¿Explicita y aplica reglas para costo compartido/multi-tenant?</t>
        </is>
      </c>
      <c r="G437" t="n">
        <v>0</v>
      </c>
      <c r="H437" t="inlineStr">
        <is>
          <t>Oficial (ausencia verificada)</t>
        </is>
      </c>
      <c r="I437" s="2" t="inlineStr">
        <is>
          <t>No define reglas de reparto de costo compartido.</t>
        </is>
      </c>
      <c r="J437" t="inlineStr">
        <is>
          <t>https://docs.cloud.google.com/billing/docs/how-to/finops-hub</t>
        </is>
      </c>
      <c r="K437" t="inlineStr">
        <is>
          <t>2026-09-16</t>
        </is>
      </c>
      <c r="L43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A2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438">
      <c r="A438" t="inlineStr">
        <is>
          <t>E6</t>
        </is>
      </c>
      <c r="B438" t="inlineStr">
        <is>
          <t>Cloud nativa</t>
        </is>
      </c>
      <c r="C438" t="inlineStr">
        <is>
          <t>Google Cloud FinOps Hub</t>
        </is>
      </c>
      <c r="D438" t="inlineStr">
        <is>
          <t>Optimizacion</t>
        </is>
      </c>
      <c r="E438" t="inlineStr">
        <is>
          <t>O1</t>
        </is>
      </c>
      <c r="F438" s="2" t="inlineStr">
        <is>
          <t>¿Detecta desperdicio, rightsizing o compromiso relevante al escenario?</t>
        </is>
      </c>
      <c r="G438" t="n">
        <v>2</v>
      </c>
      <c r="H438" t="inlineStr">
        <is>
          <t>Oficial</t>
        </is>
      </c>
      <c r="I438" s="2" t="inlineStr">
        <is>
          <t>"Explore new recommended opportunities to optimize costs" agregando recomendaciones de Compute Engine, GKE, Cloud SQL y Cloud Run en cuatro prácticas: recursos inactivos, rightsizing, cambios de configuración y CUDs.</t>
        </is>
      </c>
      <c r="J438" t="inlineStr">
        <is>
          <t>https://docs.cloud.google.com/billing/docs/how-to/finops-hub</t>
        </is>
      </c>
      <c r="K438" t="inlineStr">
        <is>
          <t>2026-09-16</t>
        </is>
      </c>
      <c r="L438" s="2" t="inlineStr">
        <is>
          <t>Celda heredada FP-180 (2026-09-16): el valor 2 proviene de la investigacion del escenario E1 y no cuenta con evidencia propia de E6. Segun FP-177 el indicador O1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439">
      <c r="A439" t="inlineStr">
        <is>
          <t>E6</t>
        </is>
      </c>
      <c r="B439" t="inlineStr">
        <is>
          <t>Cloud nativa</t>
        </is>
      </c>
      <c r="C439" t="inlineStr">
        <is>
          <t>Google Cloud FinOps Hub</t>
        </is>
      </c>
      <c r="D439" t="inlineStr">
        <is>
          <t>Optimizacion</t>
        </is>
      </c>
      <c r="E439" t="inlineStr">
        <is>
          <t>O2</t>
        </is>
      </c>
      <c r="F439" s="2" t="inlineStr">
        <is>
          <t>¿Explica supuesto/impacto y permite seguir una recomendación?</t>
        </is>
      </c>
      <c r="G439" t="n">
        <v>2</v>
      </c>
      <c r="H439" t="inlineStr">
        <is>
          <t>Oficial</t>
        </is>
      </c>
      <c r="I439" s="2" t="inlineStr">
        <is>
          <t>El panel muestra "Last month's realized savings" y "Potential savings per month", permitiendo comparar ahorro potencial vs. realizado a lo largo del tiempo.</t>
        </is>
      </c>
      <c r="J439" t="inlineStr">
        <is>
          <t>https://docs.cloud.google.com/billing/docs/how-to/finops-hub</t>
        </is>
      </c>
      <c r="K439" t="inlineStr">
        <is>
          <t>2026-09-16</t>
        </is>
      </c>
      <c r="L439" s="2" t="inlineStr"/>
    </row>
    <row r="440">
      <c r="A440" t="inlineStr">
        <is>
          <t>E6</t>
        </is>
      </c>
      <c r="B440" t="inlineStr">
        <is>
          <t>Cloud nativa</t>
        </is>
      </c>
      <c r="C440" t="inlineStr">
        <is>
          <t>Google Cloud FinOps Hub</t>
        </is>
      </c>
      <c r="D440" t="inlineStr">
        <is>
          <t>Automatizacion</t>
        </is>
      </c>
      <c r="E440" t="inlineStr">
        <is>
          <t>AU1</t>
        </is>
      </c>
      <c r="F440" s="2" t="inlineStr">
        <is>
          <t>¿Ejecuta o bloquea acciones/políticas de costo con control verificable?</t>
        </is>
      </c>
      <c r="G440" t="n">
        <v>1</v>
      </c>
      <c r="H440" t="inlineStr">
        <is>
          <t>Oficial</t>
        </is>
      </c>
      <c r="I440" s="2" t="inlineStr">
        <is>
          <t>Existe una guía oficial para "Review and apply FinOps hub Recommendations": el usuario revisa y aplica manualmente cada recomendación desde el panel; no se documenta ejecución autónoma sin intervención.</t>
        </is>
      </c>
      <c r="J440" t="inlineStr">
        <is>
          <t>https://docs.cloud.google.com/billing/docs/how-to/finops-recommendations-dashboard</t>
        </is>
      </c>
      <c r="K440" t="inlineStr">
        <is>
          <t>2026-09-16</t>
        </is>
      </c>
      <c r="L440" s="2" t="inlineStr">
        <is>
          <t>Celda heredada FP-180 (2026-09-16): el valor 1 proviene de la investigacion del escenario E1 y no cuenta con evidencia propia de E6. Segun FP-177 el indicador AU1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441">
      <c r="A441" t="inlineStr">
        <is>
          <t>E6</t>
        </is>
      </c>
      <c r="B441" t="inlineStr">
        <is>
          <t>Cloud nativa</t>
        </is>
      </c>
      <c r="C441" t="inlineStr">
        <is>
          <t>Google Cloud FinOps Hub</t>
        </is>
      </c>
      <c r="D441" t="inlineStr">
        <is>
          <t>Automatizacion</t>
        </is>
      </c>
      <c r="E441" t="inlineStr">
        <is>
          <t>AU2</t>
        </is>
      </c>
      <c r="F441" s="2" t="inlineStr">
        <is>
          <t>¿Ofrece aprobación, reversión, registro o límites antes de actuar?</t>
        </is>
      </c>
      <c r="G441" t="inlineStr">
        <is>
          <t>NE</t>
        </is>
      </c>
      <c r="H441" t="inlineStr">
        <is>
          <t>Pendiente</t>
        </is>
      </c>
      <c r="I441" s="2" t="inlineStr">
        <is>
          <t>La naturaleza de "revisar y aplicar" ya exige acción manual del usuario (cubierto en AU1); no se documenta una salvaguarda adicional distinta.</t>
        </is>
      </c>
      <c r="J441" t="inlineStr">
        <is>
          <t>https://docs.cloud.google.com/billing/docs/how-to/finops-recommendations-dashboard</t>
        </is>
      </c>
      <c r="K441" t="inlineStr">
        <is>
          <t>2026-09-16</t>
        </is>
      </c>
      <c r="L441"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442">
      <c r="A442" t="inlineStr">
        <is>
          <t>E6</t>
        </is>
      </c>
      <c r="B442" t="inlineStr">
        <is>
          <t>Cloud nativa</t>
        </is>
      </c>
      <c r="C442" t="inlineStr">
        <is>
          <t>Google Cloud FinOps Hub</t>
        </is>
      </c>
      <c r="D442" t="inlineStr">
        <is>
          <t>Multicloud</t>
        </is>
      </c>
      <c r="E442" t="inlineStr">
        <is>
          <t>M1</t>
        </is>
      </c>
      <c r="F442" s="2" t="inlineStr">
        <is>
          <t>¿Consolida al menos dos proveedores bajo el mismo esquema declarado?</t>
        </is>
      </c>
      <c r="G442" t="n">
        <v>0</v>
      </c>
      <c r="H442" t="inlineStr">
        <is>
          <t>Oficial (ausencia verificada)</t>
        </is>
      </c>
      <c r="I442" s="2" t="inlineStr">
        <is>
          <t>Cubre exclusivamente recomendaciones sobre recursos de Google Cloud.</t>
        </is>
      </c>
      <c r="J442" t="inlineStr">
        <is>
          <t>https://docs.cloud.google.com/billing/docs/how-to/finops-hub</t>
        </is>
      </c>
      <c r="K442" t="inlineStr">
        <is>
          <t>2026-09-16</t>
        </is>
      </c>
      <c r="L44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43">
      <c r="A443" t="inlineStr">
        <is>
          <t>E6</t>
        </is>
      </c>
      <c r="B443" t="inlineStr">
        <is>
          <t>Cloud nativa</t>
        </is>
      </c>
      <c r="C443" t="inlineStr">
        <is>
          <t>Google Cloud FinOps Hub</t>
        </is>
      </c>
      <c r="D443" t="inlineStr">
        <is>
          <t>Multicloud</t>
        </is>
      </c>
      <c r="E443" t="inlineStr">
        <is>
          <t>M2</t>
        </is>
      </c>
      <c r="F443" s="2" t="inlineStr">
        <is>
          <t>¿Hace visibles proveedor, cobertura y diferencias semánticas?</t>
        </is>
      </c>
      <c r="G443" t="n">
        <v>0</v>
      </c>
      <c r="H443" t="inlineStr">
        <is>
          <t>Oficial (ausencia verificada)</t>
        </is>
      </c>
      <c r="I443" s="2" t="inlineStr">
        <is>
          <t>Mismo alcance de diseño que M1.</t>
        </is>
      </c>
      <c r="J443" t="inlineStr">
        <is>
          <t>https://docs.cloud.google.com/billing/docs/how-to/finops-hub</t>
        </is>
      </c>
      <c r="K443" t="inlineStr">
        <is>
          <t>2026-09-16</t>
        </is>
      </c>
      <c r="L443"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44">
      <c r="A444" t="inlineStr">
        <is>
          <t>E6</t>
        </is>
      </c>
      <c r="B444" t="inlineStr">
        <is>
          <t>Cloud nativa</t>
        </is>
      </c>
      <c r="C444" t="inlineStr">
        <is>
          <t>Google Cloud FinOps Hub</t>
        </is>
      </c>
      <c r="D444" t="inlineStr">
        <is>
          <t>Integracion</t>
        </is>
      </c>
      <c r="E444" t="inlineStr">
        <is>
          <t>I1</t>
        </is>
      </c>
      <c r="F444" s="2" t="inlineStr">
        <is>
          <t>¿Integra datos requeridos (facturación, uso, clúster o IaC) del escenario?</t>
        </is>
      </c>
      <c r="G444" t="inlineStr">
        <is>
          <t>NE</t>
        </is>
      </c>
      <c r="H444" t="inlineStr">
        <is>
          <t>Pendiente</t>
        </is>
      </c>
      <c r="I444" s="2" t="inlineStr">
        <is>
          <t>Agrega datos de múltiples recomendadores de servicios de Google Cloud (Compute Engine, GKE, Cloud SQL, Cloud Run) en un panel único.</t>
        </is>
      </c>
      <c r="J444" t="inlineStr">
        <is>
          <t>https://docs.cloud.google.com/billing/docs/how-to/finops-hub</t>
        </is>
      </c>
      <c r="K444" t="inlineStr">
        <is>
          <t>2026-09-16</t>
        </is>
      </c>
      <c r="L444" s="2" t="inlineStr">
        <is>
          <t>Celda heredada FP-180 (2026-09-16): el valor 2 proviene de la investigacion del escenario E1 y no cuenta con evidencia propia de E6. Segun FP-177 el indicador I1 depende del escenario, por lo que pasa a NE (no evidenciado, reduce cobertura) hasta investigarlo. La evidencia y la fuente originales se conservan como referencia del escenario de origen.</t>
        </is>
      </c>
    </row>
    <row r="445">
      <c r="A445" t="inlineStr">
        <is>
          <t>E6</t>
        </is>
      </c>
      <c r="B445" t="inlineStr">
        <is>
          <t>Cloud nativa</t>
        </is>
      </c>
      <c r="C445" t="inlineStr">
        <is>
          <t>Google Cloud FinOps Hub</t>
        </is>
      </c>
      <c r="D445" t="inlineStr">
        <is>
          <t>Integracion</t>
        </is>
      </c>
      <c r="E445" t="inlineStr">
        <is>
          <t>I2</t>
        </is>
      </c>
      <c r="F445" s="2" t="inlineStr">
        <is>
          <t>¿Se integra con el flujo de trabajo relevante (alerta, ticket, CI/CD o reporte)?</t>
        </is>
      </c>
      <c r="G445" t="n">
        <v>1</v>
      </c>
      <c r="H445" t="inlineStr">
        <is>
          <t>Oficial</t>
        </is>
      </c>
      <c r="I445" s="2" t="inlineStr">
        <is>
          <t>El panel concentra el flujo de revisión dentro de la consola de Google Cloud; no se documentó integración directa con ticketing/CI-CD externos.</t>
        </is>
      </c>
      <c r="J445" t="inlineStr">
        <is>
          <t>https://docs.cloud.google.com/billing/docs/how-to/finops-hub</t>
        </is>
      </c>
      <c r="K445" t="inlineStr">
        <is>
          <t>2026-09-16</t>
        </is>
      </c>
      <c r="L445" s="2" t="inlineStr">
        <is>
          <t>Celda heredada FP-180 (2026-09-16): el valor 1 proviene de la investigacion del escenario E1 y no cuenta con evidencia propia de E6. Segun FP-177 el indicador I2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446">
      <c r="A446" t="inlineStr">
        <is>
          <t>E6</t>
        </is>
      </c>
      <c r="B446" t="inlineStr">
        <is>
          <t>Cloud nativa</t>
        </is>
      </c>
      <c r="C446" t="inlineStr">
        <is>
          <t>Google Cloud FinOps Hub</t>
        </is>
      </c>
      <c r="D446" t="inlineStr">
        <is>
          <t>Adopcion</t>
        </is>
      </c>
      <c r="E446" t="inlineStr">
        <is>
          <t>AD1</t>
        </is>
      </c>
      <c r="F446" s="2" t="inlineStr">
        <is>
          <t>¿Soporta acceso/entrega para los roles del escenario?</t>
        </is>
      </c>
      <c r="G446" t="n">
        <v>1</v>
      </c>
      <c r="H446" t="inlineStr">
        <is>
          <t>Oficial</t>
        </is>
      </c>
      <c r="I446" s="2" t="inlineStr">
        <is>
          <t>El acceso está condicionado a contar con permisos completos de la cuenta de facturación ("solo disponible con permisos de cuenta de facturación completos"), un control más binario que los roles graduales de Cloud Billing.</t>
        </is>
      </c>
      <c r="J446" t="inlineStr">
        <is>
          <t>https://docs.cloud.google.com/billing/docs/how-to/finops-hub</t>
        </is>
      </c>
      <c r="K446" t="inlineStr">
        <is>
          <t>2026-09-16</t>
        </is>
      </c>
      <c r="L446" s="2" t="inlineStr">
        <is>
          <t>Celda heredada FP-180 (2026-09-16): el valor 1 proviene de la investigacion del escenario E1 y no cuenta con evidencia propia de E6. Segun FP-177 el indicador AD1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447">
      <c r="A447" t="inlineStr">
        <is>
          <t>E6</t>
        </is>
      </c>
      <c r="B447" t="inlineStr">
        <is>
          <t>Cloud nativa</t>
        </is>
      </c>
      <c r="C447" t="inlineStr">
        <is>
          <t>Google Cloud FinOps Hub</t>
        </is>
      </c>
      <c r="D447" t="inlineStr">
        <is>
          <t>Adopcion</t>
        </is>
      </c>
      <c r="E447" t="inlineStr">
        <is>
          <t>AD2</t>
        </is>
      </c>
      <c r="F447" s="2" t="inlineStr">
        <is>
          <t>¿Ofrece guías, ownership o mecanismos de seguimiento para uso sostenido?</t>
        </is>
      </c>
      <c r="G447" t="n">
        <v>2</v>
      </c>
      <c r="H447" t="inlineStr">
        <is>
          <t>Oficial (candidato a 3 si se corrobora con una segunda fuente independiente o verificación práctica)</t>
        </is>
      </c>
      <c r="I447" s="2" t="inlineStr">
        <is>
          <t>El "FinOps score" mide explícitamente qué tan bien la organización usa las herramientas de monitoreo/ahorro de Google Cloud (etiquetado, automatización, compra de CUDs), acercándose a una medición integrada de adopción.</t>
        </is>
      </c>
      <c r="J447" t="inlineStr">
        <is>
          <t>https://docs.cloud.google.com/billing/docs/how-to/finops-hub</t>
        </is>
      </c>
      <c r="K447" t="inlineStr">
        <is>
          <t>2026-09-16</t>
        </is>
      </c>
      <c r="L447" s="2" t="inlineStr"/>
    </row>
    <row r="448">
      <c r="A448" t="inlineStr">
        <is>
          <t>E6</t>
        </is>
      </c>
      <c r="B448" t="inlineStr">
        <is>
          <t>Cloud nativa</t>
        </is>
      </c>
      <c r="C448" t="inlineStr">
        <is>
          <t>Google Cloud FinOps Hub</t>
        </is>
      </c>
      <c r="D448" t="inlineStr">
        <is>
          <t>Precio</t>
        </is>
      </c>
      <c r="E448" t="inlineStr">
        <is>
          <t>P1</t>
        </is>
      </c>
      <c r="F448" s="2" t="inlineStr">
        <is>
          <t>¿Expone precio, moneda, región, unidad, período y supuestos relevantes?</t>
        </is>
      </c>
      <c r="G448" t="n">
        <v>0</v>
      </c>
      <c r="H448" t="inlineStr">
        <is>
          <t>Oficial (ausencia verificada)</t>
        </is>
      </c>
      <c r="I448" s="2" t="inlineStr">
        <is>
          <t>No es una herramienta de transparencia de precio general (esa función es de Cloud Billing Reports/export).</t>
        </is>
      </c>
      <c r="J448" t="inlineStr">
        <is>
          <t>https://docs.cloud.google.com/billing/docs/how-to/finops-hub</t>
        </is>
      </c>
      <c r="K448" t="inlineStr">
        <is>
          <t>2026-09-16</t>
        </is>
      </c>
      <c r="L44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449">
      <c r="A449" t="inlineStr">
        <is>
          <t>E6</t>
        </is>
      </c>
      <c r="B449" t="inlineStr">
        <is>
          <t>Cloud nativa</t>
        </is>
      </c>
      <c r="C449" t="inlineStr">
        <is>
          <t>Google Cloud FinOps Hub</t>
        </is>
      </c>
      <c r="D449" t="inlineStr">
        <is>
          <t>Precio</t>
        </is>
      </c>
      <c r="E449" t="inlineStr">
        <is>
          <t>P2</t>
        </is>
      </c>
      <c r="F449" s="2" t="inlineStr">
        <is>
          <t>¿Permite estimar o comparar componentes sin ocultar límites de equivalencia?</t>
        </is>
      </c>
      <c r="G449" t="n">
        <v>0</v>
      </c>
      <c r="H449" t="inlineStr">
        <is>
          <t>Oficial (ausencia verificada)</t>
        </is>
      </c>
      <c r="I449" s="2" t="inlineStr">
        <is>
          <t>No es una calculadora de estimación de componentes (esa función es de Google Cloud Pricing Calculator, evaluada aparte en E4).</t>
        </is>
      </c>
      <c r="J449" t="inlineStr">
        <is>
          <t>https://docs.cloud.google.com/billing/docs/how-to/finops-hub</t>
        </is>
      </c>
      <c r="K449" t="inlineStr">
        <is>
          <t>2026-09-16</t>
        </is>
      </c>
      <c r="L44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 | Celda heredada FP-180 (2026-09-16): el valor 0 proviene de la investigacion del escenario E1 y no cuenta con evidencia propia de E6. Segun FP-177 el indicador P2 depende del escenario, por lo que pasa a NE (no evidenciado, reduce cobertura) hasta investigarlo. La evidencia y la fuente originales se conservan como referencia del escenario de origen.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450">
      <c r="A450" t="inlineStr">
        <is>
          <t>E6</t>
        </is>
      </c>
      <c r="B450" t="inlineStr">
        <is>
          <t>Cloud nativa</t>
        </is>
      </c>
      <c r="C450" t="inlineStr">
        <is>
          <t>Google Cloud FinOps Hub</t>
        </is>
      </c>
      <c r="D450" t="inlineStr">
        <is>
          <t>Dependencia</t>
        </is>
      </c>
      <c r="E450" t="inlineStr">
        <is>
          <t>D1</t>
        </is>
      </c>
      <c r="F450" s="2" t="inlineStr">
        <is>
          <t>¿Exporta datos/resultados en formato utilizable y documentado?</t>
        </is>
      </c>
      <c r="G450" t="inlineStr">
        <is>
          <t>NE</t>
        </is>
      </c>
      <c r="H450" t="inlineStr">
        <is>
          <t>Pendiente</t>
        </is>
      </c>
      <c r="I450" s="2" t="inlineStr">
        <is>
          <t>No es la fuente primaria de exportación de datos de costo/uso (esa función es del export de Cloud Billing, evaluada aparte); simplificación de alcance para evitar doble conteo.</t>
        </is>
      </c>
      <c r="J450" t="inlineStr">
        <is>
          <t>https://docs.cloud.google.com/billing/docs/how-to/finops-hub</t>
        </is>
      </c>
      <c r="K450" t="inlineStr">
        <is>
          <t>2026-09-16</t>
        </is>
      </c>
      <c r="L450"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51">
      <c r="A451" t="inlineStr">
        <is>
          <t>E6</t>
        </is>
      </c>
      <c r="B451" t="inlineStr">
        <is>
          <t>Cloud nativa</t>
        </is>
      </c>
      <c r="C451" t="inlineStr">
        <is>
          <t>Google Cloud FinOps Hub</t>
        </is>
      </c>
      <c r="D451" t="inlineStr">
        <is>
          <t>Dependencia</t>
        </is>
      </c>
      <c r="E451" t="inlineStr">
        <is>
          <t>D2</t>
        </is>
      </c>
      <c r="F451" s="2" t="inlineStr">
        <is>
          <t>¿Documenta dependencias propietarias y un camino de salida/configuración reversible?</t>
        </is>
      </c>
      <c r="G451" t="inlineStr">
        <is>
          <t>NE</t>
        </is>
      </c>
      <c r="H451" t="inlineStr">
        <is>
          <t>Pendiente</t>
        </is>
      </c>
      <c r="I451" s="2" t="inlineStr">
        <is>
          <t>Mismo alcance de diseño que D1.</t>
        </is>
      </c>
      <c r="J451" t="inlineStr">
        <is>
          <t>https://docs.cloud.google.com/billing/docs/how-to/finops-hub</t>
        </is>
      </c>
      <c r="K451" t="inlineStr">
        <is>
          <t>2026-09-16</t>
        </is>
      </c>
      <c r="L451" s="2" t="inlineStr">
        <is>
          <t>Corrección de alcance FP-180 (2026-09-16): el valor pasa de NA a NE. La justificación es una decisión de alcance del evaluador para evitar doble conteo entre productos del mismo proveedor, no una propiedad verificada del producto: se marca NE hasta investigarlo. La evidencia y la fuente originales no se modifican.</t>
        </is>
      </c>
    </row>
    <row r="452">
      <c r="A452" t="inlineStr">
        <is>
          <t>E1</t>
        </is>
      </c>
      <c r="B452" t="inlineStr">
        <is>
          <t>Multicloud</t>
        </is>
      </c>
      <c r="C452" t="inlineStr">
        <is>
          <t>Cloudability</t>
        </is>
      </c>
      <c r="D452" t="inlineStr">
        <is>
          <t>Visibilidad</t>
        </is>
      </c>
      <c r="E452" t="inlineStr">
        <is>
          <t>V1</t>
        </is>
      </c>
      <c r="F452" s="2" t="inlineStr">
        <is>
          <t>¿Desagrega costo y uso por cuenta/proyecto, servicio y período?</t>
        </is>
      </c>
      <c r="G452" t="n">
        <v>1</v>
      </c>
      <c r="H452" t="inlineStr">
        <is>
          <t>Comercial</t>
        </is>
      </c>
      <c r="I452"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452" t="inlineStr">
        <is>
          <t>https://www.apptio.com/products/cloudability/</t>
        </is>
      </c>
      <c r="K452" t="inlineStr">
        <is>
          <t>2026-09-16</t>
        </is>
      </c>
      <c r="L45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453">
      <c r="A453" t="inlineStr">
        <is>
          <t>E1</t>
        </is>
      </c>
      <c r="B453" t="inlineStr">
        <is>
          <t>Multicloud</t>
        </is>
      </c>
      <c r="C453" t="inlineStr">
        <is>
          <t>Cloudability</t>
        </is>
      </c>
      <c r="D453" t="inlineStr">
        <is>
          <t>Visibilidad</t>
        </is>
      </c>
      <c r="E453" t="inlineStr">
        <is>
          <t>V2</t>
        </is>
      </c>
      <c r="F453" s="2" t="inlineStr">
        <is>
          <t>¿Permite rastrear un total hasta registros o fuente de facturación?</t>
        </is>
      </c>
      <c r="G453" t="inlineStr">
        <is>
          <t>NE</t>
        </is>
      </c>
      <c r="H453" t="inlineStr">
        <is>
          <t>Pendiente</t>
        </is>
      </c>
      <c r="I453" s="2" t="inlineStr">
        <is>
          <t>No se encontró evidencia (ni siquiera comercial) de una función específica de trazabilidad a factura/registro fuente en las páginas accesibles.</t>
        </is>
      </c>
      <c r="K453" t="inlineStr">
        <is>
          <t>2026-09-16</t>
        </is>
      </c>
      <c r="L45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4">
      <c r="A454" t="inlineStr">
        <is>
          <t>E1</t>
        </is>
      </c>
      <c r="B454" t="inlineStr">
        <is>
          <t>Multicloud</t>
        </is>
      </c>
      <c r="C454" t="inlineStr">
        <is>
          <t>Cloudability</t>
        </is>
      </c>
      <c r="D454" t="inlineStr">
        <is>
          <t>Asignacion</t>
        </is>
      </c>
      <c r="E454" t="inlineStr">
        <is>
          <t>A1</t>
        </is>
      </c>
      <c r="F454" s="2" t="inlineStr">
        <is>
          <t>¿Calcula gasto asignado/no asignado por responsable, centro o entidad?</t>
        </is>
      </c>
      <c r="G454" t="n">
        <v>1</v>
      </c>
      <c r="H454" t="inlineStr">
        <is>
          <t>Comercial</t>
        </is>
      </c>
      <c r="I454" s="2" t="inlineStr">
        <is>
          <t>"Business Mapping" categoriza el gasto a la taxonomía de negocio y habilita chargeback/showback (incluye integración con ServiceNow); única evidencia disponible es comercial.</t>
        </is>
      </c>
      <c r="J454" t="inlineStr">
        <is>
          <t>https://www.apptio.com/products/cloudability/business-mapping/</t>
        </is>
      </c>
      <c r="K454" t="inlineStr">
        <is>
          <t>2026-09-16</t>
        </is>
      </c>
      <c r="L45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455">
      <c r="A455" t="inlineStr">
        <is>
          <t>E1</t>
        </is>
      </c>
      <c r="B455" t="inlineStr">
        <is>
          <t>Multicloud</t>
        </is>
      </c>
      <c r="C455" t="inlineStr">
        <is>
          <t>Cloudability</t>
        </is>
      </c>
      <c r="D455" t="inlineStr">
        <is>
          <t>Asignacion</t>
        </is>
      </c>
      <c r="E455" t="inlineStr">
        <is>
          <t>A2</t>
        </is>
      </c>
      <c r="F455" s="2" t="inlineStr">
        <is>
          <t>¿Explicita y aplica reglas para costo compartido/multi-tenant?</t>
        </is>
      </c>
      <c r="G455" t="n">
        <v>1</v>
      </c>
      <c r="H455" t="inlineStr">
        <is>
          <t>Comercial</t>
        </is>
      </c>
      <c r="I455" s="2" t="inlineStr">
        <is>
          <t>Business Mapping usa "sophisticated and nested evaluation criteria" para clasificar costo compartido a unidades de negocio; única evidencia disponible es comercial (no se verificó si el reparto es porcentual/reproducible).</t>
        </is>
      </c>
      <c r="J455" t="inlineStr">
        <is>
          <t>https://www.apptio.com/products/cloudability/business-mapping/</t>
        </is>
      </c>
      <c r="K455" t="inlineStr">
        <is>
          <t>2026-09-16</t>
        </is>
      </c>
      <c r="L45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A2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456">
      <c r="A456" t="inlineStr">
        <is>
          <t>E1</t>
        </is>
      </c>
      <c r="B456" t="inlineStr">
        <is>
          <t>Multicloud</t>
        </is>
      </c>
      <c r="C456" t="inlineStr">
        <is>
          <t>Cloudability</t>
        </is>
      </c>
      <c r="D456" t="inlineStr">
        <is>
          <t>Optimizacion</t>
        </is>
      </c>
      <c r="E456" t="inlineStr">
        <is>
          <t>O1</t>
        </is>
      </c>
      <c r="F456" s="2" t="inlineStr">
        <is>
          <t>¿Detecta desperdicio, rightsizing o compromiso relevante al escenario?</t>
        </is>
      </c>
      <c r="G456" t="n">
        <v>1</v>
      </c>
      <c r="H456" t="inlineStr">
        <is>
          <t>Comercial</t>
        </is>
      </c>
      <c r="I456" s="2" t="inlineStr">
        <is>
          <t>Rightsizing ofrece recomendaciones de "scale up, scale down and terminate" basadas en datos de observabilidad; única evidencia disponible es comercial (no se identificaron los proveedores cloud cubiertos).</t>
        </is>
      </c>
      <c r="J456" t="inlineStr">
        <is>
          <t>https://www.apptio.com/products/cloudability/rightsizing/</t>
        </is>
      </c>
      <c r="K456" t="inlineStr">
        <is>
          <t>2026-09-16</t>
        </is>
      </c>
      <c r="L45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457">
      <c r="A457" t="inlineStr">
        <is>
          <t>E1</t>
        </is>
      </c>
      <c r="B457" t="inlineStr">
        <is>
          <t>Multicloud</t>
        </is>
      </c>
      <c r="C457" t="inlineStr">
        <is>
          <t>Cloudability</t>
        </is>
      </c>
      <c r="D457" t="inlineStr">
        <is>
          <t>Optimizacion</t>
        </is>
      </c>
      <c r="E457" t="inlineStr">
        <is>
          <t>O2</t>
        </is>
      </c>
      <c r="F457" s="2" t="inlineStr">
        <is>
          <t>¿Explica supuesto/impacto y permite seguir una recomendación?</t>
        </is>
      </c>
      <c r="G457" t="n">
        <v>1</v>
      </c>
      <c r="H457" t="inlineStr">
        <is>
          <t>Comercial</t>
        </is>
      </c>
      <c r="I457" s="2" t="inlineStr">
        <is>
          <t>La página comercial menciona "progress and implementation tracking" para estimar el ROI real, pero sin detalle verificable; única evidencia es comercial.</t>
        </is>
      </c>
      <c r="J457" t="inlineStr">
        <is>
          <t>https://www.apptio.com/products/cloudability/rightsizing/</t>
        </is>
      </c>
      <c r="K457" t="inlineStr">
        <is>
          <t>2026-09-16</t>
        </is>
      </c>
      <c r="L45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8">
      <c r="A458" t="inlineStr">
        <is>
          <t>E1</t>
        </is>
      </c>
      <c r="B458" t="inlineStr">
        <is>
          <t>Multicloud</t>
        </is>
      </c>
      <c r="C458" t="inlineStr">
        <is>
          <t>Cloudability</t>
        </is>
      </c>
      <c r="D458" t="inlineStr">
        <is>
          <t>Automatizacion</t>
        </is>
      </c>
      <c r="E458" t="inlineStr">
        <is>
          <t>AU1</t>
        </is>
      </c>
      <c r="F458" s="2" t="inlineStr">
        <is>
          <t>¿Ejecuta o bloquea acciones/políticas de costo con control verificable?</t>
        </is>
      </c>
      <c r="G458" t="inlineStr">
        <is>
          <t>NE</t>
        </is>
      </c>
      <c r="H458" t="inlineStr">
        <is>
          <t>Pendiente</t>
        </is>
      </c>
      <c r="I458" s="2" t="inlineStr">
        <is>
          <t>No se encontró evidencia de ejecución/control automatizado de acciones de costo en las páginas comerciales accesibles; Rightsizing parece limitarse a recomendaciones con creación manual de tareas/Jira.</t>
        </is>
      </c>
      <c r="K458" t="inlineStr">
        <is>
          <t>2026-09-16</t>
        </is>
      </c>
      <c r="L45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59">
      <c r="A459" t="inlineStr">
        <is>
          <t>E1</t>
        </is>
      </c>
      <c r="B459" t="inlineStr">
        <is>
          <t>Multicloud</t>
        </is>
      </c>
      <c r="C459" t="inlineStr">
        <is>
          <t>Cloudability</t>
        </is>
      </c>
      <c r="D459" t="inlineStr">
        <is>
          <t>Automatizacion</t>
        </is>
      </c>
      <c r="E459" t="inlineStr">
        <is>
          <t>AU2</t>
        </is>
      </c>
      <c r="F459" s="2" t="inlineStr">
        <is>
          <t>¿Ofrece aprobación, reversión, registro o límites antes de actuar?</t>
        </is>
      </c>
      <c r="G459" t="inlineStr">
        <is>
          <t>NE</t>
        </is>
      </c>
      <c r="H459" t="inlineStr">
        <is>
          <t>Pendiente</t>
        </is>
      </c>
      <c r="I459" s="2" t="inlineStr">
        <is>
          <t>Mismo motivo que AU1: sin evidencia de un mecanismo de ejecución que requiera salvaguardas verificables.</t>
        </is>
      </c>
      <c r="K459" t="inlineStr">
        <is>
          <t>2026-09-16</t>
        </is>
      </c>
      <c r="L45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0">
      <c r="A460" t="inlineStr">
        <is>
          <t>E1</t>
        </is>
      </c>
      <c r="B460" t="inlineStr">
        <is>
          <t>Multicloud</t>
        </is>
      </c>
      <c r="C460" t="inlineStr">
        <is>
          <t>Cloudability</t>
        </is>
      </c>
      <c r="D460" t="inlineStr">
        <is>
          <t>Multicloud</t>
        </is>
      </c>
      <c r="E460" t="inlineStr">
        <is>
          <t>M1</t>
        </is>
      </c>
      <c r="F460" s="2" t="inlineStr">
        <is>
          <t>¿Consolida al menos dos proveedores bajo el mismo esquema declarado?</t>
        </is>
      </c>
      <c r="G460" t="n">
        <v>1</v>
      </c>
      <c r="H460" t="inlineStr">
        <is>
          <t>Comercial</t>
        </is>
      </c>
      <c r="I460"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460" t="inlineStr">
        <is>
          <t>https://www.apptio.com/products/cloudability/</t>
        </is>
      </c>
      <c r="K460" t="inlineStr">
        <is>
          <t>2026-09-16</t>
        </is>
      </c>
      <c r="L46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1">
      <c r="A461" t="inlineStr">
        <is>
          <t>E1</t>
        </is>
      </c>
      <c r="B461" t="inlineStr">
        <is>
          <t>Multicloud</t>
        </is>
      </c>
      <c r="C461" t="inlineStr">
        <is>
          <t>Cloudability</t>
        </is>
      </c>
      <c r="D461" t="inlineStr">
        <is>
          <t>Multicloud</t>
        </is>
      </c>
      <c r="E461" t="inlineStr">
        <is>
          <t>M2</t>
        </is>
      </c>
      <c r="F461" s="2" t="inlineStr">
        <is>
          <t>¿Hace visibles proveedor, cobertura y diferencias semánticas?</t>
        </is>
      </c>
      <c r="G461" t="inlineStr">
        <is>
          <t>NE</t>
        </is>
      </c>
      <c r="H461" t="inlineStr">
        <is>
          <t>Pendiente</t>
        </is>
      </c>
      <c r="I461" s="2" t="inlineStr">
        <is>
          <t>No se encontró evidencia de manejo explícito de diferencias/cobertura entre proveedores en las páginas accesibles.</t>
        </is>
      </c>
      <c r="K461" t="inlineStr">
        <is>
          <t>2026-09-16</t>
        </is>
      </c>
      <c r="L46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2">
      <c r="A462" t="inlineStr">
        <is>
          <t>E1</t>
        </is>
      </c>
      <c r="B462" t="inlineStr">
        <is>
          <t>Multicloud</t>
        </is>
      </c>
      <c r="C462" t="inlineStr">
        <is>
          <t>Cloudability</t>
        </is>
      </c>
      <c r="D462" t="inlineStr">
        <is>
          <t>Integracion</t>
        </is>
      </c>
      <c r="E462" t="inlineStr">
        <is>
          <t>I1</t>
        </is>
      </c>
      <c r="F462" s="2" t="inlineStr">
        <is>
          <t>¿Integra datos requeridos (facturación, uso, clúster o IaC) del escenario?</t>
        </is>
      </c>
      <c r="G462" t="n">
        <v>1</v>
      </c>
      <c r="H462" t="inlineStr">
        <is>
          <t>Comercial</t>
        </is>
      </c>
      <c r="I462" s="2" t="inlineStr">
        <is>
          <t>"Container Cost Allocation" ingiere datos de observabilidad de clústeres para alimentar los modelos de rightsizing; única evidencia disponible es comercial.</t>
        </is>
      </c>
      <c r="J462" t="inlineStr">
        <is>
          <t>https://www.apptio.com/products/cloudability/</t>
        </is>
      </c>
      <c r="K462" t="inlineStr">
        <is>
          <t>2026-09-16</t>
        </is>
      </c>
      <c r="L46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463">
      <c r="A463" t="inlineStr">
        <is>
          <t>E1</t>
        </is>
      </c>
      <c r="B463" t="inlineStr">
        <is>
          <t>Multicloud</t>
        </is>
      </c>
      <c r="C463" t="inlineStr">
        <is>
          <t>Cloudability</t>
        </is>
      </c>
      <c r="D463" t="inlineStr">
        <is>
          <t>Integracion</t>
        </is>
      </c>
      <c r="E463" t="inlineStr">
        <is>
          <t>I2</t>
        </is>
      </c>
      <c r="F463" s="2" t="inlineStr">
        <is>
          <t>¿Se integra con el flujo de trabajo relevante (alerta, ticket, CI/CD o reporte)?</t>
        </is>
      </c>
      <c r="G463" t="n">
        <v>1</v>
      </c>
      <c r="H463" t="inlineStr">
        <is>
          <t>Comercial</t>
        </is>
      </c>
      <c r="I463" s="2" t="inlineStr">
        <is>
          <t>Rightsizing permite "create embedded tasks or Jira issues directly from our rightsizing recommendations"; única evidencia disponible es comercial.</t>
        </is>
      </c>
      <c r="J463" t="inlineStr">
        <is>
          <t>https://www.apptio.com/products/cloudability/rightsizing/</t>
        </is>
      </c>
      <c r="K463" t="inlineStr">
        <is>
          <t>2026-09-16</t>
        </is>
      </c>
      <c r="L46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I2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464">
      <c r="A464" t="inlineStr">
        <is>
          <t>E1</t>
        </is>
      </c>
      <c r="B464" t="inlineStr">
        <is>
          <t>Multicloud</t>
        </is>
      </c>
      <c r="C464" t="inlineStr">
        <is>
          <t>Cloudability</t>
        </is>
      </c>
      <c r="D464" t="inlineStr">
        <is>
          <t>Adopcion</t>
        </is>
      </c>
      <c r="E464" t="inlineStr">
        <is>
          <t>AD1</t>
        </is>
      </c>
      <c r="F464" s="2" t="inlineStr">
        <is>
          <t>¿Soporta acceso/entrega para los roles del escenario?</t>
        </is>
      </c>
      <c r="G464" t="n">
        <v>1</v>
      </c>
      <c r="H464" t="inlineStr">
        <is>
          <t>Comercial</t>
        </is>
      </c>
      <c r="I464" s="2" t="inlineStr">
        <is>
          <t>El producto se describe organizado por roles (FinOps, DevOps, IT Finance, Product, Leadership, Procurement) con "personalized Views"; única evidencia disponible es comercial.</t>
        </is>
      </c>
      <c r="J464" t="inlineStr">
        <is>
          <t>https://www.apptio.com/products/cloudability/</t>
        </is>
      </c>
      <c r="K464" t="inlineStr">
        <is>
          <t>2026-09-16</t>
        </is>
      </c>
      <c r="L46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E1. Segun FP-177 el indicador AD1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465">
      <c r="A465" t="inlineStr">
        <is>
          <t>E1</t>
        </is>
      </c>
      <c r="B465" t="inlineStr">
        <is>
          <t>Multicloud</t>
        </is>
      </c>
      <c r="C465" t="inlineStr">
        <is>
          <t>Cloudability</t>
        </is>
      </c>
      <c r="D465" t="inlineStr">
        <is>
          <t>Adopcion</t>
        </is>
      </c>
      <c r="E465" t="inlineStr">
        <is>
          <t>AD2</t>
        </is>
      </c>
      <c r="F465" s="2" t="inlineStr">
        <is>
          <t>¿Ofrece guías, ownership o mecanismos de seguimiento para uso sostenido?</t>
        </is>
      </c>
      <c r="G465" t="n">
        <v>1</v>
      </c>
      <c r="H465" t="inlineStr">
        <is>
          <t>Comercial</t>
        </is>
      </c>
      <c r="I465" s="2" t="inlineStr">
        <is>
          <t>Business Mapping aplica "governance rules to meet compliance requirements"; única evidencia disponible es comercial.</t>
        </is>
      </c>
      <c r="J465" t="inlineStr">
        <is>
          <t>https://www.apptio.com/products/cloudability/business-mapping/</t>
        </is>
      </c>
      <c r="K465" t="inlineStr">
        <is>
          <t>2026-09-16</t>
        </is>
      </c>
      <c r="L46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6">
      <c r="A466" t="inlineStr">
        <is>
          <t>E1</t>
        </is>
      </c>
      <c r="B466" t="inlineStr">
        <is>
          <t>Multicloud</t>
        </is>
      </c>
      <c r="C466" t="inlineStr">
        <is>
          <t>Cloudability</t>
        </is>
      </c>
      <c r="D466" t="inlineStr">
        <is>
          <t>Precio</t>
        </is>
      </c>
      <c r="E466" t="inlineStr">
        <is>
          <t>P1</t>
        </is>
      </c>
      <c r="F466" s="2" t="inlineStr">
        <is>
          <t>¿Expone precio, moneda, región, unidad, período y supuestos relevantes?</t>
        </is>
      </c>
      <c r="G466" t="inlineStr">
        <is>
          <t>NE</t>
        </is>
      </c>
      <c r="H466" t="inlineStr">
        <is>
          <t>Pendiente</t>
        </is>
      </c>
      <c r="I466" s="2" t="inlineStr">
        <is>
          <t>No se encontró evidencia de transparencia de precio/supuestos (moneda, región, período) en las páginas comerciales accesibles.</t>
        </is>
      </c>
      <c r="K466" t="inlineStr">
        <is>
          <t>2026-09-16</t>
        </is>
      </c>
      <c r="L46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7">
      <c r="A467" t="inlineStr">
        <is>
          <t>E1</t>
        </is>
      </c>
      <c r="B467" t="inlineStr">
        <is>
          <t>Multicloud</t>
        </is>
      </c>
      <c r="C467" t="inlineStr">
        <is>
          <t>Cloudability</t>
        </is>
      </c>
      <c r="D467" t="inlineStr">
        <is>
          <t>Precio</t>
        </is>
      </c>
      <c r="E467" t="inlineStr">
        <is>
          <t>P2</t>
        </is>
      </c>
      <c r="F467" s="2" t="inlineStr">
        <is>
          <t>¿Permite estimar o comparar componentes sin ocultar límites de equivalencia?</t>
        </is>
      </c>
      <c r="G467" t="inlineStr">
        <is>
          <t>NE</t>
        </is>
      </c>
      <c r="H467" t="inlineStr">
        <is>
          <t>Pendiente</t>
        </is>
      </c>
      <c r="I467" s="2" t="inlineStr">
        <is>
          <t>No se encontró evidencia de una función de comparación/estimación de precio contextual en las páginas accesibles.</t>
        </is>
      </c>
      <c r="K467" t="inlineStr">
        <is>
          <t>2026-09-16</t>
        </is>
      </c>
      <c r="L46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8">
      <c r="A468" t="inlineStr">
        <is>
          <t>E1</t>
        </is>
      </c>
      <c r="B468" t="inlineStr">
        <is>
          <t>Multicloud</t>
        </is>
      </c>
      <c r="C468" t="inlineStr">
        <is>
          <t>Cloudability</t>
        </is>
      </c>
      <c r="D468" t="inlineStr">
        <is>
          <t>Dependencia</t>
        </is>
      </c>
      <c r="E468" t="inlineStr">
        <is>
          <t>D1</t>
        </is>
      </c>
      <c r="F468" s="2" t="inlineStr">
        <is>
          <t>¿Exporta datos/resultados en formato utilizable y documentado?</t>
        </is>
      </c>
      <c r="G468" t="inlineStr">
        <is>
          <t>NE</t>
        </is>
      </c>
      <c r="H468" t="inlineStr">
        <is>
          <t>Pendiente</t>
        </is>
      </c>
      <c r="I468" s="2" t="inlineStr">
        <is>
          <t>No se encontró evidencia específica de exportación/API de datos en las páginas comerciales accesibles.</t>
        </is>
      </c>
      <c r="K468" t="inlineStr">
        <is>
          <t>2026-09-16</t>
        </is>
      </c>
      <c r="L46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69">
      <c r="A469" t="inlineStr">
        <is>
          <t>E1</t>
        </is>
      </c>
      <c r="B469" t="inlineStr">
        <is>
          <t>Multicloud</t>
        </is>
      </c>
      <c r="C469" t="inlineStr">
        <is>
          <t>Cloudability</t>
        </is>
      </c>
      <c r="D469" t="inlineStr">
        <is>
          <t>Dependencia</t>
        </is>
      </c>
      <c r="E469" t="inlineStr">
        <is>
          <t>D2</t>
        </is>
      </c>
      <c r="F469" s="2" t="inlineStr">
        <is>
          <t>¿Documenta dependencias propietarias y un camino de salida/configuración reversible?</t>
        </is>
      </c>
      <c r="G469" t="inlineStr">
        <is>
          <t>NE</t>
        </is>
      </c>
      <c r="H469" t="inlineStr">
        <is>
          <t>Pendiente</t>
        </is>
      </c>
      <c r="I469" s="2" t="inlineStr">
        <is>
          <t>No se encontró documentación sobre un camino de salida o reversibilidad.</t>
        </is>
      </c>
      <c r="K469" t="inlineStr">
        <is>
          <t>2026-09-16</t>
        </is>
      </c>
      <c r="L46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0">
      <c r="A470" t="inlineStr">
        <is>
          <t>E2</t>
        </is>
      </c>
      <c r="B470" t="inlineStr">
        <is>
          <t>Multicloud</t>
        </is>
      </c>
      <c r="C470" t="inlineStr">
        <is>
          <t>Cloudability</t>
        </is>
      </c>
      <c r="D470" t="inlineStr">
        <is>
          <t>Visibilidad</t>
        </is>
      </c>
      <c r="E470" t="inlineStr">
        <is>
          <t>V1</t>
        </is>
      </c>
      <c r="F470" s="2" t="inlineStr">
        <is>
          <t>¿Desagrega costo y uso por cuenta/proyecto, servicio y período?</t>
        </is>
      </c>
      <c r="G470" t="n">
        <v>1</v>
      </c>
      <c r="H470" t="inlineStr">
        <is>
          <t>Comercial</t>
        </is>
      </c>
      <c r="I470"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470" t="inlineStr">
        <is>
          <t>https://www.apptio.com/products/cloudability/</t>
        </is>
      </c>
      <c r="K470" t="inlineStr">
        <is>
          <t>2026-09-16</t>
        </is>
      </c>
      <c r="L47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1">
      <c r="A471" t="inlineStr">
        <is>
          <t>E2</t>
        </is>
      </c>
      <c r="B471" t="inlineStr">
        <is>
          <t>Multicloud</t>
        </is>
      </c>
      <c r="C471" t="inlineStr">
        <is>
          <t>Cloudability</t>
        </is>
      </c>
      <c r="D471" t="inlineStr">
        <is>
          <t>Visibilidad</t>
        </is>
      </c>
      <c r="E471" t="inlineStr">
        <is>
          <t>V2</t>
        </is>
      </c>
      <c r="F471" s="2" t="inlineStr">
        <is>
          <t>¿Permite rastrear un total hasta registros o fuente de facturación?</t>
        </is>
      </c>
      <c r="G471" t="inlineStr">
        <is>
          <t>NE</t>
        </is>
      </c>
      <c r="H471" t="inlineStr">
        <is>
          <t>Pendiente</t>
        </is>
      </c>
      <c r="I471" s="2" t="inlineStr">
        <is>
          <t>No se encontró evidencia (ni siquiera comercial) de una función específica de trazabilidad a factura/registro fuente en las páginas accesibles.</t>
        </is>
      </c>
      <c r="K471" t="inlineStr">
        <is>
          <t>2026-09-16</t>
        </is>
      </c>
      <c r="L47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2">
      <c r="A472" t="inlineStr">
        <is>
          <t>E2</t>
        </is>
      </c>
      <c r="B472" t="inlineStr">
        <is>
          <t>Multicloud</t>
        </is>
      </c>
      <c r="C472" t="inlineStr">
        <is>
          <t>Cloudability</t>
        </is>
      </c>
      <c r="D472" t="inlineStr">
        <is>
          <t>Asignacion</t>
        </is>
      </c>
      <c r="E472" t="inlineStr">
        <is>
          <t>A1</t>
        </is>
      </c>
      <c r="F472" s="2" t="inlineStr">
        <is>
          <t>¿Calcula gasto asignado/no asignado por responsable, centro o entidad?</t>
        </is>
      </c>
      <c r="G472" t="n">
        <v>1</v>
      </c>
      <c r="H472" t="inlineStr">
        <is>
          <t>Comercial</t>
        </is>
      </c>
      <c r="I472" s="2" t="inlineStr">
        <is>
          <t>"Business Mapping" categoriza el gasto a la taxonomía de negocio y habilita chargeback/showback (incluye integración con ServiceNow); única evidencia disponible es comercial.</t>
        </is>
      </c>
      <c r="J472" t="inlineStr">
        <is>
          <t>https://www.apptio.com/products/cloudability/business-mapping/</t>
        </is>
      </c>
      <c r="K472" t="inlineStr">
        <is>
          <t>2026-09-16</t>
        </is>
      </c>
      <c r="L47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3">
      <c r="A473" t="inlineStr">
        <is>
          <t>E2</t>
        </is>
      </c>
      <c r="B473" t="inlineStr">
        <is>
          <t>Multicloud</t>
        </is>
      </c>
      <c r="C473" t="inlineStr">
        <is>
          <t>Cloudability</t>
        </is>
      </c>
      <c r="D473" t="inlineStr">
        <is>
          <t>Asignacion</t>
        </is>
      </c>
      <c r="E473" t="inlineStr">
        <is>
          <t>A2</t>
        </is>
      </c>
      <c r="F473" s="2" t="inlineStr">
        <is>
          <t>¿Explicita y aplica reglas para costo compartido/multi-tenant?</t>
        </is>
      </c>
      <c r="G473" t="n">
        <v>1</v>
      </c>
      <c r="H473" t="inlineStr">
        <is>
          <t>Comercial</t>
        </is>
      </c>
      <c r="I473" s="2" t="inlineStr">
        <is>
          <t>Business Mapping usa "sophisticated and nested evaluation criteria" para clasificar costo compartido a unidades de negocio; única evidencia disponible es comercial (no se verificó si el reparto es porcentual/reproducible).</t>
        </is>
      </c>
      <c r="J473" t="inlineStr">
        <is>
          <t>https://www.apptio.com/products/cloudability/business-mapping/</t>
        </is>
      </c>
      <c r="K473" t="inlineStr">
        <is>
          <t>2026-09-16</t>
        </is>
      </c>
      <c r="L47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4">
      <c r="A474" t="inlineStr">
        <is>
          <t>E2</t>
        </is>
      </c>
      <c r="B474" t="inlineStr">
        <is>
          <t>Multicloud</t>
        </is>
      </c>
      <c r="C474" t="inlineStr">
        <is>
          <t>Cloudability</t>
        </is>
      </c>
      <c r="D474" t="inlineStr">
        <is>
          <t>Optimizacion</t>
        </is>
      </c>
      <c r="E474" t="inlineStr">
        <is>
          <t>O1</t>
        </is>
      </c>
      <c r="F474" s="2" t="inlineStr">
        <is>
          <t>¿Detecta desperdicio, rightsizing o compromiso relevante al escenario?</t>
        </is>
      </c>
      <c r="G474" t="n">
        <v>1</v>
      </c>
      <c r="H474" t="inlineStr">
        <is>
          <t>Comercial</t>
        </is>
      </c>
      <c r="I474" s="2" t="inlineStr">
        <is>
          <t>Rightsizing ofrece recomendaciones de "scale up, scale down and terminate" basadas en datos de observabilidad; única evidencia disponible es comercial (no se identificaron los proveedores cloud cubiertos).</t>
        </is>
      </c>
      <c r="J474" t="inlineStr">
        <is>
          <t>https://www.apptio.com/products/cloudability/rightsizing/</t>
        </is>
      </c>
      <c r="K474" t="inlineStr">
        <is>
          <t>2026-09-16</t>
        </is>
      </c>
      <c r="L47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5">
      <c r="A475" t="inlineStr">
        <is>
          <t>E2</t>
        </is>
      </c>
      <c r="B475" t="inlineStr">
        <is>
          <t>Multicloud</t>
        </is>
      </c>
      <c r="C475" t="inlineStr">
        <is>
          <t>Cloudability</t>
        </is>
      </c>
      <c r="D475" t="inlineStr">
        <is>
          <t>Optimizacion</t>
        </is>
      </c>
      <c r="E475" t="inlineStr">
        <is>
          <t>O2</t>
        </is>
      </c>
      <c r="F475" s="2" t="inlineStr">
        <is>
          <t>¿Explica supuesto/impacto y permite seguir una recomendación?</t>
        </is>
      </c>
      <c r="G475" t="n">
        <v>1</v>
      </c>
      <c r="H475" t="inlineStr">
        <is>
          <t>Comercial</t>
        </is>
      </c>
      <c r="I475" s="2" t="inlineStr">
        <is>
          <t>La página comercial menciona "progress and implementation tracking" para estimar el ROI real, pero sin detalle verificable; única evidencia es comercial.</t>
        </is>
      </c>
      <c r="J475" t="inlineStr">
        <is>
          <t>https://www.apptio.com/products/cloudability/rightsizing/</t>
        </is>
      </c>
      <c r="K475" t="inlineStr">
        <is>
          <t>2026-09-16</t>
        </is>
      </c>
      <c r="L47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6">
      <c r="A476" t="inlineStr">
        <is>
          <t>E2</t>
        </is>
      </c>
      <c r="B476" t="inlineStr">
        <is>
          <t>Multicloud</t>
        </is>
      </c>
      <c r="C476" t="inlineStr">
        <is>
          <t>Cloudability</t>
        </is>
      </c>
      <c r="D476" t="inlineStr">
        <is>
          <t>Automatizacion</t>
        </is>
      </c>
      <c r="E476" t="inlineStr">
        <is>
          <t>AU1</t>
        </is>
      </c>
      <c r="F476" s="2" t="inlineStr">
        <is>
          <t>¿Ejecuta o bloquea acciones/políticas de costo con control verificable?</t>
        </is>
      </c>
      <c r="G476" t="inlineStr">
        <is>
          <t>NE</t>
        </is>
      </c>
      <c r="H476" t="inlineStr">
        <is>
          <t>Pendiente</t>
        </is>
      </c>
      <c r="I476" s="2" t="inlineStr">
        <is>
          <t>No se encontró evidencia de ejecución/control automatizado de acciones de costo en las páginas comerciales accesibles; Rightsizing parece limitarse a recomendaciones con creación manual de tareas/Jira.</t>
        </is>
      </c>
      <c r="K476" t="inlineStr">
        <is>
          <t>2026-09-16</t>
        </is>
      </c>
      <c r="L47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7">
      <c r="A477" t="inlineStr">
        <is>
          <t>E2</t>
        </is>
      </c>
      <c r="B477" t="inlineStr">
        <is>
          <t>Multicloud</t>
        </is>
      </c>
      <c r="C477" t="inlineStr">
        <is>
          <t>Cloudability</t>
        </is>
      </c>
      <c r="D477" t="inlineStr">
        <is>
          <t>Automatizacion</t>
        </is>
      </c>
      <c r="E477" t="inlineStr">
        <is>
          <t>AU2</t>
        </is>
      </c>
      <c r="F477" s="2" t="inlineStr">
        <is>
          <t>¿Ofrece aprobación, reversión, registro o límites antes de actuar?</t>
        </is>
      </c>
      <c r="G477" t="inlineStr">
        <is>
          <t>NE</t>
        </is>
      </c>
      <c r="H477" t="inlineStr">
        <is>
          <t>Pendiente</t>
        </is>
      </c>
      <c r="I477" s="2" t="inlineStr">
        <is>
          <t>Mismo motivo que AU1: sin evidencia de un mecanismo de ejecución que requiera salvaguardas verificables.</t>
        </is>
      </c>
      <c r="K477" t="inlineStr">
        <is>
          <t>2026-09-16</t>
        </is>
      </c>
      <c r="L47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8">
      <c r="A478" t="inlineStr">
        <is>
          <t>E2</t>
        </is>
      </c>
      <c r="B478" t="inlineStr">
        <is>
          <t>Multicloud</t>
        </is>
      </c>
      <c r="C478" t="inlineStr">
        <is>
          <t>Cloudability</t>
        </is>
      </c>
      <c r="D478" t="inlineStr">
        <is>
          <t>Multicloud</t>
        </is>
      </c>
      <c r="E478" t="inlineStr">
        <is>
          <t>M1</t>
        </is>
      </c>
      <c r="F478" s="2" t="inlineStr">
        <is>
          <t>¿Consolida al menos dos proveedores bajo el mismo esquema declarado?</t>
        </is>
      </c>
      <c r="G478" t="n">
        <v>1</v>
      </c>
      <c r="H478" t="inlineStr">
        <is>
          <t>Comercial</t>
        </is>
      </c>
      <c r="I478"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478" t="inlineStr">
        <is>
          <t>https://www.apptio.com/products/cloudability/</t>
        </is>
      </c>
      <c r="K478" t="inlineStr">
        <is>
          <t>2026-09-16</t>
        </is>
      </c>
      <c r="L47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79">
      <c r="A479" t="inlineStr">
        <is>
          <t>E2</t>
        </is>
      </c>
      <c r="B479" t="inlineStr">
        <is>
          <t>Multicloud</t>
        </is>
      </c>
      <c r="C479" t="inlineStr">
        <is>
          <t>Cloudability</t>
        </is>
      </c>
      <c r="D479" t="inlineStr">
        <is>
          <t>Multicloud</t>
        </is>
      </c>
      <c r="E479" t="inlineStr">
        <is>
          <t>M2</t>
        </is>
      </c>
      <c r="F479" s="2" t="inlineStr">
        <is>
          <t>¿Hace visibles proveedor, cobertura y diferencias semánticas?</t>
        </is>
      </c>
      <c r="G479" t="inlineStr">
        <is>
          <t>NE</t>
        </is>
      </c>
      <c r="H479" t="inlineStr">
        <is>
          <t>Pendiente</t>
        </is>
      </c>
      <c r="I479" s="2" t="inlineStr">
        <is>
          <t>No se encontró evidencia de manejo explícito de diferencias/cobertura entre proveedores en las páginas accesibles.</t>
        </is>
      </c>
      <c r="K479" t="inlineStr">
        <is>
          <t>2026-09-16</t>
        </is>
      </c>
      <c r="L47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0">
      <c r="A480" t="inlineStr">
        <is>
          <t>E2</t>
        </is>
      </c>
      <c r="B480" t="inlineStr">
        <is>
          <t>Multicloud</t>
        </is>
      </c>
      <c r="C480" t="inlineStr">
        <is>
          <t>Cloudability</t>
        </is>
      </c>
      <c r="D480" t="inlineStr">
        <is>
          <t>Integracion</t>
        </is>
      </c>
      <c r="E480" t="inlineStr">
        <is>
          <t>I1</t>
        </is>
      </c>
      <c r="F480" s="2" t="inlineStr">
        <is>
          <t>¿Integra datos requeridos (facturación, uso, clúster o IaC) del escenario?</t>
        </is>
      </c>
      <c r="G480" t="n">
        <v>1</v>
      </c>
      <c r="H480" t="inlineStr">
        <is>
          <t>Comercial</t>
        </is>
      </c>
      <c r="I480" s="2" t="inlineStr">
        <is>
          <t>"Container Cost Allocation" ingiere datos de observabilidad de clústeres para alimentar los modelos de rightsizing; única evidencia disponible es comercial.</t>
        </is>
      </c>
      <c r="J480" t="inlineStr">
        <is>
          <t>https://www.apptio.com/products/cloudability/</t>
        </is>
      </c>
      <c r="K480" t="inlineStr">
        <is>
          <t>2026-09-16</t>
        </is>
      </c>
      <c r="L48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1">
      <c r="A481" t="inlineStr">
        <is>
          <t>E2</t>
        </is>
      </c>
      <c r="B481" t="inlineStr">
        <is>
          <t>Multicloud</t>
        </is>
      </c>
      <c r="C481" t="inlineStr">
        <is>
          <t>Cloudability</t>
        </is>
      </c>
      <c r="D481" t="inlineStr">
        <is>
          <t>Integracion</t>
        </is>
      </c>
      <c r="E481" t="inlineStr">
        <is>
          <t>I2</t>
        </is>
      </c>
      <c r="F481" s="2" t="inlineStr">
        <is>
          <t>¿Se integra con el flujo de trabajo relevante (alerta, ticket, CI/CD o reporte)?</t>
        </is>
      </c>
      <c r="G481" t="n">
        <v>1</v>
      </c>
      <c r="H481" t="inlineStr">
        <is>
          <t>Comercial</t>
        </is>
      </c>
      <c r="I481" s="2" t="inlineStr">
        <is>
          <t>Rightsizing permite "create embedded tasks or Jira issues directly from our rightsizing recommendations"; única evidencia disponible es comercial.</t>
        </is>
      </c>
      <c r="J481" t="inlineStr">
        <is>
          <t>https://www.apptio.com/products/cloudability/rightsizing/</t>
        </is>
      </c>
      <c r="K481" t="inlineStr">
        <is>
          <t>2026-09-16</t>
        </is>
      </c>
      <c r="L48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2">
      <c r="A482" t="inlineStr">
        <is>
          <t>E2</t>
        </is>
      </c>
      <c r="B482" t="inlineStr">
        <is>
          <t>Multicloud</t>
        </is>
      </c>
      <c r="C482" t="inlineStr">
        <is>
          <t>Cloudability</t>
        </is>
      </c>
      <c r="D482" t="inlineStr">
        <is>
          <t>Adopcion</t>
        </is>
      </c>
      <c r="E482" t="inlineStr">
        <is>
          <t>AD1</t>
        </is>
      </c>
      <c r="F482" s="2" t="inlineStr">
        <is>
          <t>¿Soporta acceso/entrega para los roles del escenario?</t>
        </is>
      </c>
      <c r="G482" t="n">
        <v>1</v>
      </c>
      <c r="H482" t="inlineStr">
        <is>
          <t>Comercial</t>
        </is>
      </c>
      <c r="I482" s="2" t="inlineStr">
        <is>
          <t>El producto se describe organizado por roles (FinOps, DevOps, IT Finance, Product, Leadership, Procurement) con "personalized Views"; única evidencia disponible es comercial.</t>
        </is>
      </c>
      <c r="J482" t="inlineStr">
        <is>
          <t>https://www.apptio.com/products/cloudability/</t>
        </is>
      </c>
      <c r="K482" t="inlineStr">
        <is>
          <t>2026-09-16</t>
        </is>
      </c>
      <c r="L48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3">
      <c r="A483" t="inlineStr">
        <is>
          <t>E2</t>
        </is>
      </c>
      <c r="B483" t="inlineStr">
        <is>
          <t>Multicloud</t>
        </is>
      </c>
      <c r="C483" t="inlineStr">
        <is>
          <t>Cloudability</t>
        </is>
      </c>
      <c r="D483" t="inlineStr">
        <is>
          <t>Adopcion</t>
        </is>
      </c>
      <c r="E483" t="inlineStr">
        <is>
          <t>AD2</t>
        </is>
      </c>
      <c r="F483" s="2" t="inlineStr">
        <is>
          <t>¿Ofrece guías, ownership o mecanismos de seguimiento para uso sostenido?</t>
        </is>
      </c>
      <c r="G483" t="n">
        <v>1</v>
      </c>
      <c r="H483" t="inlineStr">
        <is>
          <t>Comercial</t>
        </is>
      </c>
      <c r="I483" s="2" t="inlineStr">
        <is>
          <t>Business Mapping aplica "governance rules to meet compliance requirements"; única evidencia disponible es comercial.</t>
        </is>
      </c>
      <c r="J483" t="inlineStr">
        <is>
          <t>https://www.apptio.com/products/cloudability/business-mapping/</t>
        </is>
      </c>
      <c r="K483" t="inlineStr">
        <is>
          <t>2026-09-16</t>
        </is>
      </c>
      <c r="L48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4">
      <c r="A484" t="inlineStr">
        <is>
          <t>E2</t>
        </is>
      </c>
      <c r="B484" t="inlineStr">
        <is>
          <t>Multicloud</t>
        </is>
      </c>
      <c r="C484" t="inlineStr">
        <is>
          <t>Cloudability</t>
        </is>
      </c>
      <c r="D484" t="inlineStr">
        <is>
          <t>Precio</t>
        </is>
      </c>
      <c r="E484" t="inlineStr">
        <is>
          <t>P1</t>
        </is>
      </c>
      <c r="F484" s="2" t="inlineStr">
        <is>
          <t>¿Expone precio, moneda, región, unidad, período y supuestos relevantes?</t>
        </is>
      </c>
      <c r="G484" t="inlineStr">
        <is>
          <t>NE</t>
        </is>
      </c>
      <c r="H484" t="inlineStr">
        <is>
          <t>Pendiente</t>
        </is>
      </c>
      <c r="I484" s="2" t="inlineStr">
        <is>
          <t>No se encontró evidencia de transparencia de precio/supuestos (moneda, región, período) en las páginas comerciales accesibles.</t>
        </is>
      </c>
      <c r="K484" t="inlineStr">
        <is>
          <t>2026-09-16</t>
        </is>
      </c>
      <c r="L48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5">
      <c r="A485" t="inlineStr">
        <is>
          <t>E2</t>
        </is>
      </c>
      <c r="B485" t="inlineStr">
        <is>
          <t>Multicloud</t>
        </is>
      </c>
      <c r="C485" t="inlineStr">
        <is>
          <t>Cloudability</t>
        </is>
      </c>
      <c r="D485" t="inlineStr">
        <is>
          <t>Precio</t>
        </is>
      </c>
      <c r="E485" t="inlineStr">
        <is>
          <t>P2</t>
        </is>
      </c>
      <c r="F485" s="2" t="inlineStr">
        <is>
          <t>¿Permite estimar o comparar componentes sin ocultar límites de equivalencia?</t>
        </is>
      </c>
      <c r="G485" t="inlineStr">
        <is>
          <t>NE</t>
        </is>
      </c>
      <c r="H485" t="inlineStr">
        <is>
          <t>Pendiente</t>
        </is>
      </c>
      <c r="I485" s="2" t="inlineStr">
        <is>
          <t>No se encontró evidencia de una función de comparación/estimación de precio contextual en las páginas accesibles.</t>
        </is>
      </c>
      <c r="K485" t="inlineStr">
        <is>
          <t>2026-09-16</t>
        </is>
      </c>
      <c r="L48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6">
      <c r="A486" t="inlineStr">
        <is>
          <t>E2</t>
        </is>
      </c>
      <c r="B486" t="inlineStr">
        <is>
          <t>Multicloud</t>
        </is>
      </c>
      <c r="C486" t="inlineStr">
        <is>
          <t>Cloudability</t>
        </is>
      </c>
      <c r="D486" t="inlineStr">
        <is>
          <t>Dependencia</t>
        </is>
      </c>
      <c r="E486" t="inlineStr">
        <is>
          <t>D1</t>
        </is>
      </c>
      <c r="F486" s="2" t="inlineStr">
        <is>
          <t>¿Exporta datos/resultados en formato utilizable y documentado?</t>
        </is>
      </c>
      <c r="G486" t="inlineStr">
        <is>
          <t>NE</t>
        </is>
      </c>
      <c r="H486" t="inlineStr">
        <is>
          <t>Pendiente</t>
        </is>
      </c>
      <c r="I486" s="2" t="inlineStr">
        <is>
          <t>No se encontró evidencia específica de exportación/API de datos en las páginas comerciales accesibles.</t>
        </is>
      </c>
      <c r="K486" t="inlineStr">
        <is>
          <t>2026-09-16</t>
        </is>
      </c>
      <c r="L48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7">
      <c r="A487" t="inlineStr">
        <is>
          <t>E2</t>
        </is>
      </c>
      <c r="B487" t="inlineStr">
        <is>
          <t>Multicloud</t>
        </is>
      </c>
      <c r="C487" t="inlineStr">
        <is>
          <t>Cloudability</t>
        </is>
      </c>
      <c r="D487" t="inlineStr">
        <is>
          <t>Dependencia</t>
        </is>
      </c>
      <c r="E487" t="inlineStr">
        <is>
          <t>D2</t>
        </is>
      </c>
      <c r="F487" s="2" t="inlineStr">
        <is>
          <t>¿Documenta dependencias propietarias y un camino de salida/configuración reversible?</t>
        </is>
      </c>
      <c r="G487" t="inlineStr">
        <is>
          <t>NE</t>
        </is>
      </c>
      <c r="H487" t="inlineStr">
        <is>
          <t>Pendiente</t>
        </is>
      </c>
      <c r="I487" s="2" t="inlineStr">
        <is>
          <t>No se encontró documentación sobre un camino de salida o reversibilidad.</t>
        </is>
      </c>
      <c r="K487" t="inlineStr">
        <is>
          <t>2026-09-16</t>
        </is>
      </c>
      <c r="L48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88">
      <c r="A488" t="inlineStr">
        <is>
          <t>E5</t>
        </is>
      </c>
      <c r="B488" t="inlineStr">
        <is>
          <t>Multicloud</t>
        </is>
      </c>
      <c r="C488" t="inlineStr">
        <is>
          <t>Cloudability</t>
        </is>
      </c>
      <c r="D488" t="inlineStr">
        <is>
          <t>Visibilidad</t>
        </is>
      </c>
      <c r="E488" t="inlineStr">
        <is>
          <t>V1</t>
        </is>
      </c>
      <c r="F488" s="2" t="inlineStr">
        <is>
          <t>¿Desagrega costo y uso por cuenta/proyecto, servicio y período?</t>
        </is>
      </c>
      <c r="G488" t="n">
        <v>1</v>
      </c>
      <c r="H488" t="inlineStr">
        <is>
          <t>Comercial</t>
        </is>
      </c>
      <c r="I488"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488" t="inlineStr">
        <is>
          <t>https://www.apptio.com/products/cloudability/</t>
        </is>
      </c>
      <c r="K488" t="inlineStr">
        <is>
          <t>2026-09-16</t>
        </is>
      </c>
      <c r="L48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89">
      <c r="A489" t="inlineStr">
        <is>
          <t>E5</t>
        </is>
      </c>
      <c r="B489" t="inlineStr">
        <is>
          <t>Multicloud</t>
        </is>
      </c>
      <c r="C489" t="inlineStr">
        <is>
          <t>Cloudability</t>
        </is>
      </c>
      <c r="D489" t="inlineStr">
        <is>
          <t>Visibilidad</t>
        </is>
      </c>
      <c r="E489" t="inlineStr">
        <is>
          <t>V2</t>
        </is>
      </c>
      <c r="F489" s="2" t="inlineStr">
        <is>
          <t>¿Permite rastrear un total hasta registros o fuente de facturación?</t>
        </is>
      </c>
      <c r="G489" t="inlineStr">
        <is>
          <t>NE</t>
        </is>
      </c>
      <c r="H489" t="inlineStr">
        <is>
          <t>Pendiente</t>
        </is>
      </c>
      <c r="I489" s="2" t="inlineStr">
        <is>
          <t>No se encontró evidencia (ni siquiera comercial) de una función específica de trazabilidad a factura/registro fuente en las páginas accesibles.</t>
        </is>
      </c>
      <c r="K489" t="inlineStr">
        <is>
          <t>2026-09-16</t>
        </is>
      </c>
      <c r="L48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0">
      <c r="A490" t="inlineStr">
        <is>
          <t>E5</t>
        </is>
      </c>
      <c r="B490" t="inlineStr">
        <is>
          <t>Multicloud</t>
        </is>
      </c>
      <c r="C490" t="inlineStr">
        <is>
          <t>Cloudability</t>
        </is>
      </c>
      <c r="D490" t="inlineStr">
        <is>
          <t>Asignacion</t>
        </is>
      </c>
      <c r="E490" t="inlineStr">
        <is>
          <t>A1</t>
        </is>
      </c>
      <c r="F490" s="2" t="inlineStr">
        <is>
          <t>¿Calcula gasto asignado/no asignado por responsable, centro o entidad?</t>
        </is>
      </c>
      <c r="G490" t="n">
        <v>1</v>
      </c>
      <c r="H490" t="inlineStr">
        <is>
          <t>Comercial</t>
        </is>
      </c>
      <c r="I490" s="2" t="inlineStr">
        <is>
          <t>"Business Mapping" categoriza el gasto a la taxonomía de negocio y habilita chargeback/showback (incluye integración con ServiceNow); única evidencia disponible es comercial.</t>
        </is>
      </c>
      <c r="J490" t="inlineStr">
        <is>
          <t>https://www.apptio.com/products/cloudability/business-mapping/</t>
        </is>
      </c>
      <c r="K490" t="inlineStr">
        <is>
          <t>2026-09-16</t>
        </is>
      </c>
      <c r="L49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91">
      <c r="A491" t="inlineStr">
        <is>
          <t>E5</t>
        </is>
      </c>
      <c r="B491" t="inlineStr">
        <is>
          <t>Multicloud</t>
        </is>
      </c>
      <c r="C491" t="inlineStr">
        <is>
          <t>Cloudability</t>
        </is>
      </c>
      <c r="D491" t="inlineStr">
        <is>
          <t>Asignacion</t>
        </is>
      </c>
      <c r="E491" t="inlineStr">
        <is>
          <t>A2</t>
        </is>
      </c>
      <c r="F491" s="2" t="inlineStr">
        <is>
          <t>¿Explicita y aplica reglas para costo compartido/multi-tenant?</t>
        </is>
      </c>
      <c r="G491" t="inlineStr">
        <is>
          <t>NE</t>
        </is>
      </c>
      <c r="H491" t="inlineStr">
        <is>
          <t>Pendiente</t>
        </is>
      </c>
      <c r="I491" s="2" t="inlineStr">
        <is>
          <t>Business Mapping usa "sophisticated and nested evaluation criteria" para clasificar costo compartido a unidades de negocio; única evidencia disponible es comercial (no se verificó si el reparto es porcentual/reproducible).</t>
        </is>
      </c>
      <c r="J491" t="inlineStr">
        <is>
          <t>https://www.apptio.com/products/cloudability/business-mapping/</t>
        </is>
      </c>
      <c r="K491" t="inlineStr">
        <is>
          <t>2026-09-16</t>
        </is>
      </c>
      <c r="L49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A2 depende del escenario, por lo que pasa a NE (no evidenciado, reduce cobertura) hasta investigarlo. La evidencia y la fuente originales se conservan como referencia del escenario de origen.</t>
        </is>
      </c>
    </row>
    <row r="492">
      <c r="A492" t="inlineStr">
        <is>
          <t>E5</t>
        </is>
      </c>
      <c r="B492" t="inlineStr">
        <is>
          <t>Multicloud</t>
        </is>
      </c>
      <c r="C492" t="inlineStr">
        <is>
          <t>Cloudability</t>
        </is>
      </c>
      <c r="D492" t="inlineStr">
        <is>
          <t>Optimizacion</t>
        </is>
      </c>
      <c r="E492" t="inlineStr">
        <is>
          <t>O1</t>
        </is>
      </c>
      <c r="F492" s="2" t="inlineStr">
        <is>
          <t>¿Detecta desperdicio, rightsizing o compromiso relevante al escenario?</t>
        </is>
      </c>
      <c r="G492" t="n">
        <v>1</v>
      </c>
      <c r="H492" t="inlineStr">
        <is>
          <t>Comercial</t>
        </is>
      </c>
      <c r="I492" s="2" t="inlineStr">
        <is>
          <t>Rightsizing ofrece recomendaciones de "scale up, scale down and terminate" basadas en datos de observabilidad; única evidencia disponible es comercial (no se identificaron los proveedores cloud cubiertos).</t>
        </is>
      </c>
      <c r="J492" t="inlineStr">
        <is>
          <t>https://www.apptio.com/products/cloudability/rightsizing/</t>
        </is>
      </c>
      <c r="K492" t="inlineStr">
        <is>
          <t>2026-09-16</t>
        </is>
      </c>
      <c r="L49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93">
      <c r="A493" t="inlineStr">
        <is>
          <t>E5</t>
        </is>
      </c>
      <c r="B493" t="inlineStr">
        <is>
          <t>Multicloud</t>
        </is>
      </c>
      <c r="C493" t="inlineStr">
        <is>
          <t>Cloudability</t>
        </is>
      </c>
      <c r="D493" t="inlineStr">
        <is>
          <t>Optimizacion</t>
        </is>
      </c>
      <c r="E493" t="inlineStr">
        <is>
          <t>O2</t>
        </is>
      </c>
      <c r="F493" s="2" t="inlineStr">
        <is>
          <t>¿Explica supuesto/impacto y permite seguir una recomendación?</t>
        </is>
      </c>
      <c r="G493" t="n">
        <v>1</v>
      </c>
      <c r="H493" t="inlineStr">
        <is>
          <t>Comercial</t>
        </is>
      </c>
      <c r="I493" s="2" t="inlineStr">
        <is>
          <t>La página comercial menciona "progress and implementation tracking" para estimar el ROI real, pero sin detalle verificable; única evidencia es comercial.</t>
        </is>
      </c>
      <c r="J493" t="inlineStr">
        <is>
          <t>https://www.apptio.com/products/cloudability/rightsizing/</t>
        </is>
      </c>
      <c r="K493" t="inlineStr">
        <is>
          <t>2026-09-16</t>
        </is>
      </c>
      <c r="L49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4">
      <c r="A494" t="inlineStr">
        <is>
          <t>E5</t>
        </is>
      </c>
      <c r="B494" t="inlineStr">
        <is>
          <t>Multicloud</t>
        </is>
      </c>
      <c r="C494" t="inlineStr">
        <is>
          <t>Cloudability</t>
        </is>
      </c>
      <c r="D494" t="inlineStr">
        <is>
          <t>Automatizacion</t>
        </is>
      </c>
      <c r="E494" t="inlineStr">
        <is>
          <t>AU1</t>
        </is>
      </c>
      <c r="F494" s="2" t="inlineStr">
        <is>
          <t>¿Ejecuta o bloquea acciones/políticas de costo con control verificable?</t>
        </is>
      </c>
      <c r="G494" t="inlineStr">
        <is>
          <t>NE</t>
        </is>
      </c>
      <c r="H494" t="inlineStr">
        <is>
          <t>Pendiente</t>
        </is>
      </c>
      <c r="I494" s="2" t="inlineStr">
        <is>
          <t>No se encontró evidencia de ejecución/control automatizado de acciones de costo en las páginas comerciales accesibles; Rightsizing parece limitarse a recomendaciones con creación manual de tareas/Jira.</t>
        </is>
      </c>
      <c r="K494" t="inlineStr">
        <is>
          <t>2026-09-16</t>
        </is>
      </c>
      <c r="L49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5">
      <c r="A495" t="inlineStr">
        <is>
          <t>E5</t>
        </is>
      </c>
      <c r="B495" t="inlineStr">
        <is>
          <t>Multicloud</t>
        </is>
      </c>
      <c r="C495" t="inlineStr">
        <is>
          <t>Cloudability</t>
        </is>
      </c>
      <c r="D495" t="inlineStr">
        <is>
          <t>Automatizacion</t>
        </is>
      </c>
      <c r="E495" t="inlineStr">
        <is>
          <t>AU2</t>
        </is>
      </c>
      <c r="F495" s="2" t="inlineStr">
        <is>
          <t>¿Ofrece aprobación, reversión, registro o límites antes de actuar?</t>
        </is>
      </c>
      <c r="G495" t="inlineStr">
        <is>
          <t>NE</t>
        </is>
      </c>
      <c r="H495" t="inlineStr">
        <is>
          <t>Pendiente</t>
        </is>
      </c>
      <c r="I495" s="2" t="inlineStr">
        <is>
          <t>Mismo motivo que AU1: sin evidencia de un mecanismo de ejecución que requiera salvaguardas verificables.</t>
        </is>
      </c>
      <c r="K495" t="inlineStr">
        <is>
          <t>2026-09-16</t>
        </is>
      </c>
      <c r="L49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6">
      <c r="A496" t="inlineStr">
        <is>
          <t>E5</t>
        </is>
      </c>
      <c r="B496" t="inlineStr">
        <is>
          <t>Multicloud</t>
        </is>
      </c>
      <c r="C496" t="inlineStr">
        <is>
          <t>Cloudability</t>
        </is>
      </c>
      <c r="D496" t="inlineStr">
        <is>
          <t>Multicloud</t>
        </is>
      </c>
      <c r="E496" t="inlineStr">
        <is>
          <t>M1</t>
        </is>
      </c>
      <c r="F496" s="2" t="inlineStr">
        <is>
          <t>¿Consolida al menos dos proveedores bajo el mismo esquema declarado?</t>
        </is>
      </c>
      <c r="G496" t="n">
        <v>1</v>
      </c>
      <c r="H496" t="inlineStr">
        <is>
          <t>Comercial</t>
        </is>
      </c>
      <c r="I496"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496" t="inlineStr">
        <is>
          <t>https://www.apptio.com/products/cloudability/</t>
        </is>
      </c>
      <c r="K496" t="inlineStr">
        <is>
          <t>2026-09-16</t>
        </is>
      </c>
      <c r="L49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7">
      <c r="A497" t="inlineStr">
        <is>
          <t>E5</t>
        </is>
      </c>
      <c r="B497" t="inlineStr">
        <is>
          <t>Multicloud</t>
        </is>
      </c>
      <c r="C497" t="inlineStr">
        <is>
          <t>Cloudability</t>
        </is>
      </c>
      <c r="D497" t="inlineStr">
        <is>
          <t>Multicloud</t>
        </is>
      </c>
      <c r="E497" t="inlineStr">
        <is>
          <t>M2</t>
        </is>
      </c>
      <c r="F497" s="2" t="inlineStr">
        <is>
          <t>¿Hace visibles proveedor, cobertura y diferencias semánticas?</t>
        </is>
      </c>
      <c r="G497" t="inlineStr">
        <is>
          <t>NE</t>
        </is>
      </c>
      <c r="H497" t="inlineStr">
        <is>
          <t>Pendiente</t>
        </is>
      </c>
      <c r="I497" s="2" t="inlineStr">
        <is>
          <t>No se encontró evidencia de manejo explícito de diferencias/cobertura entre proveedores en las páginas accesibles.</t>
        </is>
      </c>
      <c r="K497" t="inlineStr">
        <is>
          <t>2026-09-16</t>
        </is>
      </c>
      <c r="L49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498">
      <c r="A498" t="inlineStr">
        <is>
          <t>E5</t>
        </is>
      </c>
      <c r="B498" t="inlineStr">
        <is>
          <t>Multicloud</t>
        </is>
      </c>
      <c r="C498" t="inlineStr">
        <is>
          <t>Cloudability</t>
        </is>
      </c>
      <c r="D498" t="inlineStr">
        <is>
          <t>Integracion</t>
        </is>
      </c>
      <c r="E498" t="inlineStr">
        <is>
          <t>I1</t>
        </is>
      </c>
      <c r="F498" s="2" t="inlineStr">
        <is>
          <t>¿Integra datos requeridos (facturación, uso, clúster o IaC) del escenario?</t>
        </is>
      </c>
      <c r="G498" t="n">
        <v>1</v>
      </c>
      <c r="H498" t="inlineStr">
        <is>
          <t>Comercial</t>
        </is>
      </c>
      <c r="I498" s="2" t="inlineStr">
        <is>
          <t>"Container Cost Allocation" ingiere datos de observabilidad de clústeres para alimentar los modelos de rightsizing; única evidencia disponible es comercial.</t>
        </is>
      </c>
      <c r="J498" t="inlineStr">
        <is>
          <t>https://www.apptio.com/products/cloudability/</t>
        </is>
      </c>
      <c r="K498" t="inlineStr">
        <is>
          <t>2026-09-16</t>
        </is>
      </c>
      <c r="L49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499">
      <c r="A499" t="inlineStr">
        <is>
          <t>E5</t>
        </is>
      </c>
      <c r="B499" t="inlineStr">
        <is>
          <t>Multicloud</t>
        </is>
      </c>
      <c r="C499" t="inlineStr">
        <is>
          <t>Cloudability</t>
        </is>
      </c>
      <c r="D499" t="inlineStr">
        <is>
          <t>Integracion</t>
        </is>
      </c>
      <c r="E499" t="inlineStr">
        <is>
          <t>I2</t>
        </is>
      </c>
      <c r="F499" s="2" t="inlineStr">
        <is>
          <t>¿Se integra con el flujo de trabajo relevante (alerta, ticket, CI/CD o reporte)?</t>
        </is>
      </c>
      <c r="G499" t="n">
        <v>1</v>
      </c>
      <c r="H499" t="inlineStr">
        <is>
          <t>Comercial</t>
        </is>
      </c>
      <c r="I499" s="2" t="inlineStr">
        <is>
          <t>Rightsizing permite "create embedded tasks or Jira issues directly from our rightsizing recommendations"; única evidencia disponible es comercial.</t>
        </is>
      </c>
      <c r="J499" t="inlineStr">
        <is>
          <t>https://www.apptio.com/products/cloudability/rightsizing/</t>
        </is>
      </c>
      <c r="K499" t="inlineStr">
        <is>
          <t>2026-09-16</t>
        </is>
      </c>
      <c r="L49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I2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00">
      <c r="A500" t="inlineStr">
        <is>
          <t>E5</t>
        </is>
      </c>
      <c r="B500" t="inlineStr">
        <is>
          <t>Multicloud</t>
        </is>
      </c>
      <c r="C500" t="inlineStr">
        <is>
          <t>Cloudability</t>
        </is>
      </c>
      <c r="D500" t="inlineStr">
        <is>
          <t>Adopcion</t>
        </is>
      </c>
      <c r="E500" t="inlineStr">
        <is>
          <t>AD1</t>
        </is>
      </c>
      <c r="F500" s="2" t="inlineStr">
        <is>
          <t>¿Soporta acceso/entrega para los roles del escenario?</t>
        </is>
      </c>
      <c r="G500" t="n">
        <v>1</v>
      </c>
      <c r="H500" t="inlineStr">
        <is>
          <t>Comercial</t>
        </is>
      </c>
      <c r="I500" s="2" t="inlineStr">
        <is>
          <t>El producto se describe organizado por roles (FinOps, DevOps, IT Finance, Product, Leadership, Procurement) con "personalized Views"; única evidencia disponible es comercial.</t>
        </is>
      </c>
      <c r="J500" t="inlineStr">
        <is>
          <t>https://www.apptio.com/products/cloudability/</t>
        </is>
      </c>
      <c r="K500" t="inlineStr">
        <is>
          <t>2026-09-16</t>
        </is>
      </c>
      <c r="L50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E5. Segun FP-177 el indicador AD1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01">
      <c r="A501" t="inlineStr">
        <is>
          <t>E5</t>
        </is>
      </c>
      <c r="B501" t="inlineStr">
        <is>
          <t>Multicloud</t>
        </is>
      </c>
      <c r="C501" t="inlineStr">
        <is>
          <t>Cloudability</t>
        </is>
      </c>
      <c r="D501" t="inlineStr">
        <is>
          <t>Adopcion</t>
        </is>
      </c>
      <c r="E501" t="inlineStr">
        <is>
          <t>AD2</t>
        </is>
      </c>
      <c r="F501" s="2" t="inlineStr">
        <is>
          <t>¿Ofrece guías, ownership o mecanismos de seguimiento para uso sostenido?</t>
        </is>
      </c>
      <c r="G501" t="n">
        <v>1</v>
      </c>
      <c r="H501" t="inlineStr">
        <is>
          <t>Comercial</t>
        </is>
      </c>
      <c r="I501" s="2" t="inlineStr">
        <is>
          <t>Business Mapping aplica "governance rules to meet compliance requirements"; única evidencia disponible es comercial.</t>
        </is>
      </c>
      <c r="J501" t="inlineStr">
        <is>
          <t>https://www.apptio.com/products/cloudability/business-mapping/</t>
        </is>
      </c>
      <c r="K501" t="inlineStr">
        <is>
          <t>2026-09-16</t>
        </is>
      </c>
      <c r="L50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2">
      <c r="A502" t="inlineStr">
        <is>
          <t>E5</t>
        </is>
      </c>
      <c r="B502" t="inlineStr">
        <is>
          <t>Multicloud</t>
        </is>
      </c>
      <c r="C502" t="inlineStr">
        <is>
          <t>Cloudability</t>
        </is>
      </c>
      <c r="D502" t="inlineStr">
        <is>
          <t>Precio</t>
        </is>
      </c>
      <c r="E502" t="inlineStr">
        <is>
          <t>P1</t>
        </is>
      </c>
      <c r="F502" s="2" t="inlineStr">
        <is>
          <t>¿Expone precio, moneda, región, unidad, período y supuestos relevantes?</t>
        </is>
      </c>
      <c r="G502" t="inlineStr">
        <is>
          <t>NE</t>
        </is>
      </c>
      <c r="H502" t="inlineStr">
        <is>
          <t>Pendiente</t>
        </is>
      </c>
      <c r="I502" s="2" t="inlineStr">
        <is>
          <t>No se encontró evidencia de transparencia de precio/supuestos (moneda, región, período) en las páginas comerciales accesibles.</t>
        </is>
      </c>
      <c r="K502" t="inlineStr">
        <is>
          <t>2026-09-16</t>
        </is>
      </c>
      <c r="L50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3">
      <c r="A503" t="inlineStr">
        <is>
          <t>E5</t>
        </is>
      </c>
      <c r="B503" t="inlineStr">
        <is>
          <t>Multicloud</t>
        </is>
      </c>
      <c r="C503" t="inlineStr">
        <is>
          <t>Cloudability</t>
        </is>
      </c>
      <c r="D503" t="inlineStr">
        <is>
          <t>Precio</t>
        </is>
      </c>
      <c r="E503" t="inlineStr">
        <is>
          <t>P2</t>
        </is>
      </c>
      <c r="F503" s="2" t="inlineStr">
        <is>
          <t>¿Permite estimar o comparar componentes sin ocultar límites de equivalencia?</t>
        </is>
      </c>
      <c r="G503" t="inlineStr">
        <is>
          <t>NE</t>
        </is>
      </c>
      <c r="H503" t="inlineStr">
        <is>
          <t>Pendiente</t>
        </is>
      </c>
      <c r="I503" s="2" t="inlineStr">
        <is>
          <t>No se encontró evidencia de una función de comparación/estimación de precio contextual en las páginas accesibles.</t>
        </is>
      </c>
      <c r="K503" t="inlineStr">
        <is>
          <t>2026-09-16</t>
        </is>
      </c>
      <c r="L50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4">
      <c r="A504" t="inlineStr">
        <is>
          <t>E5</t>
        </is>
      </c>
      <c r="B504" t="inlineStr">
        <is>
          <t>Multicloud</t>
        </is>
      </c>
      <c r="C504" t="inlineStr">
        <is>
          <t>Cloudability</t>
        </is>
      </c>
      <c r="D504" t="inlineStr">
        <is>
          <t>Dependencia</t>
        </is>
      </c>
      <c r="E504" t="inlineStr">
        <is>
          <t>D1</t>
        </is>
      </c>
      <c r="F504" s="2" t="inlineStr">
        <is>
          <t>¿Exporta datos/resultados en formato utilizable y documentado?</t>
        </is>
      </c>
      <c r="G504" t="inlineStr">
        <is>
          <t>NE</t>
        </is>
      </c>
      <c r="H504" t="inlineStr">
        <is>
          <t>Pendiente</t>
        </is>
      </c>
      <c r="I504" s="2" t="inlineStr">
        <is>
          <t>No se encontró evidencia específica de exportación/API de datos en las páginas comerciales accesibles.</t>
        </is>
      </c>
      <c r="K504" t="inlineStr">
        <is>
          <t>2026-09-16</t>
        </is>
      </c>
      <c r="L50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5">
      <c r="A505" t="inlineStr">
        <is>
          <t>E5</t>
        </is>
      </c>
      <c r="B505" t="inlineStr">
        <is>
          <t>Multicloud</t>
        </is>
      </c>
      <c r="C505" t="inlineStr">
        <is>
          <t>Cloudability</t>
        </is>
      </c>
      <c r="D505" t="inlineStr">
        <is>
          <t>Dependencia</t>
        </is>
      </c>
      <c r="E505" t="inlineStr">
        <is>
          <t>D2</t>
        </is>
      </c>
      <c r="F505" s="2" t="inlineStr">
        <is>
          <t>¿Documenta dependencias propietarias y un camino de salida/configuración reversible?</t>
        </is>
      </c>
      <c r="G505" t="inlineStr">
        <is>
          <t>NE</t>
        </is>
      </c>
      <c r="H505" t="inlineStr">
        <is>
          <t>Pendiente</t>
        </is>
      </c>
      <c r="I505" s="2" t="inlineStr">
        <is>
          <t>No se encontró documentación sobre un camino de salida o reversibilidad.</t>
        </is>
      </c>
      <c r="K505" t="inlineStr">
        <is>
          <t>2026-09-16</t>
        </is>
      </c>
      <c r="L50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6">
      <c r="A506" t="inlineStr">
        <is>
          <t>E6</t>
        </is>
      </c>
      <c r="B506" t="inlineStr">
        <is>
          <t>Multicloud</t>
        </is>
      </c>
      <c r="C506" t="inlineStr">
        <is>
          <t>Cloudability</t>
        </is>
      </c>
      <c r="D506" t="inlineStr">
        <is>
          <t>Visibilidad</t>
        </is>
      </c>
      <c r="E506" t="inlineStr">
        <is>
          <t>V1</t>
        </is>
      </c>
      <c r="F506" s="2" t="inlineStr">
        <is>
          <t>¿Desagrega costo y uso por cuenta/proyecto, servicio y período?</t>
        </is>
      </c>
      <c r="G506" t="inlineStr">
        <is>
          <t>NE</t>
        </is>
      </c>
      <c r="H506" t="inlineStr">
        <is>
          <t>Pendiente</t>
        </is>
      </c>
      <c r="I506" s="2" t="inlineStr">
        <is>
          <t>Apptio describe "unified visibility across technology spend" y "personalized Views for every team, app, or product"; única evidencia disponible es la página comercial del producto (la documentación técnica de IBM Docs devolvió error 403 en todos los intentos de acceso durante esta investigación).</t>
        </is>
      </c>
      <c r="J506" t="inlineStr">
        <is>
          <t>https://www.apptio.com/products/cloudability/</t>
        </is>
      </c>
      <c r="K506" t="inlineStr">
        <is>
          <t>2026-09-16</t>
        </is>
      </c>
      <c r="L50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t>
        </is>
      </c>
    </row>
    <row r="507">
      <c r="A507" t="inlineStr">
        <is>
          <t>E6</t>
        </is>
      </c>
      <c r="B507" t="inlineStr">
        <is>
          <t>Multicloud</t>
        </is>
      </c>
      <c r="C507" t="inlineStr">
        <is>
          <t>Cloudability</t>
        </is>
      </c>
      <c r="D507" t="inlineStr">
        <is>
          <t>Visibilidad</t>
        </is>
      </c>
      <c r="E507" t="inlineStr">
        <is>
          <t>V2</t>
        </is>
      </c>
      <c r="F507" s="2" t="inlineStr">
        <is>
          <t>¿Permite rastrear un total hasta registros o fuente de facturación?</t>
        </is>
      </c>
      <c r="G507" t="inlineStr">
        <is>
          <t>NE</t>
        </is>
      </c>
      <c r="H507" t="inlineStr">
        <is>
          <t>Pendiente</t>
        </is>
      </c>
      <c r="I507" s="2" t="inlineStr">
        <is>
          <t>No se encontró evidencia (ni siquiera comercial) de una función específica de trazabilidad a factura/registro fuente en las páginas accesibles.</t>
        </is>
      </c>
      <c r="K507" t="inlineStr">
        <is>
          <t>2026-09-16</t>
        </is>
      </c>
      <c r="L50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08">
      <c r="A508" t="inlineStr">
        <is>
          <t>E6</t>
        </is>
      </c>
      <c r="B508" t="inlineStr">
        <is>
          <t>Multicloud</t>
        </is>
      </c>
      <c r="C508" t="inlineStr">
        <is>
          <t>Cloudability</t>
        </is>
      </c>
      <c r="D508" t="inlineStr">
        <is>
          <t>Asignacion</t>
        </is>
      </c>
      <c r="E508" t="inlineStr">
        <is>
          <t>A1</t>
        </is>
      </c>
      <c r="F508" s="2" t="inlineStr">
        <is>
          <t>¿Calcula gasto asignado/no asignado por responsable, centro o entidad?</t>
        </is>
      </c>
      <c r="G508" t="n">
        <v>1</v>
      </c>
      <c r="H508" t="inlineStr">
        <is>
          <t>Comercial</t>
        </is>
      </c>
      <c r="I508" s="2" t="inlineStr">
        <is>
          <t>"Business Mapping" categoriza el gasto a la taxonomía de negocio y habilita chargeback/showback (incluye integración con ServiceNow); única evidencia disponible es comercial.</t>
        </is>
      </c>
      <c r="J508" t="inlineStr">
        <is>
          <t>https://www.apptio.com/products/cloudability/business-mapping/</t>
        </is>
      </c>
      <c r="K508" t="inlineStr">
        <is>
          <t>2026-09-16</t>
        </is>
      </c>
      <c r="L50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09">
      <c r="A509" t="inlineStr">
        <is>
          <t>E6</t>
        </is>
      </c>
      <c r="B509" t="inlineStr">
        <is>
          <t>Multicloud</t>
        </is>
      </c>
      <c r="C509" t="inlineStr">
        <is>
          <t>Cloudability</t>
        </is>
      </c>
      <c r="D509" t="inlineStr">
        <is>
          <t>Asignacion</t>
        </is>
      </c>
      <c r="E509" t="inlineStr">
        <is>
          <t>A2</t>
        </is>
      </c>
      <c r="F509" s="2" t="inlineStr">
        <is>
          <t>¿Explicita y aplica reglas para costo compartido/multi-tenant?</t>
        </is>
      </c>
      <c r="G509" t="n">
        <v>1</v>
      </c>
      <c r="H509" t="inlineStr">
        <is>
          <t>Comercial</t>
        </is>
      </c>
      <c r="I509" s="2" t="inlineStr">
        <is>
          <t>Business Mapping usa "sophisticated and nested evaluation criteria" para clasificar costo compartido a unidades de negocio; única evidencia disponible es comercial (no se verificó si el reparto es porcentual/reproducible).</t>
        </is>
      </c>
      <c r="J509" t="inlineStr">
        <is>
          <t>https://www.apptio.com/products/cloudability/business-mapping/</t>
        </is>
      </c>
      <c r="K509" t="inlineStr">
        <is>
          <t>2026-09-16</t>
        </is>
      </c>
      <c r="L50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A2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10">
      <c r="A510" t="inlineStr">
        <is>
          <t>E6</t>
        </is>
      </c>
      <c r="B510" t="inlineStr">
        <is>
          <t>Multicloud</t>
        </is>
      </c>
      <c r="C510" t="inlineStr">
        <is>
          <t>Cloudability</t>
        </is>
      </c>
      <c r="D510" t="inlineStr">
        <is>
          <t>Optimizacion</t>
        </is>
      </c>
      <c r="E510" t="inlineStr">
        <is>
          <t>O1</t>
        </is>
      </c>
      <c r="F510" s="2" t="inlineStr">
        <is>
          <t>¿Detecta desperdicio, rightsizing o compromiso relevante al escenario?</t>
        </is>
      </c>
      <c r="G510" t="n">
        <v>1</v>
      </c>
      <c r="H510" t="inlineStr">
        <is>
          <t>Comercial</t>
        </is>
      </c>
      <c r="I510" s="2" t="inlineStr">
        <is>
          <t>Rightsizing ofrece recomendaciones de "scale up, scale down and terminate" basadas en datos de observabilidad; única evidencia disponible es comercial (no se identificaron los proveedores cloud cubiertos).</t>
        </is>
      </c>
      <c r="J510" t="inlineStr">
        <is>
          <t>https://www.apptio.com/products/cloudability/rightsizing/</t>
        </is>
      </c>
      <c r="K510" t="inlineStr">
        <is>
          <t>2026-09-16</t>
        </is>
      </c>
      <c r="L51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11">
      <c r="A511" t="inlineStr">
        <is>
          <t>E6</t>
        </is>
      </c>
      <c r="B511" t="inlineStr">
        <is>
          <t>Multicloud</t>
        </is>
      </c>
      <c r="C511" t="inlineStr">
        <is>
          <t>Cloudability</t>
        </is>
      </c>
      <c r="D511" t="inlineStr">
        <is>
          <t>Optimizacion</t>
        </is>
      </c>
      <c r="E511" t="inlineStr">
        <is>
          <t>O2</t>
        </is>
      </c>
      <c r="F511" s="2" t="inlineStr">
        <is>
          <t>¿Explica supuesto/impacto y permite seguir una recomendación?</t>
        </is>
      </c>
      <c r="G511" t="n">
        <v>1</v>
      </c>
      <c r="H511" t="inlineStr">
        <is>
          <t>Comercial</t>
        </is>
      </c>
      <c r="I511" s="2" t="inlineStr">
        <is>
          <t>La página comercial menciona "progress and implementation tracking" para estimar el ROI real, pero sin detalle verificable; única evidencia es comercial.</t>
        </is>
      </c>
      <c r="J511" t="inlineStr">
        <is>
          <t>https://www.apptio.com/products/cloudability/rightsizing/</t>
        </is>
      </c>
      <c r="K511" t="inlineStr">
        <is>
          <t>2026-09-16</t>
        </is>
      </c>
      <c r="L51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2">
      <c r="A512" t="inlineStr">
        <is>
          <t>E6</t>
        </is>
      </c>
      <c r="B512" t="inlineStr">
        <is>
          <t>Multicloud</t>
        </is>
      </c>
      <c r="C512" t="inlineStr">
        <is>
          <t>Cloudability</t>
        </is>
      </c>
      <c r="D512" t="inlineStr">
        <is>
          <t>Automatizacion</t>
        </is>
      </c>
      <c r="E512" t="inlineStr">
        <is>
          <t>AU1</t>
        </is>
      </c>
      <c r="F512" s="2" t="inlineStr">
        <is>
          <t>¿Ejecuta o bloquea acciones/políticas de costo con control verificable?</t>
        </is>
      </c>
      <c r="G512" t="inlineStr">
        <is>
          <t>NE</t>
        </is>
      </c>
      <c r="H512" t="inlineStr">
        <is>
          <t>Pendiente</t>
        </is>
      </c>
      <c r="I512" s="2" t="inlineStr">
        <is>
          <t>No se encontró evidencia de ejecución/control automatizado de acciones de costo en las páginas comerciales accesibles; Rightsizing parece limitarse a recomendaciones con creación manual de tareas/Jira.</t>
        </is>
      </c>
      <c r="K512" t="inlineStr">
        <is>
          <t>2026-09-16</t>
        </is>
      </c>
      <c r="L51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3">
      <c r="A513" t="inlineStr">
        <is>
          <t>E6</t>
        </is>
      </c>
      <c r="B513" t="inlineStr">
        <is>
          <t>Multicloud</t>
        </is>
      </c>
      <c r="C513" t="inlineStr">
        <is>
          <t>Cloudability</t>
        </is>
      </c>
      <c r="D513" t="inlineStr">
        <is>
          <t>Automatizacion</t>
        </is>
      </c>
      <c r="E513" t="inlineStr">
        <is>
          <t>AU2</t>
        </is>
      </c>
      <c r="F513" s="2" t="inlineStr">
        <is>
          <t>¿Ofrece aprobación, reversión, registro o límites antes de actuar?</t>
        </is>
      </c>
      <c r="G513" t="inlineStr">
        <is>
          <t>NE</t>
        </is>
      </c>
      <c r="H513" t="inlineStr">
        <is>
          <t>Pendiente</t>
        </is>
      </c>
      <c r="I513" s="2" t="inlineStr">
        <is>
          <t>Mismo motivo que AU1: sin evidencia de un mecanismo de ejecución que requiera salvaguardas verificables.</t>
        </is>
      </c>
      <c r="K513" t="inlineStr">
        <is>
          <t>2026-09-16</t>
        </is>
      </c>
      <c r="L51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4">
      <c r="A514" t="inlineStr">
        <is>
          <t>E6</t>
        </is>
      </c>
      <c r="B514" t="inlineStr">
        <is>
          <t>Multicloud</t>
        </is>
      </c>
      <c r="C514" t="inlineStr">
        <is>
          <t>Cloudability</t>
        </is>
      </c>
      <c r="D514" t="inlineStr">
        <is>
          <t>Multicloud</t>
        </is>
      </c>
      <c r="E514" t="inlineStr">
        <is>
          <t>M1</t>
        </is>
      </c>
      <c r="F514" s="2" t="inlineStr">
        <is>
          <t>¿Consolida al menos dos proveedores bajo el mismo esquema declarado?</t>
        </is>
      </c>
      <c r="G514" t="n">
        <v>1</v>
      </c>
      <c r="H514" t="inlineStr">
        <is>
          <t>Comercial</t>
        </is>
      </c>
      <c r="I514" s="2" t="inlineStr">
        <is>
          <t>"One trusted view of all cloud and AI spend" / "single pane of glass"; única evidencia disponible es comercial y no específica los proveedores cubiertos ni un esquema de normalización declarado (a diferencia de CloudHealth/CloudZero/Vantage/Finout, que sí lo documentan).</t>
        </is>
      </c>
      <c r="J514" t="inlineStr">
        <is>
          <t>https://www.apptio.com/products/cloudability/</t>
        </is>
      </c>
      <c r="K514" t="inlineStr">
        <is>
          <t>2026-09-16</t>
        </is>
      </c>
      <c r="L514"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5">
      <c r="A515" t="inlineStr">
        <is>
          <t>E6</t>
        </is>
      </c>
      <c r="B515" t="inlineStr">
        <is>
          <t>Multicloud</t>
        </is>
      </c>
      <c r="C515" t="inlineStr">
        <is>
          <t>Cloudability</t>
        </is>
      </c>
      <c r="D515" t="inlineStr">
        <is>
          <t>Multicloud</t>
        </is>
      </c>
      <c r="E515" t="inlineStr">
        <is>
          <t>M2</t>
        </is>
      </c>
      <c r="F515" s="2" t="inlineStr">
        <is>
          <t>¿Hace visibles proveedor, cobertura y diferencias semánticas?</t>
        </is>
      </c>
      <c r="G515" t="inlineStr">
        <is>
          <t>NE</t>
        </is>
      </c>
      <c r="H515" t="inlineStr">
        <is>
          <t>Pendiente</t>
        </is>
      </c>
      <c r="I515" s="2" t="inlineStr">
        <is>
          <t>No se encontró evidencia de manejo explícito de diferencias/cobertura entre proveedores en las páginas accesibles.</t>
        </is>
      </c>
      <c r="K515" t="inlineStr">
        <is>
          <t>2026-09-16</t>
        </is>
      </c>
      <c r="L515"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16">
      <c r="A516" t="inlineStr">
        <is>
          <t>E6</t>
        </is>
      </c>
      <c r="B516" t="inlineStr">
        <is>
          <t>Multicloud</t>
        </is>
      </c>
      <c r="C516" t="inlineStr">
        <is>
          <t>Cloudability</t>
        </is>
      </c>
      <c r="D516" t="inlineStr">
        <is>
          <t>Integracion</t>
        </is>
      </c>
      <c r="E516" t="inlineStr">
        <is>
          <t>I1</t>
        </is>
      </c>
      <c r="F516" s="2" t="inlineStr">
        <is>
          <t>¿Integra datos requeridos (facturación, uso, clúster o IaC) del escenario?</t>
        </is>
      </c>
      <c r="G516" t="inlineStr">
        <is>
          <t>NE</t>
        </is>
      </c>
      <c r="H516" t="inlineStr">
        <is>
          <t>Pendiente</t>
        </is>
      </c>
      <c r="I516" s="2" t="inlineStr">
        <is>
          <t>"Container Cost Allocation" ingiere datos de observabilidad de clústeres para alimentar los modelos de rightsizing; única evidencia disponible es comercial.</t>
        </is>
      </c>
      <c r="J516" t="inlineStr">
        <is>
          <t>https://www.apptio.com/products/cloudability/</t>
        </is>
      </c>
      <c r="K516" t="inlineStr">
        <is>
          <t>2026-09-16</t>
        </is>
      </c>
      <c r="L516"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t>
        </is>
      </c>
    </row>
    <row r="517">
      <c r="A517" t="inlineStr">
        <is>
          <t>E6</t>
        </is>
      </c>
      <c r="B517" t="inlineStr">
        <is>
          <t>Multicloud</t>
        </is>
      </c>
      <c r="C517" t="inlineStr">
        <is>
          <t>Cloudability</t>
        </is>
      </c>
      <c r="D517" t="inlineStr">
        <is>
          <t>Integracion</t>
        </is>
      </c>
      <c r="E517" t="inlineStr">
        <is>
          <t>I2</t>
        </is>
      </c>
      <c r="F517" s="2" t="inlineStr">
        <is>
          <t>¿Se integra con el flujo de trabajo relevante (alerta, ticket, CI/CD o reporte)?</t>
        </is>
      </c>
      <c r="G517" t="n">
        <v>1</v>
      </c>
      <c r="H517" t="inlineStr">
        <is>
          <t>Comercial</t>
        </is>
      </c>
      <c r="I517" s="2" t="inlineStr">
        <is>
          <t>Rightsizing permite "create embedded tasks or Jira issues directly from our rightsizing recommendations"; única evidencia disponible es comercial.</t>
        </is>
      </c>
      <c r="J517" t="inlineStr">
        <is>
          <t>https://www.apptio.com/products/cloudability/rightsizing/</t>
        </is>
      </c>
      <c r="K517" t="inlineStr">
        <is>
          <t>2026-09-16</t>
        </is>
      </c>
      <c r="L517"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I2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18">
      <c r="A518" t="inlineStr">
        <is>
          <t>E6</t>
        </is>
      </c>
      <c r="B518" t="inlineStr">
        <is>
          <t>Multicloud</t>
        </is>
      </c>
      <c r="C518" t="inlineStr">
        <is>
          <t>Cloudability</t>
        </is>
      </c>
      <c r="D518" t="inlineStr">
        <is>
          <t>Adopcion</t>
        </is>
      </c>
      <c r="E518" t="inlineStr">
        <is>
          <t>AD1</t>
        </is>
      </c>
      <c r="F518" s="2" t="inlineStr">
        <is>
          <t>¿Soporta acceso/entrega para los roles del escenario?</t>
        </is>
      </c>
      <c r="G518" t="n">
        <v>1</v>
      </c>
      <c r="H518" t="inlineStr">
        <is>
          <t>Comercial</t>
        </is>
      </c>
      <c r="I518" s="2" t="inlineStr">
        <is>
          <t>El producto se describe organizado por roles (FinOps, DevOps, IT Finance, Product, Leadership, Procurement) con "personalized Views"; única evidencia disponible es comercial.</t>
        </is>
      </c>
      <c r="J518" t="inlineStr">
        <is>
          <t>https://www.apptio.com/products/cloudability/</t>
        </is>
      </c>
      <c r="K518" t="inlineStr">
        <is>
          <t>2026-09-16</t>
        </is>
      </c>
      <c r="L518"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 | Celda heredada FP-180 (2026-09-16): el valor 1 proviene de la investigacion del escenario E2 y no cuenta con evidencia propia de E6. Segun FP-177 el indicador AD1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19">
      <c r="A519" t="inlineStr">
        <is>
          <t>E6</t>
        </is>
      </c>
      <c r="B519" t="inlineStr">
        <is>
          <t>Multicloud</t>
        </is>
      </c>
      <c r="C519" t="inlineStr">
        <is>
          <t>Cloudability</t>
        </is>
      </c>
      <c r="D519" t="inlineStr">
        <is>
          <t>Adopcion</t>
        </is>
      </c>
      <c r="E519" t="inlineStr">
        <is>
          <t>AD2</t>
        </is>
      </c>
      <c r="F519" s="2" t="inlineStr">
        <is>
          <t>¿Ofrece guías, ownership o mecanismos de seguimiento para uso sostenido?</t>
        </is>
      </c>
      <c r="G519" t="n">
        <v>1</v>
      </c>
      <c r="H519" t="inlineStr">
        <is>
          <t>Comercial</t>
        </is>
      </c>
      <c r="I519" s="2" t="inlineStr">
        <is>
          <t>Business Mapping aplica "governance rules to meet compliance requirements"; única evidencia disponible es comercial.</t>
        </is>
      </c>
      <c r="J519" t="inlineStr">
        <is>
          <t>https://www.apptio.com/products/cloudability/business-mapping/</t>
        </is>
      </c>
      <c r="K519" t="inlineStr">
        <is>
          <t>2026-09-16</t>
        </is>
      </c>
      <c r="L519"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0">
      <c r="A520" t="inlineStr">
        <is>
          <t>E6</t>
        </is>
      </c>
      <c r="B520" t="inlineStr">
        <is>
          <t>Multicloud</t>
        </is>
      </c>
      <c r="C520" t="inlineStr">
        <is>
          <t>Cloudability</t>
        </is>
      </c>
      <c r="D520" t="inlineStr">
        <is>
          <t>Precio</t>
        </is>
      </c>
      <c r="E520" t="inlineStr">
        <is>
          <t>P1</t>
        </is>
      </c>
      <c r="F520" s="2" t="inlineStr">
        <is>
          <t>¿Expone precio, moneda, región, unidad, período y supuestos relevantes?</t>
        </is>
      </c>
      <c r="G520" t="inlineStr">
        <is>
          <t>NE</t>
        </is>
      </c>
      <c r="H520" t="inlineStr">
        <is>
          <t>Pendiente</t>
        </is>
      </c>
      <c r="I520" s="2" t="inlineStr">
        <is>
          <t>No se encontró evidencia de transparencia de precio/supuestos (moneda, región, período) en las páginas comerciales accesibles.</t>
        </is>
      </c>
      <c r="K520" t="inlineStr">
        <is>
          <t>2026-09-16</t>
        </is>
      </c>
      <c r="L520"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1">
      <c r="A521" t="inlineStr">
        <is>
          <t>E6</t>
        </is>
      </c>
      <c r="B521" t="inlineStr">
        <is>
          <t>Multicloud</t>
        </is>
      </c>
      <c r="C521" t="inlineStr">
        <is>
          <t>Cloudability</t>
        </is>
      </c>
      <c r="D521" t="inlineStr">
        <is>
          <t>Precio</t>
        </is>
      </c>
      <c r="E521" t="inlineStr">
        <is>
          <t>P2</t>
        </is>
      </c>
      <c r="F521" s="2" t="inlineStr">
        <is>
          <t>¿Permite estimar o comparar componentes sin ocultar límites de equivalencia?</t>
        </is>
      </c>
      <c r="G521" t="inlineStr">
        <is>
          <t>NE</t>
        </is>
      </c>
      <c r="H521" t="inlineStr">
        <is>
          <t>Pendiente</t>
        </is>
      </c>
      <c r="I521" s="2" t="inlineStr">
        <is>
          <t>No se encontró evidencia de una función de comparación/estimación de precio contextual en las páginas accesibles.</t>
        </is>
      </c>
      <c r="K521" t="inlineStr">
        <is>
          <t>2026-09-16</t>
        </is>
      </c>
      <c r="L521"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2">
      <c r="A522" t="inlineStr">
        <is>
          <t>E6</t>
        </is>
      </c>
      <c r="B522" t="inlineStr">
        <is>
          <t>Multicloud</t>
        </is>
      </c>
      <c r="C522" t="inlineStr">
        <is>
          <t>Cloudability</t>
        </is>
      </c>
      <c r="D522" t="inlineStr">
        <is>
          <t>Dependencia</t>
        </is>
      </c>
      <c r="E522" t="inlineStr">
        <is>
          <t>D1</t>
        </is>
      </c>
      <c r="F522" s="2" t="inlineStr">
        <is>
          <t>¿Exporta datos/resultados en formato utilizable y documentado?</t>
        </is>
      </c>
      <c r="G522" t="inlineStr">
        <is>
          <t>NE</t>
        </is>
      </c>
      <c r="H522" t="inlineStr">
        <is>
          <t>Pendiente</t>
        </is>
      </c>
      <c r="I522" s="2" t="inlineStr">
        <is>
          <t>No se encontró evidencia específica de exportación/API de datos en las páginas comerciales accesibles.</t>
        </is>
      </c>
      <c r="K522" t="inlineStr">
        <is>
          <t>2026-09-16</t>
        </is>
      </c>
      <c r="L522"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3">
      <c r="A523" t="inlineStr">
        <is>
          <t>E6</t>
        </is>
      </c>
      <c r="B523" t="inlineStr">
        <is>
          <t>Multicloud</t>
        </is>
      </c>
      <c r="C523" t="inlineStr">
        <is>
          <t>Cloudability</t>
        </is>
      </c>
      <c r="D523" t="inlineStr">
        <is>
          <t>Dependencia</t>
        </is>
      </c>
      <c r="E523" t="inlineStr">
        <is>
          <t>D2</t>
        </is>
      </c>
      <c r="F523" s="2" t="inlineStr">
        <is>
          <t>¿Documenta dependencias propietarias y un camino de salida/configuración reversible?</t>
        </is>
      </c>
      <c r="G523" t="inlineStr">
        <is>
          <t>NE</t>
        </is>
      </c>
      <c r="H523" t="inlineStr">
        <is>
          <t>Pendiente</t>
        </is>
      </c>
      <c r="I523" s="2" t="inlineStr">
        <is>
          <t>No se encontró documentación sobre un camino de salida o reversibilidad.</t>
        </is>
      </c>
      <c r="K523" t="inlineStr">
        <is>
          <t>2026-09-16</t>
        </is>
      </c>
      <c r="L523" s="2" t="inlineStr">
        <is>
          <t>Limitación de investigación: la documentación técnica oficial de IBM Docs para Cloudability (ibm.com/docs/en/cloudability-...) devolvió error 403 en todos los intentos de acceso durante esta investigación (2026-09-16). Toda la evidencia disponible proviene de páginas comerciales de apptio.com, por lo que, según la metodología, ningún indicador supera el valor 1. Se recomienda que el equipo reintente el acceso a IBM Docs desde otra red o solicite acceso, y actualice estas filas si logra consultar la documentación técnica.</t>
        </is>
      </c>
    </row>
    <row r="524">
      <c r="A524" t="inlineStr">
        <is>
          <t>E1</t>
        </is>
      </c>
      <c r="B524" t="inlineStr">
        <is>
          <t>Multicloud</t>
        </is>
      </c>
      <c r="C524" t="inlineStr">
        <is>
          <t>CloudHealth</t>
        </is>
      </c>
      <c r="D524" t="inlineStr">
        <is>
          <t>Visibilidad</t>
        </is>
      </c>
      <c r="E524" t="inlineStr">
        <is>
          <t>V1</t>
        </is>
      </c>
      <c r="F524" s="2" t="inlineStr">
        <is>
          <t>¿Desagrega costo y uso por cuenta/proyecto, servicio y período?</t>
        </is>
      </c>
      <c r="G524" t="n">
        <v>2</v>
      </c>
      <c r="H524" t="inlineStr">
        <is>
          <t>Oficial</t>
        </is>
      </c>
      <c r="I524" s="2" t="inlineStr">
        <is>
          <t>"Perspectives" son "lentes" para categorizar todos los activos de la infraestructura por Producto, Equipo, Owner, Ambiente, Unidad de negocio, Función o Centro de costo, con soporte de tagging en AWS, Azure, Google Cloud y Oracle Cloud.</t>
        </is>
      </c>
      <c r="J524" t="inlineStr">
        <is>
          <t>https://docs.vmware.com/en/VMware-Tanzu-CloudHealth/SaaS/using-and-managing-vmware-tanzu-cloudhealth/GUID-introduction-to-perspectives.html</t>
        </is>
      </c>
      <c r="K524" t="inlineStr">
        <is>
          <t>2026-09-16</t>
        </is>
      </c>
      <c r="L524" s="2" t="inlineStr">
        <is>
          <t>Celda heredada FP-180 (2026-09-16): el valor 2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525">
      <c r="A525" t="inlineStr">
        <is>
          <t>E1</t>
        </is>
      </c>
      <c r="B525" t="inlineStr">
        <is>
          <t>Multicloud</t>
        </is>
      </c>
      <c r="C525" t="inlineStr">
        <is>
          <t>CloudHealth</t>
        </is>
      </c>
      <c r="D525" t="inlineStr">
        <is>
          <t>Visibilidad</t>
        </is>
      </c>
      <c r="E525" t="inlineStr">
        <is>
          <t>V2</t>
        </is>
      </c>
      <c r="F525" s="2" t="inlineStr">
        <is>
          <t>¿Permite rastrear un total hasta registros o fuente de facturación?</t>
        </is>
      </c>
      <c r="G525" t="n">
        <v>1</v>
      </c>
      <c r="H525" t="inlineStr">
        <is>
          <t>Oficial</t>
        </is>
      </c>
      <c r="I525"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25" t="inlineStr">
        <is>
          <t>https://docs.vmware.com/en/VMware-Tanzu-CloudHealth/SaaS/working-with-reports-recommendations-vmware-tanzu-cloudhealth/GUID-cost-reports.html</t>
        </is>
      </c>
      <c r="K525" t="inlineStr">
        <is>
          <t>2026-09-16</t>
        </is>
      </c>
      <c r="L525" s="2" t="inlineStr"/>
    </row>
    <row r="526">
      <c r="A526" t="inlineStr">
        <is>
          <t>E1</t>
        </is>
      </c>
      <c r="B526" t="inlineStr">
        <is>
          <t>Multicloud</t>
        </is>
      </c>
      <c r="C526" t="inlineStr">
        <is>
          <t>CloudHealth</t>
        </is>
      </c>
      <c r="D526" t="inlineStr">
        <is>
          <t>Asignacion</t>
        </is>
      </c>
      <c r="E526" t="inlineStr">
        <is>
          <t>A1</t>
        </is>
      </c>
      <c r="F526" s="2" t="inlineStr">
        <is>
          <t>¿Calcula gasto asignado/no asignado por responsable, centro o entidad?</t>
        </is>
      </c>
      <c r="G526" t="n">
        <v>2</v>
      </c>
      <c r="H526" t="inlineStr">
        <is>
          <t>Oficial</t>
        </is>
      </c>
      <c r="I526" s="2" t="inlineStr">
        <is>
          <t>La plataforma separa explicitamente lo atribuible de lo no atribuible: clasifica los costos en «Direct Costs (which have a resource ID or asset ID associated and can be allocated to Perspective groups)» e «Indirect Costs (which are not associated with a resource ID or asset ID, such as support costs, and therefore cannot be attributed to a group)», de modo que el gasto no asignable queda visible en vez de diluirse. La documentacion describe ademas revisar los activos sin etiquetar «to assign appropriate accountability» y construir Perspectives por area responsable, que es el reporte de showback que E1 espera.</t>
        </is>
      </c>
      <c r="J526" t="inlineStr">
        <is>
          <t>https://techdocs.broadcom.com/us/en/vmware-tanzu/cloudhealth/tanzu-cloudhealth/saas/tnz-cloudhealth/using-and-managing-tanzu-cloudhealth-managing-perspectives.html</t>
        </is>
      </c>
      <c r="K526" t="inlineStr">
        <is>
          <t>2026-09-16</t>
        </is>
      </c>
      <c r="L526" s="2" t="inlineStr">
        <is>
          <t>Celda heredada FP-180 (2026-09-16): el valor 2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 | Investigacion propia de E1 (2026-09-16): celda verificada contra la salida esperada del escenario, que exige gasto no asignado visible y reporte de showback.</t>
        </is>
      </c>
    </row>
    <row r="527">
      <c r="A527" t="inlineStr">
        <is>
          <t>E1</t>
        </is>
      </c>
      <c r="B527" t="inlineStr">
        <is>
          <t>Multicloud</t>
        </is>
      </c>
      <c r="C527" t="inlineStr">
        <is>
          <t>CloudHealth</t>
        </is>
      </c>
      <c r="D527" t="inlineStr">
        <is>
          <t>Asignacion</t>
        </is>
      </c>
      <c r="E527" t="inlineStr">
        <is>
          <t>A2</t>
        </is>
      </c>
      <c r="F527" s="2" t="inlineStr">
        <is>
          <t>¿Explicita y aplica reglas para costo compartido/multi-tenant?</t>
        </is>
      </c>
      <c r="G527" t="n">
        <v>2</v>
      </c>
      <c r="H527" t="inlineStr">
        <is>
          <t>Oficial</t>
        </is>
      </c>
      <c r="I527" s="2" t="inlineStr">
        <is>
          <t>Los Perspectives agrupan activos mediante reglas de categorización versionadas y reproducibles (grupos dentro de cada lente, p. ej. Environment: dev/staging/test/prod).</t>
        </is>
      </c>
      <c r="J527" t="inlineStr">
        <is>
          <t>https://docs.vmware.com/en/VMware-Tanzu-CloudHealth/SaaS/using-and-managing-vmware-tanzu-cloudhealth/GUID-introduction-to-perspectives.html</t>
        </is>
      </c>
      <c r="K527" t="inlineStr">
        <is>
          <t>2026-09-16</t>
        </is>
      </c>
      <c r="L527" s="2" t="inlineStr">
        <is>
          <t>Celda heredada FP-180 (2026-09-16): el valor 2 proviene de la investigacion del escenario E2 y no cuenta con evidencia propia de E1. Segun FP-177 el indicador A2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528">
      <c r="A528" t="inlineStr">
        <is>
          <t>E1</t>
        </is>
      </c>
      <c r="B528" t="inlineStr">
        <is>
          <t>Multicloud</t>
        </is>
      </c>
      <c r="C528" t="inlineStr">
        <is>
          <t>CloudHealth</t>
        </is>
      </c>
      <c r="D528" t="inlineStr">
        <is>
          <t>Optimizacion</t>
        </is>
      </c>
      <c r="E528" t="inlineStr">
        <is>
          <t>O1</t>
        </is>
      </c>
      <c r="F528" s="2" t="inlineStr">
        <is>
          <t>¿Detecta desperdicio, rightsizing o compromiso relevante al escenario?</t>
        </is>
      </c>
      <c r="G528" t="n">
        <v>2</v>
      </c>
      <c r="H528" t="inlineStr">
        <is>
          <t>Oficial</t>
        </is>
      </c>
      <c r="I528" s="2" t="inlineStr">
        <is>
          <t>Existen páginas de Rightsizing dedicadas para AWS, Azure y GCP: para AWS, el motor analiza CPU/memoria/IOPS y sugiere un "Best Fit" más dos alternativas (p. ej. de m4.xlarge a c4.large), ordenadas por costo.</t>
        </is>
      </c>
      <c r="J528" t="inlineStr">
        <is>
          <t>https://docs.vmware.com/en/VMware-Tanzu-CloudHealth/SaaS/working-with-reports-recommendations-vmware-tanzu-cloudhealth/GUID-aws-rightsizing-new.html</t>
        </is>
      </c>
      <c r="K528" t="inlineStr">
        <is>
          <t>2026-09-16</t>
        </is>
      </c>
      <c r="L528" s="2" t="inlineStr">
        <is>
          <t>Celda heredada FP-180 (2026-09-16): el valor 2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529">
      <c r="A529" t="inlineStr">
        <is>
          <t>E1</t>
        </is>
      </c>
      <c r="B529" t="inlineStr">
        <is>
          <t>Multicloud</t>
        </is>
      </c>
      <c r="C529" t="inlineStr">
        <is>
          <t>CloudHealth</t>
        </is>
      </c>
      <c r="D529" t="inlineStr">
        <is>
          <t>Optimizacion</t>
        </is>
      </c>
      <c r="E529" t="inlineStr">
        <is>
          <t>O2</t>
        </is>
      </c>
      <c r="F529" s="2" t="inlineStr">
        <is>
          <t>¿Explica supuesto/impacto y permite seguir una recomendación?</t>
        </is>
      </c>
      <c r="G529" t="n">
        <v>1</v>
      </c>
      <c r="H529" t="inlineStr">
        <is>
          <t>Oficial</t>
        </is>
      </c>
      <c r="I529" s="2" t="inlineStr">
        <is>
          <t>Cada recomendación muestra costo mensual actual, proyectado y el ahorro proyectado; la documentación revisada no describe seguimiento del estado de una recomendación ya aplicada a lo largo del tiempo.</t>
        </is>
      </c>
      <c r="J529" t="inlineStr">
        <is>
          <t>https://docs.vmware.com/en/VMware-Tanzu-CloudHealth/SaaS/working-with-reports-recommendations-vmware-tanzu-cloudhealth/GUID-aws-rightsizing-new.html</t>
        </is>
      </c>
      <c r="K529" t="inlineStr">
        <is>
          <t>2026-09-16</t>
        </is>
      </c>
      <c r="L529" s="2" t="inlineStr"/>
    </row>
    <row r="530">
      <c r="A530" t="inlineStr">
        <is>
          <t>E1</t>
        </is>
      </c>
      <c r="B530" t="inlineStr">
        <is>
          <t>Multicloud</t>
        </is>
      </c>
      <c r="C530" t="inlineStr">
        <is>
          <t>CloudHealth</t>
        </is>
      </c>
      <c r="D530" t="inlineStr">
        <is>
          <t>Automatizacion</t>
        </is>
      </c>
      <c r="E530" t="inlineStr">
        <is>
          <t>AU1</t>
        </is>
      </c>
      <c r="F530" s="2" t="inlineStr">
        <is>
          <t>¿Ejecuta o bloquea acciones/políticas de costo con control verificable?</t>
        </is>
      </c>
      <c r="G530" t="n">
        <v>2</v>
      </c>
      <c r="H530" t="inlineStr">
        <is>
          <t>Oficial</t>
        </is>
      </c>
      <c r="I530" s="2" t="inlineStr">
        <is>
          <t>Las "Policies" ejecutan acciones programadas (iniciar/detener instancias, acciones remediales) y "pueden tomar estas acciones por sí sola o después de que un aprobador dé su visto bueno".</t>
        </is>
      </c>
      <c r="J530" t="inlineStr">
        <is>
          <t>https://docs.vmware.com/en/VMware-Tanzu-CloudHealth/SaaS/getting-started-with-vmware-tanzu-cloudhealth/GUID-getting-started-with-policies.html</t>
        </is>
      </c>
      <c r="K530" t="inlineStr">
        <is>
          <t>2026-09-16</t>
        </is>
      </c>
      <c r="L530" s="2" t="inlineStr">
        <is>
          <t>Celda heredada FP-180 (2026-09-16): el valor 2 proviene de la investigacion del escenario E2 y no cuenta con evidencia propia de E1. Segun FP-177 el indicador AU1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531">
      <c r="A531" t="inlineStr">
        <is>
          <t>E1</t>
        </is>
      </c>
      <c r="B531" t="inlineStr">
        <is>
          <t>Multicloud</t>
        </is>
      </c>
      <c r="C531" t="inlineStr">
        <is>
          <t>CloudHealth</t>
        </is>
      </c>
      <c r="D531" t="inlineStr">
        <is>
          <t>Automatizacion</t>
        </is>
      </c>
      <c r="E531" t="inlineStr">
        <is>
          <t>AU2</t>
        </is>
      </c>
      <c r="F531" s="2" t="inlineStr">
        <is>
          <t>¿Ofrece aprobación, reversión, registro o límites antes de actuar?</t>
        </is>
      </c>
      <c r="G531" t="n">
        <v>2</v>
      </c>
      <c r="H531" t="inlineStr">
        <is>
          <t>Oficial</t>
        </is>
      </c>
      <c r="I531"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31" t="inlineStr">
        <is>
          <t>https://docs.vmware.com/en/VMware-Tanzu-CloudHealth/SaaS/getting-started-with-vmware-tanzu-cloudhealth/GUID-getting-started-with-policies.html</t>
        </is>
      </c>
      <c r="K531" t="inlineStr">
        <is>
          <t>2026-09-16</t>
        </is>
      </c>
      <c r="L531" s="2" t="inlineStr"/>
    </row>
    <row r="532">
      <c r="A532" t="inlineStr">
        <is>
          <t>E1</t>
        </is>
      </c>
      <c r="B532" t="inlineStr">
        <is>
          <t>Multicloud</t>
        </is>
      </c>
      <c r="C532" t="inlineStr">
        <is>
          <t>CloudHealth</t>
        </is>
      </c>
      <c r="D532" t="inlineStr">
        <is>
          <t>Multicloud</t>
        </is>
      </c>
      <c r="E532" t="inlineStr">
        <is>
          <t>M1</t>
        </is>
      </c>
      <c r="F532" s="2" t="inlineStr">
        <is>
          <t>¿Consolida al menos dos proveedores bajo el mismo esquema declarado?</t>
        </is>
      </c>
      <c r="G532" t="n">
        <v>2</v>
      </c>
      <c r="H532" t="inlineStr">
        <is>
          <t>Oficial</t>
        </is>
      </c>
      <c r="I532" s="2" t="inlineStr">
        <is>
          <t>Los Perspectives normalizan explícitamente activos etiquetables de AWS, Azure, Google Cloud y Oracle Cloud bajo el mismo esquema de clasificación ("AWS Taggable Assets", "Azure Taggable Asset", "GCP Taggable Asset").</t>
        </is>
      </c>
      <c r="J532" t="inlineStr">
        <is>
          <t>https://docs.vmware.com/en/VMware-Tanzu-CloudHealth/SaaS/using-and-managing-vmware-tanzu-cloudhealth/GUID-introduction-to-perspectives.html</t>
        </is>
      </c>
      <c r="K532" t="inlineStr">
        <is>
          <t>2026-09-16</t>
        </is>
      </c>
      <c r="L532" s="2" t="inlineStr"/>
    </row>
    <row r="533">
      <c r="A533" t="inlineStr">
        <is>
          <t>E1</t>
        </is>
      </c>
      <c r="B533" t="inlineStr">
        <is>
          <t>Multicloud</t>
        </is>
      </c>
      <c r="C533" t="inlineStr">
        <is>
          <t>CloudHealth</t>
        </is>
      </c>
      <c r="D533" t="inlineStr">
        <is>
          <t>Multicloud</t>
        </is>
      </c>
      <c r="E533" t="inlineStr">
        <is>
          <t>M2</t>
        </is>
      </c>
      <c r="F533" s="2" t="inlineStr">
        <is>
          <t>¿Hace visibles proveedor, cobertura y diferencias semánticas?</t>
        </is>
      </c>
      <c r="G533" t="n">
        <v>1</v>
      </c>
      <c r="H533" t="inlineStr">
        <is>
          <t>Oficial</t>
        </is>
      </c>
      <c r="I533" s="2" t="inlineStr">
        <is>
          <t>La documentación diferencia tipos de activos por proveedor dentro del mismo esquema, pero no se encontró un diccionario/mapeo explícito de diferencias semánticas entre nubes.</t>
        </is>
      </c>
      <c r="J533" t="inlineStr">
        <is>
          <t>https://docs.vmware.com/en/VMware-Tanzu-CloudHealth/SaaS/using-and-managing-vmware-tanzu-cloudhealth/GUID-introduction-to-perspectives.html</t>
        </is>
      </c>
      <c r="K533" t="inlineStr">
        <is>
          <t>2026-09-16</t>
        </is>
      </c>
      <c r="L533" s="2" t="inlineStr"/>
    </row>
    <row r="534">
      <c r="A534" t="inlineStr">
        <is>
          <t>E1</t>
        </is>
      </c>
      <c r="B534" t="inlineStr">
        <is>
          <t>Multicloud</t>
        </is>
      </c>
      <c r="C534" t="inlineStr">
        <is>
          <t>CloudHealth</t>
        </is>
      </c>
      <c r="D534" t="inlineStr">
        <is>
          <t>Integracion</t>
        </is>
      </c>
      <c r="E534" t="inlineStr">
        <is>
          <t>I1</t>
        </is>
      </c>
      <c r="F534" s="2" t="inlineStr">
        <is>
          <t>¿Integra datos requeridos (facturación, uso, clúster o IaC) del escenario?</t>
        </is>
      </c>
      <c r="G534" t="n">
        <v>2</v>
      </c>
      <c r="H534" t="inlineStr">
        <is>
          <t>Oficial</t>
        </is>
      </c>
      <c r="I534" s="2" t="inlineStr">
        <is>
          <t>Existen guías oficiales dedicadas para conectar cuentas de AWS y de Azure a la plataforma (conector/API definido y reproducible).</t>
        </is>
      </c>
      <c r="J534" t="inlineStr">
        <is>
          <t>https://docs.vmware.com/en/VMware-Tanzu-CloudHealth/SaaS/getting-started-with-vmware-tanzu-cloudhealth/GUID-azure-quick-start.html</t>
        </is>
      </c>
      <c r="K534" t="inlineStr">
        <is>
          <t>2026-09-16</t>
        </is>
      </c>
      <c r="L534" s="2" t="inlineStr">
        <is>
          <t>Celda heredada FP-180 (2026-09-16): el valor 2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535">
      <c r="A535" t="inlineStr">
        <is>
          <t>E1</t>
        </is>
      </c>
      <c r="B535" t="inlineStr">
        <is>
          <t>Multicloud</t>
        </is>
      </c>
      <c r="C535" t="inlineStr">
        <is>
          <t>CloudHealth</t>
        </is>
      </c>
      <c r="D535" t="inlineStr">
        <is>
          <t>Integracion</t>
        </is>
      </c>
      <c r="E535" t="inlineStr">
        <is>
          <t>I2</t>
        </is>
      </c>
      <c r="F535" s="2" t="inlineStr">
        <is>
          <t>¿Se integra con el flujo de trabajo relevante (alerta, ticket, CI/CD o reporte)?</t>
        </is>
      </c>
      <c r="G535" t="n">
        <v>1</v>
      </c>
      <c r="H535" t="inlineStr">
        <is>
          <t>Oficial</t>
        </is>
      </c>
      <c r="I535" s="2" t="inlineStr">
        <is>
          <t>Las Policies notifican por correo los IDs de recursos afectados; no se encontró documentación de integración directa con ticketing/CI-CD.</t>
        </is>
      </c>
      <c r="J535" t="inlineStr">
        <is>
          <t>https://docs.vmware.com/en/VMware-Tanzu-CloudHealth/SaaS/getting-started-with-vmware-tanzu-cloudhealth/GUID-getting-started-with-policies.html</t>
        </is>
      </c>
      <c r="K535" t="inlineStr">
        <is>
          <t>2026-09-16</t>
        </is>
      </c>
      <c r="L535" s="2" t="inlineStr">
        <is>
          <t>Celda heredada FP-180 (2026-09-16): el valor 1 proviene de la investigacion del escenario E2 y no cuenta con evidencia propia de E1. Segun FP-177 el indicador I2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536">
      <c r="A536" t="inlineStr">
        <is>
          <t>E1</t>
        </is>
      </c>
      <c r="B536" t="inlineStr">
        <is>
          <t>Multicloud</t>
        </is>
      </c>
      <c r="C536" t="inlineStr">
        <is>
          <t>CloudHealth</t>
        </is>
      </c>
      <c r="D536" t="inlineStr">
        <is>
          <t>Adopcion</t>
        </is>
      </c>
      <c r="E536" t="inlineStr">
        <is>
          <t>AD1</t>
        </is>
      </c>
      <c r="F536" s="2" t="inlineStr">
        <is>
          <t>¿Soporta acceso/entrega para los roles del escenario?</t>
        </is>
      </c>
      <c r="G536" t="n">
        <v>2</v>
      </c>
      <c r="H536" t="inlineStr">
        <is>
          <t>Oficial</t>
        </is>
      </c>
      <c r="I536" s="2" t="inlineStr">
        <is>
          <t>La plataforma define tres roles integrados y permite derivarlos: Administrator «has access to all privileges across all data»; Power Users «have the ability to perform all operations available to an administrator except the ability to create, edit, or delete organizations and users»; y Standard Users «can view but not modify most content». Además, «you can copy one of the built-in role documents (Standard User, Administrator, or Power User) and modify the copy to create your own. A role document is a set of privileges (read, write, update, delete)». Las organizaciones acotan qué datos ve cada usuario, lo que permite separar al responsable FinOps central, a arquitectura empresarial y a compras/finanzas exigidos por E2. No se asigna 3 porque falta la segunda evidencia (uso verificable) que pide FP-177.</t>
        </is>
      </c>
      <c r="J536" t="inlineStr">
        <is>
          <t>https://techdocs.broadcom.com/us/en/vmware-tanzu/cloudhealth/tanzu-cloudhealth/saas/tnz-cloudhealth/using-and-managing-tanzu-cloudhealth-managing-classic-organizations-if-applicable.html</t>
        </is>
      </c>
      <c r="K536" t="inlineStr">
        <is>
          <t>2026-09-16</t>
        </is>
      </c>
      <c r="L536" s="2" t="inlineStr">
        <is>
          <t>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537">
      <c r="A537" t="inlineStr">
        <is>
          <t>E1</t>
        </is>
      </c>
      <c r="B537" t="inlineStr">
        <is>
          <t>Multicloud</t>
        </is>
      </c>
      <c r="C537" t="inlineStr">
        <is>
          <t>CloudHealth</t>
        </is>
      </c>
      <c r="D537" t="inlineStr">
        <is>
          <t>Adopcion</t>
        </is>
      </c>
      <c r="E537" t="inlineStr">
        <is>
          <t>AD2</t>
        </is>
      </c>
      <c r="F537" s="2" t="inlineStr">
        <is>
          <t>¿Ofrece guías, ownership o mecanismos de seguimiento para uso sostenido?</t>
        </is>
      </c>
      <c r="G537" t="n">
        <v>1</v>
      </c>
      <c r="H537" t="inlineStr">
        <is>
          <t>Oficial</t>
        </is>
      </c>
      <c r="I537" s="2" t="inlineStr">
        <is>
          <t>Existe documentación oficial extensa (guías, whitepapers de gestión financiera de la nube) en el portal de VMware/Broadcom, pero no se verificó una guía de adopción/gobernanza dedicada más allá de la documentación general del producto.</t>
        </is>
      </c>
      <c r="J537" t="inlineStr">
        <is>
          <t>https://docs.vmware.com/en/VMware-Tanzu-CloudHealth/index.html</t>
        </is>
      </c>
      <c r="K537" t="inlineStr">
        <is>
          <t>2026-09-16</t>
        </is>
      </c>
      <c r="L537" s="2" t="inlineStr"/>
    </row>
    <row r="538">
      <c r="A538" t="inlineStr">
        <is>
          <t>E1</t>
        </is>
      </c>
      <c r="B538" t="inlineStr">
        <is>
          <t>Multicloud</t>
        </is>
      </c>
      <c r="C538" t="inlineStr">
        <is>
          <t>CloudHealth</t>
        </is>
      </c>
      <c r="D538" t="inlineStr">
        <is>
          <t>Precio</t>
        </is>
      </c>
      <c r="E538" t="inlineStr">
        <is>
          <t>P1</t>
        </is>
      </c>
      <c r="F538" s="2" t="inlineStr">
        <is>
          <t>¿Expone precio, moneda, región, unidad, período y supuestos relevantes?</t>
        </is>
      </c>
      <c r="G538" t="n">
        <v>2</v>
      </c>
      <c r="H538" t="inlineStr">
        <is>
          <t>Oficial</t>
        </is>
      </c>
      <c r="I538" s="2" t="inlineStr">
        <is>
          <t>La documentacion define y distingue las metricas de costo y sus supuestos: «Effective Cost represents a cost inclusive of the impacts of all reduced rates and discounts, augmented with the amortization of relevant purchases (one-time or recurring) paid to cover future eligible charges». Declara ademas el origen del dato y el limite de su propio calculo: el costo amortizado se obtiene «from the AWS Cost and Usage report (CUR)» y «Tanzu CloudHealth only aggregates this value over the selected time period rather than calculating it». Los supuestos quedan visibles y reproducibles.</t>
        </is>
      </c>
      <c r="J538" t="inlineStr">
        <is>
          <t>https://techdocs.broadcom.com/us/en/vmware-tanzu/cloudhealth/tanzu-cloudhealth/saas/tnz-cloudhealth/working-with-reports-and-recommendation-of-tanzu-cloudhealth-cost-reports.html</t>
        </is>
      </c>
      <c r="K538" t="inlineStr">
        <is>
          <t>2026-09-16</t>
        </is>
      </c>
      <c r="L538" s="2" t="inlineStr">
        <is>
          <t>Investigacion del criterio Precio de E2 (2026-09-16): celda completada con evidencia propia verificada contra documentacion oficial. Precio es criterio critico de E2 y estaba sin evidenciar en este producto.</t>
        </is>
      </c>
    </row>
    <row r="539">
      <c r="A539" t="inlineStr">
        <is>
          <t>E1</t>
        </is>
      </c>
      <c r="B539" t="inlineStr">
        <is>
          <t>Multicloud</t>
        </is>
      </c>
      <c r="C539" t="inlineStr">
        <is>
          <t>CloudHealth</t>
        </is>
      </c>
      <c r="D539" t="inlineStr">
        <is>
          <t>Precio</t>
        </is>
      </c>
      <c r="E539" t="inlineStr">
        <is>
          <t>P2</t>
        </is>
      </c>
      <c r="F539" s="2" t="inlineStr">
        <is>
          <t>¿Permite estimar o comparar componentes sin ocultar límites de equivalencia?</t>
        </is>
      </c>
      <c r="G539" t="n">
        <v>2</v>
      </c>
      <c r="H539" t="inlineStr">
        <is>
          <t>Oficial</t>
        </is>
      </c>
      <c r="I539" s="2" t="inlineStr">
        <is>
          <t>El rightsizing compara el tipo de instancia en uso contra el propuesto y declara que las recomendaciones «consider RI discounts, EDP, Convertible Reserved Instance, and Savings plan availed by the source instance type», y que el Effective Savings Rate «includes discounts obtained from Negotiated Contracts (such as EDP)». Es un calculo definido con los limites de equivalencia explicitados.</t>
        </is>
      </c>
      <c r="J539" t="inlineStr">
        <is>
          <t>https://techdocs.broadcom.com/us/en/ca-enterprise-software/it-operations-management/cloudhealth/saas/index/working-with-reports-and-recommendation-of-tanzu-cloudhealth-working-with-reports-recommendations/working-with-reports-and-recommendation-of-tanzu-cloudhealth-aws-rightsizing-new.html</t>
        </is>
      </c>
      <c r="K539" t="inlineStr">
        <is>
          <t>2026-09-16</t>
        </is>
      </c>
      <c r="L539" s="2" t="inlineStr">
        <is>
          <t>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540">
      <c r="A540" t="inlineStr">
        <is>
          <t>E1</t>
        </is>
      </c>
      <c r="B540" t="inlineStr">
        <is>
          <t>Multicloud</t>
        </is>
      </c>
      <c r="C540" t="inlineStr">
        <is>
          <t>CloudHealth</t>
        </is>
      </c>
      <c r="D540" t="inlineStr">
        <is>
          <t>Dependencia</t>
        </is>
      </c>
      <c r="E540" t="inlineStr">
        <is>
          <t>D1</t>
        </is>
      </c>
      <c r="F540" s="2" t="inlineStr">
        <is>
          <t>¿Exporta datos/resultados en formato utilizable y documentado?</t>
        </is>
      </c>
      <c r="G540" t="n">
        <v>2</v>
      </c>
      <c r="H540" t="inlineStr">
        <is>
          <t>Oficial</t>
        </is>
      </c>
      <c r="I540" s="2" t="inlineStr">
        <is>
          <t>Cost Reports permite descargar como CSV los reportes Invoice, Detailed Billing Report y Summarized Billing Report (documentado para AWS).</t>
        </is>
      </c>
      <c r="J540" t="inlineStr">
        <is>
          <t>https://docs.vmware.com/en/VMware-Tanzu-CloudHealth/SaaS/working-with-reports-recommendations-vmware-tanzu-cloudhealth/GUID-cost-reports.html</t>
        </is>
      </c>
      <c r="K540" t="inlineStr">
        <is>
          <t>2026-09-16</t>
        </is>
      </c>
      <c r="L540" s="2" t="inlineStr"/>
    </row>
    <row r="541">
      <c r="A541" t="inlineStr">
        <is>
          <t>E1</t>
        </is>
      </c>
      <c r="B541" t="inlineStr">
        <is>
          <t>Multicloud</t>
        </is>
      </c>
      <c r="C541" t="inlineStr">
        <is>
          <t>CloudHealth</t>
        </is>
      </c>
      <c r="D541" t="inlineStr">
        <is>
          <t>Dependencia</t>
        </is>
      </c>
      <c r="E541" t="inlineStr">
        <is>
          <t>D2</t>
        </is>
      </c>
      <c r="F541" s="2" t="inlineStr">
        <is>
          <t>¿Documenta dependencias propietarias y un camino de salida/configuración reversible?</t>
        </is>
      </c>
      <c r="G541" t="inlineStr">
        <is>
          <t>NE</t>
        </is>
      </c>
      <c r="H541" t="inlineStr">
        <is>
          <t>Pendiente</t>
        </is>
      </c>
      <c r="I541" s="2" t="inlineStr">
        <is>
          <t>No se encontró documentación sobre un camino de salida o reversibilidad de la configuración.</t>
        </is>
      </c>
      <c r="K541" t="inlineStr">
        <is>
          <t>2026-09-16</t>
        </is>
      </c>
      <c r="L541" s="2" t="inlineStr"/>
    </row>
    <row r="542">
      <c r="A542" t="inlineStr">
        <is>
          <t>E2</t>
        </is>
      </c>
      <c r="B542" t="inlineStr">
        <is>
          <t>Multicloud</t>
        </is>
      </c>
      <c r="C542" t="inlineStr">
        <is>
          <t>CloudHealth</t>
        </is>
      </c>
      <c r="D542" t="inlineStr">
        <is>
          <t>Visibilidad</t>
        </is>
      </c>
      <c r="E542" t="inlineStr">
        <is>
          <t>V1</t>
        </is>
      </c>
      <c r="F542" s="2" t="inlineStr">
        <is>
          <t>¿Desagrega costo y uso por cuenta/proyecto, servicio y período?</t>
        </is>
      </c>
      <c r="G542" t="n">
        <v>2</v>
      </c>
      <c r="H542" t="inlineStr">
        <is>
          <t>Oficial</t>
        </is>
      </c>
      <c r="I542" s="2" t="inlineStr">
        <is>
          <t>"Perspectives" son "lentes" para categorizar todos los activos de la infraestructura por Producto, Equipo, Owner, Ambiente, Unidad de negocio, Función o Centro de costo, con soporte de tagging en AWS, Azure, Google Cloud y Oracle Cloud.</t>
        </is>
      </c>
      <c r="J542" t="inlineStr">
        <is>
          <t>https://docs.vmware.com/en/VMware-Tanzu-CloudHealth/SaaS/using-and-managing-vmware-tanzu-cloudhealth/GUID-introduction-to-perspectives.html</t>
        </is>
      </c>
      <c r="K542" t="inlineStr">
        <is>
          <t>2026-09-16</t>
        </is>
      </c>
      <c r="L542" s="2" t="inlineStr"/>
    </row>
    <row r="543">
      <c r="A543" t="inlineStr">
        <is>
          <t>E2</t>
        </is>
      </c>
      <c r="B543" t="inlineStr">
        <is>
          <t>Multicloud</t>
        </is>
      </c>
      <c r="C543" t="inlineStr">
        <is>
          <t>CloudHealth</t>
        </is>
      </c>
      <c r="D543" t="inlineStr">
        <is>
          <t>Visibilidad</t>
        </is>
      </c>
      <c r="E543" t="inlineStr">
        <is>
          <t>V2</t>
        </is>
      </c>
      <c r="F543" s="2" t="inlineStr">
        <is>
          <t>¿Permite rastrear un total hasta registros o fuente de facturación?</t>
        </is>
      </c>
      <c r="G543" t="n">
        <v>1</v>
      </c>
      <c r="H543" t="inlineStr">
        <is>
          <t>Oficial</t>
        </is>
      </c>
      <c r="I543"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43" t="inlineStr">
        <is>
          <t>https://docs.vmware.com/en/VMware-Tanzu-CloudHealth/SaaS/working-with-reports-recommendations-vmware-tanzu-cloudhealth/GUID-cost-reports.html</t>
        </is>
      </c>
      <c r="K543" t="inlineStr">
        <is>
          <t>2026-09-16</t>
        </is>
      </c>
      <c r="L543" s="2" t="inlineStr"/>
    </row>
    <row r="544">
      <c r="A544" t="inlineStr">
        <is>
          <t>E2</t>
        </is>
      </c>
      <c r="B544" t="inlineStr">
        <is>
          <t>Multicloud</t>
        </is>
      </c>
      <c r="C544" t="inlineStr">
        <is>
          <t>CloudHealth</t>
        </is>
      </c>
      <c r="D544" t="inlineStr">
        <is>
          <t>Asignacion</t>
        </is>
      </c>
      <c r="E544" t="inlineStr">
        <is>
          <t>A1</t>
        </is>
      </c>
      <c r="F544" s="2" t="inlineStr">
        <is>
          <t>¿Calcula gasto asignado/no asignado por responsable, centro o entidad?</t>
        </is>
      </c>
      <c r="G544" t="n">
        <v>2</v>
      </c>
      <c r="H544" t="inlineStr">
        <is>
          <t>Oficial</t>
        </is>
      </c>
      <c r="I544" s="2" t="inlineStr">
        <is>
          <t>Al crear un Perspective, el 100% de los activos parte "unallocated"; la interfaz expone explícitamente porcentaje y cantidad de activos asignados/no asignados en la sección "Assets Not Allocated".</t>
        </is>
      </c>
      <c r="J544" t="inlineStr">
        <is>
          <t>https://docs.vmware.com/en/VMware-Tanzu-CloudHealth/SaaS/using-and-managing-vmware-tanzu-cloudhealth/GUID-introduction-to-perspectives.html</t>
        </is>
      </c>
      <c r="K544" t="inlineStr">
        <is>
          <t>2026-09-16</t>
        </is>
      </c>
      <c r="L544" s="2" t="inlineStr"/>
    </row>
    <row r="545">
      <c r="A545" t="inlineStr">
        <is>
          <t>E2</t>
        </is>
      </c>
      <c r="B545" t="inlineStr">
        <is>
          <t>Multicloud</t>
        </is>
      </c>
      <c r="C545" t="inlineStr">
        <is>
          <t>CloudHealth</t>
        </is>
      </c>
      <c r="D545" t="inlineStr">
        <is>
          <t>Asignacion</t>
        </is>
      </c>
      <c r="E545" t="inlineStr">
        <is>
          <t>A2</t>
        </is>
      </c>
      <c r="F545" s="2" t="inlineStr">
        <is>
          <t>¿Explicita y aplica reglas para costo compartido/multi-tenant?</t>
        </is>
      </c>
      <c r="G545" t="n">
        <v>2</v>
      </c>
      <c r="H545" t="inlineStr">
        <is>
          <t>Oficial</t>
        </is>
      </c>
      <c r="I545" s="2" t="inlineStr">
        <is>
          <t>Los Perspectives agrupan activos mediante reglas de categorización versionadas y reproducibles (grupos dentro de cada lente, p. ej. Environment: dev/staging/test/prod).</t>
        </is>
      </c>
      <c r="J545" t="inlineStr">
        <is>
          <t>https://docs.vmware.com/en/VMware-Tanzu-CloudHealth/SaaS/using-and-managing-vmware-tanzu-cloudhealth/GUID-introduction-to-perspectives.html</t>
        </is>
      </c>
      <c r="K545" t="inlineStr">
        <is>
          <t>2026-09-16</t>
        </is>
      </c>
      <c r="L545" s="2" t="inlineStr"/>
    </row>
    <row r="546">
      <c r="A546" t="inlineStr">
        <is>
          <t>E2</t>
        </is>
      </c>
      <c r="B546" t="inlineStr">
        <is>
          <t>Multicloud</t>
        </is>
      </c>
      <c r="C546" t="inlineStr">
        <is>
          <t>CloudHealth</t>
        </is>
      </c>
      <c r="D546" t="inlineStr">
        <is>
          <t>Optimizacion</t>
        </is>
      </c>
      <c r="E546" t="inlineStr">
        <is>
          <t>O1</t>
        </is>
      </c>
      <c r="F546" s="2" t="inlineStr">
        <is>
          <t>¿Detecta desperdicio, rightsizing o compromiso relevante al escenario?</t>
        </is>
      </c>
      <c r="G546" t="n">
        <v>2</v>
      </c>
      <c r="H546" t="inlineStr">
        <is>
          <t>Oficial</t>
        </is>
      </c>
      <c r="I546" s="2" t="inlineStr">
        <is>
          <t>Existen páginas de Rightsizing dedicadas para AWS, Azure y GCP: para AWS, el motor analiza CPU/memoria/IOPS y sugiere un "Best Fit" más dos alternativas (p. ej. de m4.xlarge a c4.large), ordenadas por costo.</t>
        </is>
      </c>
      <c r="J546" t="inlineStr">
        <is>
          <t>https://docs.vmware.com/en/VMware-Tanzu-CloudHealth/SaaS/working-with-reports-recommendations-vmware-tanzu-cloudhealth/GUID-aws-rightsizing-new.html</t>
        </is>
      </c>
      <c r="K546" t="inlineStr">
        <is>
          <t>2026-09-16</t>
        </is>
      </c>
      <c r="L546" s="2" t="inlineStr"/>
    </row>
    <row r="547">
      <c r="A547" t="inlineStr">
        <is>
          <t>E2</t>
        </is>
      </c>
      <c r="B547" t="inlineStr">
        <is>
          <t>Multicloud</t>
        </is>
      </c>
      <c r="C547" t="inlineStr">
        <is>
          <t>CloudHealth</t>
        </is>
      </c>
      <c r="D547" t="inlineStr">
        <is>
          <t>Optimizacion</t>
        </is>
      </c>
      <c r="E547" t="inlineStr">
        <is>
          <t>O2</t>
        </is>
      </c>
      <c r="F547" s="2" t="inlineStr">
        <is>
          <t>¿Explica supuesto/impacto y permite seguir una recomendación?</t>
        </is>
      </c>
      <c r="G547" t="n">
        <v>1</v>
      </c>
      <c r="H547" t="inlineStr">
        <is>
          <t>Oficial</t>
        </is>
      </c>
      <c r="I547" s="2" t="inlineStr">
        <is>
          <t>Cada recomendación muestra costo mensual actual, proyectado y el ahorro proyectado; la documentación revisada no describe seguimiento del estado de una recomendación ya aplicada a lo largo del tiempo.</t>
        </is>
      </c>
      <c r="J547" t="inlineStr">
        <is>
          <t>https://docs.vmware.com/en/VMware-Tanzu-CloudHealth/SaaS/working-with-reports-recommendations-vmware-tanzu-cloudhealth/GUID-aws-rightsizing-new.html</t>
        </is>
      </c>
      <c r="K547" t="inlineStr">
        <is>
          <t>2026-09-16</t>
        </is>
      </c>
      <c r="L547" s="2" t="inlineStr"/>
    </row>
    <row r="548">
      <c r="A548" t="inlineStr">
        <is>
          <t>E2</t>
        </is>
      </c>
      <c r="B548" t="inlineStr">
        <is>
          <t>Multicloud</t>
        </is>
      </c>
      <c r="C548" t="inlineStr">
        <is>
          <t>CloudHealth</t>
        </is>
      </c>
      <c r="D548" t="inlineStr">
        <is>
          <t>Automatizacion</t>
        </is>
      </c>
      <c r="E548" t="inlineStr">
        <is>
          <t>AU1</t>
        </is>
      </c>
      <c r="F548" s="2" t="inlineStr">
        <is>
          <t>¿Ejecuta o bloquea acciones/políticas de costo con control verificable?</t>
        </is>
      </c>
      <c r="G548" t="n">
        <v>2</v>
      </c>
      <c r="H548" t="inlineStr">
        <is>
          <t>Oficial</t>
        </is>
      </c>
      <c r="I548" s="2" t="inlineStr">
        <is>
          <t>Las "Policies" ejecutan acciones programadas (iniciar/detener instancias, acciones remediales) y "pueden tomar estas acciones por sí sola o después de que un aprobador dé su visto bueno".</t>
        </is>
      </c>
      <c r="J548" t="inlineStr">
        <is>
          <t>https://docs.vmware.com/en/VMware-Tanzu-CloudHealth/SaaS/getting-started-with-vmware-tanzu-cloudhealth/GUID-getting-started-with-policies.html</t>
        </is>
      </c>
      <c r="K548" t="inlineStr">
        <is>
          <t>2026-09-16</t>
        </is>
      </c>
      <c r="L548" s="2" t="inlineStr"/>
    </row>
    <row r="549">
      <c r="A549" t="inlineStr">
        <is>
          <t>E2</t>
        </is>
      </c>
      <c r="B549" t="inlineStr">
        <is>
          <t>Multicloud</t>
        </is>
      </c>
      <c r="C549" t="inlineStr">
        <is>
          <t>CloudHealth</t>
        </is>
      </c>
      <c r="D549" t="inlineStr">
        <is>
          <t>Automatizacion</t>
        </is>
      </c>
      <c r="E549" t="inlineStr">
        <is>
          <t>AU2</t>
        </is>
      </c>
      <c r="F549" s="2" t="inlineStr">
        <is>
          <t>¿Ofrece aprobación, reversión, registro o límites antes de actuar?</t>
        </is>
      </c>
      <c r="G549" t="n">
        <v>2</v>
      </c>
      <c r="H549" t="inlineStr">
        <is>
          <t>Oficial</t>
        </is>
      </c>
      <c r="I549"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49" t="inlineStr">
        <is>
          <t>https://docs.vmware.com/en/VMware-Tanzu-CloudHealth/SaaS/getting-started-with-vmware-tanzu-cloudhealth/GUID-getting-started-with-policies.html</t>
        </is>
      </c>
      <c r="K549" t="inlineStr">
        <is>
          <t>2026-09-16</t>
        </is>
      </c>
      <c r="L549" s="2" t="inlineStr"/>
    </row>
    <row r="550">
      <c r="A550" t="inlineStr">
        <is>
          <t>E2</t>
        </is>
      </c>
      <c r="B550" t="inlineStr">
        <is>
          <t>Multicloud</t>
        </is>
      </c>
      <c r="C550" t="inlineStr">
        <is>
          <t>CloudHealth</t>
        </is>
      </c>
      <c r="D550" t="inlineStr">
        <is>
          <t>Multicloud</t>
        </is>
      </c>
      <c r="E550" t="inlineStr">
        <is>
          <t>M1</t>
        </is>
      </c>
      <c r="F550" s="2" t="inlineStr">
        <is>
          <t>¿Consolida al menos dos proveedores bajo el mismo esquema declarado?</t>
        </is>
      </c>
      <c r="G550" t="n">
        <v>2</v>
      </c>
      <c r="H550" t="inlineStr">
        <is>
          <t>Oficial</t>
        </is>
      </c>
      <c r="I550" s="2" t="inlineStr">
        <is>
          <t>Los Perspectives normalizan explícitamente activos etiquetables de AWS, Azure, Google Cloud y Oracle Cloud bajo el mismo esquema de clasificación ("AWS Taggable Assets", "Azure Taggable Asset", "GCP Taggable Asset").</t>
        </is>
      </c>
      <c r="J550" t="inlineStr">
        <is>
          <t>https://docs.vmware.com/en/VMware-Tanzu-CloudHealth/SaaS/using-and-managing-vmware-tanzu-cloudhealth/GUID-introduction-to-perspectives.html</t>
        </is>
      </c>
      <c r="K550" t="inlineStr">
        <is>
          <t>2026-09-16</t>
        </is>
      </c>
      <c r="L550" s="2" t="inlineStr"/>
    </row>
    <row r="551">
      <c r="A551" t="inlineStr">
        <is>
          <t>E2</t>
        </is>
      </c>
      <c r="B551" t="inlineStr">
        <is>
          <t>Multicloud</t>
        </is>
      </c>
      <c r="C551" t="inlineStr">
        <is>
          <t>CloudHealth</t>
        </is>
      </c>
      <c r="D551" t="inlineStr">
        <is>
          <t>Multicloud</t>
        </is>
      </c>
      <c r="E551" t="inlineStr">
        <is>
          <t>M2</t>
        </is>
      </c>
      <c r="F551" s="2" t="inlineStr">
        <is>
          <t>¿Hace visibles proveedor, cobertura y diferencias semánticas?</t>
        </is>
      </c>
      <c r="G551" t="n">
        <v>1</v>
      </c>
      <c r="H551" t="inlineStr">
        <is>
          <t>Oficial</t>
        </is>
      </c>
      <c r="I551" s="2" t="inlineStr">
        <is>
          <t>La documentación diferencia tipos de activos por proveedor dentro del mismo esquema, pero no se encontró un diccionario/mapeo explícito de diferencias semánticas entre nubes.</t>
        </is>
      </c>
      <c r="J551" t="inlineStr">
        <is>
          <t>https://docs.vmware.com/en/VMware-Tanzu-CloudHealth/SaaS/using-and-managing-vmware-tanzu-cloudhealth/GUID-introduction-to-perspectives.html</t>
        </is>
      </c>
      <c r="K551" t="inlineStr">
        <is>
          <t>2026-09-16</t>
        </is>
      </c>
      <c r="L551" s="2" t="inlineStr"/>
    </row>
    <row r="552">
      <c r="A552" t="inlineStr">
        <is>
          <t>E2</t>
        </is>
      </c>
      <c r="B552" t="inlineStr">
        <is>
          <t>Multicloud</t>
        </is>
      </c>
      <c r="C552" t="inlineStr">
        <is>
          <t>CloudHealth</t>
        </is>
      </c>
      <c r="D552" t="inlineStr">
        <is>
          <t>Integracion</t>
        </is>
      </c>
      <c r="E552" t="inlineStr">
        <is>
          <t>I1</t>
        </is>
      </c>
      <c r="F552" s="2" t="inlineStr">
        <is>
          <t>¿Integra datos requeridos (facturación, uso, clúster o IaC) del escenario?</t>
        </is>
      </c>
      <c r="G552" t="n">
        <v>2</v>
      </c>
      <c r="H552" t="inlineStr">
        <is>
          <t>Oficial</t>
        </is>
      </c>
      <c r="I552" s="2" t="inlineStr">
        <is>
          <t>Existen guías oficiales dedicadas para conectar cuentas de AWS y de Azure a la plataforma (conector/API definido y reproducible).</t>
        </is>
      </c>
      <c r="J552" t="inlineStr">
        <is>
          <t>https://docs.vmware.com/en/VMware-Tanzu-CloudHealth/SaaS/getting-started-with-vmware-tanzu-cloudhealth/GUID-azure-quick-start.html</t>
        </is>
      </c>
      <c r="K552" t="inlineStr">
        <is>
          <t>2026-09-16</t>
        </is>
      </c>
      <c r="L552" s="2" t="inlineStr"/>
    </row>
    <row r="553">
      <c r="A553" t="inlineStr">
        <is>
          <t>E2</t>
        </is>
      </c>
      <c r="B553" t="inlineStr">
        <is>
          <t>Multicloud</t>
        </is>
      </c>
      <c r="C553" t="inlineStr">
        <is>
          <t>CloudHealth</t>
        </is>
      </c>
      <c r="D553" t="inlineStr">
        <is>
          <t>Integracion</t>
        </is>
      </c>
      <c r="E553" t="inlineStr">
        <is>
          <t>I2</t>
        </is>
      </c>
      <c r="F553" s="2" t="inlineStr">
        <is>
          <t>¿Se integra con el flujo de trabajo relevante (alerta, ticket, CI/CD o reporte)?</t>
        </is>
      </c>
      <c r="G553" t="n">
        <v>1</v>
      </c>
      <c r="H553" t="inlineStr">
        <is>
          <t>Oficial</t>
        </is>
      </c>
      <c r="I553" s="2" t="inlineStr">
        <is>
          <t>Las Policies notifican por correo los IDs de recursos afectados; no se encontró documentación de integración directa con ticketing/CI-CD.</t>
        </is>
      </c>
      <c r="J553" t="inlineStr">
        <is>
          <t>https://docs.vmware.com/en/VMware-Tanzu-CloudHealth/SaaS/getting-started-with-vmware-tanzu-cloudhealth/GUID-getting-started-with-policies.html</t>
        </is>
      </c>
      <c r="K553" t="inlineStr">
        <is>
          <t>2026-09-16</t>
        </is>
      </c>
      <c r="L553" s="2" t="inlineStr"/>
    </row>
    <row r="554">
      <c r="A554" t="inlineStr">
        <is>
          <t>E2</t>
        </is>
      </c>
      <c r="B554" t="inlineStr">
        <is>
          <t>Multicloud</t>
        </is>
      </c>
      <c r="C554" t="inlineStr">
        <is>
          <t>CloudHealth</t>
        </is>
      </c>
      <c r="D554" t="inlineStr">
        <is>
          <t>Adopcion</t>
        </is>
      </c>
      <c r="E554" t="inlineStr">
        <is>
          <t>AD1</t>
        </is>
      </c>
      <c r="F554" s="2" t="inlineStr">
        <is>
          <t>¿Soporta acceso/entrega para los roles del escenario?</t>
        </is>
      </c>
      <c r="G554" t="n">
        <v>2</v>
      </c>
      <c r="H554" t="inlineStr">
        <is>
          <t>Oficial</t>
        </is>
      </c>
      <c r="I554" s="2" t="inlineStr">
        <is>
          <t>La plataforma define tres roles integrados y permite derivarlos: Administrator «has access to all privileges across all data»; Power Users «have the ability to perform all operations available to an administrator except the ability to create, edit, or delete organizations and users»; y Standard Users «can view but not modify most content». Además, «you can copy one of the built-in role documents (Standard User, Administrator, or Power User) and modify the copy to create your own. A role document is a set of privileges (read, write, update, delete)». Las organizaciones acotan qué datos ve cada usuario, lo que permite separar al responsable FinOps central, a arquitectura empresarial y a compras/finanzas exigidos por E2. No se asigna 3 porque falta la segunda evidencia (uso verificable) que pide FP-177.</t>
        </is>
      </c>
      <c r="J554" t="inlineStr">
        <is>
          <t>https://techdocs.broadcom.com/us/en/vmware-tanzu/cloudhealth/tanzu-cloudhealth/saas/tnz-cloudhealth/using-and-managing-tanzu-cloudhealth-managing-classic-organizations-if-applicable.html</t>
        </is>
      </c>
      <c r="K554" t="inlineStr">
        <is>
          <t>2026-09-16</t>
        </is>
      </c>
      <c r="L554" s="2" t="inlineStr">
        <is>
          <t>Investigación E2 FP-180 (2026-09-16): celda completada con evidencia propia del escenario, verificada contra documentación oficial.</t>
        </is>
      </c>
    </row>
    <row r="555">
      <c r="A555" t="inlineStr">
        <is>
          <t>E2</t>
        </is>
      </c>
      <c r="B555" t="inlineStr">
        <is>
          <t>Multicloud</t>
        </is>
      </c>
      <c r="C555" t="inlineStr">
        <is>
          <t>CloudHealth</t>
        </is>
      </c>
      <c r="D555" t="inlineStr">
        <is>
          <t>Adopcion</t>
        </is>
      </c>
      <c r="E555" t="inlineStr">
        <is>
          <t>AD2</t>
        </is>
      </c>
      <c r="F555" s="2" t="inlineStr">
        <is>
          <t>¿Ofrece guías, ownership o mecanismos de seguimiento para uso sostenido?</t>
        </is>
      </c>
      <c r="G555" t="n">
        <v>1</v>
      </c>
      <c r="H555" t="inlineStr">
        <is>
          <t>Oficial</t>
        </is>
      </c>
      <c r="I555" s="2" t="inlineStr">
        <is>
          <t>Existe documentación oficial extensa (guías, whitepapers de gestión financiera de la nube) en el portal de VMware/Broadcom, pero no se verificó una guía de adopción/gobernanza dedicada más allá de la documentación general del producto.</t>
        </is>
      </c>
      <c r="J555" t="inlineStr">
        <is>
          <t>https://docs.vmware.com/en/VMware-Tanzu-CloudHealth/index.html</t>
        </is>
      </c>
      <c r="K555" t="inlineStr">
        <is>
          <t>2026-09-16</t>
        </is>
      </c>
      <c r="L555" s="2" t="inlineStr"/>
    </row>
    <row r="556">
      <c r="A556" t="inlineStr">
        <is>
          <t>E2</t>
        </is>
      </c>
      <c r="B556" t="inlineStr">
        <is>
          <t>Multicloud</t>
        </is>
      </c>
      <c r="C556" t="inlineStr">
        <is>
          <t>CloudHealth</t>
        </is>
      </c>
      <c r="D556" t="inlineStr">
        <is>
          <t>Precio</t>
        </is>
      </c>
      <c r="E556" t="inlineStr">
        <is>
          <t>P1</t>
        </is>
      </c>
      <c r="F556" s="2" t="inlineStr">
        <is>
          <t>¿Expone precio, moneda, región, unidad, período y supuestos relevantes?</t>
        </is>
      </c>
      <c r="G556" t="n">
        <v>2</v>
      </c>
      <c r="H556" t="inlineStr">
        <is>
          <t>Oficial</t>
        </is>
      </c>
      <c r="I556" s="2" t="inlineStr">
        <is>
          <t>La documentacion define y distingue las metricas de costo y sus supuestos: «Effective Cost represents a cost inclusive of the impacts of all reduced rates and discounts, augmented with the amortization of relevant purchases (one-time or recurring) paid to cover future eligible charges». Declara ademas el origen del dato y el limite de su propio calculo: el costo amortizado se obtiene «from the AWS Cost and Usage report (CUR)» y «Tanzu CloudHealth only aggregates this value over the selected time period rather than calculating it». Los supuestos quedan visibles y reproducibles.</t>
        </is>
      </c>
      <c r="J556" t="inlineStr">
        <is>
          <t>https://techdocs.broadcom.com/us/en/vmware-tanzu/cloudhealth/tanzu-cloudhealth/saas/tnz-cloudhealth/working-with-reports-and-recommendation-of-tanzu-cloudhealth-cost-reports.html</t>
        </is>
      </c>
      <c r="K556" t="inlineStr">
        <is>
          <t>2026-09-16</t>
        </is>
      </c>
      <c r="L556" s="2" t="inlineStr">
        <is>
          <t>Investigacion del criterio Precio de E2 (2026-09-16): celda completada con evidencia propia verificada contra documentacion oficial. Precio es criterio critico de E2 y estaba sin evidenciar en este producto.</t>
        </is>
      </c>
    </row>
    <row r="557">
      <c r="A557" t="inlineStr">
        <is>
          <t>E2</t>
        </is>
      </c>
      <c r="B557" t="inlineStr">
        <is>
          <t>Multicloud</t>
        </is>
      </c>
      <c r="C557" t="inlineStr">
        <is>
          <t>CloudHealth</t>
        </is>
      </c>
      <c r="D557" t="inlineStr">
        <is>
          <t>Precio</t>
        </is>
      </c>
      <c r="E557" t="inlineStr">
        <is>
          <t>P2</t>
        </is>
      </c>
      <c r="F557" s="2" t="inlineStr">
        <is>
          <t>¿Permite estimar o comparar componentes sin ocultar límites de equivalencia?</t>
        </is>
      </c>
      <c r="G557" t="n">
        <v>2</v>
      </c>
      <c r="H557" t="inlineStr">
        <is>
          <t>Oficial</t>
        </is>
      </c>
      <c r="I557" s="2" t="inlineStr">
        <is>
          <t>El rightsizing compara el tipo de instancia en uso contra el propuesto y declara que las recomendaciones «consider RI discounts, EDP, Convertible Reserved Instance, and Savings plan availed by the source instance type», y que el Effective Savings Rate «includes discounts obtained from Negotiated Contracts (such as EDP)». Es un calculo definido con los limites de equivalencia explicitados.</t>
        </is>
      </c>
      <c r="J557" t="inlineStr">
        <is>
          <t>https://techdocs.broadcom.com/us/en/ca-enterprise-software/it-operations-management/cloudhealth/saas/index/working-with-reports-and-recommendation-of-tanzu-cloudhealth-working-with-reports-recommendations/working-with-reports-and-recommendation-of-tanzu-cloudhealth-aws-rightsizing-new.html</t>
        </is>
      </c>
      <c r="K557" t="inlineStr">
        <is>
          <t>2026-09-16</t>
        </is>
      </c>
      <c r="L557" s="2" t="inlineStr">
        <is>
          <t>Investigacion del criterio Precio de E2 (2026-09-16): celda completada con evidencia propia verificada contra documentacion oficial. Precio es criterio critico de E2 y estaba sin evidenciar en este producto.</t>
        </is>
      </c>
    </row>
    <row r="558">
      <c r="A558" t="inlineStr">
        <is>
          <t>E2</t>
        </is>
      </c>
      <c r="B558" t="inlineStr">
        <is>
          <t>Multicloud</t>
        </is>
      </c>
      <c r="C558" t="inlineStr">
        <is>
          <t>CloudHealth</t>
        </is>
      </c>
      <c r="D558" t="inlineStr">
        <is>
          <t>Dependencia</t>
        </is>
      </c>
      <c r="E558" t="inlineStr">
        <is>
          <t>D1</t>
        </is>
      </c>
      <c r="F558" s="2" t="inlineStr">
        <is>
          <t>¿Exporta datos/resultados en formato utilizable y documentado?</t>
        </is>
      </c>
      <c r="G558" t="n">
        <v>2</v>
      </c>
      <c r="H558" t="inlineStr">
        <is>
          <t>Oficial</t>
        </is>
      </c>
      <c r="I558" s="2" t="inlineStr">
        <is>
          <t>Cost Reports permite descargar como CSV los reportes Invoice, Detailed Billing Report y Summarized Billing Report (documentado para AWS).</t>
        </is>
      </c>
      <c r="J558" t="inlineStr">
        <is>
          <t>https://docs.vmware.com/en/VMware-Tanzu-CloudHealth/SaaS/working-with-reports-recommendations-vmware-tanzu-cloudhealth/GUID-cost-reports.html</t>
        </is>
      </c>
      <c r="K558" t="inlineStr">
        <is>
          <t>2026-09-16</t>
        </is>
      </c>
      <c r="L558" s="2" t="inlineStr"/>
    </row>
    <row r="559">
      <c r="A559" t="inlineStr">
        <is>
          <t>E2</t>
        </is>
      </c>
      <c r="B559" t="inlineStr">
        <is>
          <t>Multicloud</t>
        </is>
      </c>
      <c r="C559" t="inlineStr">
        <is>
          <t>CloudHealth</t>
        </is>
      </c>
      <c r="D559" t="inlineStr">
        <is>
          <t>Dependencia</t>
        </is>
      </c>
      <c r="E559" t="inlineStr">
        <is>
          <t>D2</t>
        </is>
      </c>
      <c r="F559" s="2" t="inlineStr">
        <is>
          <t>¿Documenta dependencias propietarias y un camino de salida/configuración reversible?</t>
        </is>
      </c>
      <c r="G559" t="inlineStr">
        <is>
          <t>NE</t>
        </is>
      </c>
      <c r="H559" t="inlineStr">
        <is>
          <t>Pendiente</t>
        </is>
      </c>
      <c r="I559" s="2" t="inlineStr">
        <is>
          <t>No se encontró documentación sobre un camino de salida o reversibilidad de la configuración.</t>
        </is>
      </c>
      <c r="K559" t="inlineStr">
        <is>
          <t>2026-09-16</t>
        </is>
      </c>
      <c r="L559" s="2" t="inlineStr"/>
    </row>
    <row r="560">
      <c r="A560" t="inlineStr">
        <is>
          <t>E5</t>
        </is>
      </c>
      <c r="B560" t="inlineStr">
        <is>
          <t>Multicloud</t>
        </is>
      </c>
      <c r="C560" t="inlineStr">
        <is>
          <t>CloudHealth</t>
        </is>
      </c>
      <c r="D560" t="inlineStr">
        <is>
          <t>Visibilidad</t>
        </is>
      </c>
      <c r="E560" t="inlineStr">
        <is>
          <t>V1</t>
        </is>
      </c>
      <c r="F560" s="2" t="inlineStr">
        <is>
          <t>¿Desagrega costo y uso por cuenta/proyecto, servicio y período?</t>
        </is>
      </c>
      <c r="G560" t="n">
        <v>2</v>
      </c>
      <c r="H560" t="inlineStr">
        <is>
          <t>Oficial</t>
        </is>
      </c>
      <c r="I560" s="2" t="inlineStr">
        <is>
          <t>"Perspectives" son "lentes" para categorizar todos los activos de la infraestructura por Producto, Equipo, Owner, Ambiente, Unidad de negocio, Función o Centro de costo, con soporte de tagging en AWS, Azure, Google Cloud y Oracle Cloud.</t>
        </is>
      </c>
      <c r="J560" t="inlineStr">
        <is>
          <t>https://docs.vmware.com/en/VMware-Tanzu-CloudHealth/SaaS/using-and-managing-vmware-tanzu-cloudhealth/GUID-introduction-to-perspectives.html</t>
        </is>
      </c>
      <c r="K560" t="inlineStr">
        <is>
          <t>2026-09-16</t>
        </is>
      </c>
      <c r="L560" s="2" t="inlineStr">
        <is>
          <t>Celda heredada FP-180 (2026-09-16): el valor 2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61">
      <c r="A561" t="inlineStr">
        <is>
          <t>E5</t>
        </is>
      </c>
      <c r="B561" t="inlineStr">
        <is>
          <t>Multicloud</t>
        </is>
      </c>
      <c r="C561" t="inlineStr">
        <is>
          <t>CloudHealth</t>
        </is>
      </c>
      <c r="D561" t="inlineStr">
        <is>
          <t>Visibilidad</t>
        </is>
      </c>
      <c r="E561" t="inlineStr">
        <is>
          <t>V2</t>
        </is>
      </c>
      <c r="F561" s="2" t="inlineStr">
        <is>
          <t>¿Permite rastrear un total hasta registros o fuente de facturación?</t>
        </is>
      </c>
      <c r="G561" t="n">
        <v>1</v>
      </c>
      <c r="H561" t="inlineStr">
        <is>
          <t>Oficial</t>
        </is>
      </c>
      <c r="I561"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61" t="inlineStr">
        <is>
          <t>https://docs.vmware.com/en/VMware-Tanzu-CloudHealth/SaaS/working-with-reports-recommendations-vmware-tanzu-cloudhealth/GUID-cost-reports.html</t>
        </is>
      </c>
      <c r="K561" t="inlineStr">
        <is>
          <t>2026-09-16</t>
        </is>
      </c>
      <c r="L561" s="2" t="inlineStr"/>
    </row>
    <row r="562">
      <c r="A562" t="inlineStr">
        <is>
          <t>E5</t>
        </is>
      </c>
      <c r="B562" t="inlineStr">
        <is>
          <t>Multicloud</t>
        </is>
      </c>
      <c r="C562" t="inlineStr">
        <is>
          <t>CloudHealth</t>
        </is>
      </c>
      <c r="D562" t="inlineStr">
        <is>
          <t>Asignacion</t>
        </is>
      </c>
      <c r="E562" t="inlineStr">
        <is>
          <t>A1</t>
        </is>
      </c>
      <c r="F562" s="2" t="inlineStr">
        <is>
          <t>¿Calcula gasto asignado/no asignado por responsable, centro o entidad?</t>
        </is>
      </c>
      <c r="G562" t="n">
        <v>2</v>
      </c>
      <c r="H562" t="inlineStr">
        <is>
          <t>Oficial</t>
        </is>
      </c>
      <c r="I562" s="2" t="inlineStr">
        <is>
          <t>Al crear un Perspective, el 100% de los activos parte "unallocated"; la interfaz expone explícitamente porcentaje y cantidad de activos asignados/no asignados en la sección "Assets Not Allocated".</t>
        </is>
      </c>
      <c r="J562" t="inlineStr">
        <is>
          <t>https://docs.vmware.com/en/VMware-Tanzu-CloudHealth/SaaS/using-and-managing-vmware-tanzu-cloudhealth/GUID-introduction-to-perspectives.html</t>
        </is>
      </c>
      <c r="K562" t="inlineStr">
        <is>
          <t>2026-09-16</t>
        </is>
      </c>
      <c r="L562" s="2" t="inlineStr">
        <is>
          <t>Celda heredada FP-180 (2026-09-16): el valor 2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63">
      <c r="A563" t="inlineStr">
        <is>
          <t>E5</t>
        </is>
      </c>
      <c r="B563" t="inlineStr">
        <is>
          <t>Multicloud</t>
        </is>
      </c>
      <c r="C563" t="inlineStr">
        <is>
          <t>CloudHealth</t>
        </is>
      </c>
      <c r="D563" t="inlineStr">
        <is>
          <t>Asignacion</t>
        </is>
      </c>
      <c r="E563" t="inlineStr">
        <is>
          <t>A2</t>
        </is>
      </c>
      <c r="F563" s="2" t="inlineStr">
        <is>
          <t>¿Explicita y aplica reglas para costo compartido/multi-tenant?</t>
        </is>
      </c>
      <c r="G563" t="n">
        <v>2</v>
      </c>
      <c r="H563" t="inlineStr">
        <is>
          <t>Oficial</t>
        </is>
      </c>
      <c r="I563" s="2" t="inlineStr">
        <is>
          <t>El prorrateo esta documentado para chargeback y showback, y separa lo atribuible de lo que no lo es: clasifica «Direct Costs (which have a resource ID or asset ID associated and can be allocated to Perspective groups)» frente a «Indirect Costs (which are not associated with a resource ID or asset ID, such as support costs, and therefore cannot be attributed to a group)». Las reglas de custom line items permiten reasignar cargos indirectos entre grupos.</t>
        </is>
      </c>
      <c r="J563" t="inlineStr">
        <is>
          <t>https://techdocs.broadcom.com/us/en/vmware-tanzu/cloudhealth/tanzu-cloudhealth/saas/tnz-cloudhealth/working-with-reports-and-recommendation-of-tanzu-cloudhealth-custom-line-items.html</t>
        </is>
      </c>
      <c r="K563" t="inlineStr">
        <is>
          <t>2026-09-16</t>
        </is>
      </c>
      <c r="L563" s="2" t="inlineStr">
        <is>
          <t>Celda heredada FP-180 (2026-09-16): el valor 2 proviene de la investigacion del escenario E2 y no cuenta con evidencia propia de E5. Segun FP-177 el indicador A2 depende del escenario, por lo que pasa a NE (no evidenciado, reduce cobertura) hasta investigarlo. La evidencia y la fuente originales se conservan como referencia del escenario de origen. | Investigacion propia de E5 (2026-09-16): regla de reparto del costo compartido verificada contra la salida esperada del escenario, que exige el metodo de reparto y la porcion no atribuible.</t>
        </is>
      </c>
    </row>
    <row r="564">
      <c r="A564" t="inlineStr">
        <is>
          <t>E5</t>
        </is>
      </c>
      <c r="B564" t="inlineStr">
        <is>
          <t>Multicloud</t>
        </is>
      </c>
      <c r="C564" t="inlineStr">
        <is>
          <t>CloudHealth</t>
        </is>
      </c>
      <c r="D564" t="inlineStr">
        <is>
          <t>Optimizacion</t>
        </is>
      </c>
      <c r="E564" t="inlineStr">
        <is>
          <t>O1</t>
        </is>
      </c>
      <c r="F564" s="2" t="inlineStr">
        <is>
          <t>¿Detecta desperdicio, rightsizing o compromiso relevante al escenario?</t>
        </is>
      </c>
      <c r="G564" t="n">
        <v>2</v>
      </c>
      <c r="H564" t="inlineStr">
        <is>
          <t>Oficial</t>
        </is>
      </c>
      <c r="I564" s="2" t="inlineStr">
        <is>
          <t>Existen páginas de Rightsizing dedicadas para AWS, Azure y GCP: para AWS, el motor analiza CPU/memoria/IOPS y sugiere un "Best Fit" más dos alternativas (p. ej. de m4.xlarge a c4.large), ordenadas por costo.</t>
        </is>
      </c>
      <c r="J564" t="inlineStr">
        <is>
          <t>https://docs.vmware.com/en/VMware-Tanzu-CloudHealth/SaaS/working-with-reports-recommendations-vmware-tanzu-cloudhealth/GUID-aws-rightsizing-new.html</t>
        </is>
      </c>
      <c r="K564" t="inlineStr">
        <is>
          <t>2026-09-16</t>
        </is>
      </c>
      <c r="L564" s="2" t="inlineStr">
        <is>
          <t>Celda heredada FP-180 (2026-09-16): el valor 2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65">
      <c r="A565" t="inlineStr">
        <is>
          <t>E5</t>
        </is>
      </c>
      <c r="B565" t="inlineStr">
        <is>
          <t>Multicloud</t>
        </is>
      </c>
      <c r="C565" t="inlineStr">
        <is>
          <t>CloudHealth</t>
        </is>
      </c>
      <c r="D565" t="inlineStr">
        <is>
          <t>Optimizacion</t>
        </is>
      </c>
      <c r="E565" t="inlineStr">
        <is>
          <t>O2</t>
        </is>
      </c>
      <c r="F565" s="2" t="inlineStr">
        <is>
          <t>¿Explica supuesto/impacto y permite seguir una recomendación?</t>
        </is>
      </c>
      <c r="G565" t="n">
        <v>1</v>
      </c>
      <c r="H565" t="inlineStr">
        <is>
          <t>Oficial</t>
        </is>
      </c>
      <c r="I565" s="2" t="inlineStr">
        <is>
          <t>Cada recomendación muestra costo mensual actual, proyectado y el ahorro proyectado; la documentación revisada no describe seguimiento del estado de una recomendación ya aplicada a lo largo del tiempo.</t>
        </is>
      </c>
      <c r="J565" t="inlineStr">
        <is>
          <t>https://docs.vmware.com/en/VMware-Tanzu-CloudHealth/SaaS/working-with-reports-recommendations-vmware-tanzu-cloudhealth/GUID-aws-rightsizing-new.html</t>
        </is>
      </c>
      <c r="K565" t="inlineStr">
        <is>
          <t>2026-09-16</t>
        </is>
      </c>
      <c r="L565" s="2" t="inlineStr"/>
    </row>
    <row r="566">
      <c r="A566" t="inlineStr">
        <is>
          <t>E5</t>
        </is>
      </c>
      <c r="B566" t="inlineStr">
        <is>
          <t>Multicloud</t>
        </is>
      </c>
      <c r="C566" t="inlineStr">
        <is>
          <t>CloudHealth</t>
        </is>
      </c>
      <c r="D566" t="inlineStr">
        <is>
          <t>Automatizacion</t>
        </is>
      </c>
      <c r="E566" t="inlineStr">
        <is>
          <t>AU1</t>
        </is>
      </c>
      <c r="F566" s="2" t="inlineStr">
        <is>
          <t>¿Ejecuta o bloquea acciones/políticas de costo con control verificable?</t>
        </is>
      </c>
      <c r="G566" t="n">
        <v>2</v>
      </c>
      <c r="H566" t="inlineStr">
        <is>
          <t>Oficial</t>
        </is>
      </c>
      <c r="I566" s="2" t="inlineStr">
        <is>
          <t>Las "Policies" ejecutan acciones programadas (iniciar/detener instancias, acciones remediales) y "pueden tomar estas acciones por sí sola o después de que un aprobador dé su visto bueno".</t>
        </is>
      </c>
      <c r="J566" t="inlineStr">
        <is>
          <t>https://docs.vmware.com/en/VMware-Tanzu-CloudHealth/SaaS/getting-started-with-vmware-tanzu-cloudhealth/GUID-getting-started-with-policies.html</t>
        </is>
      </c>
      <c r="K566" t="inlineStr">
        <is>
          <t>2026-09-16</t>
        </is>
      </c>
      <c r="L566" s="2" t="inlineStr">
        <is>
          <t>Celda heredada FP-180 (2026-09-16): el valor 2 proviene de la investigacion del escenario E2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67">
      <c r="A567" t="inlineStr">
        <is>
          <t>E5</t>
        </is>
      </c>
      <c r="B567" t="inlineStr">
        <is>
          <t>Multicloud</t>
        </is>
      </c>
      <c r="C567" t="inlineStr">
        <is>
          <t>CloudHealth</t>
        </is>
      </c>
      <c r="D567" t="inlineStr">
        <is>
          <t>Automatizacion</t>
        </is>
      </c>
      <c r="E567" t="inlineStr">
        <is>
          <t>AU2</t>
        </is>
      </c>
      <c r="F567" s="2" t="inlineStr">
        <is>
          <t>¿Ofrece aprobación, reversión, registro o límites antes de actuar?</t>
        </is>
      </c>
      <c r="G567" t="n">
        <v>2</v>
      </c>
      <c r="H567" t="inlineStr">
        <is>
          <t>Oficial</t>
        </is>
      </c>
      <c r="I567"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67" t="inlineStr">
        <is>
          <t>https://docs.vmware.com/en/VMware-Tanzu-CloudHealth/SaaS/getting-started-with-vmware-tanzu-cloudhealth/GUID-getting-started-with-policies.html</t>
        </is>
      </c>
      <c r="K567" t="inlineStr">
        <is>
          <t>2026-09-16</t>
        </is>
      </c>
      <c r="L567" s="2" t="inlineStr"/>
    </row>
    <row r="568">
      <c r="A568" t="inlineStr">
        <is>
          <t>E5</t>
        </is>
      </c>
      <c r="B568" t="inlineStr">
        <is>
          <t>Multicloud</t>
        </is>
      </c>
      <c r="C568" t="inlineStr">
        <is>
          <t>CloudHealth</t>
        </is>
      </c>
      <c r="D568" t="inlineStr">
        <is>
          <t>Multicloud</t>
        </is>
      </c>
      <c r="E568" t="inlineStr">
        <is>
          <t>M1</t>
        </is>
      </c>
      <c r="F568" s="2" t="inlineStr">
        <is>
          <t>¿Consolida al menos dos proveedores bajo el mismo esquema declarado?</t>
        </is>
      </c>
      <c r="G568" t="n">
        <v>2</v>
      </c>
      <c r="H568" t="inlineStr">
        <is>
          <t>Oficial</t>
        </is>
      </c>
      <c r="I568" s="2" t="inlineStr">
        <is>
          <t>Los Perspectives normalizan explícitamente activos etiquetables de AWS, Azure, Google Cloud y Oracle Cloud bajo el mismo esquema de clasificación ("AWS Taggable Assets", "Azure Taggable Asset", "GCP Taggable Asset").</t>
        </is>
      </c>
      <c r="J568" t="inlineStr">
        <is>
          <t>https://docs.vmware.com/en/VMware-Tanzu-CloudHealth/SaaS/using-and-managing-vmware-tanzu-cloudhealth/GUID-introduction-to-perspectives.html</t>
        </is>
      </c>
      <c r="K568" t="inlineStr">
        <is>
          <t>2026-09-16</t>
        </is>
      </c>
      <c r="L568" s="2" t="inlineStr"/>
    </row>
    <row r="569">
      <c r="A569" t="inlineStr">
        <is>
          <t>E5</t>
        </is>
      </c>
      <c r="B569" t="inlineStr">
        <is>
          <t>Multicloud</t>
        </is>
      </c>
      <c r="C569" t="inlineStr">
        <is>
          <t>CloudHealth</t>
        </is>
      </c>
      <c r="D569" t="inlineStr">
        <is>
          <t>Multicloud</t>
        </is>
      </c>
      <c r="E569" t="inlineStr">
        <is>
          <t>M2</t>
        </is>
      </c>
      <c r="F569" s="2" t="inlineStr">
        <is>
          <t>¿Hace visibles proveedor, cobertura y diferencias semánticas?</t>
        </is>
      </c>
      <c r="G569" t="n">
        <v>1</v>
      </c>
      <c r="H569" t="inlineStr">
        <is>
          <t>Oficial</t>
        </is>
      </c>
      <c r="I569" s="2" t="inlineStr">
        <is>
          <t>La documentación diferencia tipos de activos por proveedor dentro del mismo esquema, pero no se encontró un diccionario/mapeo explícito de diferencias semánticas entre nubes.</t>
        </is>
      </c>
      <c r="J569" t="inlineStr">
        <is>
          <t>https://docs.vmware.com/en/VMware-Tanzu-CloudHealth/SaaS/using-and-managing-vmware-tanzu-cloudhealth/GUID-introduction-to-perspectives.html</t>
        </is>
      </c>
      <c r="K569" t="inlineStr">
        <is>
          <t>2026-09-16</t>
        </is>
      </c>
      <c r="L569" s="2" t="inlineStr"/>
    </row>
    <row r="570">
      <c r="A570" t="inlineStr">
        <is>
          <t>E5</t>
        </is>
      </c>
      <c r="B570" t="inlineStr">
        <is>
          <t>Multicloud</t>
        </is>
      </c>
      <c r="C570" t="inlineStr">
        <is>
          <t>CloudHealth</t>
        </is>
      </c>
      <c r="D570" t="inlineStr">
        <is>
          <t>Integracion</t>
        </is>
      </c>
      <c r="E570" t="inlineStr">
        <is>
          <t>I1</t>
        </is>
      </c>
      <c r="F570" s="2" t="inlineStr">
        <is>
          <t>¿Integra datos requeridos (facturación, uso, clúster o IaC) del escenario?</t>
        </is>
      </c>
      <c r="G570" t="n">
        <v>2</v>
      </c>
      <c r="H570" t="inlineStr">
        <is>
          <t>Oficial</t>
        </is>
      </c>
      <c r="I570" s="2" t="inlineStr">
        <is>
          <t>Existen guías oficiales dedicadas para conectar cuentas de AWS y de Azure a la plataforma (conector/API definido y reproducible).</t>
        </is>
      </c>
      <c r="J570" t="inlineStr">
        <is>
          <t>https://docs.vmware.com/en/VMware-Tanzu-CloudHealth/SaaS/getting-started-with-vmware-tanzu-cloudhealth/GUID-azure-quick-start.html</t>
        </is>
      </c>
      <c r="K570" t="inlineStr">
        <is>
          <t>2026-09-16</t>
        </is>
      </c>
      <c r="L570" s="2" t="inlineStr">
        <is>
          <t>Celda heredada FP-180 (2026-09-16): el valor 2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71">
      <c r="A571" t="inlineStr">
        <is>
          <t>E5</t>
        </is>
      </c>
      <c r="B571" t="inlineStr">
        <is>
          <t>Multicloud</t>
        </is>
      </c>
      <c r="C571" t="inlineStr">
        <is>
          <t>CloudHealth</t>
        </is>
      </c>
      <c r="D571" t="inlineStr">
        <is>
          <t>Integracion</t>
        </is>
      </c>
      <c r="E571" t="inlineStr">
        <is>
          <t>I2</t>
        </is>
      </c>
      <c r="F571" s="2" t="inlineStr">
        <is>
          <t>¿Se integra con el flujo de trabajo relevante (alerta, ticket, CI/CD o reporte)?</t>
        </is>
      </c>
      <c r="G571" t="n">
        <v>1</v>
      </c>
      <c r="H571" t="inlineStr">
        <is>
          <t>Oficial</t>
        </is>
      </c>
      <c r="I571" s="2" t="inlineStr">
        <is>
          <t>Las Policies notifican por correo los IDs de recursos afectados; no se encontró documentación de integración directa con ticketing/CI-CD.</t>
        </is>
      </c>
      <c r="J571" t="inlineStr">
        <is>
          <t>https://docs.vmware.com/en/VMware-Tanzu-CloudHealth/SaaS/getting-started-with-vmware-tanzu-cloudhealth/GUID-getting-started-with-policies.html</t>
        </is>
      </c>
      <c r="K571" t="inlineStr">
        <is>
          <t>2026-09-16</t>
        </is>
      </c>
      <c r="L571" s="2" t="inlineStr">
        <is>
          <t>Celda heredada FP-180 (2026-09-16): el valor 1 proviene de la investigacion del escenario E2 y no cuenta con evidencia propia de E5. Segun FP-177 el indicador I2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72">
      <c r="A572" t="inlineStr">
        <is>
          <t>E5</t>
        </is>
      </c>
      <c r="B572" t="inlineStr">
        <is>
          <t>Multicloud</t>
        </is>
      </c>
      <c r="C572" t="inlineStr">
        <is>
          <t>CloudHealth</t>
        </is>
      </c>
      <c r="D572" t="inlineStr">
        <is>
          <t>Adopcion</t>
        </is>
      </c>
      <c r="E572" t="inlineStr">
        <is>
          <t>AD1</t>
        </is>
      </c>
      <c r="F572" s="2" t="inlineStr">
        <is>
          <t>¿Soporta acceso/entrega para los roles del escenario?</t>
        </is>
      </c>
      <c r="G572" t="n">
        <v>2</v>
      </c>
      <c r="H572" t="inlineStr">
        <is>
          <t>Oficial</t>
        </is>
      </c>
      <c r="I572" s="2" t="inlineStr">
        <is>
          <t>La plataforma define tres roles integrados y permite derivarlos: Administrator «has access to all privileges across all data»; Power Users «have the ability to perform all operations available to an administrator except the ability to create, edit, or delete organizations and users»; y Standard Users «can view but not modify most content». Además, «you can copy one of the built-in role documents (Standard User, Administrator, or Power User) and modify the copy to create your own. A role document is a set of privileges (read, write, update, delete)». Las organizaciones acotan qué datos ve cada usuario, lo que permite separar al responsable FinOps central, a arquitectura empresarial y a compras/finanzas exigidos por E2. No se asigna 3 porque falta la segunda evidencia (uso verificable) que pide FP-177.</t>
        </is>
      </c>
      <c r="J572" t="inlineStr">
        <is>
          <t>https://techdocs.broadcom.com/us/en/vmware-tanzu/cloudhealth/tanzu-cloudhealth/saas/tnz-cloudhealth/using-and-managing-tanzu-cloudhealth-managing-classic-organizations-if-applicable.html</t>
        </is>
      </c>
      <c r="K572" t="inlineStr">
        <is>
          <t>2026-09-16</t>
        </is>
      </c>
      <c r="L572" s="2" t="inlineStr">
        <is>
          <t>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73">
      <c r="A573" t="inlineStr">
        <is>
          <t>E5</t>
        </is>
      </c>
      <c r="B573" t="inlineStr">
        <is>
          <t>Multicloud</t>
        </is>
      </c>
      <c r="C573" t="inlineStr">
        <is>
          <t>CloudHealth</t>
        </is>
      </c>
      <c r="D573" t="inlineStr">
        <is>
          <t>Adopcion</t>
        </is>
      </c>
      <c r="E573" t="inlineStr">
        <is>
          <t>AD2</t>
        </is>
      </c>
      <c r="F573" s="2" t="inlineStr">
        <is>
          <t>¿Ofrece guías, ownership o mecanismos de seguimiento para uso sostenido?</t>
        </is>
      </c>
      <c r="G573" t="n">
        <v>1</v>
      </c>
      <c r="H573" t="inlineStr">
        <is>
          <t>Oficial</t>
        </is>
      </c>
      <c r="I573" s="2" t="inlineStr">
        <is>
          <t>Existe documentación oficial extensa (guías, whitepapers de gestión financiera de la nube) en el portal de VMware/Broadcom, pero no se verificó una guía de adopción/gobernanza dedicada más allá de la documentación general del producto.</t>
        </is>
      </c>
      <c r="J573" t="inlineStr">
        <is>
          <t>https://docs.vmware.com/en/VMware-Tanzu-CloudHealth/index.html</t>
        </is>
      </c>
      <c r="K573" t="inlineStr">
        <is>
          <t>2026-09-16</t>
        </is>
      </c>
      <c r="L573" s="2" t="inlineStr"/>
    </row>
    <row r="574">
      <c r="A574" t="inlineStr">
        <is>
          <t>E5</t>
        </is>
      </c>
      <c r="B574" t="inlineStr">
        <is>
          <t>Multicloud</t>
        </is>
      </c>
      <c r="C574" t="inlineStr">
        <is>
          <t>CloudHealth</t>
        </is>
      </c>
      <c r="D574" t="inlineStr">
        <is>
          <t>Precio</t>
        </is>
      </c>
      <c r="E574" t="inlineStr">
        <is>
          <t>P1</t>
        </is>
      </c>
      <c r="F574" s="2" t="inlineStr">
        <is>
          <t>¿Expone precio, moneda, región, unidad, período y supuestos relevantes?</t>
        </is>
      </c>
      <c r="G574" t="n">
        <v>2</v>
      </c>
      <c r="H574" t="inlineStr">
        <is>
          <t>Oficial</t>
        </is>
      </c>
      <c r="I574" s="2" t="inlineStr">
        <is>
          <t>La documentacion define y distingue las metricas de costo y sus supuestos: «Effective Cost represents a cost inclusive of the impacts of all reduced rates and discounts, augmented with the amortization of relevant purchases (one-time or recurring) paid to cover future eligible charges». Declara ademas el origen del dato y el limite de su propio calculo: el costo amortizado se obtiene «from the AWS Cost and Usage report (CUR)» y «Tanzu CloudHealth only aggregates this value over the selected time period rather than calculating it». Los supuestos quedan visibles y reproducibles.</t>
        </is>
      </c>
      <c r="J574" t="inlineStr">
        <is>
          <t>https://techdocs.broadcom.com/us/en/vmware-tanzu/cloudhealth/tanzu-cloudhealth/saas/tnz-cloudhealth/working-with-reports-and-recommendation-of-tanzu-cloudhealth-cost-reports.html</t>
        </is>
      </c>
      <c r="K574" t="inlineStr">
        <is>
          <t>2026-09-16</t>
        </is>
      </c>
      <c r="L574" s="2" t="inlineStr">
        <is>
          <t>Investigacion del criterio Precio de E2 (2026-09-16): celda completada con evidencia propia verificada contra documentacion oficial. Precio es criterio critico de E2 y estaba sin evidenciar en este producto.</t>
        </is>
      </c>
    </row>
    <row r="575">
      <c r="A575" t="inlineStr">
        <is>
          <t>E5</t>
        </is>
      </c>
      <c r="B575" t="inlineStr">
        <is>
          <t>Multicloud</t>
        </is>
      </c>
      <c r="C575" t="inlineStr">
        <is>
          <t>CloudHealth</t>
        </is>
      </c>
      <c r="D575" t="inlineStr">
        <is>
          <t>Precio</t>
        </is>
      </c>
      <c r="E575" t="inlineStr">
        <is>
          <t>P2</t>
        </is>
      </c>
      <c r="F575" s="2" t="inlineStr">
        <is>
          <t>¿Permite estimar o comparar componentes sin ocultar límites de equivalencia?</t>
        </is>
      </c>
      <c r="G575" t="n">
        <v>2</v>
      </c>
      <c r="H575" t="inlineStr">
        <is>
          <t>Oficial</t>
        </is>
      </c>
      <c r="I575" s="2" t="inlineStr">
        <is>
          <t>El rightsizing compara el tipo de instancia en uso contra el propuesto y declara que las recomendaciones «consider RI discounts, EDP, Convertible Reserved Instance, and Savings plan availed by the source instance type», y que el Effective Savings Rate «includes discounts obtained from Negotiated Contracts (such as EDP)». Es un calculo definido con los limites de equivalencia explicitados.</t>
        </is>
      </c>
      <c r="J575" t="inlineStr">
        <is>
          <t>https://techdocs.broadcom.com/us/en/ca-enterprise-software/it-operations-management/cloudhealth/saas/index/working-with-reports-and-recommendation-of-tanzu-cloudhealth-working-with-reports-recommendations/working-with-reports-and-recommendation-of-tanzu-cloudhealth-aws-rightsizing-new.html</t>
        </is>
      </c>
      <c r="K575" t="inlineStr">
        <is>
          <t>2026-09-16</t>
        </is>
      </c>
      <c r="L575" s="2" t="inlineStr">
        <is>
          <t>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576">
      <c r="A576" t="inlineStr">
        <is>
          <t>E5</t>
        </is>
      </c>
      <c r="B576" t="inlineStr">
        <is>
          <t>Multicloud</t>
        </is>
      </c>
      <c r="C576" t="inlineStr">
        <is>
          <t>CloudHealth</t>
        </is>
      </c>
      <c r="D576" t="inlineStr">
        <is>
          <t>Dependencia</t>
        </is>
      </c>
      <c r="E576" t="inlineStr">
        <is>
          <t>D1</t>
        </is>
      </c>
      <c r="F576" s="2" t="inlineStr">
        <is>
          <t>¿Exporta datos/resultados en formato utilizable y documentado?</t>
        </is>
      </c>
      <c r="G576" t="n">
        <v>2</v>
      </c>
      <c r="H576" t="inlineStr">
        <is>
          <t>Oficial</t>
        </is>
      </c>
      <c r="I576" s="2" t="inlineStr">
        <is>
          <t>Cost Reports permite descargar como CSV los reportes Invoice, Detailed Billing Report y Summarized Billing Report (documentado para AWS).</t>
        </is>
      </c>
      <c r="J576" t="inlineStr">
        <is>
          <t>https://docs.vmware.com/en/VMware-Tanzu-CloudHealth/SaaS/working-with-reports-recommendations-vmware-tanzu-cloudhealth/GUID-cost-reports.html</t>
        </is>
      </c>
      <c r="K576" t="inlineStr">
        <is>
          <t>2026-09-16</t>
        </is>
      </c>
      <c r="L576" s="2" t="inlineStr"/>
    </row>
    <row r="577">
      <c r="A577" t="inlineStr">
        <is>
          <t>E5</t>
        </is>
      </c>
      <c r="B577" t="inlineStr">
        <is>
          <t>Multicloud</t>
        </is>
      </c>
      <c r="C577" t="inlineStr">
        <is>
          <t>CloudHealth</t>
        </is>
      </c>
      <c r="D577" t="inlineStr">
        <is>
          <t>Dependencia</t>
        </is>
      </c>
      <c r="E577" t="inlineStr">
        <is>
          <t>D2</t>
        </is>
      </c>
      <c r="F577" s="2" t="inlineStr">
        <is>
          <t>¿Documenta dependencias propietarias y un camino de salida/configuración reversible?</t>
        </is>
      </c>
      <c r="G577" t="inlineStr">
        <is>
          <t>NE</t>
        </is>
      </c>
      <c r="H577" t="inlineStr">
        <is>
          <t>Pendiente</t>
        </is>
      </c>
      <c r="I577" s="2" t="inlineStr">
        <is>
          <t>No se encontró documentación sobre un camino de salida o reversibilidad de la configuración.</t>
        </is>
      </c>
      <c r="K577" t="inlineStr">
        <is>
          <t>2026-09-16</t>
        </is>
      </c>
      <c r="L577" s="2" t="inlineStr"/>
    </row>
    <row r="578">
      <c r="A578" t="inlineStr">
        <is>
          <t>E6</t>
        </is>
      </c>
      <c r="B578" t="inlineStr">
        <is>
          <t>Multicloud</t>
        </is>
      </c>
      <c r="C578" t="inlineStr">
        <is>
          <t>CloudHealth</t>
        </is>
      </c>
      <c r="D578" t="inlineStr">
        <is>
          <t>Visibilidad</t>
        </is>
      </c>
      <c r="E578" t="inlineStr">
        <is>
          <t>V1</t>
        </is>
      </c>
      <c r="F578" s="2" t="inlineStr">
        <is>
          <t>¿Desagrega costo y uso por cuenta/proyecto, servicio y período?</t>
        </is>
      </c>
      <c r="G578" t="inlineStr">
        <is>
          <t>NE</t>
        </is>
      </c>
      <c r="H578" t="inlineStr">
        <is>
          <t>Pendiente</t>
        </is>
      </c>
      <c r="I578" s="2" t="inlineStr">
        <is>
          <t>"Perspectives" son "lentes" para categorizar todos los activos de la infraestructura por Producto, Equipo, Owner, Ambiente, Unidad de negocio, Función o Centro de costo, con soporte de tagging en AWS, Azure, Google Cloud y Oracle Cloud.</t>
        </is>
      </c>
      <c r="J578" t="inlineStr">
        <is>
          <t>https://docs.vmware.com/en/VMware-Tanzu-CloudHealth/SaaS/using-and-managing-vmware-tanzu-cloudhealth/GUID-introduction-to-perspectives.html</t>
        </is>
      </c>
      <c r="K578" t="inlineStr">
        <is>
          <t>2026-09-16</t>
        </is>
      </c>
      <c r="L578" s="2" t="inlineStr">
        <is>
          <t>Celda heredada FP-180 (2026-09-16): el valor 2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t>
        </is>
      </c>
    </row>
    <row r="579">
      <c r="A579" t="inlineStr">
        <is>
          <t>E6</t>
        </is>
      </c>
      <c r="B579" t="inlineStr">
        <is>
          <t>Multicloud</t>
        </is>
      </c>
      <c r="C579" t="inlineStr">
        <is>
          <t>CloudHealth</t>
        </is>
      </c>
      <c r="D579" t="inlineStr">
        <is>
          <t>Visibilidad</t>
        </is>
      </c>
      <c r="E579" t="inlineStr">
        <is>
          <t>V2</t>
        </is>
      </c>
      <c r="F579" s="2" t="inlineStr">
        <is>
          <t>¿Permite rastrear un total hasta registros o fuente de facturación?</t>
        </is>
      </c>
      <c r="G579" t="n">
        <v>1</v>
      </c>
      <c r="H579" t="inlineStr">
        <is>
          <t>Oficial</t>
        </is>
      </c>
      <c r="I579" s="2" t="inlineStr">
        <is>
          <t>Cost Reports permite "drilling down" desde el valor de costo hasta el detalle del recurso, y exportar como CSV los reportes Invoice/Detailed Billing/Summarized Billing (AWS); no se encontró una función explícita de reconciliación con la factura equivalente a la de AWS/Azure/GCP.</t>
        </is>
      </c>
      <c r="J579" t="inlineStr">
        <is>
          <t>https://docs.vmware.com/en/VMware-Tanzu-CloudHealth/SaaS/working-with-reports-recommendations-vmware-tanzu-cloudhealth/GUID-cost-reports.html</t>
        </is>
      </c>
      <c r="K579" t="inlineStr">
        <is>
          <t>2026-09-16</t>
        </is>
      </c>
      <c r="L579" s="2" t="inlineStr"/>
    </row>
    <row r="580">
      <c r="A580" t="inlineStr">
        <is>
          <t>E6</t>
        </is>
      </c>
      <c r="B580" t="inlineStr">
        <is>
          <t>Multicloud</t>
        </is>
      </c>
      <c r="C580" t="inlineStr">
        <is>
          <t>CloudHealth</t>
        </is>
      </c>
      <c r="D580" t="inlineStr">
        <is>
          <t>Asignacion</t>
        </is>
      </c>
      <c r="E580" t="inlineStr">
        <is>
          <t>A1</t>
        </is>
      </c>
      <c r="F580" s="2" t="inlineStr">
        <is>
          <t>¿Calcula gasto asignado/no asignado por responsable, centro o entidad?</t>
        </is>
      </c>
      <c r="G580" t="n">
        <v>2</v>
      </c>
      <c r="H580" t="inlineStr">
        <is>
          <t>Oficial</t>
        </is>
      </c>
      <c r="I580" s="2" t="inlineStr">
        <is>
          <t>Al crear un Perspective, el 100% de los activos parte "unallocated"; la interfaz expone explícitamente porcentaje y cantidad de activos asignados/no asignados en la sección "Assets Not Allocated".</t>
        </is>
      </c>
      <c r="J580" t="inlineStr">
        <is>
          <t>https://docs.vmware.com/en/VMware-Tanzu-CloudHealth/SaaS/using-and-managing-vmware-tanzu-cloudhealth/GUID-introduction-to-perspectives.html</t>
        </is>
      </c>
      <c r="K580" t="inlineStr">
        <is>
          <t>2026-09-16</t>
        </is>
      </c>
      <c r="L580" s="2" t="inlineStr">
        <is>
          <t>Celda heredada FP-180 (2026-09-16): el valor 2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81">
      <c r="A581" t="inlineStr">
        <is>
          <t>E6</t>
        </is>
      </c>
      <c r="B581" t="inlineStr">
        <is>
          <t>Multicloud</t>
        </is>
      </c>
      <c r="C581" t="inlineStr">
        <is>
          <t>CloudHealth</t>
        </is>
      </c>
      <c r="D581" t="inlineStr">
        <is>
          <t>Asignacion</t>
        </is>
      </c>
      <c r="E581" t="inlineStr">
        <is>
          <t>A2</t>
        </is>
      </c>
      <c r="F581" s="2" t="inlineStr">
        <is>
          <t>¿Explicita y aplica reglas para costo compartido/multi-tenant?</t>
        </is>
      </c>
      <c r="G581" t="n">
        <v>2</v>
      </c>
      <c r="H581" t="inlineStr">
        <is>
          <t>Oficial</t>
        </is>
      </c>
      <c r="I581" s="2" t="inlineStr">
        <is>
          <t>Los Perspectives agrupan activos mediante reglas de categorización versionadas y reproducibles (grupos dentro de cada lente, p. ej. Environment: dev/staging/test/prod).</t>
        </is>
      </c>
      <c r="J581" t="inlineStr">
        <is>
          <t>https://docs.vmware.com/en/VMware-Tanzu-CloudHealth/SaaS/using-and-managing-vmware-tanzu-cloudhealth/GUID-introduction-to-perspectives.html</t>
        </is>
      </c>
      <c r="K581" t="inlineStr">
        <is>
          <t>2026-09-16</t>
        </is>
      </c>
      <c r="L581" s="2" t="inlineStr">
        <is>
          <t>Celda heredada FP-180 (2026-09-16): el valor 2 proviene de la investigacion del escenario E2 y no cuenta con evidencia propia de E6. Segun FP-177 el indicador A2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82">
      <c r="A582" t="inlineStr">
        <is>
          <t>E6</t>
        </is>
      </c>
      <c r="B582" t="inlineStr">
        <is>
          <t>Multicloud</t>
        </is>
      </c>
      <c r="C582" t="inlineStr">
        <is>
          <t>CloudHealth</t>
        </is>
      </c>
      <c r="D582" t="inlineStr">
        <is>
          <t>Optimizacion</t>
        </is>
      </c>
      <c r="E582" t="inlineStr">
        <is>
          <t>O1</t>
        </is>
      </c>
      <c r="F582" s="2" t="inlineStr">
        <is>
          <t>¿Detecta desperdicio, rightsizing o compromiso relevante al escenario?</t>
        </is>
      </c>
      <c r="G582" t="n">
        <v>2</v>
      </c>
      <c r="H582" t="inlineStr">
        <is>
          <t>Oficial</t>
        </is>
      </c>
      <c r="I582" s="2" t="inlineStr">
        <is>
          <t>Existen páginas de Rightsizing dedicadas para AWS, Azure y GCP: para AWS, el motor analiza CPU/memoria/IOPS y sugiere un "Best Fit" más dos alternativas (p. ej. de m4.xlarge a c4.large), ordenadas por costo.</t>
        </is>
      </c>
      <c r="J582" t="inlineStr">
        <is>
          <t>https://docs.vmware.com/en/VMware-Tanzu-CloudHealth/SaaS/working-with-reports-recommendations-vmware-tanzu-cloudhealth/GUID-aws-rightsizing-new.html</t>
        </is>
      </c>
      <c r="K582" t="inlineStr">
        <is>
          <t>2026-09-16</t>
        </is>
      </c>
      <c r="L582" s="2" t="inlineStr">
        <is>
          <t>Celda heredada FP-180 (2026-09-16): el valor 2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83">
      <c r="A583" t="inlineStr">
        <is>
          <t>E6</t>
        </is>
      </c>
      <c r="B583" t="inlineStr">
        <is>
          <t>Multicloud</t>
        </is>
      </c>
      <c r="C583" t="inlineStr">
        <is>
          <t>CloudHealth</t>
        </is>
      </c>
      <c r="D583" t="inlineStr">
        <is>
          <t>Optimizacion</t>
        </is>
      </c>
      <c r="E583" t="inlineStr">
        <is>
          <t>O2</t>
        </is>
      </c>
      <c r="F583" s="2" t="inlineStr">
        <is>
          <t>¿Explica supuesto/impacto y permite seguir una recomendación?</t>
        </is>
      </c>
      <c r="G583" t="n">
        <v>1</v>
      </c>
      <c r="H583" t="inlineStr">
        <is>
          <t>Oficial</t>
        </is>
      </c>
      <c r="I583" s="2" t="inlineStr">
        <is>
          <t>Cada recomendación muestra costo mensual actual, proyectado y el ahorro proyectado; la documentación revisada no describe seguimiento del estado de una recomendación ya aplicada a lo largo del tiempo.</t>
        </is>
      </c>
      <c r="J583" t="inlineStr">
        <is>
          <t>https://docs.vmware.com/en/VMware-Tanzu-CloudHealth/SaaS/working-with-reports-recommendations-vmware-tanzu-cloudhealth/GUID-aws-rightsizing-new.html</t>
        </is>
      </c>
      <c r="K583" t="inlineStr">
        <is>
          <t>2026-09-16</t>
        </is>
      </c>
      <c r="L583" s="2" t="inlineStr"/>
    </row>
    <row r="584">
      <c r="A584" t="inlineStr">
        <is>
          <t>E6</t>
        </is>
      </c>
      <c r="B584" t="inlineStr">
        <is>
          <t>Multicloud</t>
        </is>
      </c>
      <c r="C584" t="inlineStr">
        <is>
          <t>CloudHealth</t>
        </is>
      </c>
      <c r="D584" t="inlineStr">
        <is>
          <t>Automatizacion</t>
        </is>
      </c>
      <c r="E584" t="inlineStr">
        <is>
          <t>AU1</t>
        </is>
      </c>
      <c r="F584" s="2" t="inlineStr">
        <is>
          <t>¿Ejecuta o bloquea acciones/políticas de costo con control verificable?</t>
        </is>
      </c>
      <c r="G584" t="n">
        <v>2</v>
      </c>
      <c r="H584" t="inlineStr">
        <is>
          <t>Oficial</t>
        </is>
      </c>
      <c r="I584" s="2" t="inlineStr">
        <is>
          <t>Las "Policies" ejecutan acciones programadas (iniciar/detener instancias, acciones remediales) y "pueden tomar estas acciones por sí sola o después de que un aprobador dé su visto bueno".</t>
        </is>
      </c>
      <c r="J584" t="inlineStr">
        <is>
          <t>https://docs.vmware.com/en/VMware-Tanzu-CloudHealth/SaaS/getting-started-with-vmware-tanzu-cloudhealth/GUID-getting-started-with-policies.html</t>
        </is>
      </c>
      <c r="K584" t="inlineStr">
        <is>
          <t>2026-09-16</t>
        </is>
      </c>
      <c r="L584" s="2" t="inlineStr">
        <is>
          <t>Celda heredada FP-180 (2026-09-16): el valor 2 proviene de la investigacion del escenario E2 y no cuenta con evidencia propia de E6. Segun FP-177 el indicador AU1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85">
      <c r="A585" t="inlineStr">
        <is>
          <t>E6</t>
        </is>
      </c>
      <c r="B585" t="inlineStr">
        <is>
          <t>Multicloud</t>
        </is>
      </c>
      <c r="C585" t="inlineStr">
        <is>
          <t>CloudHealth</t>
        </is>
      </c>
      <c r="D585" t="inlineStr">
        <is>
          <t>Automatizacion</t>
        </is>
      </c>
      <c r="E585" t="inlineStr">
        <is>
          <t>AU2</t>
        </is>
      </c>
      <c r="F585" s="2" t="inlineStr">
        <is>
          <t>¿Ofrece aprobación, reversión, registro o límites antes de actuar?</t>
        </is>
      </c>
      <c r="G585" t="n">
        <v>2</v>
      </c>
      <c r="H585" t="inlineStr">
        <is>
          <t>Oficial</t>
        </is>
      </c>
      <c r="I585" s="2" t="inlineStr">
        <is>
          <t>La aprobación previa a la ejecución es configurable, y el estado de cada acción (Pending/Succeeded/Failed) se puede verificar en Dashboard &gt; Notification &gt; Actions, con notificación por correo de los recursos afectados; no se documentó un mecanismo de reversión.</t>
        </is>
      </c>
      <c r="J585" t="inlineStr">
        <is>
          <t>https://docs.vmware.com/en/VMware-Tanzu-CloudHealth/SaaS/getting-started-with-vmware-tanzu-cloudhealth/GUID-getting-started-with-policies.html</t>
        </is>
      </c>
      <c r="K585" t="inlineStr">
        <is>
          <t>2026-09-16</t>
        </is>
      </c>
      <c r="L585" s="2" t="inlineStr"/>
    </row>
    <row r="586">
      <c r="A586" t="inlineStr">
        <is>
          <t>E6</t>
        </is>
      </c>
      <c r="B586" t="inlineStr">
        <is>
          <t>Multicloud</t>
        </is>
      </c>
      <c r="C586" t="inlineStr">
        <is>
          <t>CloudHealth</t>
        </is>
      </c>
      <c r="D586" t="inlineStr">
        <is>
          <t>Multicloud</t>
        </is>
      </c>
      <c r="E586" t="inlineStr">
        <is>
          <t>M1</t>
        </is>
      </c>
      <c r="F586" s="2" t="inlineStr">
        <is>
          <t>¿Consolida al menos dos proveedores bajo el mismo esquema declarado?</t>
        </is>
      </c>
      <c r="G586" t="n">
        <v>2</v>
      </c>
      <c r="H586" t="inlineStr">
        <is>
          <t>Oficial</t>
        </is>
      </c>
      <c r="I586" s="2" t="inlineStr">
        <is>
          <t>Los Perspectives normalizan explícitamente activos etiquetables de AWS, Azure, Google Cloud y Oracle Cloud bajo el mismo esquema de clasificación ("AWS Taggable Assets", "Azure Taggable Asset", "GCP Taggable Asset").</t>
        </is>
      </c>
      <c r="J586" t="inlineStr">
        <is>
          <t>https://docs.vmware.com/en/VMware-Tanzu-CloudHealth/SaaS/using-and-managing-vmware-tanzu-cloudhealth/GUID-introduction-to-perspectives.html</t>
        </is>
      </c>
      <c r="K586" t="inlineStr">
        <is>
          <t>2026-09-16</t>
        </is>
      </c>
      <c r="L586" s="2" t="inlineStr"/>
    </row>
    <row r="587">
      <c r="A587" t="inlineStr">
        <is>
          <t>E6</t>
        </is>
      </c>
      <c r="B587" t="inlineStr">
        <is>
          <t>Multicloud</t>
        </is>
      </c>
      <c r="C587" t="inlineStr">
        <is>
          <t>CloudHealth</t>
        </is>
      </c>
      <c r="D587" t="inlineStr">
        <is>
          <t>Multicloud</t>
        </is>
      </c>
      <c r="E587" t="inlineStr">
        <is>
          <t>M2</t>
        </is>
      </c>
      <c r="F587" s="2" t="inlineStr">
        <is>
          <t>¿Hace visibles proveedor, cobertura y diferencias semánticas?</t>
        </is>
      </c>
      <c r="G587" t="n">
        <v>1</v>
      </c>
      <c r="H587" t="inlineStr">
        <is>
          <t>Oficial</t>
        </is>
      </c>
      <c r="I587" s="2" t="inlineStr">
        <is>
          <t>La documentación diferencia tipos de activos por proveedor dentro del mismo esquema, pero no se encontró un diccionario/mapeo explícito de diferencias semánticas entre nubes.</t>
        </is>
      </c>
      <c r="J587" t="inlineStr">
        <is>
          <t>https://docs.vmware.com/en/VMware-Tanzu-CloudHealth/SaaS/using-and-managing-vmware-tanzu-cloudhealth/GUID-introduction-to-perspectives.html</t>
        </is>
      </c>
      <c r="K587" t="inlineStr">
        <is>
          <t>2026-09-16</t>
        </is>
      </c>
      <c r="L587" s="2" t="inlineStr"/>
    </row>
    <row r="588">
      <c r="A588" t="inlineStr">
        <is>
          <t>E6</t>
        </is>
      </c>
      <c r="B588" t="inlineStr">
        <is>
          <t>Multicloud</t>
        </is>
      </c>
      <c r="C588" t="inlineStr">
        <is>
          <t>CloudHealth</t>
        </is>
      </c>
      <c r="D588" t="inlineStr">
        <is>
          <t>Integracion</t>
        </is>
      </c>
      <c r="E588" t="inlineStr">
        <is>
          <t>I1</t>
        </is>
      </c>
      <c r="F588" s="2" t="inlineStr">
        <is>
          <t>¿Integra datos requeridos (facturación, uso, clúster o IaC) del escenario?</t>
        </is>
      </c>
      <c r="G588" t="inlineStr">
        <is>
          <t>NE</t>
        </is>
      </c>
      <c r="H588" t="inlineStr">
        <is>
          <t>Pendiente</t>
        </is>
      </c>
      <c r="I588" s="2" t="inlineStr">
        <is>
          <t>Existen guías oficiales dedicadas para conectar cuentas de AWS y de Azure a la plataforma (conector/API definido y reproducible).</t>
        </is>
      </c>
      <c r="J588" t="inlineStr">
        <is>
          <t>https://docs.vmware.com/en/VMware-Tanzu-CloudHealth/SaaS/getting-started-with-vmware-tanzu-cloudhealth/GUID-azure-quick-start.html</t>
        </is>
      </c>
      <c r="K588" t="inlineStr">
        <is>
          <t>2026-09-16</t>
        </is>
      </c>
      <c r="L588" s="2" t="inlineStr">
        <is>
          <t>Celda heredada FP-180 (2026-09-16): el valor 2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t>
        </is>
      </c>
    </row>
    <row r="589">
      <c r="A589" t="inlineStr">
        <is>
          <t>E6</t>
        </is>
      </c>
      <c r="B589" t="inlineStr">
        <is>
          <t>Multicloud</t>
        </is>
      </c>
      <c r="C589" t="inlineStr">
        <is>
          <t>CloudHealth</t>
        </is>
      </c>
      <c r="D589" t="inlineStr">
        <is>
          <t>Integracion</t>
        </is>
      </c>
      <c r="E589" t="inlineStr">
        <is>
          <t>I2</t>
        </is>
      </c>
      <c r="F589" s="2" t="inlineStr">
        <is>
          <t>¿Se integra con el flujo de trabajo relevante (alerta, ticket, CI/CD o reporte)?</t>
        </is>
      </c>
      <c r="G589" t="n">
        <v>1</v>
      </c>
      <c r="H589" t="inlineStr">
        <is>
          <t>Oficial</t>
        </is>
      </c>
      <c r="I589" s="2" t="inlineStr">
        <is>
          <t>Las Policies notifican por correo los IDs de recursos afectados; no se encontró documentación de integración directa con ticketing/CI-CD.</t>
        </is>
      </c>
      <c r="J589" t="inlineStr">
        <is>
          <t>https://docs.vmware.com/en/VMware-Tanzu-CloudHealth/SaaS/getting-started-with-vmware-tanzu-cloudhealth/GUID-getting-started-with-policies.html</t>
        </is>
      </c>
      <c r="K589" t="inlineStr">
        <is>
          <t>2026-09-16</t>
        </is>
      </c>
      <c r="L589" s="2" t="inlineStr">
        <is>
          <t>Celda heredada FP-180 (2026-09-16): el valor 1 proviene de la investigacion del escenario E2 y no cuenta con evidencia propia de E6. Segun FP-177 el indicador I2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90">
      <c r="A590" t="inlineStr">
        <is>
          <t>E6</t>
        </is>
      </c>
      <c r="B590" t="inlineStr">
        <is>
          <t>Multicloud</t>
        </is>
      </c>
      <c r="C590" t="inlineStr">
        <is>
          <t>CloudHealth</t>
        </is>
      </c>
      <c r="D590" t="inlineStr">
        <is>
          <t>Adopcion</t>
        </is>
      </c>
      <c r="E590" t="inlineStr">
        <is>
          <t>AD1</t>
        </is>
      </c>
      <c r="F590" s="2" t="inlineStr">
        <is>
          <t>¿Soporta acceso/entrega para los roles del escenario?</t>
        </is>
      </c>
      <c r="G590" t="n">
        <v>2</v>
      </c>
      <c r="H590" t="inlineStr">
        <is>
          <t>Oficial</t>
        </is>
      </c>
      <c r="I590" s="2" t="inlineStr">
        <is>
          <t>La plataforma define tres roles integrados y permite derivarlos: Administrator «has access to all privileges across all data»; Power Users «have the ability to perform all operations available to an administrator except the ability to create, edit, or delete organizations and users»; y Standard Users «can view but not modify most content». Además, «you can copy one of the built-in role documents (Standard User, Administrator, or Power User) and modify the copy to create your own. A role document is a set of privileges (read, write, update, delete)». Las organizaciones acotan qué datos ve cada usuario, lo que permite separar al responsable FinOps central, a arquitectura empresarial y a compras/finanzas exigidos por E2. No se asigna 3 porque falta la segunda evidencia (uso verificable) que pide FP-177.</t>
        </is>
      </c>
      <c r="J590" t="inlineStr">
        <is>
          <t>https://techdocs.broadcom.com/us/en/vmware-tanzu/cloudhealth/tanzu-cloudhealth/saas/tnz-cloudhealth/using-and-managing-tanzu-cloudhealth-managing-classic-organizations-if-applicable.html</t>
        </is>
      </c>
      <c r="K590" t="inlineStr">
        <is>
          <t>2026-09-16</t>
        </is>
      </c>
      <c r="L590" s="2" t="inlineStr">
        <is>
          <t>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91">
      <c r="A591" t="inlineStr">
        <is>
          <t>E6</t>
        </is>
      </c>
      <c r="B591" t="inlineStr">
        <is>
          <t>Multicloud</t>
        </is>
      </c>
      <c r="C591" t="inlineStr">
        <is>
          <t>CloudHealth</t>
        </is>
      </c>
      <c r="D591" t="inlineStr">
        <is>
          <t>Adopcion</t>
        </is>
      </c>
      <c r="E591" t="inlineStr">
        <is>
          <t>AD2</t>
        </is>
      </c>
      <c r="F591" s="2" t="inlineStr">
        <is>
          <t>¿Ofrece guías, ownership o mecanismos de seguimiento para uso sostenido?</t>
        </is>
      </c>
      <c r="G591" t="n">
        <v>1</v>
      </c>
      <c r="H591" t="inlineStr">
        <is>
          <t>Oficial</t>
        </is>
      </c>
      <c r="I591" s="2" t="inlineStr">
        <is>
          <t>Existe documentación oficial extensa (guías, whitepapers de gestión financiera de la nube) en el portal de VMware/Broadcom, pero no se verificó una guía de adopción/gobernanza dedicada más allá de la documentación general del producto.</t>
        </is>
      </c>
      <c r="J591" t="inlineStr">
        <is>
          <t>https://docs.vmware.com/en/VMware-Tanzu-CloudHealth/index.html</t>
        </is>
      </c>
      <c r="K591" t="inlineStr">
        <is>
          <t>2026-09-16</t>
        </is>
      </c>
      <c r="L591" s="2" t="inlineStr"/>
    </row>
    <row r="592">
      <c r="A592" t="inlineStr">
        <is>
          <t>E6</t>
        </is>
      </c>
      <c r="B592" t="inlineStr">
        <is>
          <t>Multicloud</t>
        </is>
      </c>
      <c r="C592" t="inlineStr">
        <is>
          <t>CloudHealth</t>
        </is>
      </c>
      <c r="D592" t="inlineStr">
        <is>
          <t>Precio</t>
        </is>
      </c>
      <c r="E592" t="inlineStr">
        <is>
          <t>P1</t>
        </is>
      </c>
      <c r="F592" s="2" t="inlineStr">
        <is>
          <t>¿Expone precio, moneda, región, unidad, período y supuestos relevantes?</t>
        </is>
      </c>
      <c r="G592" t="n">
        <v>2</v>
      </c>
      <c r="H592" t="inlineStr">
        <is>
          <t>Oficial</t>
        </is>
      </c>
      <c r="I592" s="2" t="inlineStr">
        <is>
          <t>La documentacion define y distingue las metricas de costo y sus supuestos: «Effective Cost represents a cost inclusive of the impacts of all reduced rates and discounts, augmented with the amortization of relevant purchases (one-time or recurring) paid to cover future eligible charges». Declara ademas el origen del dato y el limite de su propio calculo: el costo amortizado se obtiene «from the AWS Cost and Usage report (CUR)» y «Tanzu CloudHealth only aggregates this value over the selected time period rather than calculating it». Los supuestos quedan visibles y reproducibles.</t>
        </is>
      </c>
      <c r="J592" t="inlineStr">
        <is>
          <t>https://techdocs.broadcom.com/us/en/vmware-tanzu/cloudhealth/tanzu-cloudhealth/saas/tnz-cloudhealth/working-with-reports-and-recommendation-of-tanzu-cloudhealth-cost-reports.html</t>
        </is>
      </c>
      <c r="K592" t="inlineStr">
        <is>
          <t>2026-09-16</t>
        </is>
      </c>
      <c r="L592" s="2" t="inlineStr">
        <is>
          <t>Investigacion del criterio Precio de E2 (2026-09-16): celda completada con evidencia propia verificada contra documentacion oficial. Precio es criterio critico de E2 y estaba sin evidenciar en este producto.</t>
        </is>
      </c>
    </row>
    <row r="593">
      <c r="A593" t="inlineStr">
        <is>
          <t>E6</t>
        </is>
      </c>
      <c r="B593" t="inlineStr">
        <is>
          <t>Multicloud</t>
        </is>
      </c>
      <c r="C593" t="inlineStr">
        <is>
          <t>CloudHealth</t>
        </is>
      </c>
      <c r="D593" t="inlineStr">
        <is>
          <t>Precio</t>
        </is>
      </c>
      <c r="E593" t="inlineStr">
        <is>
          <t>P2</t>
        </is>
      </c>
      <c r="F593" s="2" t="inlineStr">
        <is>
          <t>¿Permite estimar o comparar componentes sin ocultar límites de equivalencia?</t>
        </is>
      </c>
      <c r="G593" t="n">
        <v>2</v>
      </c>
      <c r="H593" t="inlineStr">
        <is>
          <t>Oficial</t>
        </is>
      </c>
      <c r="I593" s="2" t="inlineStr">
        <is>
          <t>El rightsizing compara el tipo de instancia en uso contra el propuesto y declara que las recomendaciones «consider RI discounts, EDP, Convertible Reserved Instance, and Savings plan availed by the source instance type», y que el Effective Savings Rate «includes discounts obtained from Negotiated Contracts (such as EDP)». Es un calculo definido con los limites de equivalencia explicitados.</t>
        </is>
      </c>
      <c r="J593" t="inlineStr">
        <is>
          <t>https://techdocs.broadcom.com/us/en/ca-enterprise-software/it-operations-management/cloudhealth/saas/index/working-with-reports-and-recommendation-of-tanzu-cloudhealth-working-with-reports-recommendations/working-with-reports-and-recommendation-of-tanzu-cloudhealth-aws-rightsizing-new.html</t>
        </is>
      </c>
      <c r="K593" t="inlineStr">
        <is>
          <t>2026-09-16</t>
        </is>
      </c>
      <c r="L593" s="2" t="inlineStr">
        <is>
          <t>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594">
      <c r="A594" t="inlineStr">
        <is>
          <t>E6</t>
        </is>
      </c>
      <c r="B594" t="inlineStr">
        <is>
          <t>Multicloud</t>
        </is>
      </c>
      <c r="C594" t="inlineStr">
        <is>
          <t>CloudHealth</t>
        </is>
      </c>
      <c r="D594" t="inlineStr">
        <is>
          <t>Dependencia</t>
        </is>
      </c>
      <c r="E594" t="inlineStr">
        <is>
          <t>D1</t>
        </is>
      </c>
      <c r="F594" s="2" t="inlineStr">
        <is>
          <t>¿Exporta datos/resultados en formato utilizable y documentado?</t>
        </is>
      </c>
      <c r="G594" t="n">
        <v>2</v>
      </c>
      <c r="H594" t="inlineStr">
        <is>
          <t>Oficial</t>
        </is>
      </c>
      <c r="I594" s="2" t="inlineStr">
        <is>
          <t>Cost Reports permite descargar como CSV los reportes Invoice, Detailed Billing Report y Summarized Billing Report (documentado para AWS).</t>
        </is>
      </c>
      <c r="J594" t="inlineStr">
        <is>
          <t>https://docs.vmware.com/en/VMware-Tanzu-CloudHealth/SaaS/working-with-reports-recommendations-vmware-tanzu-cloudhealth/GUID-cost-reports.html</t>
        </is>
      </c>
      <c r="K594" t="inlineStr">
        <is>
          <t>2026-09-16</t>
        </is>
      </c>
      <c r="L594" s="2" t="inlineStr"/>
    </row>
    <row r="595">
      <c r="A595" t="inlineStr">
        <is>
          <t>E6</t>
        </is>
      </c>
      <c r="B595" t="inlineStr">
        <is>
          <t>Multicloud</t>
        </is>
      </c>
      <c r="C595" t="inlineStr">
        <is>
          <t>CloudHealth</t>
        </is>
      </c>
      <c r="D595" t="inlineStr">
        <is>
          <t>Dependencia</t>
        </is>
      </c>
      <c r="E595" t="inlineStr">
        <is>
          <t>D2</t>
        </is>
      </c>
      <c r="F595" s="2" t="inlineStr">
        <is>
          <t>¿Documenta dependencias propietarias y un camino de salida/configuración reversible?</t>
        </is>
      </c>
      <c r="G595" t="inlineStr">
        <is>
          <t>NE</t>
        </is>
      </c>
      <c r="H595" t="inlineStr">
        <is>
          <t>Pendiente</t>
        </is>
      </c>
      <c r="I595" s="2" t="inlineStr">
        <is>
          <t>No se encontró documentación sobre un camino de salida o reversibilidad de la configuración.</t>
        </is>
      </c>
      <c r="K595" t="inlineStr">
        <is>
          <t>2026-09-16</t>
        </is>
      </c>
      <c r="L595" s="2" t="inlineStr"/>
    </row>
    <row r="596">
      <c r="A596" t="inlineStr">
        <is>
          <t>E1</t>
        </is>
      </c>
      <c r="B596" t="inlineStr">
        <is>
          <t>Multicloud</t>
        </is>
      </c>
      <c r="C596" t="inlineStr">
        <is>
          <t>CloudZero</t>
        </is>
      </c>
      <c r="D596" t="inlineStr">
        <is>
          <t>Visibilidad</t>
        </is>
      </c>
      <c r="E596" t="inlineStr">
        <is>
          <t>V1</t>
        </is>
      </c>
      <c r="F596" s="2" t="inlineStr">
        <is>
          <t>¿Desagrega costo y uso por cuenta/proyecto, servicio y período?</t>
        </is>
      </c>
      <c r="G596" t="n">
        <v>2</v>
      </c>
      <c r="H596" t="inlineStr">
        <is>
          <t>Oficial</t>
        </is>
      </c>
      <c r="I596" s="2" t="inlineStr">
        <is>
          <t>"Dimensions" son categorías personalizables (equipo, producto, feature, ambiente, cliente, proveedor cloud) que ofrecen una "vista unificada de todo el gasto cloud", filtrable y estandarizada entre proveedores.</t>
        </is>
      </c>
      <c r="J596" t="inlineStr">
        <is>
          <t>https://docs.cloudzero.com/docs/cloud-providers</t>
        </is>
      </c>
      <c r="K596" t="inlineStr">
        <is>
          <t>2026-09-16</t>
        </is>
      </c>
      <c r="L596" s="2" t="inlineStr">
        <is>
          <t>Celda heredada FP-180 (2026-09-16): el valor 2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597">
      <c r="A597" t="inlineStr">
        <is>
          <t>E1</t>
        </is>
      </c>
      <c r="B597" t="inlineStr">
        <is>
          <t>Multicloud</t>
        </is>
      </c>
      <c r="C597" t="inlineStr">
        <is>
          <t>CloudZero</t>
        </is>
      </c>
      <c r="D597" t="inlineStr">
        <is>
          <t>Visibilidad</t>
        </is>
      </c>
      <c r="E597" t="inlineStr">
        <is>
          <t>V2</t>
        </is>
      </c>
      <c r="F597" s="2" t="inlineStr">
        <is>
          <t>¿Permite rastrear un total hasta registros o fuente de facturación?</t>
        </is>
      </c>
      <c r="G597" t="n">
        <v>2</v>
      </c>
      <c r="H597" t="inlineStr">
        <is>
          <t>Oficial</t>
        </is>
      </c>
      <c r="I597" s="2" t="inlineStr">
        <is>
          <t>La asignación reconcilia contra la factura: «The remaining spend goes to a default element so the total always reconciles with the actual bill». Para multinube, AnyCost y el Common Bill Format ingieren datos de cualquier proveedor, y el tipo de costo facturado permite la conciliación: «Billed Cost reflects the exact prices you will be invoiced for, and you can use it when you are reconciling against your actual invoice». Existen conexiones nativas a Azure (MCA, EA, CSP) y GCP (export de BigQuery), de modo que el total es rastreable hasta la fuente de facturación de cada proveedor.</t>
        </is>
      </c>
      <c r="J597" t="inlineStr">
        <is>
          <t>https://docs.cloudzero.com/docs/costformation-allocating-shared-costs ; https://docs.cloudzero.com/docs/anycost-common-bill-format-cbf ; https://docs.cloudzero.com/docs/cost-types</t>
        </is>
      </c>
      <c r="K597" t="inlineStr">
        <is>
          <t>2026-09-16</t>
        </is>
      </c>
      <c r="L597" s="2" t="inlineStr">
        <is>
          <t>Investigación E2 FP-180 (2026-09-16): celda completada con evidencia propia del escenario, verificada contra documentación oficial.</t>
        </is>
      </c>
    </row>
    <row r="598">
      <c r="A598" t="inlineStr">
        <is>
          <t>E1</t>
        </is>
      </c>
      <c r="B598" t="inlineStr">
        <is>
          <t>Multicloud</t>
        </is>
      </c>
      <c r="C598" t="inlineStr">
        <is>
          <t>CloudZero</t>
        </is>
      </c>
      <c r="D598" t="inlineStr">
        <is>
          <t>Asignacion</t>
        </is>
      </c>
      <c r="E598" t="inlineStr">
        <is>
          <t>A1</t>
        </is>
      </c>
      <c r="F598" s="2" t="inlineStr">
        <is>
          <t>¿Calcula gasto asignado/no asignado por responsable, centro o entidad?</t>
        </is>
      </c>
      <c r="G598" t="n">
        <v>2</v>
      </c>
      <c r="H598" t="inlineStr">
        <is>
          <t>Oficial</t>
        </is>
      </c>
      <c r="I598" s="2" t="inlineStr">
        <is>
          <t>La asignacion cubre el total y deja explicito el remanente: «The remaining spend goes to a default element so the total always reconciles with the actual bill», e incluye los recursos sin etiquetar y los no etiquetables dentro del modelo de dimensiones. El gasto no asignado no desaparece: queda en un elemento identificable.</t>
        </is>
      </c>
      <c r="J598" t="inlineStr">
        <is>
          <t>https://docs.cloudzero.com/docs/costformation-allocating-shared-costs</t>
        </is>
      </c>
      <c r="K598" t="inlineStr">
        <is>
          <t>2026-09-16</t>
        </is>
      </c>
      <c r="L598" s="2" t="inlineStr">
        <is>
          <t>Celda heredada FP-180 (2026-09-16): el valor 2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 | Investigacion propia de E1 (2026-09-16): celda verificada contra la salida esperada del escenario, que exige gasto no asignado visible y reporte de showback.</t>
        </is>
      </c>
    </row>
    <row r="599">
      <c r="A599" t="inlineStr">
        <is>
          <t>E1</t>
        </is>
      </c>
      <c r="B599" t="inlineStr">
        <is>
          <t>Multicloud</t>
        </is>
      </c>
      <c r="C599" t="inlineStr">
        <is>
          <t>CloudZero</t>
        </is>
      </c>
      <c r="D599" t="inlineStr">
        <is>
          <t>Asignacion</t>
        </is>
      </c>
      <c r="E599" t="inlineStr">
        <is>
          <t>A2</t>
        </is>
      </c>
      <c r="F599" s="2" t="inlineStr">
        <is>
          <t>¿Explicita y aplica reglas para costo compartido/multi-tenant?</t>
        </is>
      </c>
      <c r="G599" t="n">
        <v>2</v>
      </c>
      <c r="H599" t="inlineStr">
        <is>
          <t>Oficial</t>
        </is>
      </c>
      <c r="I599" s="2" t="inlineStr">
        <is>
          <t>CostFormation ofrece "Allocate By Rules" (reparto uniforme o proporcional basado en gasto existente) y reparto basado en streams de telemetría de uso; las reglas se definen en el lenguaje CostFormation Definition Language (CFDL), versionable en YAML.</t>
        </is>
      </c>
      <c r="J599" t="inlineStr">
        <is>
          <t>https://docs.cloudzero.com/docs/costformation-allocating-shared-costs</t>
        </is>
      </c>
      <c r="K599" t="inlineStr">
        <is>
          <t>2026-09-16</t>
        </is>
      </c>
      <c r="L599" s="2" t="inlineStr">
        <is>
          <t>Celda heredada FP-180 (2026-09-16): el valor 2 proviene de la investigacion del escenario E2 y no cuenta con evidencia propia de E1. Segun FP-177 el indicador A2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00">
      <c r="A600" t="inlineStr">
        <is>
          <t>E1</t>
        </is>
      </c>
      <c r="B600" t="inlineStr">
        <is>
          <t>Multicloud</t>
        </is>
      </c>
      <c r="C600" t="inlineStr">
        <is>
          <t>CloudZero</t>
        </is>
      </c>
      <c r="D600" t="inlineStr">
        <is>
          <t>Optimizacion</t>
        </is>
      </c>
      <c r="E600" t="inlineStr">
        <is>
          <t>O1</t>
        </is>
      </c>
      <c r="F600" s="2" t="inlineStr">
        <is>
          <t>¿Detecta desperdicio, rightsizing o compromiso relevante al escenario?</t>
        </is>
      </c>
      <c r="G600" t="n">
        <v>2</v>
      </c>
      <c r="H600" t="inlineStr">
        <is>
          <t>Oficial</t>
        </is>
      </c>
      <c r="I600" s="2" t="inlineStr">
        <is>
          <t>"Optimize" genera recomendaciones (rightsizing, cobertura de reservas, recursos inactivos) para AWS, Azure, GCP y Kubernetes, revisando el catálogo de tipos de recomendación una vez al día.</t>
        </is>
      </c>
      <c r="J600" t="inlineStr">
        <is>
          <t>https://docs.cloudzero.com/docs/optimize</t>
        </is>
      </c>
      <c r="K600" t="inlineStr">
        <is>
          <t>2026-09-16</t>
        </is>
      </c>
      <c r="L600" s="2" t="inlineStr">
        <is>
          <t>Celda heredada FP-180 (2026-09-16): el valor 2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01">
      <c r="A601" t="inlineStr">
        <is>
          <t>E1</t>
        </is>
      </c>
      <c r="B601" t="inlineStr">
        <is>
          <t>Multicloud</t>
        </is>
      </c>
      <c r="C601" t="inlineStr">
        <is>
          <t>CloudZero</t>
        </is>
      </c>
      <c r="D601" t="inlineStr">
        <is>
          <t>Optimizacion</t>
        </is>
      </c>
      <c r="E601" t="inlineStr">
        <is>
          <t>O2</t>
        </is>
      </c>
      <c r="F601" s="2" t="inlineStr">
        <is>
          <t>¿Explica supuesto/impacto y permite seguir una recomendación?</t>
        </is>
      </c>
      <c r="G601" t="n">
        <v>2</v>
      </c>
      <c r="H601" t="inlineStr">
        <is>
          <t>Oficial</t>
        </is>
      </c>
      <c r="I601" s="2" t="inlineStr">
        <is>
          <t>Optimize muestra ahorro potencial y "total spend, potential savings, and open recommendations", y hace seguimiento del ahorro realizado según si la recomendación fue efectivamente implementada.</t>
        </is>
      </c>
      <c r="J601" t="inlineStr">
        <is>
          <t>https://docs.cloudzero.com/docs/optimize</t>
        </is>
      </c>
      <c r="K601" t="inlineStr">
        <is>
          <t>2026-09-16</t>
        </is>
      </c>
      <c r="L601" s="2" t="inlineStr"/>
    </row>
    <row r="602">
      <c r="A602" t="inlineStr">
        <is>
          <t>E1</t>
        </is>
      </c>
      <c r="B602" t="inlineStr">
        <is>
          <t>Multicloud</t>
        </is>
      </c>
      <c r="C602" t="inlineStr">
        <is>
          <t>CloudZero</t>
        </is>
      </c>
      <c r="D602" t="inlineStr">
        <is>
          <t>Automatizacion</t>
        </is>
      </c>
      <c r="E602" t="inlineStr">
        <is>
          <t>AU1</t>
        </is>
      </c>
      <c r="F602" s="2" t="inlineStr">
        <is>
          <t>¿Ejecuta o bloquea acciones/políticas de costo con control verificable?</t>
        </is>
      </c>
      <c r="G602" t="n">
        <v>0</v>
      </c>
      <c r="H602" t="inlineStr">
        <is>
          <t>Oficial</t>
        </is>
      </c>
      <c r="I602" s="2" t="inlineStr">
        <is>
          <t>Optimize es "un sistema solo de recomendaciones": identifica oportunidades y su estado de implementación, pero no ejecuta cambios de forma automática; el usuario decide manualmente aplicar o descartar cada recomendación.</t>
        </is>
      </c>
      <c r="J602" t="inlineStr">
        <is>
          <t>https://docs.cloudzero.com/docs/optimize</t>
        </is>
      </c>
      <c r="K602" t="inlineStr">
        <is>
          <t>2026-09-16</t>
        </is>
      </c>
      <c r="L602" s="2" t="inlineStr">
        <is>
          <t>Celda heredada FP-180 (2026-09-16): el valor 0 proviene de la investigacion del escenario E2 y no cuenta con evidencia propia de E1. Segun FP-177 el indicador AU1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03">
      <c r="A603" t="inlineStr">
        <is>
          <t>E1</t>
        </is>
      </c>
      <c r="B603" t="inlineStr">
        <is>
          <t>Multicloud</t>
        </is>
      </c>
      <c r="C603" t="inlineStr">
        <is>
          <t>CloudZero</t>
        </is>
      </c>
      <c r="D603" t="inlineStr">
        <is>
          <t>Automatizacion</t>
        </is>
      </c>
      <c r="E603" t="inlineStr">
        <is>
          <t>AU2</t>
        </is>
      </c>
      <c r="F603" s="2" t="inlineStr">
        <is>
          <t>¿Ofrece aprobación, reversión, registro o límites antes de actuar?</t>
        </is>
      </c>
      <c r="G603" t="inlineStr">
        <is>
          <t>NA</t>
        </is>
      </c>
      <c r="H603" t="inlineStr">
        <is>
          <t>Justificación de alcance</t>
        </is>
      </c>
      <c r="I603" s="2" t="inlineStr">
        <is>
          <t>Al no ejecutar acciones (ver AU1), no aplica evaluar salvaguardas de una ejecución automatizada.</t>
        </is>
      </c>
      <c r="J603" t="inlineStr">
        <is>
          <t>https://docs.cloudzero.com/docs/optimize</t>
        </is>
      </c>
      <c r="K603" t="inlineStr">
        <is>
          <t>2026-09-16</t>
        </is>
      </c>
      <c r="L603" s="2" t="inlineStr"/>
    </row>
    <row r="604">
      <c r="A604" t="inlineStr">
        <is>
          <t>E1</t>
        </is>
      </c>
      <c r="B604" t="inlineStr">
        <is>
          <t>Multicloud</t>
        </is>
      </c>
      <c r="C604" t="inlineStr">
        <is>
          <t>CloudZero</t>
        </is>
      </c>
      <c r="D604" t="inlineStr">
        <is>
          <t>Multicloud</t>
        </is>
      </c>
      <c r="E604" t="inlineStr">
        <is>
          <t>M1</t>
        </is>
      </c>
      <c r="F604" s="2" t="inlineStr">
        <is>
          <t>¿Consolida al menos dos proveedores bajo el mismo esquema declarado?</t>
        </is>
      </c>
      <c r="G604" t="n">
        <v>2</v>
      </c>
      <c r="H604" t="inlineStr">
        <is>
          <t>Oficial</t>
        </is>
      </c>
      <c r="I604" s="2" t="inlineStr">
        <is>
          <t>Soporte nativo de AWS, Azure (MCA/EA/CSP), GCP (vía export a BigQuery) y Oracle Cloud, consolidados en "una vista unificada de todo el gasto cloud" mediante Dimensions; además "AnyCost" (Common Bill Format) permite incorporar cualquier otra fuente de costo.</t>
        </is>
      </c>
      <c r="J604" t="inlineStr">
        <is>
          <t>https://docs.cloudzero.com/docs/cloud-providers</t>
        </is>
      </c>
      <c r="K604" t="inlineStr">
        <is>
          <t>2026-09-16</t>
        </is>
      </c>
      <c r="L604" s="2" t="inlineStr"/>
    </row>
    <row r="605">
      <c r="A605" t="inlineStr">
        <is>
          <t>E1</t>
        </is>
      </c>
      <c r="B605" t="inlineStr">
        <is>
          <t>Multicloud</t>
        </is>
      </c>
      <c r="C605" t="inlineStr">
        <is>
          <t>CloudZero</t>
        </is>
      </c>
      <c r="D605" t="inlineStr">
        <is>
          <t>Multicloud</t>
        </is>
      </c>
      <c r="E605" t="inlineStr">
        <is>
          <t>M2</t>
        </is>
      </c>
      <c r="F605" s="2" t="inlineStr">
        <is>
          <t>¿Hace visibles proveedor, cobertura y diferencias semánticas?</t>
        </is>
      </c>
      <c r="G605" t="n">
        <v>2</v>
      </c>
      <c r="H605" t="inlineStr">
        <is>
          <t>Oficial</t>
        </is>
      </c>
      <c r="I605" s="2" t="inlineStr">
        <is>
          <t>"AnyCost"/"Common Bill Format (CBF)" es un formato estándar declarado para traducir datos de costo de cualquier proveedor/fuente a un esquema común, mediante un Adaptor entregado por API REST o bucket S3.</t>
        </is>
      </c>
      <c r="J605" t="inlineStr">
        <is>
          <t>https://docs.cloudzero.com/docs/anycost</t>
        </is>
      </c>
      <c r="K605" t="inlineStr">
        <is>
          <t>2026-09-16</t>
        </is>
      </c>
      <c r="L605" s="2" t="inlineStr"/>
    </row>
    <row r="606">
      <c r="A606" t="inlineStr">
        <is>
          <t>E1</t>
        </is>
      </c>
      <c r="B606" t="inlineStr">
        <is>
          <t>Multicloud</t>
        </is>
      </c>
      <c r="C606" t="inlineStr">
        <is>
          <t>CloudZero</t>
        </is>
      </c>
      <c r="D606" t="inlineStr">
        <is>
          <t>Integracion</t>
        </is>
      </c>
      <c r="E606" t="inlineStr">
        <is>
          <t>I1</t>
        </is>
      </c>
      <c r="F606" s="2" t="inlineStr">
        <is>
          <t>¿Integra datos requeridos (facturación, uso, clúster o IaC) del escenario?</t>
        </is>
      </c>
      <c r="G606" t="n">
        <v>2</v>
      </c>
      <c r="H606" t="inlineStr">
        <is>
          <t>Oficial</t>
        </is>
      </c>
      <c r="I606" s="2" t="inlineStr">
        <is>
          <t>Conectores nativos definidos y documentados para AWS (cuentas de management/member), Azure (MCA/EA/CSP) y GCP (export a BigQuery), además del agente de Kubernetes para EKS/AKS/GKE/OKE/clústeres autogestionados.</t>
        </is>
      </c>
      <c r="J606" t="inlineStr">
        <is>
          <t>https://docs.cloudzero.com/docs/cloud-providers</t>
        </is>
      </c>
      <c r="K606" t="inlineStr">
        <is>
          <t>2026-09-16</t>
        </is>
      </c>
      <c r="L606" s="2" t="inlineStr">
        <is>
          <t>Celda heredada FP-180 (2026-09-16): el valor 2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07">
      <c r="A607" t="inlineStr">
        <is>
          <t>E1</t>
        </is>
      </c>
      <c r="B607" t="inlineStr">
        <is>
          <t>Multicloud</t>
        </is>
      </c>
      <c r="C607" t="inlineStr">
        <is>
          <t>CloudZero</t>
        </is>
      </c>
      <c r="D607" t="inlineStr">
        <is>
          <t>Integracion</t>
        </is>
      </c>
      <c r="E607" t="inlineStr">
        <is>
          <t>I2</t>
        </is>
      </c>
      <c r="F607" s="2" t="inlineStr">
        <is>
          <t>¿Se integra con el flujo de trabajo relevante (alerta, ticket, CI/CD o reporte)?</t>
        </is>
      </c>
      <c r="G607" t="n">
        <v>2</v>
      </c>
      <c r="H607" t="inlineStr">
        <is>
          <t>Oficial</t>
        </is>
      </c>
      <c r="I607" s="2" t="inlineStr">
        <is>
          <t>Integración documentada con el flujo operativo del escenario: Jira — «Create Work Items from Optimize Recommendations and Anomalies, then track their Jira status in CloudZero»; Slack — «Receive cost notifications directly in Slack channels, routed by View»; Google Chat; y Snowflake — «Share CloudZero cost data to your Snowflake account for SQL-based analysis», que sostiene el reporte consolidado que E2 espera. Es integración definida y reproducible, no una exportación manual.</t>
        </is>
      </c>
      <c r="J607" t="inlineStr">
        <is>
          <t>https://docs.cloudzero.com/docs/integrations ; https://docs.cloudzero.com/docs/notifications</t>
        </is>
      </c>
      <c r="K607" t="inlineStr">
        <is>
          <t>2026-09-16</t>
        </is>
      </c>
      <c r="L607" s="2" t="inlineStr">
        <is>
          <t>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08">
      <c r="A608" t="inlineStr">
        <is>
          <t>E1</t>
        </is>
      </c>
      <c r="B608" t="inlineStr">
        <is>
          <t>Multicloud</t>
        </is>
      </c>
      <c r="C608" t="inlineStr">
        <is>
          <t>CloudZero</t>
        </is>
      </c>
      <c r="D608" t="inlineStr">
        <is>
          <t>Adopcion</t>
        </is>
      </c>
      <c r="E608" t="inlineStr">
        <is>
          <t>AD1</t>
        </is>
      </c>
      <c r="F608" s="2" t="inlineStr">
        <is>
          <t>¿Soporta acceso/entrega para los roles del escenario?</t>
        </is>
      </c>
      <c r="G608" t="n">
        <v>2</v>
      </c>
      <c r="H608" t="inlineStr">
        <is>
          <t>Oficial</t>
        </is>
      </c>
      <c r="I608" s="2" t="inlineStr">
        <is>
          <t>Existen tres tipos de rol (Full Access, No Access, Limited Access) con filtrado granular por Dimensión y tipo de costo, incluyendo atributos de SSO para filtrado dinámico por usuario.</t>
        </is>
      </c>
      <c r="J608" t="inlineStr">
        <is>
          <t>https://docs.cloudzero.com/docs/view-and-manage-roles</t>
        </is>
      </c>
      <c r="K608" t="inlineStr">
        <is>
          <t>2026-09-16</t>
        </is>
      </c>
      <c r="L608" s="2" t="inlineStr">
        <is>
          <t>Celda heredada FP-180 (2026-09-16): el valor 2 proviene de la investigacion del escenario E2 y no cuenta con evidencia propia de E1. Segun FP-177 el indicador AD1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09">
      <c r="A609" t="inlineStr">
        <is>
          <t>E1</t>
        </is>
      </c>
      <c r="B609" t="inlineStr">
        <is>
          <t>Multicloud</t>
        </is>
      </c>
      <c r="C609" t="inlineStr">
        <is>
          <t>CloudZero</t>
        </is>
      </c>
      <c r="D609" t="inlineStr">
        <is>
          <t>Adopcion</t>
        </is>
      </c>
      <c r="E609" t="inlineStr">
        <is>
          <t>AD2</t>
        </is>
      </c>
      <c r="F609" s="2" t="inlineStr">
        <is>
          <t>¿Ofrece guías, ownership o mecanismos de seguimiento para uso sostenido?</t>
        </is>
      </c>
      <c r="G609" t="n">
        <v>2</v>
      </c>
      <c r="H609" t="inlineStr">
        <is>
          <t>Oficial</t>
        </is>
      </c>
      <c r="I609" s="2" t="inlineStr">
        <is>
          <t>Mecanismo de ownership documentado: «Views combine a grouping, filters, and notification channels into a single preset, giving each team ownership of the costs they are responsible for», y cada View «monitors its scope for cost changes and sends updates and anomaly alerts to the configured Slack channel or email». La habilitación cuenta con material oficial de onboarding en CloudZero Academy. Proceso y guía definidos; no se asigna 3 porque no hay evidencia de adopción medida.</t>
        </is>
      </c>
      <c r="J609" t="inlineStr">
        <is>
          <t>https://docs.cloudzero.com/docs/cloudzero ; https://academy.cloudzero.com/docs/onboarding-1</t>
        </is>
      </c>
      <c r="K609" t="inlineStr">
        <is>
          <t>2026-09-16</t>
        </is>
      </c>
      <c r="L609" s="2" t="inlineStr">
        <is>
          <t>Investigación E2 FP-180 (2026-09-16): celda completada con evidencia propia del escenario, verificada contra documentación oficial.</t>
        </is>
      </c>
    </row>
    <row r="610">
      <c r="A610" t="inlineStr">
        <is>
          <t>E1</t>
        </is>
      </c>
      <c r="B610" t="inlineStr">
        <is>
          <t>Multicloud</t>
        </is>
      </c>
      <c r="C610" t="inlineStr">
        <is>
          <t>CloudZero</t>
        </is>
      </c>
      <c r="D610" t="inlineStr">
        <is>
          <t>Precio</t>
        </is>
      </c>
      <c r="E610" t="inlineStr">
        <is>
          <t>P1</t>
        </is>
      </c>
      <c r="F610" s="2" t="inlineStr">
        <is>
          <t>¿Expone precio, moneda, región, unidad, período y supuestos relevantes?</t>
        </is>
      </c>
      <c r="G610" t="n">
        <v>2</v>
      </c>
      <c r="H610" t="inlineStr">
        <is>
          <t>Oficial</t>
        </is>
      </c>
      <c r="I610" s="2" t="inlineStr">
        <is>
          <t>Los Cost Types documentan, uno por uno, que calculo aplica cada vista sobre el dato de facturacion: Real Cost «shows only the spend that engineers can directly affect by filtering out taxes, support fees, and other overhead»; Amortized Cost «starts with Billed Cost (before discounts) and spreads upfront and recurring Reserved Instance (RI) and Savings Plan (SP) charges across the resources they apply to, based on usage»; e Invoiced Amortized Cost amortiza solo la porcion recurrente «to ensure that total cost for a billing period reflects only charges incurred in that period». Los supuestos de cada cifra estan declarados y son reproducibles.</t>
        </is>
      </c>
      <c r="J610" t="inlineStr">
        <is>
          <t>https://docs.cloudzero.com/docs/cost-types</t>
        </is>
      </c>
      <c r="K610" t="inlineStr">
        <is>
          <t>2026-09-16</t>
        </is>
      </c>
      <c r="L610" s="2" t="inlineStr">
        <is>
          <t>Investigacion del criterio Precio de E2 (2026-09-16): celda completada con evidencia propia verificada contra documentacion oficial. Precio es criterio critico de E2 y estaba sin evidenciar en este producto.</t>
        </is>
      </c>
    </row>
    <row r="611">
      <c r="A611" t="inlineStr">
        <is>
          <t>E1</t>
        </is>
      </c>
      <c r="B611" t="inlineStr">
        <is>
          <t>Multicloud</t>
        </is>
      </c>
      <c r="C611" t="inlineStr">
        <is>
          <t>CloudZero</t>
        </is>
      </c>
      <c r="D611" t="inlineStr">
        <is>
          <t>Precio</t>
        </is>
      </c>
      <c r="E611" t="inlineStr">
        <is>
          <t>P2</t>
        </is>
      </c>
      <c r="F611" s="2" t="inlineStr">
        <is>
          <t>¿Permite estimar o comparar componentes sin ocultar límites de equivalencia?</t>
        </is>
      </c>
      <c r="G611" t="n">
        <v>2</v>
      </c>
      <c r="H611" t="inlineStr">
        <is>
          <t>Oficial</t>
        </is>
      </c>
      <c r="I611" s="2" t="inlineStr">
        <is>
          <t>On-Demand Cost «shows what you would pay for equivalent usage at on-demand rates, without any discounts, RIs, or SPs applied», lo que permite comparar el costo real contra una referencia tarifaria equivalente. El limite de la comparacion esta declarado explicitamente: «Billed Cost used as a fallback for line items without an on-demand rate», de modo que no se oculta donde la equivalencia no existe.</t>
        </is>
      </c>
      <c r="J611" t="inlineStr">
        <is>
          <t>https://docs.cloudzero.com/docs/cost-types</t>
        </is>
      </c>
      <c r="K611" t="inlineStr">
        <is>
          <t>2026-09-16</t>
        </is>
      </c>
      <c r="L611" s="2" t="inlineStr">
        <is>
          <t>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12">
      <c r="A612" t="inlineStr">
        <is>
          <t>E1</t>
        </is>
      </c>
      <c r="B612" t="inlineStr">
        <is>
          <t>Multicloud</t>
        </is>
      </c>
      <c r="C612" t="inlineStr">
        <is>
          <t>CloudZero</t>
        </is>
      </c>
      <c r="D612" t="inlineStr">
        <is>
          <t>Dependencia</t>
        </is>
      </c>
      <c r="E612" t="inlineStr">
        <is>
          <t>D1</t>
        </is>
      </c>
      <c r="F612" s="2" t="inlineStr">
        <is>
          <t>¿Exporta datos/resultados en formato utilizable y documentado?</t>
        </is>
      </c>
      <c r="G612" t="n">
        <v>1</v>
      </c>
      <c r="H612" t="inlineStr">
        <is>
          <t>Oficial</t>
        </is>
      </c>
      <c r="I612" s="2" t="inlineStr">
        <is>
          <t>El glosario documenta acceso programático mediante streams de telemetría (entrada) y un "MCP Server" que conecta herramientas de IA a los datos de costo; no se confirmó una función de exportación masiva de datos de salida en formato estándar.</t>
        </is>
      </c>
      <c r="J612" t="inlineStr">
        <is>
          <t>https://docs.cloudzero.com/docs/cloudzero-glossary</t>
        </is>
      </c>
      <c r="K612" t="inlineStr">
        <is>
          <t>2026-09-16</t>
        </is>
      </c>
      <c r="L612" s="2" t="inlineStr"/>
    </row>
    <row r="613">
      <c r="A613" t="inlineStr">
        <is>
          <t>E1</t>
        </is>
      </c>
      <c r="B613" t="inlineStr">
        <is>
          <t>Multicloud</t>
        </is>
      </c>
      <c r="C613" t="inlineStr">
        <is>
          <t>CloudZero</t>
        </is>
      </c>
      <c r="D613" t="inlineStr">
        <is>
          <t>Dependencia</t>
        </is>
      </c>
      <c r="E613" t="inlineStr">
        <is>
          <t>D2</t>
        </is>
      </c>
      <c r="F613" s="2" t="inlineStr">
        <is>
          <t>¿Documenta dependencias propietarias y un camino de salida/configuración reversible?</t>
        </is>
      </c>
      <c r="G613" t="inlineStr">
        <is>
          <t>NE</t>
        </is>
      </c>
      <c r="H613" t="inlineStr">
        <is>
          <t>Pendiente</t>
        </is>
      </c>
      <c r="I613" s="2" t="inlineStr">
        <is>
          <t>No se encontró documentación sobre un camino de salida o reversibilidad de la configuración.</t>
        </is>
      </c>
      <c r="K613" t="inlineStr">
        <is>
          <t>2026-09-16</t>
        </is>
      </c>
      <c r="L613" s="2" t="inlineStr"/>
    </row>
    <row r="614">
      <c r="A614" t="inlineStr">
        <is>
          <t>E2</t>
        </is>
      </c>
      <c r="B614" t="inlineStr">
        <is>
          <t>Multicloud</t>
        </is>
      </c>
      <c r="C614" t="inlineStr">
        <is>
          <t>CloudZero</t>
        </is>
      </c>
      <c r="D614" t="inlineStr">
        <is>
          <t>Visibilidad</t>
        </is>
      </c>
      <c r="E614" t="inlineStr">
        <is>
          <t>V1</t>
        </is>
      </c>
      <c r="F614" s="2" t="inlineStr">
        <is>
          <t>¿Desagrega costo y uso por cuenta/proyecto, servicio y período?</t>
        </is>
      </c>
      <c r="G614" t="n">
        <v>2</v>
      </c>
      <c r="H614" t="inlineStr">
        <is>
          <t>Oficial</t>
        </is>
      </c>
      <c r="I614" s="2" t="inlineStr">
        <is>
          <t>"Dimensions" son categorías personalizables (equipo, producto, feature, ambiente, cliente, proveedor cloud) que ofrecen una "vista unificada de todo el gasto cloud", filtrable y estandarizada entre proveedores.</t>
        </is>
      </c>
      <c r="J614" t="inlineStr">
        <is>
          <t>https://docs.cloudzero.com/docs/cloud-providers</t>
        </is>
      </c>
      <c r="K614" t="inlineStr">
        <is>
          <t>2026-09-16</t>
        </is>
      </c>
      <c r="L614" s="2" t="inlineStr"/>
    </row>
    <row r="615">
      <c r="A615" t="inlineStr">
        <is>
          <t>E2</t>
        </is>
      </c>
      <c r="B615" t="inlineStr">
        <is>
          <t>Multicloud</t>
        </is>
      </c>
      <c r="C615" t="inlineStr">
        <is>
          <t>CloudZero</t>
        </is>
      </c>
      <c r="D615" t="inlineStr">
        <is>
          <t>Visibilidad</t>
        </is>
      </c>
      <c r="E615" t="inlineStr">
        <is>
          <t>V2</t>
        </is>
      </c>
      <c r="F615" s="2" t="inlineStr">
        <is>
          <t>¿Permite rastrear un total hasta registros o fuente de facturación?</t>
        </is>
      </c>
      <c r="G615" t="n">
        <v>2</v>
      </c>
      <c r="H615" t="inlineStr">
        <is>
          <t>Oficial</t>
        </is>
      </c>
      <c r="I615" s="2" t="inlineStr">
        <is>
          <t>La asignación reconcilia contra la factura: «The remaining spend goes to a default element so the total always reconciles with the actual bill». Para multinube, AnyCost y el Common Bill Format ingieren datos de cualquier proveedor, y el tipo de costo facturado permite la conciliación: «Billed Cost reflects the exact prices you will be invoiced for, and you can use it when you are reconciling against your actual invoice». Existen conexiones nativas a Azure (MCA, EA, CSP) y GCP (export de BigQuery), de modo que el total es rastreable hasta la fuente de facturación de cada proveedor.</t>
        </is>
      </c>
      <c r="J615" t="inlineStr">
        <is>
          <t>https://docs.cloudzero.com/docs/costformation-allocating-shared-costs ; https://docs.cloudzero.com/docs/anycost-common-bill-format-cbf ; https://docs.cloudzero.com/docs/cost-types</t>
        </is>
      </c>
      <c r="K615" t="inlineStr">
        <is>
          <t>2026-09-16</t>
        </is>
      </c>
      <c r="L615" s="2" t="inlineStr">
        <is>
          <t>Investigación E2 FP-180 (2026-09-16): celda completada con evidencia propia del escenario, verificada contra documentación oficial.</t>
        </is>
      </c>
    </row>
    <row r="616">
      <c r="A616" t="inlineStr">
        <is>
          <t>E2</t>
        </is>
      </c>
      <c r="B616" t="inlineStr">
        <is>
          <t>Multicloud</t>
        </is>
      </c>
      <c r="C616" t="inlineStr">
        <is>
          <t>CloudZero</t>
        </is>
      </c>
      <c r="D616" t="inlineStr">
        <is>
          <t>Asignacion</t>
        </is>
      </c>
      <c r="E616" t="inlineStr">
        <is>
          <t>A1</t>
        </is>
      </c>
      <c r="F616" s="2" t="inlineStr">
        <is>
          <t>¿Calcula gasto asignado/no asignado por responsable, centro o entidad?</t>
        </is>
      </c>
      <c r="G616" t="n">
        <v>2</v>
      </c>
      <c r="H616" t="inlineStr">
        <is>
          <t>Oficial</t>
        </is>
      </c>
      <c r="I616" s="2" t="inlineStr">
        <is>
          <t>CostFormation expone explícitamente el gasto no asignado bajo el bucket "Not In Dimension", con la opción de repartirlo proporcionalmente entre los equipos con gasto.</t>
        </is>
      </c>
      <c r="J616" t="inlineStr">
        <is>
          <t>https://docs.cloudzero.com/docs/costformation-allocating-shared-costs</t>
        </is>
      </c>
      <c r="K616" t="inlineStr">
        <is>
          <t>2026-09-16</t>
        </is>
      </c>
      <c r="L616" s="2" t="inlineStr"/>
    </row>
    <row r="617">
      <c r="A617" t="inlineStr">
        <is>
          <t>E2</t>
        </is>
      </c>
      <c r="B617" t="inlineStr">
        <is>
          <t>Multicloud</t>
        </is>
      </c>
      <c r="C617" t="inlineStr">
        <is>
          <t>CloudZero</t>
        </is>
      </c>
      <c r="D617" t="inlineStr">
        <is>
          <t>Asignacion</t>
        </is>
      </c>
      <c r="E617" t="inlineStr">
        <is>
          <t>A2</t>
        </is>
      </c>
      <c r="F617" s="2" t="inlineStr">
        <is>
          <t>¿Explicita y aplica reglas para costo compartido/multi-tenant?</t>
        </is>
      </c>
      <c r="G617" t="n">
        <v>2</v>
      </c>
      <c r="H617" t="inlineStr">
        <is>
          <t>Oficial</t>
        </is>
      </c>
      <c r="I617" s="2" t="inlineStr">
        <is>
          <t>CostFormation ofrece "Allocate By Rules" (reparto uniforme o proporcional basado en gasto existente) y reparto basado en streams de telemetría de uso; las reglas se definen en el lenguaje CostFormation Definition Language (CFDL), versionable en YAML.</t>
        </is>
      </c>
      <c r="J617" t="inlineStr">
        <is>
          <t>https://docs.cloudzero.com/docs/costformation-allocating-shared-costs</t>
        </is>
      </c>
      <c r="K617" t="inlineStr">
        <is>
          <t>2026-09-16</t>
        </is>
      </c>
      <c r="L617" s="2" t="inlineStr"/>
    </row>
    <row r="618">
      <c r="A618" t="inlineStr">
        <is>
          <t>E2</t>
        </is>
      </c>
      <c r="B618" t="inlineStr">
        <is>
          <t>Multicloud</t>
        </is>
      </c>
      <c r="C618" t="inlineStr">
        <is>
          <t>CloudZero</t>
        </is>
      </c>
      <c r="D618" t="inlineStr">
        <is>
          <t>Optimizacion</t>
        </is>
      </c>
      <c r="E618" t="inlineStr">
        <is>
          <t>O1</t>
        </is>
      </c>
      <c r="F618" s="2" t="inlineStr">
        <is>
          <t>¿Detecta desperdicio, rightsizing o compromiso relevante al escenario?</t>
        </is>
      </c>
      <c r="G618" t="n">
        <v>2</v>
      </c>
      <c r="H618" t="inlineStr">
        <is>
          <t>Oficial</t>
        </is>
      </c>
      <c r="I618" s="2" t="inlineStr">
        <is>
          <t>"Optimize" genera recomendaciones (rightsizing, cobertura de reservas, recursos inactivos) para AWS, Azure, GCP y Kubernetes, revisando el catálogo de tipos de recomendación una vez al día.</t>
        </is>
      </c>
      <c r="J618" t="inlineStr">
        <is>
          <t>https://docs.cloudzero.com/docs/optimize</t>
        </is>
      </c>
      <c r="K618" t="inlineStr">
        <is>
          <t>2026-09-16</t>
        </is>
      </c>
      <c r="L618" s="2" t="inlineStr"/>
    </row>
    <row r="619">
      <c r="A619" t="inlineStr">
        <is>
          <t>E2</t>
        </is>
      </c>
      <c r="B619" t="inlineStr">
        <is>
          <t>Multicloud</t>
        </is>
      </c>
      <c r="C619" t="inlineStr">
        <is>
          <t>CloudZero</t>
        </is>
      </c>
      <c r="D619" t="inlineStr">
        <is>
          <t>Optimizacion</t>
        </is>
      </c>
      <c r="E619" t="inlineStr">
        <is>
          <t>O2</t>
        </is>
      </c>
      <c r="F619" s="2" t="inlineStr">
        <is>
          <t>¿Explica supuesto/impacto y permite seguir una recomendación?</t>
        </is>
      </c>
      <c r="G619" t="n">
        <v>2</v>
      </c>
      <c r="H619" t="inlineStr">
        <is>
          <t>Oficial</t>
        </is>
      </c>
      <c r="I619" s="2" t="inlineStr">
        <is>
          <t>Optimize muestra ahorro potencial y "total spend, potential savings, and open recommendations", y hace seguimiento del ahorro realizado según si la recomendación fue efectivamente implementada.</t>
        </is>
      </c>
      <c r="J619" t="inlineStr">
        <is>
          <t>https://docs.cloudzero.com/docs/optimize</t>
        </is>
      </c>
      <c r="K619" t="inlineStr">
        <is>
          <t>2026-09-16</t>
        </is>
      </c>
      <c r="L619" s="2" t="inlineStr"/>
    </row>
    <row r="620">
      <c r="A620" t="inlineStr">
        <is>
          <t>E2</t>
        </is>
      </c>
      <c r="B620" t="inlineStr">
        <is>
          <t>Multicloud</t>
        </is>
      </c>
      <c r="C620" t="inlineStr">
        <is>
          <t>CloudZero</t>
        </is>
      </c>
      <c r="D620" t="inlineStr">
        <is>
          <t>Automatizacion</t>
        </is>
      </c>
      <c r="E620" t="inlineStr">
        <is>
          <t>AU1</t>
        </is>
      </c>
      <c r="F620" s="2" t="inlineStr">
        <is>
          <t>¿Ejecuta o bloquea acciones/políticas de costo con control verificable?</t>
        </is>
      </c>
      <c r="G620" t="n">
        <v>0</v>
      </c>
      <c r="H620" t="inlineStr">
        <is>
          <t>Oficial</t>
        </is>
      </c>
      <c r="I620" s="2" t="inlineStr">
        <is>
          <t>Optimize es "un sistema solo de recomendaciones": identifica oportunidades y su estado de implementación, pero no ejecuta cambios de forma automática; el usuario decide manualmente aplicar o descartar cada recomendación.</t>
        </is>
      </c>
      <c r="J620" t="inlineStr">
        <is>
          <t>https://docs.cloudzero.com/docs/optimize</t>
        </is>
      </c>
      <c r="K620" t="inlineStr">
        <is>
          <t>2026-09-16</t>
        </is>
      </c>
      <c r="L620" s="2" t="inlineStr"/>
    </row>
    <row r="621">
      <c r="A621" t="inlineStr">
        <is>
          <t>E2</t>
        </is>
      </c>
      <c r="B621" t="inlineStr">
        <is>
          <t>Multicloud</t>
        </is>
      </c>
      <c r="C621" t="inlineStr">
        <is>
          <t>CloudZero</t>
        </is>
      </c>
      <c r="D621" t="inlineStr">
        <is>
          <t>Automatizacion</t>
        </is>
      </c>
      <c r="E621" t="inlineStr">
        <is>
          <t>AU2</t>
        </is>
      </c>
      <c r="F621" s="2" t="inlineStr">
        <is>
          <t>¿Ofrece aprobación, reversión, registro o límites antes de actuar?</t>
        </is>
      </c>
      <c r="G621" t="inlineStr">
        <is>
          <t>NA</t>
        </is>
      </c>
      <c r="H621" t="inlineStr">
        <is>
          <t>Justificación de alcance</t>
        </is>
      </c>
      <c r="I621" s="2" t="inlineStr">
        <is>
          <t>Al no ejecutar acciones (ver AU1), no aplica evaluar salvaguardas de una ejecución automatizada.</t>
        </is>
      </c>
      <c r="J621" t="inlineStr">
        <is>
          <t>https://docs.cloudzero.com/docs/optimize</t>
        </is>
      </c>
      <c r="K621" t="inlineStr">
        <is>
          <t>2026-09-16</t>
        </is>
      </c>
      <c r="L621" s="2" t="inlineStr"/>
    </row>
    <row r="622">
      <c r="A622" t="inlineStr">
        <is>
          <t>E2</t>
        </is>
      </c>
      <c r="B622" t="inlineStr">
        <is>
          <t>Multicloud</t>
        </is>
      </c>
      <c r="C622" t="inlineStr">
        <is>
          <t>CloudZero</t>
        </is>
      </c>
      <c r="D622" t="inlineStr">
        <is>
          <t>Multicloud</t>
        </is>
      </c>
      <c r="E622" t="inlineStr">
        <is>
          <t>M1</t>
        </is>
      </c>
      <c r="F622" s="2" t="inlineStr">
        <is>
          <t>¿Consolida al menos dos proveedores bajo el mismo esquema declarado?</t>
        </is>
      </c>
      <c r="G622" t="n">
        <v>2</v>
      </c>
      <c r="H622" t="inlineStr">
        <is>
          <t>Oficial</t>
        </is>
      </c>
      <c r="I622" s="2" t="inlineStr">
        <is>
          <t>Soporte nativo de AWS, Azure (MCA/EA/CSP), GCP (vía export a BigQuery) y Oracle Cloud, consolidados en "una vista unificada de todo el gasto cloud" mediante Dimensions; además "AnyCost" (Common Bill Format) permite incorporar cualquier otra fuente de costo.</t>
        </is>
      </c>
      <c r="J622" t="inlineStr">
        <is>
          <t>https://docs.cloudzero.com/docs/cloud-providers</t>
        </is>
      </c>
      <c r="K622" t="inlineStr">
        <is>
          <t>2026-09-16</t>
        </is>
      </c>
      <c r="L622" s="2" t="inlineStr"/>
    </row>
    <row r="623">
      <c r="A623" t="inlineStr">
        <is>
          <t>E2</t>
        </is>
      </c>
      <c r="B623" t="inlineStr">
        <is>
          <t>Multicloud</t>
        </is>
      </c>
      <c r="C623" t="inlineStr">
        <is>
          <t>CloudZero</t>
        </is>
      </c>
      <c r="D623" t="inlineStr">
        <is>
          <t>Multicloud</t>
        </is>
      </c>
      <c r="E623" t="inlineStr">
        <is>
          <t>M2</t>
        </is>
      </c>
      <c r="F623" s="2" t="inlineStr">
        <is>
          <t>¿Hace visibles proveedor, cobertura y diferencias semánticas?</t>
        </is>
      </c>
      <c r="G623" t="n">
        <v>2</v>
      </c>
      <c r="H623" t="inlineStr">
        <is>
          <t>Oficial</t>
        </is>
      </c>
      <c r="I623" s="2" t="inlineStr">
        <is>
          <t>"AnyCost"/"Common Bill Format (CBF)" es un formato estándar declarado para traducir datos de costo de cualquier proveedor/fuente a un esquema común, mediante un Adaptor entregado por API REST o bucket S3.</t>
        </is>
      </c>
      <c r="J623" t="inlineStr">
        <is>
          <t>https://docs.cloudzero.com/docs/anycost</t>
        </is>
      </c>
      <c r="K623" t="inlineStr">
        <is>
          <t>2026-09-16</t>
        </is>
      </c>
      <c r="L623" s="2" t="inlineStr"/>
    </row>
    <row r="624">
      <c r="A624" t="inlineStr">
        <is>
          <t>E2</t>
        </is>
      </c>
      <c r="B624" t="inlineStr">
        <is>
          <t>Multicloud</t>
        </is>
      </c>
      <c r="C624" t="inlineStr">
        <is>
          <t>CloudZero</t>
        </is>
      </c>
      <c r="D624" t="inlineStr">
        <is>
          <t>Integracion</t>
        </is>
      </c>
      <c r="E624" t="inlineStr">
        <is>
          <t>I1</t>
        </is>
      </c>
      <c r="F624" s="2" t="inlineStr">
        <is>
          <t>¿Integra datos requeridos (facturación, uso, clúster o IaC) del escenario?</t>
        </is>
      </c>
      <c r="G624" t="n">
        <v>2</v>
      </c>
      <c r="H624" t="inlineStr">
        <is>
          <t>Oficial</t>
        </is>
      </c>
      <c r="I624" s="2" t="inlineStr">
        <is>
          <t>Conectores nativos definidos y documentados para AWS (cuentas de management/member), Azure (MCA/EA/CSP) y GCP (export a BigQuery), además del agente de Kubernetes para EKS/AKS/GKE/OKE/clústeres autogestionados.</t>
        </is>
      </c>
      <c r="J624" t="inlineStr">
        <is>
          <t>https://docs.cloudzero.com/docs/cloud-providers</t>
        </is>
      </c>
      <c r="K624" t="inlineStr">
        <is>
          <t>2026-09-16</t>
        </is>
      </c>
      <c r="L624" s="2" t="inlineStr"/>
    </row>
    <row r="625">
      <c r="A625" t="inlineStr">
        <is>
          <t>E2</t>
        </is>
      </c>
      <c r="B625" t="inlineStr">
        <is>
          <t>Multicloud</t>
        </is>
      </c>
      <c r="C625" t="inlineStr">
        <is>
          <t>CloudZero</t>
        </is>
      </c>
      <c r="D625" t="inlineStr">
        <is>
          <t>Integracion</t>
        </is>
      </c>
      <c r="E625" t="inlineStr">
        <is>
          <t>I2</t>
        </is>
      </c>
      <c r="F625" s="2" t="inlineStr">
        <is>
          <t>¿Se integra con el flujo de trabajo relevante (alerta, ticket, CI/CD o reporte)?</t>
        </is>
      </c>
      <c r="G625" t="n">
        <v>2</v>
      </c>
      <c r="H625" t="inlineStr">
        <is>
          <t>Oficial</t>
        </is>
      </c>
      <c r="I625" s="2" t="inlineStr">
        <is>
          <t>Integración documentada con el flujo operativo del escenario: Jira — «Create Work Items from Optimize Recommendations and Anomalies, then track their Jira status in CloudZero»; Slack — «Receive cost notifications directly in Slack channels, routed by View»; Google Chat; y Snowflake — «Share CloudZero cost data to your Snowflake account for SQL-based analysis», que sostiene el reporte consolidado que E2 espera. Es integración definida y reproducible, no una exportación manual.</t>
        </is>
      </c>
      <c r="J625" t="inlineStr">
        <is>
          <t>https://docs.cloudzero.com/docs/integrations ; https://docs.cloudzero.com/docs/notifications</t>
        </is>
      </c>
      <c r="K625" t="inlineStr">
        <is>
          <t>2026-09-16</t>
        </is>
      </c>
      <c r="L625" s="2" t="inlineStr">
        <is>
          <t>Investigación E2 FP-180 (2026-09-16): celda completada con evidencia propia del escenario, verificada contra documentación oficial.</t>
        </is>
      </c>
    </row>
    <row r="626">
      <c r="A626" t="inlineStr">
        <is>
          <t>E2</t>
        </is>
      </c>
      <c r="B626" t="inlineStr">
        <is>
          <t>Multicloud</t>
        </is>
      </c>
      <c r="C626" t="inlineStr">
        <is>
          <t>CloudZero</t>
        </is>
      </c>
      <c r="D626" t="inlineStr">
        <is>
          <t>Adopcion</t>
        </is>
      </c>
      <c r="E626" t="inlineStr">
        <is>
          <t>AD1</t>
        </is>
      </c>
      <c r="F626" s="2" t="inlineStr">
        <is>
          <t>¿Soporta acceso/entrega para los roles del escenario?</t>
        </is>
      </c>
      <c r="G626" t="n">
        <v>2</v>
      </c>
      <c r="H626" t="inlineStr">
        <is>
          <t>Oficial</t>
        </is>
      </c>
      <c r="I626" s="2" t="inlineStr">
        <is>
          <t>Existen tres tipos de rol (Full Access, No Access, Limited Access) con filtrado granular por Dimensión y tipo de costo, incluyendo atributos de SSO para filtrado dinámico por usuario.</t>
        </is>
      </c>
      <c r="J626" t="inlineStr">
        <is>
          <t>https://docs.cloudzero.com/docs/view-and-manage-roles</t>
        </is>
      </c>
      <c r="K626" t="inlineStr">
        <is>
          <t>2026-09-16</t>
        </is>
      </c>
      <c r="L626" s="2" t="inlineStr"/>
    </row>
    <row r="627">
      <c r="A627" t="inlineStr">
        <is>
          <t>E2</t>
        </is>
      </c>
      <c r="B627" t="inlineStr">
        <is>
          <t>Multicloud</t>
        </is>
      </c>
      <c r="C627" t="inlineStr">
        <is>
          <t>CloudZero</t>
        </is>
      </c>
      <c r="D627" t="inlineStr">
        <is>
          <t>Adopcion</t>
        </is>
      </c>
      <c r="E627" t="inlineStr">
        <is>
          <t>AD2</t>
        </is>
      </c>
      <c r="F627" s="2" t="inlineStr">
        <is>
          <t>¿Ofrece guías, ownership o mecanismos de seguimiento para uso sostenido?</t>
        </is>
      </c>
      <c r="G627" t="n">
        <v>2</v>
      </c>
      <c r="H627" t="inlineStr">
        <is>
          <t>Oficial</t>
        </is>
      </c>
      <c r="I627" s="2" t="inlineStr">
        <is>
          <t>Mecanismo de ownership documentado: «Views combine a grouping, filters, and notification channels into a single preset, giving each team ownership of the costs they are responsible for», y cada View «monitors its scope for cost changes and sends updates and anomaly alerts to the configured Slack channel or email». La habilitación cuenta con material oficial de onboarding en CloudZero Academy. Proceso y guía definidos; no se asigna 3 porque no hay evidencia de adopción medida.</t>
        </is>
      </c>
      <c r="J627" t="inlineStr">
        <is>
          <t>https://docs.cloudzero.com/docs/cloudzero ; https://academy.cloudzero.com/docs/onboarding-1</t>
        </is>
      </c>
      <c r="K627" t="inlineStr">
        <is>
          <t>2026-09-16</t>
        </is>
      </c>
      <c r="L627" s="2" t="inlineStr">
        <is>
          <t>Investigación E2 FP-180 (2026-09-16): celda completada con evidencia propia del escenario, verificada contra documentación oficial.</t>
        </is>
      </c>
    </row>
    <row r="628">
      <c r="A628" t="inlineStr">
        <is>
          <t>E2</t>
        </is>
      </c>
      <c r="B628" t="inlineStr">
        <is>
          <t>Multicloud</t>
        </is>
      </c>
      <c r="C628" t="inlineStr">
        <is>
          <t>CloudZero</t>
        </is>
      </c>
      <c r="D628" t="inlineStr">
        <is>
          <t>Precio</t>
        </is>
      </c>
      <c r="E628" t="inlineStr">
        <is>
          <t>P1</t>
        </is>
      </c>
      <c r="F628" s="2" t="inlineStr">
        <is>
          <t>¿Expone precio, moneda, región, unidad, período y supuestos relevantes?</t>
        </is>
      </c>
      <c r="G628" t="n">
        <v>2</v>
      </c>
      <c r="H628" t="inlineStr">
        <is>
          <t>Oficial</t>
        </is>
      </c>
      <c r="I628" s="2" t="inlineStr">
        <is>
          <t>Los Cost Types documentan, uno por uno, que calculo aplica cada vista sobre el dato de facturacion: Real Cost «shows only the spend that engineers can directly affect by filtering out taxes, support fees, and other overhead»; Amortized Cost «starts with Billed Cost (before discounts) and spreads upfront and recurring Reserved Instance (RI) and Savings Plan (SP) charges across the resources they apply to, based on usage»; e Invoiced Amortized Cost amortiza solo la porcion recurrente «to ensure that total cost for a billing period reflects only charges incurred in that period». Los supuestos de cada cifra estan declarados y son reproducibles.</t>
        </is>
      </c>
      <c r="J628" t="inlineStr">
        <is>
          <t>https://docs.cloudzero.com/docs/cost-types</t>
        </is>
      </c>
      <c r="K628" t="inlineStr">
        <is>
          <t>2026-09-16</t>
        </is>
      </c>
      <c r="L628" s="2" t="inlineStr">
        <is>
          <t>Investigacion del criterio Precio de E2 (2026-09-16): celda completada con evidencia propia verificada contra documentacion oficial. Precio es criterio critico de E2 y estaba sin evidenciar en este producto.</t>
        </is>
      </c>
    </row>
    <row r="629">
      <c r="A629" t="inlineStr">
        <is>
          <t>E2</t>
        </is>
      </c>
      <c r="B629" t="inlineStr">
        <is>
          <t>Multicloud</t>
        </is>
      </c>
      <c r="C629" t="inlineStr">
        <is>
          <t>CloudZero</t>
        </is>
      </c>
      <c r="D629" t="inlineStr">
        <is>
          <t>Precio</t>
        </is>
      </c>
      <c r="E629" t="inlineStr">
        <is>
          <t>P2</t>
        </is>
      </c>
      <c r="F629" s="2" t="inlineStr">
        <is>
          <t>¿Permite estimar o comparar componentes sin ocultar límites de equivalencia?</t>
        </is>
      </c>
      <c r="G629" t="n">
        <v>2</v>
      </c>
      <c r="H629" t="inlineStr">
        <is>
          <t>Oficial</t>
        </is>
      </c>
      <c r="I629" s="2" t="inlineStr">
        <is>
          <t>On-Demand Cost «shows what you would pay for equivalent usage at on-demand rates, without any discounts, RIs, or SPs applied», lo que permite comparar el costo real contra una referencia tarifaria equivalente. El limite de la comparacion esta declarado explicitamente: «Billed Cost used as a fallback for line items without an on-demand rate», de modo que no se oculta donde la equivalencia no existe.</t>
        </is>
      </c>
      <c r="J629" t="inlineStr">
        <is>
          <t>https://docs.cloudzero.com/docs/cost-types</t>
        </is>
      </c>
      <c r="K629" t="inlineStr">
        <is>
          <t>2026-09-16</t>
        </is>
      </c>
      <c r="L629" s="2" t="inlineStr">
        <is>
          <t>Investigacion del criterio Precio de E2 (2026-09-16): celda completada con evidencia propia verificada contra documentacion oficial. Precio es criterio critico de E2 y estaba sin evidenciar en este producto.</t>
        </is>
      </c>
    </row>
    <row r="630">
      <c r="A630" t="inlineStr">
        <is>
          <t>E2</t>
        </is>
      </c>
      <c r="B630" t="inlineStr">
        <is>
          <t>Multicloud</t>
        </is>
      </c>
      <c r="C630" t="inlineStr">
        <is>
          <t>CloudZero</t>
        </is>
      </c>
      <c r="D630" t="inlineStr">
        <is>
          <t>Dependencia</t>
        </is>
      </c>
      <c r="E630" t="inlineStr">
        <is>
          <t>D1</t>
        </is>
      </c>
      <c r="F630" s="2" t="inlineStr">
        <is>
          <t>¿Exporta datos/resultados en formato utilizable y documentado?</t>
        </is>
      </c>
      <c r="G630" t="n">
        <v>1</v>
      </c>
      <c r="H630" t="inlineStr">
        <is>
          <t>Oficial</t>
        </is>
      </c>
      <c r="I630" s="2" t="inlineStr">
        <is>
          <t>El glosario documenta acceso programático mediante streams de telemetría (entrada) y un "MCP Server" que conecta herramientas de IA a los datos de costo; no se confirmó una función de exportación masiva de datos de salida en formato estándar.</t>
        </is>
      </c>
      <c r="J630" t="inlineStr">
        <is>
          <t>https://docs.cloudzero.com/docs/cloudzero-glossary</t>
        </is>
      </c>
      <c r="K630" t="inlineStr">
        <is>
          <t>2026-09-16</t>
        </is>
      </c>
      <c r="L630" s="2" t="inlineStr"/>
    </row>
    <row r="631">
      <c r="A631" t="inlineStr">
        <is>
          <t>E2</t>
        </is>
      </c>
      <c r="B631" t="inlineStr">
        <is>
          <t>Multicloud</t>
        </is>
      </c>
      <c r="C631" t="inlineStr">
        <is>
          <t>CloudZero</t>
        </is>
      </c>
      <c r="D631" t="inlineStr">
        <is>
          <t>Dependencia</t>
        </is>
      </c>
      <c r="E631" t="inlineStr">
        <is>
          <t>D2</t>
        </is>
      </c>
      <c r="F631" s="2" t="inlineStr">
        <is>
          <t>¿Documenta dependencias propietarias y un camino de salida/configuración reversible?</t>
        </is>
      </c>
      <c r="G631" t="inlineStr">
        <is>
          <t>NE</t>
        </is>
      </c>
      <c r="H631" t="inlineStr">
        <is>
          <t>Pendiente</t>
        </is>
      </c>
      <c r="I631" s="2" t="inlineStr">
        <is>
          <t>No se encontró documentación sobre un camino de salida o reversibilidad de la configuración.</t>
        </is>
      </c>
      <c r="K631" t="inlineStr">
        <is>
          <t>2026-09-16</t>
        </is>
      </c>
      <c r="L631" s="2" t="inlineStr"/>
    </row>
    <row r="632">
      <c r="A632" t="inlineStr">
        <is>
          <t>E3</t>
        </is>
      </c>
      <c r="B632" t="inlineStr">
        <is>
          <t>Multicloud</t>
        </is>
      </c>
      <c r="C632" t="inlineStr">
        <is>
          <t>CloudZero</t>
        </is>
      </c>
      <c r="D632" t="inlineStr">
        <is>
          <t>Visibilidad</t>
        </is>
      </c>
      <c r="E632" t="inlineStr">
        <is>
          <t>V1</t>
        </is>
      </c>
      <c r="F632" s="2" t="inlineStr">
        <is>
          <t>¿Desagrega costo y uso por cuenta/proyecto, servicio y período?</t>
        </is>
      </c>
      <c r="G632" t="n">
        <v>2</v>
      </c>
      <c r="H632" t="inlineStr">
        <is>
          <t>Oficial</t>
        </is>
      </c>
      <c r="I632" s="2" t="inlineStr">
        <is>
          <t>Evidencia propia de E3: la plataforma permite «see your Kubernetes costs broken down by cluster, namespace, workload, and label, alongside your entire cloud bill», que es exactamente la unidad de desglose que pide este escenario.</t>
        </is>
      </c>
      <c r="J632" t="inlineStr">
        <is>
          <t>https://docs.cloudzero.com/docs/container-cost-track</t>
        </is>
      </c>
      <c r="K632" t="inlineStr">
        <is>
          <t>2026-09-16</t>
        </is>
      </c>
      <c r="L632" s="2" t="inlineStr">
        <is>
          <t>Celda heredada FP-180 (2026-09-16): el valor 2 proviene de la investigacion del escenario E2 y no cuenta con evidencia propia de E3. Segun FP-177 el indicador V1 depende del escenario, por lo que pasa a NE (no evidenciado, reduce cobertura) hasta investigarlo. La evidencia y la fuente originales se conservan como referencia del escenario de origen. | Investigacion propia de E3 (2026-09-16): celda verificada contra las entradas y salidas del escenario de Kubernetes.</t>
        </is>
      </c>
    </row>
    <row r="633">
      <c r="A633" t="inlineStr">
        <is>
          <t>E3</t>
        </is>
      </c>
      <c r="B633" t="inlineStr">
        <is>
          <t>Multicloud</t>
        </is>
      </c>
      <c r="C633" t="inlineStr">
        <is>
          <t>CloudZero</t>
        </is>
      </c>
      <c r="D633" t="inlineStr">
        <is>
          <t>Visibilidad</t>
        </is>
      </c>
      <c r="E633" t="inlineStr">
        <is>
          <t>V2</t>
        </is>
      </c>
      <c r="F633" s="2" t="inlineStr">
        <is>
          <t>¿Permite rastrear un total hasta registros o fuente de facturación?</t>
        </is>
      </c>
      <c r="G633" t="n">
        <v>2</v>
      </c>
      <c r="H633" t="inlineStr">
        <is>
          <t>Oficial</t>
        </is>
      </c>
      <c r="I633" s="2" t="inlineStr">
        <is>
          <t>La asignación reconcilia contra la factura: «The remaining spend goes to a default element so the total always reconciles with the actual bill». Para multinube, AnyCost y el Common Bill Format ingieren datos de cualquier proveedor, y el tipo de costo facturado permite la conciliación: «Billed Cost reflects the exact prices you will be invoiced for, and you can use it when you are reconciling against your actual invoice». Existen conexiones nativas a Azure (MCA, EA, CSP) y GCP (export de BigQuery), de modo que el total es rastreable hasta la fuente de facturación de cada proveedor.</t>
        </is>
      </c>
      <c r="J633" t="inlineStr">
        <is>
          <t>https://docs.cloudzero.com/docs/costformation-allocating-shared-costs ; https://docs.cloudzero.com/docs/anycost-common-bill-format-cbf ; https://docs.cloudzero.com/docs/cost-types</t>
        </is>
      </c>
      <c r="K633" t="inlineStr">
        <is>
          <t>2026-09-16</t>
        </is>
      </c>
      <c r="L633" s="2" t="inlineStr">
        <is>
          <t>Investigación E2 FP-180 (2026-09-16): celda completada con evidencia propia del escenario, verificada contra documentación oficial.</t>
        </is>
      </c>
    </row>
    <row r="634">
      <c r="A634" t="inlineStr">
        <is>
          <t>E3</t>
        </is>
      </c>
      <c r="B634" t="inlineStr">
        <is>
          <t>Multicloud</t>
        </is>
      </c>
      <c r="C634" t="inlineStr">
        <is>
          <t>CloudZero</t>
        </is>
      </c>
      <c r="D634" t="inlineStr">
        <is>
          <t>Asignacion</t>
        </is>
      </c>
      <c r="E634" t="inlineStr">
        <is>
          <t>A1</t>
        </is>
      </c>
      <c r="F634" s="2" t="inlineStr">
        <is>
          <t>¿Calcula gasto asignado/no asignado por responsable, centro o entidad?</t>
        </is>
      </c>
      <c r="G634" t="n">
        <v>2</v>
      </c>
      <c r="H634" t="inlineStr">
        <is>
          <t>Oficial</t>
        </is>
      </c>
      <c r="I634" s="2" t="inlineStr">
        <is>
          <t>Evidencia propia de E3: el agente «collects pod-level CPU, memory, and GPU usage from your clusters and sends it to CloudZero, which combines this usage data with the actual cost of each VM from your cloud provider bill to allocate Kubernetes costs by cluster, namespace, workload, and label».</t>
        </is>
      </c>
      <c r="J634" t="inlineStr">
        <is>
          <t>https://docs.cloudzero.com/docs/container-cost-track</t>
        </is>
      </c>
      <c r="K634" t="inlineStr">
        <is>
          <t>2026-09-16</t>
        </is>
      </c>
      <c r="L634" s="2" t="inlineStr">
        <is>
          <t>Celda heredada FP-180 (2026-09-16): el valor 2 proviene de la investigacion del escenario E2 y no cuenta con evidencia propia de E3. Segun FP-177 el indicador A1 depende del escenario, por lo que pasa a NE (no evidenciado, reduce cobertura) hasta investigarlo. La evidencia y la fuente originales se conservan como referencia del escenario de origen. | Investigacion propia de E3 (2026-09-16): celda verificada contra las entradas y salidas del escenario de Kubernetes.</t>
        </is>
      </c>
    </row>
    <row r="635">
      <c r="A635" t="inlineStr">
        <is>
          <t>E3</t>
        </is>
      </c>
      <c r="B635" t="inlineStr">
        <is>
          <t>Multicloud</t>
        </is>
      </c>
      <c r="C635" t="inlineStr">
        <is>
          <t>CloudZero</t>
        </is>
      </c>
      <c r="D635" t="inlineStr">
        <is>
          <t>Asignacion</t>
        </is>
      </c>
      <c r="E635" t="inlineStr">
        <is>
          <t>A2</t>
        </is>
      </c>
      <c r="F635" s="2" t="inlineStr">
        <is>
          <t>¿Explicita y aplica reglas para costo compartido/multi-tenant?</t>
        </is>
      </c>
      <c r="G635" t="n">
        <v>2</v>
      </c>
      <c r="H635" t="inlineStr">
        <is>
          <t>Oficial</t>
        </is>
      </c>
      <c r="I635" s="2" t="inlineStr">
        <is>
          <t>CostFormation define reglas explicitas para el gasto compartido y no atribuible, aplicables a los costos de cluster: el remanente se asigna a un elemento por defecto de modo que «the total always reconciles with the actual bill». La regla es declarativa y versionable en el lenguaje de CostFormation.</t>
        </is>
      </c>
      <c r="J635" t="inlineStr">
        <is>
          <t>https://docs.cloudzero.com/docs/costformation-allocating-shared-costs ; https://docs.cloudzero.com/docs/cfdl-reference</t>
        </is>
      </c>
      <c r="K635" t="inlineStr">
        <is>
          <t>2026-09-16</t>
        </is>
      </c>
      <c r="L635" s="2" t="inlineStr">
        <is>
          <t>Celda heredada FP-180 (2026-09-16): el valor 2 proviene de la investigacion del escenario E2 y no cuenta con evidencia propia de E3. Segun FP-177 el indicador A2 depende del escenario, por lo que pasa a NE (no evidenciado, reduce cobertura) hasta investigarlo. La evidencia y la fuente originales se conservan como referencia del escenario de origen. | Investigacion propia de E3 (2026-09-16): celda verificada contra las entradas y salidas del escenario de Kubernetes.</t>
        </is>
      </c>
    </row>
    <row r="636">
      <c r="A636" t="inlineStr">
        <is>
          <t>E3</t>
        </is>
      </c>
      <c r="B636" t="inlineStr">
        <is>
          <t>Multicloud</t>
        </is>
      </c>
      <c r="C636" t="inlineStr">
        <is>
          <t>CloudZero</t>
        </is>
      </c>
      <c r="D636" t="inlineStr">
        <is>
          <t>Optimizacion</t>
        </is>
      </c>
      <c r="E636" t="inlineStr">
        <is>
          <t>O1</t>
        </is>
      </c>
      <c r="F636" s="2" t="inlineStr">
        <is>
          <t>¿Detecta desperdicio, rightsizing o compromiso relevante al escenario?</t>
        </is>
      </c>
      <c r="G636" t="n">
        <v>2</v>
      </c>
      <c r="H636" t="inlineStr">
        <is>
          <t>Oficial</t>
        </is>
      </c>
      <c r="I636" s="2" t="inlineStr">
        <is>
          <t>Evidencia propia de E3: el agente de Kubernetes aporta, ademas de las metricas de uso por pod, el calculo de costo ocioso («idle cost calculation»), que es la deteccion de desperdicio relevante a este escenario.</t>
        </is>
      </c>
      <c r="J636" t="inlineStr">
        <is>
          <t>https://docs.cloudzero.com/docs/container-cost-track</t>
        </is>
      </c>
      <c r="K636" t="inlineStr">
        <is>
          <t>2026-09-16</t>
        </is>
      </c>
      <c r="L636" s="2" t="inlineStr">
        <is>
          <t>Celda heredada FP-180 (2026-09-16): el valor 2 proviene de la investigacion del escenario E2 y no cuenta con evidencia propia de E3. Segun FP-177 el indicador O1 depende del escenario, por lo que pasa a NE (no evidenciado, reduce cobertura) hasta investigarlo. La evidencia y la fuente originales se conservan como referencia del escenario de origen. | Investigacion propia de E3 (2026-09-16): celda verificada contra las entradas y salidas del escenario de Kubernetes.</t>
        </is>
      </c>
    </row>
    <row r="637">
      <c r="A637" t="inlineStr">
        <is>
          <t>E3</t>
        </is>
      </c>
      <c r="B637" t="inlineStr">
        <is>
          <t>Multicloud</t>
        </is>
      </c>
      <c r="C637" t="inlineStr">
        <is>
          <t>CloudZero</t>
        </is>
      </c>
      <c r="D637" t="inlineStr">
        <is>
          <t>Optimizacion</t>
        </is>
      </c>
      <c r="E637" t="inlineStr">
        <is>
          <t>O2</t>
        </is>
      </c>
      <c r="F637" s="2" t="inlineStr">
        <is>
          <t>¿Explica supuesto/impacto y permite seguir una recomendación?</t>
        </is>
      </c>
      <c r="G637" t="n">
        <v>2</v>
      </c>
      <c r="H637" t="inlineStr">
        <is>
          <t>Oficial</t>
        </is>
      </c>
      <c r="I637" s="2" t="inlineStr">
        <is>
          <t>Optimize muestra ahorro potencial y "total spend, potential savings, and open recommendations", y hace seguimiento del ahorro realizado según si la recomendación fue efectivamente implementada.</t>
        </is>
      </c>
      <c r="J637" t="inlineStr">
        <is>
          <t>https://docs.cloudzero.com/docs/optimize</t>
        </is>
      </c>
      <c r="K637" t="inlineStr">
        <is>
          <t>2026-09-16</t>
        </is>
      </c>
      <c r="L637" s="2" t="inlineStr"/>
    </row>
    <row r="638">
      <c r="A638" t="inlineStr">
        <is>
          <t>E3</t>
        </is>
      </c>
      <c r="B638" t="inlineStr">
        <is>
          <t>Multicloud</t>
        </is>
      </c>
      <c r="C638" t="inlineStr">
        <is>
          <t>CloudZero</t>
        </is>
      </c>
      <c r="D638" t="inlineStr">
        <is>
          <t>Automatizacion</t>
        </is>
      </c>
      <c r="E638" t="inlineStr">
        <is>
          <t>AU1</t>
        </is>
      </c>
      <c r="F638" s="2" t="inlineStr">
        <is>
          <t>¿Ejecuta o bloquea acciones/políticas de costo con control verificable?</t>
        </is>
      </c>
      <c r="G638" t="n">
        <v>0</v>
      </c>
      <c r="H638" t="inlineStr">
        <is>
          <t>Oficial (ausencia verificada)</t>
        </is>
      </c>
      <c r="I638" s="2" t="inlineStr">
        <is>
          <t>La documentacion describe a CloudZero Optimize como una funcion de recomendacion: no ejecuta ni bloquea acciones sobre los recursos del cluster. La ausencia es una propiedad del producto y no depende del escenario, por lo que se sostiene igual en E3.</t>
        </is>
      </c>
      <c r="J638" t="inlineStr">
        <is>
          <t>https://docs.cloudzero.com/docs/cloudzero</t>
        </is>
      </c>
      <c r="K638" t="inlineStr">
        <is>
          <t>2026-09-16</t>
        </is>
      </c>
      <c r="L638" s="2" t="inlineStr">
        <is>
          <t>Celda heredada FP-180 (2026-09-16): el valor 0 proviene de la investigacion del escenario E2 y no cuenta con evidencia propia de E3. Segun FP-177 el indicador AU1 depende del escenario, por lo que pasa a NE (no evidenciado, reduce cobertura) hasta investigarlo. La evidencia y la fuente originales se conservan como referencia del escenario de origen. | Investigacion propia de E3 (2026-09-16): celda verificada contra las entradas y salidas del escenario de Kubernetes.</t>
        </is>
      </c>
    </row>
    <row r="639">
      <c r="A639" t="inlineStr">
        <is>
          <t>E3</t>
        </is>
      </c>
      <c r="B639" t="inlineStr">
        <is>
          <t>Multicloud</t>
        </is>
      </c>
      <c r="C639" t="inlineStr">
        <is>
          <t>CloudZero</t>
        </is>
      </c>
      <c r="D639" t="inlineStr">
        <is>
          <t>Automatizacion</t>
        </is>
      </c>
      <c r="E639" t="inlineStr">
        <is>
          <t>AU2</t>
        </is>
      </c>
      <c r="F639" s="2" t="inlineStr">
        <is>
          <t>¿Ofrece aprobación, reversión, registro o límites antes de actuar?</t>
        </is>
      </c>
      <c r="G639" t="inlineStr">
        <is>
          <t>NA</t>
        </is>
      </c>
      <c r="H639" t="inlineStr">
        <is>
          <t>Justificación de alcance</t>
        </is>
      </c>
      <c r="I639" s="2" t="inlineStr">
        <is>
          <t>Al no ejecutar acciones (ver AU1), no aplica evaluar salvaguardas de una ejecución automatizada.</t>
        </is>
      </c>
      <c r="J639" t="inlineStr">
        <is>
          <t>https://docs.cloudzero.com/docs/optimize</t>
        </is>
      </c>
      <c r="K639" t="inlineStr">
        <is>
          <t>2026-09-16</t>
        </is>
      </c>
      <c r="L639" s="2" t="inlineStr"/>
    </row>
    <row r="640">
      <c r="A640" t="inlineStr">
        <is>
          <t>E3</t>
        </is>
      </c>
      <c r="B640" t="inlineStr">
        <is>
          <t>Multicloud</t>
        </is>
      </c>
      <c r="C640" t="inlineStr">
        <is>
          <t>CloudZero</t>
        </is>
      </c>
      <c r="D640" t="inlineStr">
        <is>
          <t>Multicloud</t>
        </is>
      </c>
      <c r="E640" t="inlineStr">
        <is>
          <t>M1</t>
        </is>
      </c>
      <c r="F640" s="2" t="inlineStr">
        <is>
          <t>¿Consolida al menos dos proveedores bajo el mismo esquema declarado?</t>
        </is>
      </c>
      <c r="G640" t="n">
        <v>2</v>
      </c>
      <c r="H640" t="inlineStr">
        <is>
          <t>Oficial</t>
        </is>
      </c>
      <c r="I640" s="2" t="inlineStr">
        <is>
          <t>Soporte nativo de AWS, Azure (MCA/EA/CSP), GCP (vía export a BigQuery) y Oracle Cloud, consolidados en "una vista unificada de todo el gasto cloud" mediante Dimensions; además "AnyCost" (Common Bill Format) permite incorporar cualquier otra fuente de costo.</t>
        </is>
      </c>
      <c r="J640" t="inlineStr">
        <is>
          <t>https://docs.cloudzero.com/docs/cloud-providers</t>
        </is>
      </c>
      <c r="K640" t="inlineStr">
        <is>
          <t>2026-09-16</t>
        </is>
      </c>
      <c r="L640" s="2" t="inlineStr"/>
    </row>
    <row r="641">
      <c r="A641" t="inlineStr">
        <is>
          <t>E3</t>
        </is>
      </c>
      <c r="B641" t="inlineStr">
        <is>
          <t>Multicloud</t>
        </is>
      </c>
      <c r="C641" t="inlineStr">
        <is>
          <t>CloudZero</t>
        </is>
      </c>
      <c r="D641" t="inlineStr">
        <is>
          <t>Multicloud</t>
        </is>
      </c>
      <c r="E641" t="inlineStr">
        <is>
          <t>M2</t>
        </is>
      </c>
      <c r="F641" s="2" t="inlineStr">
        <is>
          <t>¿Hace visibles proveedor, cobertura y diferencias semánticas?</t>
        </is>
      </c>
      <c r="G641" t="n">
        <v>2</v>
      </c>
      <c r="H641" t="inlineStr">
        <is>
          <t>Oficial</t>
        </is>
      </c>
      <c r="I641" s="2" t="inlineStr">
        <is>
          <t>"AnyCost"/"Common Bill Format (CBF)" es un formato estándar declarado para traducir datos de costo de cualquier proveedor/fuente a un esquema común, mediante un Adaptor entregado por API REST o bucket S3.</t>
        </is>
      </c>
      <c r="J641" t="inlineStr">
        <is>
          <t>https://docs.cloudzero.com/docs/anycost</t>
        </is>
      </c>
      <c r="K641" t="inlineStr">
        <is>
          <t>2026-09-16</t>
        </is>
      </c>
      <c r="L641" s="2" t="inlineStr"/>
    </row>
    <row r="642">
      <c r="A642" t="inlineStr">
        <is>
          <t>E3</t>
        </is>
      </c>
      <c r="B642" t="inlineStr">
        <is>
          <t>Multicloud</t>
        </is>
      </c>
      <c r="C642" t="inlineStr">
        <is>
          <t>CloudZero</t>
        </is>
      </c>
      <c r="D642" t="inlineStr">
        <is>
          <t>Integracion</t>
        </is>
      </c>
      <c r="E642" t="inlineStr">
        <is>
          <t>I1</t>
        </is>
      </c>
      <c r="F642" s="2" t="inlineStr">
        <is>
          <t>¿Integra datos requeridos (facturación, uso, clúster o IaC) del escenario?</t>
        </is>
      </c>
      <c r="G642" t="n">
        <v>2</v>
      </c>
      <c r="H642" t="inlineStr">
        <is>
          <t>Oficial</t>
        </is>
      </c>
      <c r="I642" s="2" t="inlineStr">
        <is>
          <t>Evidencia propia de E3 y verificacion de la condicion de elegibilidad que FP-177 §4 impone a las plataformas multinube en este escenario («si integran datos de cluster»): la documentacion describe tres vias de ingesta —el agente de CloudZero, AWS Split Cost Allocation Data para clusteres EKS sobre EC2, y GKE Cost Allocation—, con metricas de uso por pod y calculo de costo ocioso.</t>
        </is>
      </c>
      <c r="J642" t="inlineStr">
        <is>
          <t>https://docs.cloudzero.com/docs/container-cost-track ; https://docs.cloudzero.com/docs/installation-of-cloudzero-agent-for-kubernetes</t>
        </is>
      </c>
      <c r="K642" t="inlineStr">
        <is>
          <t>2026-09-16</t>
        </is>
      </c>
      <c r="L642" s="2" t="inlineStr">
        <is>
          <t>Celda heredada FP-180 (2026-09-16): el valor 2 proviene de la investigacion del escenario E2 y no cuenta con evidencia propia de E3. Segun FP-177 el indicador I1 depende del escenario, por lo que pasa a NE (no evidenciado, reduce cobertura) hasta investigarlo. La evidencia y la fuente originales se conservan como referencia del escenario de origen. | Investigacion propia de E3 (2026-09-16): celda verificada contra las entradas y salidas del escenario de Kubernetes.</t>
        </is>
      </c>
    </row>
    <row r="643">
      <c r="A643" t="inlineStr">
        <is>
          <t>E3</t>
        </is>
      </c>
      <c r="B643" t="inlineStr">
        <is>
          <t>Multicloud</t>
        </is>
      </c>
      <c r="C643" t="inlineStr">
        <is>
          <t>CloudZero</t>
        </is>
      </c>
      <c r="D643" t="inlineStr">
        <is>
          <t>Integracion</t>
        </is>
      </c>
      <c r="E643" t="inlineStr">
        <is>
          <t>I2</t>
        </is>
      </c>
      <c r="F643" s="2" t="inlineStr">
        <is>
          <t>¿Se integra con el flujo de trabajo relevante (alerta, ticket, CI/CD o reporte)?</t>
        </is>
      </c>
      <c r="G643" t="n">
        <v>2</v>
      </c>
      <c r="H643" t="inlineStr">
        <is>
          <t>Oficial</t>
        </is>
      </c>
      <c r="I643" s="2" t="inlineStr">
        <is>
          <t>El flujo operativo del escenario esta cubierto por las mismas integraciones documentadas para la plataforma: Jira para crear y seguir elementos de trabajo desde recomendaciones y anomalias, y Slack o Google Chat para notificaciones enrutadas por View. Son propiedades del producto, no del escenario.</t>
        </is>
      </c>
      <c r="J643" t="inlineStr">
        <is>
          <t>https://docs.cloudzero.com/docs/integrations</t>
        </is>
      </c>
      <c r="K643" t="inlineStr">
        <is>
          <t>2026-09-16</t>
        </is>
      </c>
      <c r="L643" s="2" t="inlineStr">
        <is>
          <t>Investigacion propia de E3 (2026-09-16): celda verificada contra las entradas y salidas del escenario de Kubernetes.</t>
        </is>
      </c>
    </row>
    <row r="644">
      <c r="A644" t="inlineStr">
        <is>
          <t>E3</t>
        </is>
      </c>
      <c r="B644" t="inlineStr">
        <is>
          <t>Multicloud</t>
        </is>
      </c>
      <c r="C644" t="inlineStr">
        <is>
          <t>CloudZero</t>
        </is>
      </c>
      <c r="D644" t="inlineStr">
        <is>
          <t>Adopcion</t>
        </is>
      </c>
      <c r="E644" t="inlineStr">
        <is>
          <t>AD1</t>
        </is>
      </c>
      <c r="F644" s="2" t="inlineStr">
        <is>
          <t>¿Soporta acceso/entrega para los roles del escenario?</t>
        </is>
      </c>
      <c r="G644" t="n">
        <v>2</v>
      </c>
      <c r="H644" t="inlineStr">
        <is>
          <t>Oficial</t>
        </is>
      </c>
      <c r="I644" s="2" t="inlineStr">
        <is>
          <t>El acceso por rol esta documentado: «CloudZero uses role-based access control (RBAC) to manage who can see your cost data and what actions they can take in the platform, with each user assigned one or more Roles that control both data visibility and platform permissions», lo que cubre los perfiles de plataforma y FinOps que pide E3.</t>
        </is>
      </c>
      <c r="J644" t="inlineStr">
        <is>
          <t>https://docs.cloudzero.com/docs/users-and-permissions</t>
        </is>
      </c>
      <c r="K644" t="inlineStr">
        <is>
          <t>2026-09-16</t>
        </is>
      </c>
      <c r="L644" s="2" t="inlineStr">
        <is>
          <t>Celda heredada FP-180 (2026-09-16): el valor 2 proviene de la investigacion del escenario E2 y no cuenta con evidencia propia de E3. Segun FP-177 el indicador AD1 depende del escenario, por lo que pasa a NE (no evidenciado, reduce cobertura) hasta investigarlo. La evidencia y la fuente originales se conservan como referencia del escenario de origen. | Investigacion propia de E3 (2026-09-16): celda verificada contra las entradas y salidas del escenario de Kubernetes.</t>
        </is>
      </c>
    </row>
    <row r="645">
      <c r="A645" t="inlineStr">
        <is>
          <t>E3</t>
        </is>
      </c>
      <c r="B645" t="inlineStr">
        <is>
          <t>Multicloud</t>
        </is>
      </c>
      <c r="C645" t="inlineStr">
        <is>
          <t>CloudZero</t>
        </is>
      </c>
      <c r="D645" t="inlineStr">
        <is>
          <t>Adopcion</t>
        </is>
      </c>
      <c r="E645" t="inlineStr">
        <is>
          <t>AD2</t>
        </is>
      </c>
      <c r="F645" s="2" t="inlineStr">
        <is>
          <t>¿Ofrece guías, ownership o mecanismos de seguimiento para uso sostenido?</t>
        </is>
      </c>
      <c r="G645" t="n">
        <v>2</v>
      </c>
      <c r="H645" t="inlineStr">
        <is>
          <t>Oficial</t>
        </is>
      </c>
      <c r="I645" s="2" t="inlineStr">
        <is>
          <t>Mecanismo de ownership documentado: «Views combine a grouping, filters, and notification channels into a single preset, giving each team ownership of the costs they are responsible for», y cada View «monitors its scope for cost changes and sends updates and anomaly alerts to the configured Slack channel or email». La habilitación cuenta con material oficial de onboarding en CloudZero Academy. Proceso y guía definidos; no se asigna 3 porque no hay evidencia de adopción medida.</t>
        </is>
      </c>
      <c r="J645" t="inlineStr">
        <is>
          <t>https://docs.cloudzero.com/docs/cloudzero ; https://academy.cloudzero.com/docs/onboarding-1</t>
        </is>
      </c>
      <c r="K645" t="inlineStr">
        <is>
          <t>2026-09-16</t>
        </is>
      </c>
      <c r="L645" s="2" t="inlineStr">
        <is>
          <t>Investigación E2 FP-180 (2026-09-16): celda completada con evidencia propia del escenario, verificada contra documentación oficial.</t>
        </is>
      </c>
    </row>
    <row r="646">
      <c r="A646" t="inlineStr">
        <is>
          <t>E3</t>
        </is>
      </c>
      <c r="B646" t="inlineStr">
        <is>
          <t>Multicloud</t>
        </is>
      </c>
      <c r="C646" t="inlineStr">
        <is>
          <t>CloudZero</t>
        </is>
      </c>
      <c r="D646" t="inlineStr">
        <is>
          <t>Precio</t>
        </is>
      </c>
      <c r="E646" t="inlineStr">
        <is>
          <t>P1</t>
        </is>
      </c>
      <c r="F646" s="2" t="inlineStr">
        <is>
          <t>¿Expone precio, moneda, región, unidad, período y supuestos relevantes?</t>
        </is>
      </c>
      <c r="G646" t="n">
        <v>2</v>
      </c>
      <c r="H646" t="inlineStr">
        <is>
          <t>Oficial</t>
        </is>
      </c>
      <c r="I646" s="2" t="inlineStr">
        <is>
          <t>Los Cost Types documentan, uno por uno, que calculo aplica cada vista sobre el dato de facturacion: Real Cost «shows only the spend that engineers can directly affect by filtering out taxes, support fees, and other overhead»; Amortized Cost «starts with Billed Cost (before discounts) and spreads upfront and recurring Reserved Instance (RI) and Savings Plan (SP) charges across the resources they apply to, based on usage»; e Invoiced Amortized Cost amortiza solo la porcion recurrente «to ensure that total cost for a billing period reflects only charges incurred in that period». Los supuestos de cada cifra estan declarados y son reproducibles.</t>
        </is>
      </c>
      <c r="J646" t="inlineStr">
        <is>
          <t>https://docs.cloudzero.com/docs/cost-types</t>
        </is>
      </c>
      <c r="K646" t="inlineStr">
        <is>
          <t>2026-09-16</t>
        </is>
      </c>
      <c r="L646" s="2" t="inlineStr">
        <is>
          <t>Investigacion del criterio Precio de E2 (2026-09-16): celda completada con evidencia propia verificada contra documentacion oficial. Precio es criterio critico de E2 y estaba sin evidenciar en este producto.</t>
        </is>
      </c>
    </row>
    <row r="647">
      <c r="A647" t="inlineStr">
        <is>
          <t>E3</t>
        </is>
      </c>
      <c r="B647" t="inlineStr">
        <is>
          <t>Multicloud</t>
        </is>
      </c>
      <c r="C647" t="inlineStr">
        <is>
          <t>CloudZero</t>
        </is>
      </c>
      <c r="D647" t="inlineStr">
        <is>
          <t>Precio</t>
        </is>
      </c>
      <c r="E647" t="inlineStr">
        <is>
          <t>P2</t>
        </is>
      </c>
      <c r="F647" s="2" t="inlineStr">
        <is>
          <t>¿Permite estimar o comparar componentes sin ocultar límites de equivalencia?</t>
        </is>
      </c>
      <c r="G647" t="inlineStr">
        <is>
          <t>NE</t>
        </is>
      </c>
      <c r="H647" t="inlineStr">
        <is>
          <t>Pendiente</t>
        </is>
      </c>
      <c r="I647" s="2" t="inlineStr">
        <is>
          <t>No se encontró evidencia de una función de comparación/estimación de precio contextual en las páginas revisadas.</t>
        </is>
      </c>
      <c r="K647" t="inlineStr">
        <is>
          <t>2026-09-16</t>
        </is>
      </c>
      <c r="L647" s="2" t="inlineStr"/>
    </row>
    <row r="648">
      <c r="A648" t="inlineStr">
        <is>
          <t>E3</t>
        </is>
      </c>
      <c r="B648" t="inlineStr">
        <is>
          <t>Multicloud</t>
        </is>
      </c>
      <c r="C648" t="inlineStr">
        <is>
          <t>CloudZero</t>
        </is>
      </c>
      <c r="D648" t="inlineStr">
        <is>
          <t>Dependencia</t>
        </is>
      </c>
      <c r="E648" t="inlineStr">
        <is>
          <t>D1</t>
        </is>
      </c>
      <c r="F648" s="2" t="inlineStr">
        <is>
          <t>¿Exporta datos/resultados en formato utilizable y documentado?</t>
        </is>
      </c>
      <c r="G648" t="n">
        <v>1</v>
      </c>
      <c r="H648" t="inlineStr">
        <is>
          <t>Oficial</t>
        </is>
      </c>
      <c r="I648" s="2" t="inlineStr">
        <is>
          <t>El glosario documenta acceso programático mediante streams de telemetría (entrada) y un "MCP Server" que conecta herramientas de IA a los datos de costo; no se confirmó una función de exportación masiva de datos de salida en formato estándar.</t>
        </is>
      </c>
      <c r="J648" t="inlineStr">
        <is>
          <t>https://docs.cloudzero.com/docs/cloudzero-glossary</t>
        </is>
      </c>
      <c r="K648" t="inlineStr">
        <is>
          <t>2026-09-16</t>
        </is>
      </c>
      <c r="L648" s="2" t="inlineStr"/>
    </row>
    <row r="649">
      <c r="A649" t="inlineStr">
        <is>
          <t>E3</t>
        </is>
      </c>
      <c r="B649" t="inlineStr">
        <is>
          <t>Multicloud</t>
        </is>
      </c>
      <c r="C649" t="inlineStr">
        <is>
          <t>CloudZero</t>
        </is>
      </c>
      <c r="D649" t="inlineStr">
        <is>
          <t>Dependencia</t>
        </is>
      </c>
      <c r="E649" t="inlineStr">
        <is>
          <t>D2</t>
        </is>
      </c>
      <c r="F649" s="2" t="inlineStr">
        <is>
          <t>¿Documenta dependencias propietarias y un camino de salida/configuración reversible?</t>
        </is>
      </c>
      <c r="G649" t="inlineStr">
        <is>
          <t>NE</t>
        </is>
      </c>
      <c r="H649" t="inlineStr">
        <is>
          <t>Pendiente</t>
        </is>
      </c>
      <c r="I649" s="2" t="inlineStr">
        <is>
          <t>No se encontró documentación sobre un camino de salida o reversibilidad de la configuración.</t>
        </is>
      </c>
      <c r="K649" t="inlineStr">
        <is>
          <t>2026-09-16</t>
        </is>
      </c>
      <c r="L649" s="2" t="inlineStr"/>
    </row>
    <row r="650">
      <c r="A650" t="inlineStr">
        <is>
          <t>E5</t>
        </is>
      </c>
      <c r="B650" t="inlineStr">
        <is>
          <t>Multicloud</t>
        </is>
      </c>
      <c r="C650" t="inlineStr">
        <is>
          <t>CloudZero</t>
        </is>
      </c>
      <c r="D650" t="inlineStr">
        <is>
          <t>Visibilidad</t>
        </is>
      </c>
      <c r="E650" t="inlineStr">
        <is>
          <t>V1</t>
        </is>
      </c>
      <c r="F650" s="2" t="inlineStr">
        <is>
          <t>¿Desagrega costo y uso por cuenta/proyecto, servicio y período?</t>
        </is>
      </c>
      <c r="G650" t="n">
        <v>2</v>
      </c>
      <c r="H650" t="inlineStr">
        <is>
          <t>Oficial</t>
        </is>
      </c>
      <c r="I650" s="2" t="inlineStr">
        <is>
          <t>"Dimensions" son categorías personalizables (equipo, producto, feature, ambiente, cliente, proveedor cloud) que ofrecen una "vista unificada de todo el gasto cloud", filtrable y estandarizada entre proveedores.</t>
        </is>
      </c>
      <c r="J650" t="inlineStr">
        <is>
          <t>https://docs.cloudzero.com/docs/cloud-providers</t>
        </is>
      </c>
      <c r="K650" t="inlineStr">
        <is>
          <t>2026-09-16</t>
        </is>
      </c>
      <c r="L650" s="2" t="inlineStr">
        <is>
          <t>Celda heredada FP-180 (2026-09-16): el valor 2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51">
      <c r="A651" t="inlineStr">
        <is>
          <t>E5</t>
        </is>
      </c>
      <c r="B651" t="inlineStr">
        <is>
          <t>Multicloud</t>
        </is>
      </c>
      <c r="C651" t="inlineStr">
        <is>
          <t>CloudZero</t>
        </is>
      </c>
      <c r="D651" t="inlineStr">
        <is>
          <t>Visibilidad</t>
        </is>
      </c>
      <c r="E651" t="inlineStr">
        <is>
          <t>V2</t>
        </is>
      </c>
      <c r="F651" s="2" t="inlineStr">
        <is>
          <t>¿Permite rastrear un total hasta registros o fuente de facturación?</t>
        </is>
      </c>
      <c r="G651" t="n">
        <v>2</v>
      </c>
      <c r="H651" t="inlineStr">
        <is>
          <t>Oficial</t>
        </is>
      </c>
      <c r="I651" s="2" t="inlineStr">
        <is>
          <t>La asignación reconcilia contra la factura: «The remaining spend goes to a default element so the total always reconciles with the actual bill». Para multinube, AnyCost y el Common Bill Format ingieren datos de cualquier proveedor, y el tipo de costo facturado permite la conciliación: «Billed Cost reflects the exact prices you will be invoiced for, and you can use it when you are reconciling against your actual invoice». Existen conexiones nativas a Azure (MCA, EA, CSP) y GCP (export de BigQuery), de modo que el total es rastreable hasta la fuente de facturación de cada proveedor.</t>
        </is>
      </c>
      <c r="J651" t="inlineStr">
        <is>
          <t>https://docs.cloudzero.com/docs/costformation-allocating-shared-costs ; https://docs.cloudzero.com/docs/anycost-common-bill-format-cbf ; https://docs.cloudzero.com/docs/cost-types</t>
        </is>
      </c>
      <c r="K651" t="inlineStr">
        <is>
          <t>2026-09-16</t>
        </is>
      </c>
      <c r="L651" s="2" t="inlineStr">
        <is>
          <t>Investigación E2 FP-180 (2026-09-16): celda completada con evidencia propia del escenario, verificada contra documentación oficial.</t>
        </is>
      </c>
    </row>
    <row r="652">
      <c r="A652" t="inlineStr">
        <is>
          <t>E5</t>
        </is>
      </c>
      <c r="B652" t="inlineStr">
        <is>
          <t>Multicloud</t>
        </is>
      </c>
      <c r="C652" t="inlineStr">
        <is>
          <t>CloudZero</t>
        </is>
      </c>
      <c r="D652" t="inlineStr">
        <is>
          <t>Asignacion</t>
        </is>
      </c>
      <c r="E652" t="inlineStr">
        <is>
          <t>A1</t>
        </is>
      </c>
      <c r="F652" s="2" t="inlineStr">
        <is>
          <t>¿Calcula gasto asignado/no asignado por responsable, centro o entidad?</t>
        </is>
      </c>
      <c r="G652" t="n">
        <v>2</v>
      </c>
      <c r="H652" t="inlineStr">
        <is>
          <t>Oficial</t>
        </is>
      </c>
      <c r="I652" s="2" t="inlineStr">
        <is>
          <t>CostFormation expone explícitamente el gasto no asignado bajo el bucket "Not In Dimension", con la opción de repartirlo proporcionalmente entre los equipos con gasto.</t>
        </is>
      </c>
      <c r="J652" t="inlineStr">
        <is>
          <t>https://docs.cloudzero.com/docs/costformation-allocating-shared-costs</t>
        </is>
      </c>
      <c r="K652" t="inlineStr">
        <is>
          <t>2026-09-16</t>
        </is>
      </c>
      <c r="L652" s="2" t="inlineStr">
        <is>
          <t>Celda heredada FP-180 (2026-09-16): el valor 2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53">
      <c r="A653" t="inlineStr">
        <is>
          <t>E5</t>
        </is>
      </c>
      <c r="B653" t="inlineStr">
        <is>
          <t>Multicloud</t>
        </is>
      </c>
      <c r="C653" t="inlineStr">
        <is>
          <t>CloudZero</t>
        </is>
      </c>
      <c r="D653" t="inlineStr">
        <is>
          <t>Asignacion</t>
        </is>
      </c>
      <c r="E653" t="inlineStr">
        <is>
          <t>A2</t>
        </is>
      </c>
      <c r="F653" s="2" t="inlineStr">
        <is>
          <t>¿Explicita y aplica reglas para costo compartido/multi-tenant?</t>
        </is>
      </c>
      <c r="G653" t="n">
        <v>2</v>
      </c>
      <c r="H653" t="inlineStr">
        <is>
          <t>Oficial</t>
        </is>
      </c>
      <c r="I653" s="2" t="inlineStr">
        <is>
          <t>CostFormation documenta el reparto del gasto compartido y no atribuible como funcion propia, y deja explicito el remanente: «The remaining spend goes to a default element so the total always reconciles with the actual bill». La porcion no atribuible —que E5 exige mostrar— queda identificable en lugar de repartirse en silencio, y la regla es declarativa y versionable.</t>
        </is>
      </c>
      <c r="J653" t="inlineStr">
        <is>
          <t>https://docs.cloudzero.com/docs/costformation-allocating-shared-costs ; https://docs.cloudzero.com/docs/cfdl-reference</t>
        </is>
      </c>
      <c r="K653" t="inlineStr">
        <is>
          <t>2026-09-16</t>
        </is>
      </c>
      <c r="L653" s="2" t="inlineStr">
        <is>
          <t>Celda heredada FP-180 (2026-09-16): el valor 2 proviene de la investigacion del escenario E2 y no cuenta con evidencia propia de E5. Segun FP-177 el indicador A2 depende del escenario, por lo que pasa a NE (no evidenciado, reduce cobertura) hasta investigarlo. La evidencia y la fuente originales se conservan como referencia del escenario de origen. | Investigacion propia de E5 (2026-09-16): regla de reparto del costo compartido verificada contra la salida esperada del escenario, que exige el metodo de reparto y la porcion no atribuible.</t>
        </is>
      </c>
    </row>
    <row r="654">
      <c r="A654" t="inlineStr">
        <is>
          <t>E5</t>
        </is>
      </c>
      <c r="B654" t="inlineStr">
        <is>
          <t>Multicloud</t>
        </is>
      </c>
      <c r="C654" t="inlineStr">
        <is>
          <t>CloudZero</t>
        </is>
      </c>
      <c r="D654" t="inlineStr">
        <is>
          <t>Optimizacion</t>
        </is>
      </c>
      <c r="E654" t="inlineStr">
        <is>
          <t>O1</t>
        </is>
      </c>
      <c r="F654" s="2" t="inlineStr">
        <is>
          <t>¿Detecta desperdicio, rightsizing o compromiso relevante al escenario?</t>
        </is>
      </c>
      <c r="G654" t="n">
        <v>2</v>
      </c>
      <c r="H654" t="inlineStr">
        <is>
          <t>Oficial</t>
        </is>
      </c>
      <c r="I654" s="2" t="inlineStr">
        <is>
          <t>"Optimize" genera recomendaciones (rightsizing, cobertura de reservas, recursos inactivos) para AWS, Azure, GCP y Kubernetes, revisando el catálogo de tipos de recomendación una vez al día.</t>
        </is>
      </c>
      <c r="J654" t="inlineStr">
        <is>
          <t>https://docs.cloudzero.com/docs/optimize</t>
        </is>
      </c>
      <c r="K654" t="inlineStr">
        <is>
          <t>2026-09-16</t>
        </is>
      </c>
      <c r="L654" s="2" t="inlineStr">
        <is>
          <t>Celda heredada FP-180 (2026-09-16): el valor 2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55">
      <c r="A655" t="inlineStr">
        <is>
          <t>E5</t>
        </is>
      </c>
      <c r="B655" t="inlineStr">
        <is>
          <t>Multicloud</t>
        </is>
      </c>
      <c r="C655" t="inlineStr">
        <is>
          <t>CloudZero</t>
        </is>
      </c>
      <c r="D655" t="inlineStr">
        <is>
          <t>Optimizacion</t>
        </is>
      </c>
      <c r="E655" t="inlineStr">
        <is>
          <t>O2</t>
        </is>
      </c>
      <c r="F655" s="2" t="inlineStr">
        <is>
          <t>¿Explica supuesto/impacto y permite seguir una recomendación?</t>
        </is>
      </c>
      <c r="G655" t="n">
        <v>2</v>
      </c>
      <c r="H655" t="inlineStr">
        <is>
          <t>Oficial</t>
        </is>
      </c>
      <c r="I655" s="2" t="inlineStr">
        <is>
          <t>Optimize muestra ahorro potencial y "total spend, potential savings, and open recommendations", y hace seguimiento del ahorro realizado según si la recomendación fue efectivamente implementada.</t>
        </is>
      </c>
      <c r="J655" t="inlineStr">
        <is>
          <t>https://docs.cloudzero.com/docs/optimize</t>
        </is>
      </c>
      <c r="K655" t="inlineStr">
        <is>
          <t>2026-09-16</t>
        </is>
      </c>
      <c r="L655" s="2" t="inlineStr"/>
    </row>
    <row r="656">
      <c r="A656" t="inlineStr">
        <is>
          <t>E5</t>
        </is>
      </c>
      <c r="B656" t="inlineStr">
        <is>
          <t>Multicloud</t>
        </is>
      </c>
      <c r="C656" t="inlineStr">
        <is>
          <t>CloudZero</t>
        </is>
      </c>
      <c r="D656" t="inlineStr">
        <is>
          <t>Automatizacion</t>
        </is>
      </c>
      <c r="E656" t="inlineStr">
        <is>
          <t>AU1</t>
        </is>
      </c>
      <c r="F656" s="2" t="inlineStr">
        <is>
          <t>¿Ejecuta o bloquea acciones/políticas de costo con control verificable?</t>
        </is>
      </c>
      <c r="G656" t="n">
        <v>0</v>
      </c>
      <c r="H656" t="inlineStr">
        <is>
          <t>Oficial</t>
        </is>
      </c>
      <c r="I656" s="2" t="inlineStr">
        <is>
          <t>Optimize es "un sistema solo de recomendaciones": identifica oportunidades y su estado de implementación, pero no ejecuta cambios de forma automática; el usuario decide manualmente aplicar o descartar cada recomendación.</t>
        </is>
      </c>
      <c r="J656" t="inlineStr">
        <is>
          <t>https://docs.cloudzero.com/docs/optimize</t>
        </is>
      </c>
      <c r="K656" t="inlineStr">
        <is>
          <t>2026-09-16</t>
        </is>
      </c>
      <c r="L656" s="2" t="inlineStr">
        <is>
          <t>Celda heredada FP-180 (2026-09-16): el valor 0 proviene de la investigacion del escenario E2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57">
      <c r="A657" t="inlineStr">
        <is>
          <t>E5</t>
        </is>
      </c>
      <c r="B657" t="inlineStr">
        <is>
          <t>Multicloud</t>
        </is>
      </c>
      <c r="C657" t="inlineStr">
        <is>
          <t>CloudZero</t>
        </is>
      </c>
      <c r="D657" t="inlineStr">
        <is>
          <t>Automatizacion</t>
        </is>
      </c>
      <c r="E657" t="inlineStr">
        <is>
          <t>AU2</t>
        </is>
      </c>
      <c r="F657" s="2" t="inlineStr">
        <is>
          <t>¿Ofrece aprobación, reversión, registro o límites antes de actuar?</t>
        </is>
      </c>
      <c r="G657" t="inlineStr">
        <is>
          <t>NA</t>
        </is>
      </c>
      <c r="H657" t="inlineStr">
        <is>
          <t>Justificación de alcance</t>
        </is>
      </c>
      <c r="I657" s="2" t="inlineStr">
        <is>
          <t>Al no ejecutar acciones (ver AU1), no aplica evaluar salvaguardas de una ejecución automatizada.</t>
        </is>
      </c>
      <c r="J657" t="inlineStr">
        <is>
          <t>https://docs.cloudzero.com/docs/optimize</t>
        </is>
      </c>
      <c r="K657" t="inlineStr">
        <is>
          <t>2026-09-16</t>
        </is>
      </c>
      <c r="L657" s="2" t="inlineStr"/>
    </row>
    <row r="658">
      <c r="A658" t="inlineStr">
        <is>
          <t>E5</t>
        </is>
      </c>
      <c r="B658" t="inlineStr">
        <is>
          <t>Multicloud</t>
        </is>
      </c>
      <c r="C658" t="inlineStr">
        <is>
          <t>CloudZero</t>
        </is>
      </c>
      <c r="D658" t="inlineStr">
        <is>
          <t>Multicloud</t>
        </is>
      </c>
      <c r="E658" t="inlineStr">
        <is>
          <t>M1</t>
        </is>
      </c>
      <c r="F658" s="2" t="inlineStr">
        <is>
          <t>¿Consolida al menos dos proveedores bajo el mismo esquema declarado?</t>
        </is>
      </c>
      <c r="G658" t="n">
        <v>2</v>
      </c>
      <c r="H658" t="inlineStr">
        <is>
          <t>Oficial</t>
        </is>
      </c>
      <c r="I658" s="2" t="inlineStr">
        <is>
          <t>Soporte nativo de AWS, Azure (MCA/EA/CSP), GCP (vía export a BigQuery) y Oracle Cloud, consolidados en "una vista unificada de todo el gasto cloud" mediante Dimensions; además "AnyCost" (Common Bill Format) permite incorporar cualquier otra fuente de costo.</t>
        </is>
      </c>
      <c r="J658" t="inlineStr">
        <is>
          <t>https://docs.cloudzero.com/docs/cloud-providers</t>
        </is>
      </c>
      <c r="K658" t="inlineStr">
        <is>
          <t>2026-09-16</t>
        </is>
      </c>
      <c r="L658" s="2" t="inlineStr"/>
    </row>
    <row r="659">
      <c r="A659" t="inlineStr">
        <is>
          <t>E5</t>
        </is>
      </c>
      <c r="B659" t="inlineStr">
        <is>
          <t>Multicloud</t>
        </is>
      </c>
      <c r="C659" t="inlineStr">
        <is>
          <t>CloudZero</t>
        </is>
      </c>
      <c r="D659" t="inlineStr">
        <is>
          <t>Multicloud</t>
        </is>
      </c>
      <c r="E659" t="inlineStr">
        <is>
          <t>M2</t>
        </is>
      </c>
      <c r="F659" s="2" t="inlineStr">
        <is>
          <t>¿Hace visibles proveedor, cobertura y diferencias semánticas?</t>
        </is>
      </c>
      <c r="G659" t="n">
        <v>2</v>
      </c>
      <c r="H659" t="inlineStr">
        <is>
          <t>Oficial</t>
        </is>
      </c>
      <c r="I659" s="2" t="inlineStr">
        <is>
          <t>"AnyCost"/"Common Bill Format (CBF)" es un formato estándar declarado para traducir datos de costo de cualquier proveedor/fuente a un esquema común, mediante un Adaptor entregado por API REST o bucket S3.</t>
        </is>
      </c>
      <c r="J659" t="inlineStr">
        <is>
          <t>https://docs.cloudzero.com/docs/anycost</t>
        </is>
      </c>
      <c r="K659" t="inlineStr">
        <is>
          <t>2026-09-16</t>
        </is>
      </c>
      <c r="L659" s="2" t="inlineStr"/>
    </row>
    <row r="660">
      <c r="A660" t="inlineStr">
        <is>
          <t>E5</t>
        </is>
      </c>
      <c r="B660" t="inlineStr">
        <is>
          <t>Multicloud</t>
        </is>
      </c>
      <c r="C660" t="inlineStr">
        <is>
          <t>CloudZero</t>
        </is>
      </c>
      <c r="D660" t="inlineStr">
        <is>
          <t>Integracion</t>
        </is>
      </c>
      <c r="E660" t="inlineStr">
        <is>
          <t>I1</t>
        </is>
      </c>
      <c r="F660" s="2" t="inlineStr">
        <is>
          <t>¿Integra datos requeridos (facturación, uso, clúster o IaC) del escenario?</t>
        </is>
      </c>
      <c r="G660" t="n">
        <v>2</v>
      </c>
      <c r="H660" t="inlineStr">
        <is>
          <t>Oficial</t>
        </is>
      </c>
      <c r="I660" s="2" t="inlineStr">
        <is>
          <t>Conectores nativos definidos y documentados para AWS (cuentas de management/member), Azure (MCA/EA/CSP) y GCP (export a BigQuery), además del agente de Kubernetes para EKS/AKS/GKE/OKE/clústeres autogestionados.</t>
        </is>
      </c>
      <c r="J660" t="inlineStr">
        <is>
          <t>https://docs.cloudzero.com/docs/cloud-providers</t>
        </is>
      </c>
      <c r="K660" t="inlineStr">
        <is>
          <t>2026-09-16</t>
        </is>
      </c>
      <c r="L660" s="2" t="inlineStr">
        <is>
          <t>Celda heredada FP-180 (2026-09-16): el valor 2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61">
      <c r="A661" t="inlineStr">
        <is>
          <t>E5</t>
        </is>
      </c>
      <c r="B661" t="inlineStr">
        <is>
          <t>Multicloud</t>
        </is>
      </c>
      <c r="C661" t="inlineStr">
        <is>
          <t>CloudZero</t>
        </is>
      </c>
      <c r="D661" t="inlineStr">
        <is>
          <t>Integracion</t>
        </is>
      </c>
      <c r="E661" t="inlineStr">
        <is>
          <t>I2</t>
        </is>
      </c>
      <c r="F661" s="2" t="inlineStr">
        <is>
          <t>¿Se integra con el flujo de trabajo relevante (alerta, ticket, CI/CD o reporte)?</t>
        </is>
      </c>
      <c r="G661" t="n">
        <v>2</v>
      </c>
      <c r="H661" t="inlineStr">
        <is>
          <t>Oficial</t>
        </is>
      </c>
      <c r="I661" s="2" t="inlineStr">
        <is>
          <t>Integración documentada con el flujo operativo del escenario: Jira — «Create Work Items from Optimize Recommendations and Anomalies, then track their Jira status in CloudZero»; Slack — «Receive cost notifications directly in Slack channels, routed by View»; Google Chat; y Snowflake — «Share CloudZero cost data to your Snowflake account for SQL-based analysis», que sostiene el reporte consolidado que E2 espera. Es integración definida y reproducible, no una exportación manual.</t>
        </is>
      </c>
      <c r="J661" t="inlineStr">
        <is>
          <t>https://docs.cloudzero.com/docs/integrations ; https://docs.cloudzero.com/docs/notifications</t>
        </is>
      </c>
      <c r="K661" t="inlineStr">
        <is>
          <t>2026-09-16</t>
        </is>
      </c>
      <c r="L661" s="2" t="inlineStr">
        <is>
          <t>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62">
      <c r="A662" t="inlineStr">
        <is>
          <t>E5</t>
        </is>
      </c>
      <c r="B662" t="inlineStr">
        <is>
          <t>Multicloud</t>
        </is>
      </c>
      <c r="C662" t="inlineStr">
        <is>
          <t>CloudZero</t>
        </is>
      </c>
      <c r="D662" t="inlineStr">
        <is>
          <t>Adopcion</t>
        </is>
      </c>
      <c r="E662" t="inlineStr">
        <is>
          <t>AD1</t>
        </is>
      </c>
      <c r="F662" s="2" t="inlineStr">
        <is>
          <t>¿Soporta acceso/entrega para los roles del escenario?</t>
        </is>
      </c>
      <c r="G662" t="n">
        <v>2</v>
      </c>
      <c r="H662" t="inlineStr">
        <is>
          <t>Oficial</t>
        </is>
      </c>
      <c r="I662" s="2" t="inlineStr">
        <is>
          <t>Existen tres tipos de rol (Full Access, No Access, Limited Access) con filtrado granular por Dimensión y tipo de costo, incluyendo atributos de SSO para filtrado dinámico por usuario.</t>
        </is>
      </c>
      <c r="J662" t="inlineStr">
        <is>
          <t>https://docs.cloudzero.com/docs/view-and-manage-roles</t>
        </is>
      </c>
      <c r="K662" t="inlineStr">
        <is>
          <t>2026-09-16</t>
        </is>
      </c>
      <c r="L662" s="2" t="inlineStr">
        <is>
          <t>Celda heredada FP-180 (2026-09-16): el valor 2 proviene de la investigacion del escenario E2 y no cuenta con evidencia propia de E5. Segun FP-177 el indicador AD1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63">
      <c r="A663" t="inlineStr">
        <is>
          <t>E5</t>
        </is>
      </c>
      <c r="B663" t="inlineStr">
        <is>
          <t>Multicloud</t>
        </is>
      </c>
      <c r="C663" t="inlineStr">
        <is>
          <t>CloudZero</t>
        </is>
      </c>
      <c r="D663" t="inlineStr">
        <is>
          <t>Adopcion</t>
        </is>
      </c>
      <c r="E663" t="inlineStr">
        <is>
          <t>AD2</t>
        </is>
      </c>
      <c r="F663" s="2" t="inlineStr">
        <is>
          <t>¿Ofrece guías, ownership o mecanismos de seguimiento para uso sostenido?</t>
        </is>
      </c>
      <c r="G663" t="n">
        <v>2</v>
      </c>
      <c r="H663" t="inlineStr">
        <is>
          <t>Oficial</t>
        </is>
      </c>
      <c r="I663" s="2" t="inlineStr">
        <is>
          <t>Mecanismo de ownership documentado: «Views combine a grouping, filters, and notification channels into a single preset, giving each team ownership of the costs they are responsible for», y cada View «monitors its scope for cost changes and sends updates and anomaly alerts to the configured Slack channel or email». La habilitación cuenta con material oficial de onboarding en CloudZero Academy. Proceso y guía definidos; no se asigna 3 porque no hay evidencia de adopción medida.</t>
        </is>
      </c>
      <c r="J663" t="inlineStr">
        <is>
          <t>https://docs.cloudzero.com/docs/cloudzero ; https://academy.cloudzero.com/docs/onboarding-1</t>
        </is>
      </c>
      <c r="K663" t="inlineStr">
        <is>
          <t>2026-09-16</t>
        </is>
      </c>
      <c r="L663" s="2" t="inlineStr">
        <is>
          <t>Investigación E2 FP-180 (2026-09-16): celda completada con evidencia propia del escenario, verificada contra documentación oficial.</t>
        </is>
      </c>
    </row>
    <row r="664">
      <c r="A664" t="inlineStr">
        <is>
          <t>E5</t>
        </is>
      </c>
      <c r="B664" t="inlineStr">
        <is>
          <t>Multicloud</t>
        </is>
      </c>
      <c r="C664" t="inlineStr">
        <is>
          <t>CloudZero</t>
        </is>
      </c>
      <c r="D664" t="inlineStr">
        <is>
          <t>Precio</t>
        </is>
      </c>
      <c r="E664" t="inlineStr">
        <is>
          <t>P1</t>
        </is>
      </c>
      <c r="F664" s="2" t="inlineStr">
        <is>
          <t>¿Expone precio, moneda, región, unidad, período y supuestos relevantes?</t>
        </is>
      </c>
      <c r="G664" t="n">
        <v>2</v>
      </c>
      <c r="H664" t="inlineStr">
        <is>
          <t>Oficial</t>
        </is>
      </c>
      <c r="I664" s="2" t="inlineStr">
        <is>
          <t>Los Cost Types documentan, uno por uno, que calculo aplica cada vista sobre el dato de facturacion: Real Cost «shows only the spend that engineers can directly affect by filtering out taxes, support fees, and other overhead»; Amortized Cost «starts with Billed Cost (before discounts) and spreads upfront and recurring Reserved Instance (RI) and Savings Plan (SP) charges across the resources they apply to, based on usage»; e Invoiced Amortized Cost amortiza solo la porcion recurrente «to ensure that total cost for a billing period reflects only charges incurred in that period». Los supuestos de cada cifra estan declarados y son reproducibles.</t>
        </is>
      </c>
      <c r="J664" t="inlineStr">
        <is>
          <t>https://docs.cloudzero.com/docs/cost-types</t>
        </is>
      </c>
      <c r="K664" t="inlineStr">
        <is>
          <t>2026-09-16</t>
        </is>
      </c>
      <c r="L664" s="2" t="inlineStr">
        <is>
          <t>Investigacion del criterio Precio de E2 (2026-09-16): celda completada con evidencia propia verificada contra documentacion oficial. Precio es criterio critico de E2 y estaba sin evidenciar en este producto.</t>
        </is>
      </c>
    </row>
    <row r="665">
      <c r="A665" t="inlineStr">
        <is>
          <t>E5</t>
        </is>
      </c>
      <c r="B665" t="inlineStr">
        <is>
          <t>Multicloud</t>
        </is>
      </c>
      <c r="C665" t="inlineStr">
        <is>
          <t>CloudZero</t>
        </is>
      </c>
      <c r="D665" t="inlineStr">
        <is>
          <t>Precio</t>
        </is>
      </c>
      <c r="E665" t="inlineStr">
        <is>
          <t>P2</t>
        </is>
      </c>
      <c r="F665" s="2" t="inlineStr">
        <is>
          <t>¿Permite estimar o comparar componentes sin ocultar límites de equivalencia?</t>
        </is>
      </c>
      <c r="G665" t="n">
        <v>2</v>
      </c>
      <c r="H665" t="inlineStr">
        <is>
          <t>Oficial</t>
        </is>
      </c>
      <c r="I665" s="2" t="inlineStr">
        <is>
          <t>On-Demand Cost «shows what you would pay for equivalent usage at on-demand rates, without any discounts, RIs, or SPs applied», lo que permite comparar el costo real contra una referencia tarifaria equivalente. El limite de la comparacion esta declarado explicitamente: «Billed Cost used as a fallback for line items without an on-demand rate», de modo que no se oculta donde la equivalencia no existe.</t>
        </is>
      </c>
      <c r="J665" t="inlineStr">
        <is>
          <t>https://docs.cloudzero.com/docs/cost-types</t>
        </is>
      </c>
      <c r="K665" t="inlineStr">
        <is>
          <t>2026-09-16</t>
        </is>
      </c>
      <c r="L665" s="2" t="inlineStr">
        <is>
          <t>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666">
      <c r="A666" t="inlineStr">
        <is>
          <t>E5</t>
        </is>
      </c>
      <c r="B666" t="inlineStr">
        <is>
          <t>Multicloud</t>
        </is>
      </c>
      <c r="C666" t="inlineStr">
        <is>
          <t>CloudZero</t>
        </is>
      </c>
      <c r="D666" t="inlineStr">
        <is>
          <t>Dependencia</t>
        </is>
      </c>
      <c r="E666" t="inlineStr">
        <is>
          <t>D1</t>
        </is>
      </c>
      <c r="F666" s="2" t="inlineStr">
        <is>
          <t>¿Exporta datos/resultados en formato utilizable y documentado?</t>
        </is>
      </c>
      <c r="G666" t="n">
        <v>1</v>
      </c>
      <c r="H666" t="inlineStr">
        <is>
          <t>Oficial</t>
        </is>
      </c>
      <c r="I666" s="2" t="inlineStr">
        <is>
          <t>El glosario documenta acceso programático mediante streams de telemetría (entrada) y un "MCP Server" que conecta herramientas de IA a los datos de costo; no se confirmó una función de exportación masiva de datos de salida en formato estándar.</t>
        </is>
      </c>
      <c r="J666" t="inlineStr">
        <is>
          <t>https://docs.cloudzero.com/docs/cloudzero-glossary</t>
        </is>
      </c>
      <c r="K666" t="inlineStr">
        <is>
          <t>2026-09-16</t>
        </is>
      </c>
      <c r="L666" s="2" t="inlineStr"/>
    </row>
    <row r="667">
      <c r="A667" t="inlineStr">
        <is>
          <t>E5</t>
        </is>
      </c>
      <c r="B667" t="inlineStr">
        <is>
          <t>Multicloud</t>
        </is>
      </c>
      <c r="C667" t="inlineStr">
        <is>
          <t>CloudZero</t>
        </is>
      </c>
      <c r="D667" t="inlineStr">
        <is>
          <t>Dependencia</t>
        </is>
      </c>
      <c r="E667" t="inlineStr">
        <is>
          <t>D2</t>
        </is>
      </c>
      <c r="F667" s="2" t="inlineStr">
        <is>
          <t>¿Documenta dependencias propietarias y un camino de salida/configuración reversible?</t>
        </is>
      </c>
      <c r="G667" t="inlineStr">
        <is>
          <t>NE</t>
        </is>
      </c>
      <c r="H667" t="inlineStr">
        <is>
          <t>Pendiente</t>
        </is>
      </c>
      <c r="I667" s="2" t="inlineStr">
        <is>
          <t>No se encontró documentación sobre un camino de salida o reversibilidad de la configuración.</t>
        </is>
      </c>
      <c r="K667" t="inlineStr">
        <is>
          <t>2026-09-16</t>
        </is>
      </c>
      <c r="L667" s="2" t="inlineStr"/>
    </row>
    <row r="668">
      <c r="A668" t="inlineStr">
        <is>
          <t>E6</t>
        </is>
      </c>
      <c r="B668" t="inlineStr">
        <is>
          <t>Multicloud</t>
        </is>
      </c>
      <c r="C668" t="inlineStr">
        <is>
          <t>CloudZero</t>
        </is>
      </c>
      <c r="D668" t="inlineStr">
        <is>
          <t>Visibilidad</t>
        </is>
      </c>
      <c r="E668" t="inlineStr">
        <is>
          <t>V1</t>
        </is>
      </c>
      <c r="F668" s="2" t="inlineStr">
        <is>
          <t>¿Desagrega costo y uso por cuenta/proyecto, servicio y período?</t>
        </is>
      </c>
      <c r="G668" t="inlineStr">
        <is>
          <t>NE</t>
        </is>
      </c>
      <c r="H668" t="inlineStr">
        <is>
          <t>Pendiente</t>
        </is>
      </c>
      <c r="I668" s="2" t="inlineStr">
        <is>
          <t>"Dimensions" son categorías personalizables (equipo, producto, feature, ambiente, cliente, proveedor cloud) que ofrecen una "vista unificada de todo el gasto cloud", filtrable y estandarizada entre proveedores.</t>
        </is>
      </c>
      <c r="J668" t="inlineStr">
        <is>
          <t>https://docs.cloudzero.com/docs/cloud-providers</t>
        </is>
      </c>
      <c r="K668" t="inlineStr">
        <is>
          <t>2026-09-16</t>
        </is>
      </c>
      <c r="L668" s="2" t="inlineStr">
        <is>
          <t>Celda heredada FP-180 (2026-09-16): el valor 2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t>
        </is>
      </c>
    </row>
    <row r="669">
      <c r="A669" t="inlineStr">
        <is>
          <t>E6</t>
        </is>
      </c>
      <c r="B669" t="inlineStr">
        <is>
          <t>Multicloud</t>
        </is>
      </c>
      <c r="C669" t="inlineStr">
        <is>
          <t>CloudZero</t>
        </is>
      </c>
      <c r="D669" t="inlineStr">
        <is>
          <t>Visibilidad</t>
        </is>
      </c>
      <c r="E669" t="inlineStr">
        <is>
          <t>V2</t>
        </is>
      </c>
      <c r="F669" s="2" t="inlineStr">
        <is>
          <t>¿Permite rastrear un total hasta registros o fuente de facturación?</t>
        </is>
      </c>
      <c r="G669" t="n">
        <v>2</v>
      </c>
      <c r="H669" t="inlineStr">
        <is>
          <t>Oficial</t>
        </is>
      </c>
      <c r="I669" s="2" t="inlineStr">
        <is>
          <t>La asignación reconcilia contra la factura: «The remaining spend goes to a default element so the total always reconciles with the actual bill». Para multinube, AnyCost y el Common Bill Format ingieren datos de cualquier proveedor, y el tipo de costo facturado permite la conciliación: «Billed Cost reflects the exact prices you will be invoiced for, and you can use it when you are reconciling against your actual invoice». Existen conexiones nativas a Azure (MCA, EA, CSP) y GCP (export de BigQuery), de modo que el total es rastreable hasta la fuente de facturación de cada proveedor.</t>
        </is>
      </c>
      <c r="J669" t="inlineStr">
        <is>
          <t>https://docs.cloudzero.com/docs/costformation-allocating-shared-costs ; https://docs.cloudzero.com/docs/anycost-common-bill-format-cbf ; https://docs.cloudzero.com/docs/cost-types</t>
        </is>
      </c>
      <c r="K669" t="inlineStr">
        <is>
          <t>2026-09-16</t>
        </is>
      </c>
      <c r="L669" s="2" t="inlineStr">
        <is>
          <t>Investigación E2 FP-180 (2026-09-16): celda completada con evidencia propia del escenario, verificada contra documentación oficial.</t>
        </is>
      </c>
    </row>
    <row r="670">
      <c r="A670" t="inlineStr">
        <is>
          <t>E6</t>
        </is>
      </c>
      <c r="B670" t="inlineStr">
        <is>
          <t>Multicloud</t>
        </is>
      </c>
      <c r="C670" t="inlineStr">
        <is>
          <t>CloudZero</t>
        </is>
      </c>
      <c r="D670" t="inlineStr">
        <is>
          <t>Asignacion</t>
        </is>
      </c>
      <c r="E670" t="inlineStr">
        <is>
          <t>A1</t>
        </is>
      </c>
      <c r="F670" s="2" t="inlineStr">
        <is>
          <t>¿Calcula gasto asignado/no asignado por responsable, centro o entidad?</t>
        </is>
      </c>
      <c r="G670" t="n">
        <v>2</v>
      </c>
      <c r="H670" t="inlineStr">
        <is>
          <t>Oficial</t>
        </is>
      </c>
      <c r="I670" s="2" t="inlineStr">
        <is>
          <t>CostFormation expone explícitamente el gasto no asignado bajo el bucket "Not In Dimension", con la opción de repartirlo proporcionalmente entre los equipos con gasto.</t>
        </is>
      </c>
      <c r="J670" t="inlineStr">
        <is>
          <t>https://docs.cloudzero.com/docs/costformation-allocating-shared-costs</t>
        </is>
      </c>
      <c r="K670" t="inlineStr">
        <is>
          <t>2026-09-16</t>
        </is>
      </c>
      <c r="L670" s="2" t="inlineStr">
        <is>
          <t>Celda heredada FP-180 (2026-09-16): el valor 2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671">
      <c r="A671" t="inlineStr">
        <is>
          <t>E6</t>
        </is>
      </c>
      <c r="B671" t="inlineStr">
        <is>
          <t>Multicloud</t>
        </is>
      </c>
      <c r="C671" t="inlineStr">
        <is>
          <t>CloudZero</t>
        </is>
      </c>
      <c r="D671" t="inlineStr">
        <is>
          <t>Asignacion</t>
        </is>
      </c>
      <c r="E671" t="inlineStr">
        <is>
          <t>A2</t>
        </is>
      </c>
      <c r="F671" s="2" t="inlineStr">
        <is>
          <t>¿Explicita y aplica reglas para costo compartido/multi-tenant?</t>
        </is>
      </c>
      <c r="G671" t="n">
        <v>2</v>
      </c>
      <c r="H671" t="inlineStr">
        <is>
          <t>Oficial</t>
        </is>
      </c>
      <c r="I671" s="2" t="inlineStr">
        <is>
          <t>CostFormation ofrece "Allocate By Rules" (reparto uniforme o proporcional basado en gasto existente) y reparto basado en streams de telemetría de uso; las reglas se definen en el lenguaje CostFormation Definition Language (CFDL), versionable en YAML.</t>
        </is>
      </c>
      <c r="J671" t="inlineStr">
        <is>
          <t>https://docs.cloudzero.com/docs/costformation-allocating-shared-costs</t>
        </is>
      </c>
      <c r="K671" t="inlineStr">
        <is>
          <t>2026-09-16</t>
        </is>
      </c>
      <c r="L671" s="2" t="inlineStr">
        <is>
          <t>Celda heredada FP-180 (2026-09-16): el valor 2 proviene de la investigacion del escenario E2 y no cuenta con evidencia propia de E6. Segun FP-177 el indicador A2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672">
      <c r="A672" t="inlineStr">
        <is>
          <t>E6</t>
        </is>
      </c>
      <c r="B672" t="inlineStr">
        <is>
          <t>Multicloud</t>
        </is>
      </c>
      <c r="C672" t="inlineStr">
        <is>
          <t>CloudZero</t>
        </is>
      </c>
      <c r="D672" t="inlineStr">
        <is>
          <t>Optimizacion</t>
        </is>
      </c>
      <c r="E672" t="inlineStr">
        <is>
          <t>O1</t>
        </is>
      </c>
      <c r="F672" s="2" t="inlineStr">
        <is>
          <t>¿Detecta desperdicio, rightsizing o compromiso relevante al escenario?</t>
        </is>
      </c>
      <c r="G672" t="n">
        <v>2</v>
      </c>
      <c r="H672" t="inlineStr">
        <is>
          <t>Oficial</t>
        </is>
      </c>
      <c r="I672" s="2" t="inlineStr">
        <is>
          <t>"Optimize" genera recomendaciones (rightsizing, cobertura de reservas, recursos inactivos) para AWS, Azure, GCP y Kubernetes, revisando el catálogo de tipos de recomendación una vez al día.</t>
        </is>
      </c>
      <c r="J672" t="inlineStr">
        <is>
          <t>https://docs.cloudzero.com/docs/optimize</t>
        </is>
      </c>
      <c r="K672" t="inlineStr">
        <is>
          <t>2026-09-16</t>
        </is>
      </c>
      <c r="L672" s="2" t="inlineStr">
        <is>
          <t>Celda heredada FP-180 (2026-09-16): el valor 2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673">
      <c r="A673" t="inlineStr">
        <is>
          <t>E6</t>
        </is>
      </c>
      <c r="B673" t="inlineStr">
        <is>
          <t>Multicloud</t>
        </is>
      </c>
      <c r="C673" t="inlineStr">
        <is>
          <t>CloudZero</t>
        </is>
      </c>
      <c r="D673" t="inlineStr">
        <is>
          <t>Optimizacion</t>
        </is>
      </c>
      <c r="E673" t="inlineStr">
        <is>
          <t>O2</t>
        </is>
      </c>
      <c r="F673" s="2" t="inlineStr">
        <is>
          <t>¿Explica supuesto/impacto y permite seguir una recomendación?</t>
        </is>
      </c>
      <c r="G673" t="n">
        <v>2</v>
      </c>
      <c r="H673" t="inlineStr">
        <is>
          <t>Oficial</t>
        </is>
      </c>
      <c r="I673" s="2" t="inlineStr">
        <is>
          <t>Optimize muestra ahorro potencial y "total spend, potential savings, and open recommendations", y hace seguimiento del ahorro realizado según si la recomendación fue efectivamente implementada.</t>
        </is>
      </c>
      <c r="J673" t="inlineStr">
        <is>
          <t>https://docs.cloudzero.com/docs/optimize</t>
        </is>
      </c>
      <c r="K673" t="inlineStr">
        <is>
          <t>2026-09-16</t>
        </is>
      </c>
      <c r="L673" s="2" t="inlineStr"/>
    </row>
    <row r="674">
      <c r="A674" t="inlineStr">
        <is>
          <t>E6</t>
        </is>
      </c>
      <c r="B674" t="inlineStr">
        <is>
          <t>Multicloud</t>
        </is>
      </c>
      <c r="C674" t="inlineStr">
        <is>
          <t>CloudZero</t>
        </is>
      </c>
      <c r="D674" t="inlineStr">
        <is>
          <t>Automatizacion</t>
        </is>
      </c>
      <c r="E674" t="inlineStr">
        <is>
          <t>AU1</t>
        </is>
      </c>
      <c r="F674" s="2" t="inlineStr">
        <is>
          <t>¿Ejecuta o bloquea acciones/políticas de costo con control verificable?</t>
        </is>
      </c>
      <c r="G674" t="n">
        <v>0</v>
      </c>
      <c r="H674" t="inlineStr">
        <is>
          <t>Oficial</t>
        </is>
      </c>
      <c r="I674" s="2" t="inlineStr">
        <is>
          <t>Optimize es "un sistema solo de recomendaciones": identifica oportunidades y su estado de implementación, pero no ejecuta cambios de forma automática; el usuario decide manualmente aplicar o descartar cada recomendación.</t>
        </is>
      </c>
      <c r="J674" t="inlineStr">
        <is>
          <t>https://docs.cloudzero.com/docs/optimize</t>
        </is>
      </c>
      <c r="K674" t="inlineStr">
        <is>
          <t>2026-09-16</t>
        </is>
      </c>
      <c r="L674" s="2" t="inlineStr">
        <is>
          <t>Celda heredada FP-180 (2026-09-16): el valor 0 proviene de la investigacion del escenario E2 y no cuenta con evidencia propia de E6. Segun FP-177 el indicador AU1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675">
      <c r="A675" t="inlineStr">
        <is>
          <t>E6</t>
        </is>
      </c>
      <c r="B675" t="inlineStr">
        <is>
          <t>Multicloud</t>
        </is>
      </c>
      <c r="C675" t="inlineStr">
        <is>
          <t>CloudZero</t>
        </is>
      </c>
      <c r="D675" t="inlineStr">
        <is>
          <t>Automatizacion</t>
        </is>
      </c>
      <c r="E675" t="inlineStr">
        <is>
          <t>AU2</t>
        </is>
      </c>
      <c r="F675" s="2" t="inlineStr">
        <is>
          <t>¿Ofrece aprobación, reversión, registro o límites antes de actuar?</t>
        </is>
      </c>
      <c r="G675" t="inlineStr">
        <is>
          <t>NA</t>
        </is>
      </c>
      <c r="H675" t="inlineStr">
        <is>
          <t>Justificación de alcance</t>
        </is>
      </c>
      <c r="I675" s="2" t="inlineStr">
        <is>
          <t>Al no ejecutar acciones (ver AU1), no aplica evaluar salvaguardas de una ejecución automatizada.</t>
        </is>
      </c>
      <c r="J675" t="inlineStr">
        <is>
          <t>https://docs.cloudzero.com/docs/optimize</t>
        </is>
      </c>
      <c r="K675" t="inlineStr">
        <is>
          <t>2026-09-16</t>
        </is>
      </c>
      <c r="L675" s="2" t="inlineStr"/>
    </row>
    <row r="676">
      <c r="A676" t="inlineStr">
        <is>
          <t>E6</t>
        </is>
      </c>
      <c r="B676" t="inlineStr">
        <is>
          <t>Multicloud</t>
        </is>
      </c>
      <c r="C676" t="inlineStr">
        <is>
          <t>CloudZero</t>
        </is>
      </c>
      <c r="D676" t="inlineStr">
        <is>
          <t>Multicloud</t>
        </is>
      </c>
      <c r="E676" t="inlineStr">
        <is>
          <t>M1</t>
        </is>
      </c>
      <c r="F676" s="2" t="inlineStr">
        <is>
          <t>¿Consolida al menos dos proveedores bajo el mismo esquema declarado?</t>
        </is>
      </c>
      <c r="G676" t="n">
        <v>2</v>
      </c>
      <c r="H676" t="inlineStr">
        <is>
          <t>Oficial</t>
        </is>
      </c>
      <c r="I676" s="2" t="inlineStr">
        <is>
          <t>Soporte nativo de AWS, Azure (MCA/EA/CSP), GCP (vía export a BigQuery) y Oracle Cloud, consolidados en "una vista unificada de todo el gasto cloud" mediante Dimensions; además "AnyCost" (Common Bill Format) permite incorporar cualquier otra fuente de costo.</t>
        </is>
      </c>
      <c r="J676" t="inlineStr">
        <is>
          <t>https://docs.cloudzero.com/docs/cloud-providers</t>
        </is>
      </c>
      <c r="K676" t="inlineStr">
        <is>
          <t>2026-09-16</t>
        </is>
      </c>
      <c r="L676" s="2" t="inlineStr"/>
    </row>
    <row r="677">
      <c r="A677" t="inlineStr">
        <is>
          <t>E6</t>
        </is>
      </c>
      <c r="B677" t="inlineStr">
        <is>
          <t>Multicloud</t>
        </is>
      </c>
      <c r="C677" t="inlineStr">
        <is>
          <t>CloudZero</t>
        </is>
      </c>
      <c r="D677" t="inlineStr">
        <is>
          <t>Multicloud</t>
        </is>
      </c>
      <c r="E677" t="inlineStr">
        <is>
          <t>M2</t>
        </is>
      </c>
      <c r="F677" s="2" t="inlineStr">
        <is>
          <t>¿Hace visibles proveedor, cobertura y diferencias semánticas?</t>
        </is>
      </c>
      <c r="G677" t="n">
        <v>2</v>
      </c>
      <c r="H677" t="inlineStr">
        <is>
          <t>Oficial</t>
        </is>
      </c>
      <c r="I677" s="2" t="inlineStr">
        <is>
          <t>"AnyCost"/"Common Bill Format (CBF)" es un formato estándar declarado para traducir datos de costo de cualquier proveedor/fuente a un esquema común, mediante un Adaptor entregado por API REST o bucket S3.</t>
        </is>
      </c>
      <c r="J677" t="inlineStr">
        <is>
          <t>https://docs.cloudzero.com/docs/anycost</t>
        </is>
      </c>
      <c r="K677" t="inlineStr">
        <is>
          <t>2026-09-16</t>
        </is>
      </c>
      <c r="L677" s="2" t="inlineStr"/>
    </row>
    <row r="678">
      <c r="A678" t="inlineStr">
        <is>
          <t>E6</t>
        </is>
      </c>
      <c r="B678" t="inlineStr">
        <is>
          <t>Multicloud</t>
        </is>
      </c>
      <c r="C678" t="inlineStr">
        <is>
          <t>CloudZero</t>
        </is>
      </c>
      <c r="D678" t="inlineStr">
        <is>
          <t>Integracion</t>
        </is>
      </c>
      <c r="E678" t="inlineStr">
        <is>
          <t>I1</t>
        </is>
      </c>
      <c r="F678" s="2" t="inlineStr">
        <is>
          <t>¿Integra datos requeridos (facturación, uso, clúster o IaC) del escenario?</t>
        </is>
      </c>
      <c r="G678" t="inlineStr">
        <is>
          <t>NE</t>
        </is>
      </c>
      <c r="H678" t="inlineStr">
        <is>
          <t>Pendiente</t>
        </is>
      </c>
      <c r="I678" s="2" t="inlineStr">
        <is>
          <t>Conectores nativos definidos y documentados para AWS (cuentas de management/member), Azure (MCA/EA/CSP) y GCP (export a BigQuery), además del agente de Kubernetes para EKS/AKS/GKE/OKE/clústeres autogestionados.</t>
        </is>
      </c>
      <c r="J678" t="inlineStr">
        <is>
          <t>https://docs.cloudzero.com/docs/cloud-providers</t>
        </is>
      </c>
      <c r="K678" t="inlineStr">
        <is>
          <t>2026-09-16</t>
        </is>
      </c>
      <c r="L678" s="2" t="inlineStr">
        <is>
          <t>Celda heredada FP-180 (2026-09-16): el valor 2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t>
        </is>
      </c>
    </row>
    <row r="679">
      <c r="A679" t="inlineStr">
        <is>
          <t>E6</t>
        </is>
      </c>
      <c r="B679" t="inlineStr">
        <is>
          <t>Multicloud</t>
        </is>
      </c>
      <c r="C679" t="inlineStr">
        <is>
          <t>CloudZero</t>
        </is>
      </c>
      <c r="D679" t="inlineStr">
        <is>
          <t>Integracion</t>
        </is>
      </c>
      <c r="E679" t="inlineStr">
        <is>
          <t>I2</t>
        </is>
      </c>
      <c r="F679" s="2" t="inlineStr">
        <is>
          <t>¿Se integra con el flujo de trabajo relevante (alerta, ticket, CI/CD o reporte)?</t>
        </is>
      </c>
      <c r="G679" t="n">
        <v>2</v>
      </c>
      <c r="H679" t="inlineStr">
        <is>
          <t>Oficial</t>
        </is>
      </c>
      <c r="I679" s="2" t="inlineStr">
        <is>
          <t>Integración documentada con el flujo operativo del escenario: Jira — «Create Work Items from Optimize Recommendations and Anomalies, then track their Jira status in CloudZero»; Slack — «Receive cost notifications directly in Slack channels, routed by View»; Google Chat; y Snowflake — «Share CloudZero cost data to your Snowflake account for SQL-based analysis», que sostiene el reporte consolidado que E2 espera. Es integración definida y reproducible, no una exportación manual.</t>
        </is>
      </c>
      <c r="J679" t="inlineStr">
        <is>
          <t>https://docs.cloudzero.com/docs/integrations ; https://docs.cloudzero.com/docs/notifications</t>
        </is>
      </c>
      <c r="K679" t="inlineStr">
        <is>
          <t>2026-09-16</t>
        </is>
      </c>
      <c r="L679" s="2" t="inlineStr">
        <is>
          <t>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680">
      <c r="A680" t="inlineStr">
        <is>
          <t>E6</t>
        </is>
      </c>
      <c r="B680" t="inlineStr">
        <is>
          <t>Multicloud</t>
        </is>
      </c>
      <c r="C680" t="inlineStr">
        <is>
          <t>CloudZero</t>
        </is>
      </c>
      <c r="D680" t="inlineStr">
        <is>
          <t>Adopcion</t>
        </is>
      </c>
      <c r="E680" t="inlineStr">
        <is>
          <t>AD1</t>
        </is>
      </c>
      <c r="F680" s="2" t="inlineStr">
        <is>
          <t>¿Soporta acceso/entrega para los roles del escenario?</t>
        </is>
      </c>
      <c r="G680" t="n">
        <v>2</v>
      </c>
      <c r="H680" t="inlineStr">
        <is>
          <t>Oficial</t>
        </is>
      </c>
      <c r="I680" s="2" t="inlineStr">
        <is>
          <t>Existen tres tipos de rol (Full Access, No Access, Limited Access) con filtrado granular por Dimensión y tipo de costo, incluyendo atributos de SSO para filtrado dinámico por usuario.</t>
        </is>
      </c>
      <c r="J680" t="inlineStr">
        <is>
          <t>https://docs.cloudzero.com/docs/view-and-manage-roles</t>
        </is>
      </c>
      <c r="K680" t="inlineStr">
        <is>
          <t>2026-09-16</t>
        </is>
      </c>
      <c r="L680" s="2" t="inlineStr">
        <is>
          <t>Celda heredada FP-180 (2026-09-16): el valor 2 proviene de la investigacion del escenario E2 y no cuenta con evidencia propia de E6. Segun FP-177 el indicador AD1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681">
      <c r="A681" t="inlineStr">
        <is>
          <t>E6</t>
        </is>
      </c>
      <c r="B681" t="inlineStr">
        <is>
          <t>Multicloud</t>
        </is>
      </c>
      <c r="C681" t="inlineStr">
        <is>
          <t>CloudZero</t>
        </is>
      </c>
      <c r="D681" t="inlineStr">
        <is>
          <t>Adopcion</t>
        </is>
      </c>
      <c r="E681" t="inlineStr">
        <is>
          <t>AD2</t>
        </is>
      </c>
      <c r="F681" s="2" t="inlineStr">
        <is>
          <t>¿Ofrece guías, ownership o mecanismos de seguimiento para uso sostenido?</t>
        </is>
      </c>
      <c r="G681" t="n">
        <v>2</v>
      </c>
      <c r="H681" t="inlineStr">
        <is>
          <t>Oficial</t>
        </is>
      </c>
      <c r="I681" s="2" t="inlineStr">
        <is>
          <t>Mecanismo de ownership documentado: «Views combine a grouping, filters, and notification channels into a single preset, giving each team ownership of the costs they are responsible for», y cada View «monitors its scope for cost changes and sends updates and anomaly alerts to the configured Slack channel or email». La habilitación cuenta con material oficial de onboarding en CloudZero Academy. Proceso y guía definidos; no se asigna 3 porque no hay evidencia de adopción medida.</t>
        </is>
      </c>
      <c r="J681" t="inlineStr">
        <is>
          <t>https://docs.cloudzero.com/docs/cloudzero ; https://academy.cloudzero.com/docs/onboarding-1</t>
        </is>
      </c>
      <c r="K681" t="inlineStr">
        <is>
          <t>2026-09-16</t>
        </is>
      </c>
      <c r="L681" s="2" t="inlineStr">
        <is>
          <t>Investigación E2 FP-180 (2026-09-16): celda completada con evidencia propia del escenario, verificada contra documentación oficial.</t>
        </is>
      </c>
    </row>
    <row r="682">
      <c r="A682" t="inlineStr">
        <is>
          <t>E6</t>
        </is>
      </c>
      <c r="B682" t="inlineStr">
        <is>
          <t>Multicloud</t>
        </is>
      </c>
      <c r="C682" t="inlineStr">
        <is>
          <t>CloudZero</t>
        </is>
      </c>
      <c r="D682" t="inlineStr">
        <is>
          <t>Precio</t>
        </is>
      </c>
      <c r="E682" t="inlineStr">
        <is>
          <t>P1</t>
        </is>
      </c>
      <c r="F682" s="2" t="inlineStr">
        <is>
          <t>¿Expone precio, moneda, región, unidad, período y supuestos relevantes?</t>
        </is>
      </c>
      <c r="G682" t="n">
        <v>2</v>
      </c>
      <c r="H682" t="inlineStr">
        <is>
          <t>Oficial</t>
        </is>
      </c>
      <c r="I682" s="2" t="inlineStr">
        <is>
          <t>Los Cost Types documentan, uno por uno, que calculo aplica cada vista sobre el dato de facturacion: Real Cost «shows only the spend that engineers can directly affect by filtering out taxes, support fees, and other overhead»; Amortized Cost «starts with Billed Cost (before discounts) and spreads upfront and recurring Reserved Instance (RI) and Savings Plan (SP) charges across the resources they apply to, based on usage»; e Invoiced Amortized Cost amortiza solo la porcion recurrente «to ensure that total cost for a billing period reflects only charges incurred in that period». Los supuestos de cada cifra estan declarados y son reproducibles.</t>
        </is>
      </c>
      <c r="J682" t="inlineStr">
        <is>
          <t>https://docs.cloudzero.com/docs/cost-types</t>
        </is>
      </c>
      <c r="K682" t="inlineStr">
        <is>
          <t>2026-09-16</t>
        </is>
      </c>
      <c r="L682" s="2" t="inlineStr">
        <is>
          <t>Investigacion del criterio Precio de E2 (2026-09-16): celda completada con evidencia propia verificada contra documentacion oficial. Precio es criterio critico de E2 y estaba sin evidenciar en este producto.</t>
        </is>
      </c>
    </row>
    <row r="683">
      <c r="A683" t="inlineStr">
        <is>
          <t>E6</t>
        </is>
      </c>
      <c r="B683" t="inlineStr">
        <is>
          <t>Multicloud</t>
        </is>
      </c>
      <c r="C683" t="inlineStr">
        <is>
          <t>CloudZero</t>
        </is>
      </c>
      <c r="D683" t="inlineStr">
        <is>
          <t>Precio</t>
        </is>
      </c>
      <c r="E683" t="inlineStr">
        <is>
          <t>P2</t>
        </is>
      </c>
      <c r="F683" s="2" t="inlineStr">
        <is>
          <t>¿Permite estimar o comparar componentes sin ocultar límites de equivalencia?</t>
        </is>
      </c>
      <c r="G683" t="n">
        <v>2</v>
      </c>
      <c r="H683" t="inlineStr">
        <is>
          <t>Oficial</t>
        </is>
      </c>
      <c r="I683" s="2" t="inlineStr">
        <is>
          <t>On-Demand Cost «shows what you would pay for equivalent usage at on-demand rates, without any discounts, RIs, or SPs applied», lo que permite comparar el costo real contra una referencia tarifaria equivalente. El limite de la comparacion esta declarado explicitamente: «Billed Cost used as a fallback for line items without an on-demand rate», de modo que no se oculta donde la equivalencia no existe.</t>
        </is>
      </c>
      <c r="J683" t="inlineStr">
        <is>
          <t>https://docs.cloudzero.com/docs/cost-types</t>
        </is>
      </c>
      <c r="K683" t="inlineStr">
        <is>
          <t>2026-09-16</t>
        </is>
      </c>
      <c r="L683" s="2" t="inlineStr">
        <is>
          <t>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684">
      <c r="A684" t="inlineStr">
        <is>
          <t>E6</t>
        </is>
      </c>
      <c r="B684" t="inlineStr">
        <is>
          <t>Multicloud</t>
        </is>
      </c>
      <c r="C684" t="inlineStr">
        <is>
          <t>CloudZero</t>
        </is>
      </c>
      <c r="D684" t="inlineStr">
        <is>
          <t>Dependencia</t>
        </is>
      </c>
      <c r="E684" t="inlineStr">
        <is>
          <t>D1</t>
        </is>
      </c>
      <c r="F684" s="2" t="inlineStr">
        <is>
          <t>¿Exporta datos/resultados en formato utilizable y documentado?</t>
        </is>
      </c>
      <c r="G684" t="n">
        <v>1</v>
      </c>
      <c r="H684" t="inlineStr">
        <is>
          <t>Oficial</t>
        </is>
      </c>
      <c r="I684" s="2" t="inlineStr">
        <is>
          <t>El glosario documenta acceso programático mediante streams de telemetría (entrada) y un "MCP Server" que conecta herramientas de IA a los datos de costo; no se confirmó una función de exportación masiva de datos de salida en formato estándar.</t>
        </is>
      </c>
      <c r="J684" t="inlineStr">
        <is>
          <t>https://docs.cloudzero.com/docs/cloudzero-glossary</t>
        </is>
      </c>
      <c r="K684" t="inlineStr">
        <is>
          <t>2026-09-16</t>
        </is>
      </c>
      <c r="L684" s="2" t="inlineStr"/>
    </row>
    <row r="685">
      <c r="A685" t="inlineStr">
        <is>
          <t>E6</t>
        </is>
      </c>
      <c r="B685" t="inlineStr">
        <is>
          <t>Multicloud</t>
        </is>
      </c>
      <c r="C685" t="inlineStr">
        <is>
          <t>CloudZero</t>
        </is>
      </c>
      <c r="D685" t="inlineStr">
        <is>
          <t>Dependencia</t>
        </is>
      </c>
      <c r="E685" t="inlineStr">
        <is>
          <t>D2</t>
        </is>
      </c>
      <c r="F685" s="2" t="inlineStr">
        <is>
          <t>¿Documenta dependencias propietarias y un camino de salida/configuración reversible?</t>
        </is>
      </c>
      <c r="G685" t="inlineStr">
        <is>
          <t>NE</t>
        </is>
      </c>
      <c r="H685" t="inlineStr">
        <is>
          <t>Pendiente</t>
        </is>
      </c>
      <c r="I685" s="2" t="inlineStr">
        <is>
          <t>No se encontró documentación sobre un camino de salida o reversibilidad de la configuración.</t>
        </is>
      </c>
      <c r="K685" t="inlineStr">
        <is>
          <t>2026-09-16</t>
        </is>
      </c>
      <c r="L685" s="2" t="inlineStr"/>
    </row>
    <row r="686">
      <c r="A686" t="inlineStr">
        <is>
          <t>E1</t>
        </is>
      </c>
      <c r="B686" t="inlineStr">
        <is>
          <t>Multicloud</t>
        </is>
      </c>
      <c r="C686" t="inlineStr">
        <is>
          <t>Vantage</t>
        </is>
      </c>
      <c r="D686" t="inlineStr">
        <is>
          <t>Visibilidad</t>
        </is>
      </c>
      <c r="E686" t="inlineStr">
        <is>
          <t>V1</t>
        </is>
      </c>
      <c r="F686" s="2" t="inlineStr">
        <is>
          <t>¿Desagrega costo y uso por cuenta/proyecto, servicio y período?</t>
        </is>
      </c>
      <c r="G686" t="n">
        <v>2</v>
      </c>
      <c r="H686" t="inlineStr">
        <is>
          <t>Oficial</t>
        </is>
      </c>
      <c r="I686" s="2" t="inlineStr">
        <is>
          <t>"Cost Reports" permite crear reportes con filtros y rangos de fecha personalizables; el "Overview" ofrece un resumen ejecutivo de las métricas de costo principales.</t>
        </is>
      </c>
      <c r="J686" t="inlineStr">
        <is>
          <t>https://docs.vantage.sh/getting_started/</t>
        </is>
      </c>
      <c r="K686" t="inlineStr">
        <is>
          <t>2026-09-16</t>
        </is>
      </c>
      <c r="L686" s="2" t="inlineStr">
        <is>
          <t>Celda heredada FP-180 (2026-09-16): el valor 2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87">
      <c r="A687" t="inlineStr">
        <is>
          <t>E1</t>
        </is>
      </c>
      <c r="B687" t="inlineStr">
        <is>
          <t>Multicloud</t>
        </is>
      </c>
      <c r="C687" t="inlineStr">
        <is>
          <t>Vantage</t>
        </is>
      </c>
      <c r="D687" t="inlineStr">
        <is>
          <t>Visibilidad</t>
        </is>
      </c>
      <c r="E687" t="inlineStr">
        <is>
          <t>V2</t>
        </is>
      </c>
      <c r="F687" s="2" t="inlineStr">
        <is>
          <t>¿Permite rastrear un total hasta registros o fuente de facturación?</t>
        </is>
      </c>
      <c r="G687" t="n">
        <v>2</v>
      </c>
      <c r="H687" t="inlineStr">
        <is>
          <t>Oficial</t>
        </is>
      </c>
      <c r="I687" s="2" t="inlineStr">
        <is>
          <t>El informe de costos permite descender del total al detalle: «Within the table below the graph, you can drill down into your report to create precise filtering and grouping views». El Data Dictionary documenta los campos del dato de costo y VQL (Vantage Query Language) permite consultas reproducibles sobre ellos. La procedencia queda marcada en el propio registro: para proveedores soportados «Vantage tags every row with an [...] billing_source value [...] so you can filter, group, and allocate costs by data source».</t>
        </is>
      </c>
      <c r="J687" t="inlineStr">
        <is>
          <t>https://docs.vantage.sh/cost_reports ; https://docs.vantage.sh/data_dictionary ; https://docs.vantage.sh/vql</t>
        </is>
      </c>
      <c r="K687" t="inlineStr">
        <is>
          <t>2026-09-16</t>
        </is>
      </c>
      <c r="L687" s="2" t="inlineStr">
        <is>
          <t>Investigación E2 FP-180 (2026-09-16): celda completada con evidencia propia del escenario, verificada contra documentación oficial.</t>
        </is>
      </c>
    </row>
    <row r="688">
      <c r="A688" t="inlineStr">
        <is>
          <t>E1</t>
        </is>
      </c>
      <c r="B688" t="inlineStr">
        <is>
          <t>Multicloud</t>
        </is>
      </c>
      <c r="C688" t="inlineStr">
        <is>
          <t>Vantage</t>
        </is>
      </c>
      <c r="D688" t="inlineStr">
        <is>
          <t>Asignacion</t>
        </is>
      </c>
      <c r="E688" t="inlineStr">
        <is>
          <t>A1</t>
        </is>
      </c>
      <c r="F688" s="2" t="inlineStr">
        <is>
          <t>¿Calcula gasto asignado/no asignado por responsable, centro o entidad?</t>
        </is>
      </c>
      <c r="G688" t="n">
        <v>2</v>
      </c>
      <c r="H688" t="inlineStr">
        <is>
          <t>Oficial</t>
        </is>
      </c>
      <c r="I688" s="2" t="inlineStr">
        <is>
          <t>Los segmentos calculan el gasto no asignado como una categoria propia: «Any costs not assigned to a segment are considered unallocated costs. By analyzing your segments, you can identify and burn down these unallocated costs to improve financial accountability». La documentacion precisa ademas que «Segments ensure that costs are allocated only once and not duplicated in cases of showback/chargeback scenarios», que es exactamente la salida de asignacion y showback que E1 espera.</t>
        </is>
      </c>
      <c r="J688" t="inlineStr">
        <is>
          <t>https://docs.vantage.sh/segments</t>
        </is>
      </c>
      <c r="K688" t="inlineStr">
        <is>
          <t>2026-09-16</t>
        </is>
      </c>
      <c r="L688" s="2" t="inlineStr">
        <is>
          <t>Celda heredada FP-180 (2026-09-16): el valor 2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 | Investigacion propia de E1 (2026-09-16): celda verificada contra la salida esperada del escenario, que exige gasto no asignado visible y reporte de showback.</t>
        </is>
      </c>
    </row>
    <row r="689">
      <c r="A689" t="inlineStr">
        <is>
          <t>E1</t>
        </is>
      </c>
      <c r="B689" t="inlineStr">
        <is>
          <t>Multicloud</t>
        </is>
      </c>
      <c r="C689" t="inlineStr">
        <is>
          <t>Vantage</t>
        </is>
      </c>
      <c r="D689" t="inlineStr">
        <is>
          <t>Asignacion</t>
        </is>
      </c>
      <c r="E689" t="inlineStr">
        <is>
          <t>A2</t>
        </is>
      </c>
      <c r="F689" s="2" t="inlineStr">
        <is>
          <t>¿Explicita y aplica reglas para costo compartido/multi-tenant?</t>
        </is>
      </c>
      <c r="G689" t="n">
        <v>2</v>
      </c>
      <c r="H689" t="inlineStr">
        <is>
          <t>Oficial</t>
        </is>
      </c>
      <c r="I689" s="2" t="inlineStr">
        <is>
          <t>Regla de reparto de costo compartido documentada y configurable: «With percent-based cost allocation, you can filter Cost Reports to show back shared resources, like support costs or multi-tenant databases, to the team or department that uses them». Las asignaciones encadenadas están documentadas: una Virtual Tag basada en costo «can now aggregate by the key of another allocated Virtual Tag in the same provider allocation chain», lo que permite repartos de varios pasos reproducibles.</t>
        </is>
      </c>
      <c r="J689" t="inlineStr">
        <is>
          <t>https://docs.vantage.sh/vantage_university_cost_allocation ; https://docs.vantage.sh/virtual_tagging/</t>
        </is>
      </c>
      <c r="K689" t="inlineStr">
        <is>
          <t>2026-09-16</t>
        </is>
      </c>
      <c r="L689" s="2" t="inlineStr">
        <is>
          <t>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90">
      <c r="A690" t="inlineStr">
        <is>
          <t>E1</t>
        </is>
      </c>
      <c r="B690" t="inlineStr">
        <is>
          <t>Multicloud</t>
        </is>
      </c>
      <c r="C690" t="inlineStr">
        <is>
          <t>Vantage</t>
        </is>
      </c>
      <c r="D690" t="inlineStr">
        <is>
          <t>Optimizacion</t>
        </is>
      </c>
      <c r="E690" t="inlineStr">
        <is>
          <t>O1</t>
        </is>
      </c>
      <c r="F690" s="2" t="inlineStr">
        <is>
          <t>¿Detecta desperdicio, rightsizing o compromiso relevante al escenario?</t>
        </is>
      </c>
      <c r="G690" t="n">
        <v>2</v>
      </c>
      <c r="H690" t="inlineStr">
        <is>
          <t>Oficial</t>
        </is>
      </c>
      <c r="I690" s="2" t="inlineStr">
        <is>
          <t>"Cost Recommendations" cubre rightsizing, recursos inactivos y compromisos financieros (RI/Savings Plans/CUD) para AWS, Azure, GCP, Datadog, Cloudflare y Kubernetes.</t>
        </is>
      </c>
      <c r="J690" t="inlineStr">
        <is>
          <t>https://docs.vantage.sh/cost_recommendations</t>
        </is>
      </c>
      <c r="K690" t="inlineStr">
        <is>
          <t>2026-09-16</t>
        </is>
      </c>
      <c r="L690" s="2" t="inlineStr">
        <is>
          <t>Celda heredada FP-180 (2026-09-16): el valor 2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91">
      <c r="A691" t="inlineStr">
        <is>
          <t>E1</t>
        </is>
      </c>
      <c r="B691" t="inlineStr">
        <is>
          <t>Multicloud</t>
        </is>
      </c>
      <c r="C691" t="inlineStr">
        <is>
          <t>Vantage</t>
        </is>
      </c>
      <c r="D691" t="inlineStr">
        <is>
          <t>Optimizacion</t>
        </is>
      </c>
      <c r="E691" t="inlineStr">
        <is>
          <t>O2</t>
        </is>
      </c>
      <c r="F691" s="2" t="inlineStr">
        <is>
          <t>¿Explica supuesto/impacto y permite seguir una recomendación?</t>
        </is>
      </c>
      <c r="G691" t="n">
        <v>2</v>
      </c>
      <c r="H691" t="inlineStr">
        <is>
          <t>Oficial</t>
        </is>
      </c>
      <c r="I691" s="2" t="inlineStr">
        <is>
          <t>Un widget de "Potential Savings" y "Savings Rate" cuantifica el ahorro, y las recomendaciones se siguen a través de estados (Ready for Review, In Progress, Completed, Archived).</t>
        </is>
      </c>
      <c r="J691" t="inlineStr">
        <is>
          <t>https://docs.vantage.sh/cost_recommendations</t>
        </is>
      </c>
      <c r="K691" t="inlineStr">
        <is>
          <t>2026-09-16</t>
        </is>
      </c>
      <c r="L691" s="2" t="inlineStr"/>
    </row>
    <row r="692">
      <c r="A692" t="inlineStr">
        <is>
          <t>E1</t>
        </is>
      </c>
      <c r="B692" t="inlineStr">
        <is>
          <t>Multicloud</t>
        </is>
      </c>
      <c r="C692" t="inlineStr">
        <is>
          <t>Vantage</t>
        </is>
      </c>
      <c r="D692" t="inlineStr">
        <is>
          <t>Automatizacion</t>
        </is>
      </c>
      <c r="E692" t="inlineStr">
        <is>
          <t>AU1</t>
        </is>
      </c>
      <c r="F692" s="2" t="inlineStr">
        <is>
          <t>¿Ejecuta o bloquea acciones/políticas de costo con control verificable?</t>
        </is>
      </c>
      <c r="G692" t="n">
        <v>2</v>
      </c>
      <c r="H692" t="inlineStr">
        <is>
          <t>Oficial</t>
        </is>
      </c>
      <c r="I692" s="2" t="inlineStr">
        <is>
          <t>"Autopilot" habilita compra automatizada (opcional, desactivada por defecto) de Savings Plans de EC2/Fargate/Lambda; para RDS/ElastiCache/Redshift/OpenSearch/Aurora/DynamoDB/etc. solo genera recomendaciones.</t>
        </is>
      </c>
      <c r="J692" t="inlineStr">
        <is>
          <t>https://docs.vantage.sh/autopilot</t>
        </is>
      </c>
      <c r="K692" t="inlineStr">
        <is>
          <t>2026-09-16</t>
        </is>
      </c>
      <c r="L692" s="2" t="inlineStr">
        <is>
          <t>Celda heredada FP-180 (2026-09-16): el valor 2 proviene de la investigacion del escenario E2 y no cuenta con evidencia propia de E1. Segun FP-177 el indicador AU1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93">
      <c r="A693" t="inlineStr">
        <is>
          <t>E1</t>
        </is>
      </c>
      <c r="B693" t="inlineStr">
        <is>
          <t>Multicloud</t>
        </is>
      </c>
      <c r="C693" t="inlineStr">
        <is>
          <t>Vantage</t>
        </is>
      </c>
      <c r="D693" t="inlineStr">
        <is>
          <t>Automatizacion</t>
        </is>
      </c>
      <c r="E693" t="inlineStr">
        <is>
          <t>AU2</t>
        </is>
      </c>
      <c r="F693" s="2" t="inlineStr">
        <is>
          <t>¿Ofrece aprobación, reversión, registro o límites antes de actuar?</t>
        </is>
      </c>
      <c r="G693" t="n">
        <v>2</v>
      </c>
      <c r="H693" t="inlineStr">
        <is>
          <t>Oficial</t>
        </is>
      </c>
      <c r="I693"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693" t="inlineStr">
        <is>
          <t>https://docs.vantage.sh/autopilot</t>
        </is>
      </c>
      <c r="K693" t="inlineStr">
        <is>
          <t>2026-09-16</t>
        </is>
      </c>
      <c r="L693" s="2" t="inlineStr"/>
    </row>
    <row r="694">
      <c r="A694" t="inlineStr">
        <is>
          <t>E1</t>
        </is>
      </c>
      <c r="B694" t="inlineStr">
        <is>
          <t>Multicloud</t>
        </is>
      </c>
      <c r="C694" t="inlineStr">
        <is>
          <t>Vantage</t>
        </is>
      </c>
      <c r="D694" t="inlineStr">
        <is>
          <t>Multicloud</t>
        </is>
      </c>
      <c r="E694" t="inlineStr">
        <is>
          <t>M1</t>
        </is>
      </c>
      <c r="F694" s="2" t="inlineStr">
        <is>
          <t>¿Consolida al menos dos proveedores bajo el mismo esquema declarado?</t>
        </is>
      </c>
      <c r="G694" t="n">
        <v>2</v>
      </c>
      <c r="H694" t="inlineStr">
        <is>
          <t>Oficial</t>
        </is>
      </c>
      <c r="I694" s="2" t="inlineStr">
        <is>
          <t>La plataforma integra de forma nativa AWS (rol IAM de solo lectura), Azure (pay-as-you-go/MCA/EA/CSP), GCP y Kubernetes dentro de los mismos Cost Reports.</t>
        </is>
      </c>
      <c r="J694" t="inlineStr">
        <is>
          <t>https://docs.vantage.sh/getting_started/</t>
        </is>
      </c>
      <c r="K694" t="inlineStr">
        <is>
          <t>2026-09-16</t>
        </is>
      </c>
      <c r="L694" s="2" t="inlineStr"/>
    </row>
    <row r="695">
      <c r="A695" t="inlineStr">
        <is>
          <t>E1</t>
        </is>
      </c>
      <c r="B695" t="inlineStr">
        <is>
          <t>Multicloud</t>
        </is>
      </c>
      <c r="C695" t="inlineStr">
        <is>
          <t>Vantage</t>
        </is>
      </c>
      <c r="D695" t="inlineStr">
        <is>
          <t>Multicloud</t>
        </is>
      </c>
      <c r="E695" t="inlineStr">
        <is>
          <t>M2</t>
        </is>
      </c>
      <c r="F695" s="2" t="inlineStr">
        <is>
          <t>¿Hace visibles proveedor, cobertura y diferencias semánticas?</t>
        </is>
      </c>
      <c r="G695" t="n">
        <v>2</v>
      </c>
      <c r="H695" t="inlineStr">
        <is>
          <t>Oficial</t>
        </is>
      </c>
      <c r="I695" s="2" t="inlineStr">
        <is>
          <t>Las diferencias semánticas entre proveedores se hacen explícitas y se normalizan: «Vantage normalizes Usage Unit labels in the console for consistent spelling and capitalization. For example, Vantage standardized Hours, hrs, Hrs, and hours to Hours», y se aplica un esquema de etiquetas normalizado por proveedor para costos de IA. La cobertura se declara de forma explícita —la lista de proveedores soportados para reporte por uso está enumerada en la documentación— y los no soportados se canalizan por Custom Providers: «you can upload costs from providers that don't expose billing APIs, aren't yet supported by Vantage, or originate from custom systems». El límite de cobertura queda visible, que es lo que mide M2.</t>
        </is>
      </c>
      <c r="J695" t="inlineStr">
        <is>
          <t>https://docs.vantage.sh/usage_based_reporting ; https://docs.vantage.sh/connecting_custom_providers ; https://docs.vantage.sh/data_dictionary</t>
        </is>
      </c>
      <c r="K695" t="inlineStr">
        <is>
          <t>2026-09-16</t>
        </is>
      </c>
      <c r="L695" s="2" t="inlineStr">
        <is>
          <t>Investigación E2 FP-180 (2026-09-16): celda completada con evidencia propia del escenario, verificada contra documentación oficial.</t>
        </is>
      </c>
    </row>
    <row r="696">
      <c r="A696" t="inlineStr">
        <is>
          <t>E1</t>
        </is>
      </c>
      <c r="B696" t="inlineStr">
        <is>
          <t>Multicloud</t>
        </is>
      </c>
      <c r="C696" t="inlineStr">
        <is>
          <t>Vantage</t>
        </is>
      </c>
      <c r="D696" t="inlineStr">
        <is>
          <t>Integracion</t>
        </is>
      </c>
      <c r="E696" t="inlineStr">
        <is>
          <t>I1</t>
        </is>
      </c>
      <c r="F696" s="2" t="inlineStr">
        <is>
          <t>¿Integra datos requeridos (facturación, uso, clúster o IaC) del escenario?</t>
        </is>
      </c>
      <c r="G696" t="n">
        <v>2</v>
      </c>
      <c r="H696" t="inlineStr">
        <is>
          <t>Oficial</t>
        </is>
      </c>
      <c r="I696" s="2" t="inlineStr">
        <is>
          <t>Conectores definidos y documentados: rol IAM de solo lectura entre cuentas para AWS, soporte de los modelos de facturación de Azure, integración con GCP vía BigQuery export y un agente de Kubernetes.</t>
        </is>
      </c>
      <c r="J696" t="inlineStr">
        <is>
          <t>https://docs.vantage.sh/getting_started/</t>
        </is>
      </c>
      <c r="K696" t="inlineStr">
        <is>
          <t>2026-09-16</t>
        </is>
      </c>
      <c r="L696" s="2" t="inlineStr">
        <is>
          <t>Celda heredada FP-180 (2026-09-16): el valor 2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97">
      <c r="A697" t="inlineStr">
        <is>
          <t>E1</t>
        </is>
      </c>
      <c r="B697" t="inlineStr">
        <is>
          <t>Multicloud</t>
        </is>
      </c>
      <c r="C697" t="inlineStr">
        <is>
          <t>Vantage</t>
        </is>
      </c>
      <c r="D697" t="inlineStr">
        <is>
          <t>Integracion</t>
        </is>
      </c>
      <c r="E697" t="inlineStr">
        <is>
          <t>I2</t>
        </is>
      </c>
      <c r="F697" s="2" t="inlineStr">
        <is>
          <t>¿Se integra con el flujo de trabajo relevante (alerta, ticket, CI/CD o reporte)?</t>
        </is>
      </c>
      <c r="G697" t="n">
        <v>2</v>
      </c>
      <c r="H697" t="inlineStr">
        <is>
          <t>Oficial</t>
        </is>
      </c>
      <c r="I697" s="2" t="inlineStr">
        <is>
          <t>La integración con Jira crea automáticamente tickets a partir de Cost Anomalies, Budget Alerts, Cost Alerts y Resource Reports, y sincroniza el estado (To Do/In Progress/Done) diariamente dentro de Vantage.</t>
        </is>
      </c>
      <c r="J697" t="inlineStr">
        <is>
          <t>https://docs.vantage.sh/jira</t>
        </is>
      </c>
      <c r="K697" t="inlineStr">
        <is>
          <t>2026-09-16</t>
        </is>
      </c>
      <c r="L697" s="2" t="inlineStr">
        <is>
          <t>Celda heredada FP-180 (2026-09-16): el valor 2 proviene de la investigacion del escenario E2 y no cuenta con evidencia propia de E1. Segun FP-177 el indicador I2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98">
      <c r="A698" t="inlineStr">
        <is>
          <t>E1</t>
        </is>
      </c>
      <c r="B698" t="inlineStr">
        <is>
          <t>Multicloud</t>
        </is>
      </c>
      <c r="C698" t="inlineStr">
        <is>
          <t>Vantage</t>
        </is>
      </c>
      <c r="D698" t="inlineStr">
        <is>
          <t>Adopcion</t>
        </is>
      </c>
      <c r="E698" t="inlineStr">
        <is>
          <t>AD1</t>
        </is>
      </c>
      <c r="F698" s="2" t="inlineStr">
        <is>
          <t>¿Soporta acceso/entrega para los roles del escenario?</t>
        </is>
      </c>
      <c r="G698" t="n">
        <v>2</v>
      </c>
      <c r="H698" t="inlineStr">
        <is>
          <t>Oficial</t>
        </is>
      </c>
      <c r="I698" s="2" t="inlineStr">
        <is>
          <t>Existen roles definidos (Organization Owner, Integration Owner, entre otros) con control de acceso basado en roles (RBAC) documentado.</t>
        </is>
      </c>
      <c r="J698" t="inlineStr">
        <is>
          <t>https://docs.vantage.sh/permissions_gcp</t>
        </is>
      </c>
      <c r="K698" t="inlineStr">
        <is>
          <t>2026-09-16</t>
        </is>
      </c>
      <c r="L698" s="2" t="inlineStr">
        <is>
          <t>Celda heredada FP-180 (2026-09-16): el valor 2 proviene de la investigacion del escenario E2 y no cuenta con evidencia propia de E1. Segun FP-177 el indicador AD1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699">
      <c r="A699" t="inlineStr">
        <is>
          <t>E1</t>
        </is>
      </c>
      <c r="B699" t="inlineStr">
        <is>
          <t>Multicloud</t>
        </is>
      </c>
      <c r="C699" t="inlineStr">
        <is>
          <t>Vantage</t>
        </is>
      </c>
      <c r="D699" t="inlineStr">
        <is>
          <t>Adopcion</t>
        </is>
      </c>
      <c r="E699" t="inlineStr">
        <is>
          <t>AD2</t>
        </is>
      </c>
      <c r="F699" s="2" t="inlineStr">
        <is>
          <t>¿Ofrece guías, ownership o mecanismos de seguimiento para uso sostenido?</t>
        </is>
      </c>
      <c r="G699" t="n">
        <v>2</v>
      </c>
      <c r="H699" t="inlineStr">
        <is>
          <t>Oficial</t>
        </is>
      </c>
      <c r="I699" s="2" t="inlineStr">
        <is>
          <t>Habilitación documentada por rol en Vantage University, con rutas para FinOps Analyst, Developers y Finance Managers, y una ruta específica de asignación de costos. El ownership se sostiene en segmentos jerárquicos: los segmentos de asignación «let you create hierarchical structures for your costs, mapping them to various organizational entities, such as business units, teams, or services», con jerarquías anidadas por equipo y subequipo. Proceso y guía definidos; sin evidencia de adopción medida para 3.</t>
        </is>
      </c>
      <c r="J699" t="inlineStr">
        <is>
          <t>https://docs.vantage.sh/vantage_university ; https://docs.vantage.sh/vantage_university_cost_allocation ; https://docs.vantage.sh/segments</t>
        </is>
      </c>
      <c r="K699" t="inlineStr">
        <is>
          <t>2026-09-16</t>
        </is>
      </c>
      <c r="L699" s="2" t="inlineStr">
        <is>
          <t>Investigación E2 FP-180 (2026-09-16): celda completada con evidencia propia del escenario, verificada contra documentación oficial.</t>
        </is>
      </c>
    </row>
    <row r="700">
      <c r="A700" t="inlineStr">
        <is>
          <t>E1</t>
        </is>
      </c>
      <c r="B700" t="inlineStr">
        <is>
          <t>Multicloud</t>
        </is>
      </c>
      <c r="C700" t="inlineStr">
        <is>
          <t>Vantage</t>
        </is>
      </c>
      <c r="D700" t="inlineStr">
        <is>
          <t>Precio</t>
        </is>
      </c>
      <c r="E700" t="inlineStr">
        <is>
          <t>P1</t>
        </is>
      </c>
      <c r="F700" s="2" t="inlineStr">
        <is>
          <t>¿Expone precio, moneda, región, unidad, período y supuestos relevantes?</t>
        </is>
      </c>
      <c r="G700" t="n">
        <v>2</v>
      </c>
      <c r="H700" t="inlineStr">
        <is>
          <t>Oficial</t>
        </is>
      </c>
      <c r="I700" s="2" t="inlineStr">
        <is>
          <t>El Data Dictionary documenta los campos del dato de costo y Vantage normaliza las unidades de uso para que sean comparables: «Vantage normalizes Usage Unit labels in the console for consistent spelling and capitalization». El reporte por uso declara para que proveedores hay dato de uso disponible, y los registros llevan marcada su procedencia de facturacion, de modo que precio, unidad, periodo y origen quedan visibles.</t>
        </is>
      </c>
      <c r="J700" t="inlineStr">
        <is>
          <t>https://docs.vantage.sh/data_dictionary ; https://docs.vantage.sh/usage_based_reporting</t>
        </is>
      </c>
      <c r="K700" t="inlineStr">
        <is>
          <t>2026-09-16</t>
        </is>
      </c>
      <c r="L700" s="2" t="inlineStr">
        <is>
          <t>Investigacion del criterio Precio de E2 (2026-09-16): celda completada con evidencia propia verificada contra documentacion oficial. Precio es criterio critico de E2 y estaba sin evidenciar en este producto.</t>
        </is>
      </c>
    </row>
    <row r="701">
      <c r="A701" t="inlineStr">
        <is>
          <t>E1</t>
        </is>
      </c>
      <c r="B701" t="inlineStr">
        <is>
          <t>Multicloud</t>
        </is>
      </c>
      <c r="C701" t="inlineStr">
        <is>
          <t>Vantage</t>
        </is>
      </c>
      <c r="D701" t="inlineStr">
        <is>
          <t>Precio</t>
        </is>
      </c>
      <c r="E701" t="inlineStr">
        <is>
          <t>P2</t>
        </is>
      </c>
      <c r="F701" s="2" t="inlineStr">
        <is>
          <t>¿Permite estimar o comparar componentes sin ocultar límites de equivalencia?</t>
        </is>
      </c>
      <c r="G701" t="n">
        <v>2</v>
      </c>
      <c r="H701" t="inlineStr">
        <is>
          <t>Oficial</t>
        </is>
      </c>
      <c r="I701" s="2" t="inlineStr">
        <is>
          <t>La funcion Compare Pricing permite «explore an instance pricing comparison via ec2instances.info, which evaluates the current instance type used against the proposed instance type from the recommendation». Cada recurso recomendado muestra ademas «the past 30 days of accrued costs, savings if you follow the recommendation, and the recommended action», con el horizonte de la estimacion declarado.</t>
        </is>
      </c>
      <c r="J701" t="inlineStr">
        <is>
          <t>https://docs.vantage.sh/cost_recommendations</t>
        </is>
      </c>
      <c r="K701" t="inlineStr">
        <is>
          <t>2026-09-16</t>
        </is>
      </c>
      <c r="L701" s="2" t="inlineStr">
        <is>
          <t>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702">
      <c r="A702" t="inlineStr">
        <is>
          <t>E1</t>
        </is>
      </c>
      <c r="B702" t="inlineStr">
        <is>
          <t>Multicloud</t>
        </is>
      </c>
      <c r="C702" t="inlineStr">
        <is>
          <t>Vantage</t>
        </is>
      </c>
      <c r="D702" t="inlineStr">
        <is>
          <t>Dependencia</t>
        </is>
      </c>
      <c r="E702" t="inlineStr">
        <is>
          <t>D1</t>
        </is>
      </c>
      <c r="F702" s="2" t="inlineStr">
        <is>
          <t>¿Exporta datos/resultados en formato utilizable y documentado?</t>
        </is>
      </c>
      <c r="G702" t="inlineStr">
        <is>
          <t>NE</t>
        </is>
      </c>
      <c r="H702" t="inlineStr">
        <is>
          <t>Pendiente</t>
        </is>
      </c>
      <c r="I702" s="2" t="inlineStr">
        <is>
          <t>Se identificó el anuncio de un "Recommendations API Endpoint", pero no se verificó contra documentación técnica una función general de exportación de datos de costo (evidencia insuficiente para puntuar).</t>
        </is>
      </c>
      <c r="K702" t="inlineStr">
        <is>
          <t>2026-09-16</t>
        </is>
      </c>
      <c r="L702" s="2" t="inlineStr"/>
    </row>
    <row r="703">
      <c r="A703" t="inlineStr">
        <is>
          <t>E1</t>
        </is>
      </c>
      <c r="B703" t="inlineStr">
        <is>
          <t>Multicloud</t>
        </is>
      </c>
      <c r="C703" t="inlineStr">
        <is>
          <t>Vantage</t>
        </is>
      </c>
      <c r="D703" t="inlineStr">
        <is>
          <t>Dependencia</t>
        </is>
      </c>
      <c r="E703" t="inlineStr">
        <is>
          <t>D2</t>
        </is>
      </c>
      <c r="F703" s="2" t="inlineStr">
        <is>
          <t>¿Documenta dependencias propietarias y un camino de salida/configuración reversible?</t>
        </is>
      </c>
      <c r="G703" t="inlineStr">
        <is>
          <t>NE</t>
        </is>
      </c>
      <c r="H703" t="inlineStr">
        <is>
          <t>Pendiente</t>
        </is>
      </c>
      <c r="I703" s="2" t="inlineStr">
        <is>
          <t>No se encontró documentación sobre un camino de salida o reversibilidad de la configuración.</t>
        </is>
      </c>
      <c r="K703" t="inlineStr">
        <is>
          <t>2026-09-16</t>
        </is>
      </c>
      <c r="L703" s="2" t="inlineStr"/>
    </row>
    <row r="704">
      <c r="A704" t="inlineStr">
        <is>
          <t>E2</t>
        </is>
      </c>
      <c r="B704" t="inlineStr">
        <is>
          <t>Multicloud</t>
        </is>
      </c>
      <c r="C704" t="inlineStr">
        <is>
          <t>Vantage</t>
        </is>
      </c>
      <c r="D704" t="inlineStr">
        <is>
          <t>Visibilidad</t>
        </is>
      </c>
      <c r="E704" t="inlineStr">
        <is>
          <t>V1</t>
        </is>
      </c>
      <c r="F704" s="2" t="inlineStr">
        <is>
          <t>¿Desagrega costo y uso por cuenta/proyecto, servicio y período?</t>
        </is>
      </c>
      <c r="G704" t="n">
        <v>2</v>
      </c>
      <c r="H704" t="inlineStr">
        <is>
          <t>Oficial</t>
        </is>
      </c>
      <c r="I704" s="2" t="inlineStr">
        <is>
          <t>"Cost Reports" permite crear reportes con filtros y rangos de fecha personalizables; el "Overview" ofrece un resumen ejecutivo de las métricas de costo principales.</t>
        </is>
      </c>
      <c r="J704" t="inlineStr">
        <is>
          <t>https://docs.vantage.sh/getting_started/</t>
        </is>
      </c>
      <c r="K704" t="inlineStr">
        <is>
          <t>2026-09-16</t>
        </is>
      </c>
      <c r="L704" s="2" t="inlineStr"/>
    </row>
    <row r="705">
      <c r="A705" t="inlineStr">
        <is>
          <t>E2</t>
        </is>
      </c>
      <c r="B705" t="inlineStr">
        <is>
          <t>Multicloud</t>
        </is>
      </c>
      <c r="C705" t="inlineStr">
        <is>
          <t>Vantage</t>
        </is>
      </c>
      <c r="D705" t="inlineStr">
        <is>
          <t>Visibilidad</t>
        </is>
      </c>
      <c r="E705" t="inlineStr">
        <is>
          <t>V2</t>
        </is>
      </c>
      <c r="F705" s="2" t="inlineStr">
        <is>
          <t>¿Permite rastrear un total hasta registros o fuente de facturación?</t>
        </is>
      </c>
      <c r="G705" t="n">
        <v>2</v>
      </c>
      <c r="H705" t="inlineStr">
        <is>
          <t>Oficial</t>
        </is>
      </c>
      <c r="I705" s="2" t="inlineStr">
        <is>
          <t>El informe de costos permite descender del total al detalle: «Within the table below the graph, you can drill down into your report to create precise filtering and grouping views». El Data Dictionary documenta los campos del dato de costo y VQL (Vantage Query Language) permite consultas reproducibles sobre ellos. La procedencia queda marcada en el propio registro: para proveedores soportados «Vantage tags every row with an [...] billing_source value [...] so you can filter, group, and allocate costs by data source».</t>
        </is>
      </c>
      <c r="J705" t="inlineStr">
        <is>
          <t>https://docs.vantage.sh/cost_reports ; https://docs.vantage.sh/data_dictionary ; https://docs.vantage.sh/vql</t>
        </is>
      </c>
      <c r="K705" t="inlineStr">
        <is>
          <t>2026-09-16</t>
        </is>
      </c>
      <c r="L705" s="2" t="inlineStr">
        <is>
          <t>Investigación E2 FP-180 (2026-09-16): celda completada con evidencia propia del escenario, verificada contra documentación oficial.</t>
        </is>
      </c>
    </row>
    <row r="706">
      <c r="A706" t="inlineStr">
        <is>
          <t>E2</t>
        </is>
      </c>
      <c r="B706" t="inlineStr">
        <is>
          <t>Multicloud</t>
        </is>
      </c>
      <c r="C706" t="inlineStr">
        <is>
          <t>Vantage</t>
        </is>
      </c>
      <c r="D706" t="inlineStr">
        <is>
          <t>Asignacion</t>
        </is>
      </c>
      <c r="E706" t="inlineStr">
        <is>
          <t>A1</t>
        </is>
      </c>
      <c r="F706" s="2" t="inlineStr">
        <is>
          <t>¿Calcula gasto asignado/no asignado por responsable, centro o entidad?</t>
        </is>
      </c>
      <c r="G706" t="n">
        <v>2</v>
      </c>
      <c r="H706" t="inlineStr">
        <is>
          <t>Oficial</t>
        </is>
      </c>
      <c r="I706" s="2" t="inlineStr">
        <is>
          <t>"Cost Allocation Segments" crea estructuras jerárquicas que mapean el costo a unidades de negocio/equipos/servicios y "identifican costos no asignados", garantizando que cada costo se asigne una sola vez (evita duplicación en showback/chargeback).</t>
        </is>
      </c>
      <c r="J706" t="inlineStr">
        <is>
          <t>https://docs.vantage.sh/vantage_university_cost_allocation</t>
        </is>
      </c>
      <c r="K706" t="inlineStr">
        <is>
          <t>2026-09-16</t>
        </is>
      </c>
      <c r="L706" s="2" t="inlineStr"/>
    </row>
    <row r="707">
      <c r="A707" t="inlineStr">
        <is>
          <t>E2</t>
        </is>
      </c>
      <c r="B707" t="inlineStr">
        <is>
          <t>Multicloud</t>
        </is>
      </c>
      <c r="C707" t="inlineStr">
        <is>
          <t>Vantage</t>
        </is>
      </c>
      <c r="D707" t="inlineStr">
        <is>
          <t>Asignacion</t>
        </is>
      </c>
      <c r="E707" t="inlineStr">
        <is>
          <t>A2</t>
        </is>
      </c>
      <c r="F707" s="2" t="inlineStr">
        <is>
          <t>¿Explicita y aplica reglas para costo compartido/multi-tenant?</t>
        </is>
      </c>
      <c r="G707" t="n">
        <v>2</v>
      </c>
      <c r="H707" t="inlineStr">
        <is>
          <t>Oficial</t>
        </is>
      </c>
      <c r="I707" s="2" t="inlineStr">
        <is>
          <t>Regla de reparto de costo compartido documentada y configurable: «With percent-based cost allocation, you can filter Cost Reports to show back shared resources, like support costs or multi-tenant databases, to the team or department that uses them». Las asignaciones encadenadas están documentadas: una Virtual Tag basada en costo «can now aggregate by the key of another allocated Virtual Tag in the same provider allocation chain», lo que permite repartos de varios pasos reproducibles.</t>
        </is>
      </c>
      <c r="J707" t="inlineStr">
        <is>
          <t>https://docs.vantage.sh/vantage_university_cost_allocation ; https://docs.vantage.sh/virtual_tagging/</t>
        </is>
      </c>
      <c r="K707" t="inlineStr">
        <is>
          <t>2026-09-16</t>
        </is>
      </c>
      <c r="L707" s="2" t="inlineStr">
        <is>
          <t>Investigación E2 FP-180 (2026-09-16): celda completada con evidencia propia del escenario, verificada contra documentación oficial.</t>
        </is>
      </c>
    </row>
    <row r="708">
      <c r="A708" t="inlineStr">
        <is>
          <t>E2</t>
        </is>
      </c>
      <c r="B708" t="inlineStr">
        <is>
          <t>Multicloud</t>
        </is>
      </c>
      <c r="C708" t="inlineStr">
        <is>
          <t>Vantage</t>
        </is>
      </c>
      <c r="D708" t="inlineStr">
        <is>
          <t>Optimizacion</t>
        </is>
      </c>
      <c r="E708" t="inlineStr">
        <is>
          <t>O1</t>
        </is>
      </c>
      <c r="F708" s="2" t="inlineStr">
        <is>
          <t>¿Detecta desperdicio, rightsizing o compromiso relevante al escenario?</t>
        </is>
      </c>
      <c r="G708" t="n">
        <v>2</v>
      </c>
      <c r="H708" t="inlineStr">
        <is>
          <t>Oficial</t>
        </is>
      </c>
      <c r="I708" s="2" t="inlineStr">
        <is>
          <t>"Cost Recommendations" cubre rightsizing, recursos inactivos y compromisos financieros (RI/Savings Plans/CUD) para AWS, Azure, GCP, Datadog, Cloudflare y Kubernetes.</t>
        </is>
      </c>
      <c r="J708" t="inlineStr">
        <is>
          <t>https://docs.vantage.sh/cost_recommendations</t>
        </is>
      </c>
      <c r="K708" t="inlineStr">
        <is>
          <t>2026-09-16</t>
        </is>
      </c>
      <c r="L708" s="2" t="inlineStr"/>
    </row>
    <row r="709">
      <c r="A709" t="inlineStr">
        <is>
          <t>E2</t>
        </is>
      </c>
      <c r="B709" t="inlineStr">
        <is>
          <t>Multicloud</t>
        </is>
      </c>
      <c r="C709" t="inlineStr">
        <is>
          <t>Vantage</t>
        </is>
      </c>
      <c r="D709" t="inlineStr">
        <is>
          <t>Optimizacion</t>
        </is>
      </c>
      <c r="E709" t="inlineStr">
        <is>
          <t>O2</t>
        </is>
      </c>
      <c r="F709" s="2" t="inlineStr">
        <is>
          <t>¿Explica supuesto/impacto y permite seguir una recomendación?</t>
        </is>
      </c>
      <c r="G709" t="n">
        <v>2</v>
      </c>
      <c r="H709" t="inlineStr">
        <is>
          <t>Oficial</t>
        </is>
      </c>
      <c r="I709" s="2" t="inlineStr">
        <is>
          <t>Un widget de "Potential Savings" y "Savings Rate" cuantifica el ahorro, y las recomendaciones se siguen a través de estados (Ready for Review, In Progress, Completed, Archived).</t>
        </is>
      </c>
      <c r="J709" t="inlineStr">
        <is>
          <t>https://docs.vantage.sh/cost_recommendations</t>
        </is>
      </c>
      <c r="K709" t="inlineStr">
        <is>
          <t>2026-09-16</t>
        </is>
      </c>
      <c r="L709" s="2" t="inlineStr"/>
    </row>
    <row r="710">
      <c r="A710" t="inlineStr">
        <is>
          <t>E2</t>
        </is>
      </c>
      <c r="B710" t="inlineStr">
        <is>
          <t>Multicloud</t>
        </is>
      </c>
      <c r="C710" t="inlineStr">
        <is>
          <t>Vantage</t>
        </is>
      </c>
      <c r="D710" t="inlineStr">
        <is>
          <t>Automatizacion</t>
        </is>
      </c>
      <c r="E710" t="inlineStr">
        <is>
          <t>AU1</t>
        </is>
      </c>
      <c r="F710" s="2" t="inlineStr">
        <is>
          <t>¿Ejecuta o bloquea acciones/políticas de costo con control verificable?</t>
        </is>
      </c>
      <c r="G710" t="n">
        <v>2</v>
      </c>
      <c r="H710" t="inlineStr">
        <is>
          <t>Oficial</t>
        </is>
      </c>
      <c r="I710" s="2" t="inlineStr">
        <is>
          <t>"Autopilot" habilita compra automatizada (opcional, desactivada por defecto) de Savings Plans de EC2/Fargate/Lambda; para RDS/ElastiCache/Redshift/OpenSearch/Aurora/DynamoDB/etc. solo genera recomendaciones.</t>
        </is>
      </c>
      <c r="J710" t="inlineStr">
        <is>
          <t>https://docs.vantage.sh/autopilot</t>
        </is>
      </c>
      <c r="K710" t="inlineStr">
        <is>
          <t>2026-09-16</t>
        </is>
      </c>
      <c r="L710" s="2" t="inlineStr"/>
    </row>
    <row r="711">
      <c r="A711" t="inlineStr">
        <is>
          <t>E2</t>
        </is>
      </c>
      <c r="B711" t="inlineStr">
        <is>
          <t>Multicloud</t>
        </is>
      </c>
      <c r="C711" t="inlineStr">
        <is>
          <t>Vantage</t>
        </is>
      </c>
      <c r="D711" t="inlineStr">
        <is>
          <t>Automatizacion</t>
        </is>
      </c>
      <c r="E711" t="inlineStr">
        <is>
          <t>AU2</t>
        </is>
      </c>
      <c r="F711" s="2" t="inlineStr">
        <is>
          <t>¿Ofrece aprobación, reversión, registro o límites antes de actuar?</t>
        </is>
      </c>
      <c r="G711" t="n">
        <v>2</v>
      </c>
      <c r="H711" t="inlineStr">
        <is>
          <t>Oficial</t>
        </is>
      </c>
      <c r="I711"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711" t="inlineStr">
        <is>
          <t>https://docs.vantage.sh/autopilot</t>
        </is>
      </c>
      <c r="K711" t="inlineStr">
        <is>
          <t>2026-09-16</t>
        </is>
      </c>
      <c r="L711" s="2" t="inlineStr"/>
    </row>
    <row r="712">
      <c r="A712" t="inlineStr">
        <is>
          <t>E2</t>
        </is>
      </c>
      <c r="B712" t="inlineStr">
        <is>
          <t>Multicloud</t>
        </is>
      </c>
      <c r="C712" t="inlineStr">
        <is>
          <t>Vantage</t>
        </is>
      </c>
      <c r="D712" t="inlineStr">
        <is>
          <t>Multicloud</t>
        </is>
      </c>
      <c r="E712" t="inlineStr">
        <is>
          <t>M1</t>
        </is>
      </c>
      <c r="F712" s="2" t="inlineStr">
        <is>
          <t>¿Consolida al menos dos proveedores bajo el mismo esquema declarado?</t>
        </is>
      </c>
      <c r="G712" t="n">
        <v>2</v>
      </c>
      <c r="H712" t="inlineStr">
        <is>
          <t>Oficial</t>
        </is>
      </c>
      <c r="I712" s="2" t="inlineStr">
        <is>
          <t>La plataforma integra de forma nativa AWS (rol IAM de solo lectura), Azure (pay-as-you-go/MCA/EA/CSP), GCP y Kubernetes dentro de los mismos Cost Reports.</t>
        </is>
      </c>
      <c r="J712" t="inlineStr">
        <is>
          <t>https://docs.vantage.sh/getting_started/</t>
        </is>
      </c>
      <c r="K712" t="inlineStr">
        <is>
          <t>2026-09-16</t>
        </is>
      </c>
      <c r="L712" s="2" t="inlineStr"/>
    </row>
    <row r="713">
      <c r="A713" t="inlineStr">
        <is>
          <t>E2</t>
        </is>
      </c>
      <c r="B713" t="inlineStr">
        <is>
          <t>Multicloud</t>
        </is>
      </c>
      <c r="C713" t="inlineStr">
        <is>
          <t>Vantage</t>
        </is>
      </c>
      <c r="D713" t="inlineStr">
        <is>
          <t>Multicloud</t>
        </is>
      </c>
      <c r="E713" t="inlineStr">
        <is>
          <t>M2</t>
        </is>
      </c>
      <c r="F713" s="2" t="inlineStr">
        <is>
          <t>¿Hace visibles proveedor, cobertura y diferencias semánticas?</t>
        </is>
      </c>
      <c r="G713" t="n">
        <v>2</v>
      </c>
      <c r="H713" t="inlineStr">
        <is>
          <t>Oficial</t>
        </is>
      </c>
      <c r="I713" s="2" t="inlineStr">
        <is>
          <t>Las diferencias semánticas entre proveedores se hacen explícitas y se normalizan: «Vantage normalizes Usage Unit labels in the console for consistent spelling and capitalization. For example, Vantage standardized Hours, hrs, Hrs, and hours to Hours», y se aplica un esquema de etiquetas normalizado por proveedor para costos de IA. La cobertura se declara de forma explícita —la lista de proveedores soportados para reporte por uso está enumerada en la documentación— y los no soportados se canalizan por Custom Providers: «you can upload costs from providers that don't expose billing APIs, aren't yet supported by Vantage, or originate from custom systems». El límite de cobertura queda visible, que es lo que mide M2.</t>
        </is>
      </c>
      <c r="J713" t="inlineStr">
        <is>
          <t>https://docs.vantage.sh/usage_based_reporting ; https://docs.vantage.sh/connecting_custom_providers ; https://docs.vantage.sh/data_dictionary</t>
        </is>
      </c>
      <c r="K713" t="inlineStr">
        <is>
          <t>2026-09-16</t>
        </is>
      </c>
      <c r="L713" s="2" t="inlineStr">
        <is>
          <t>Investigación E2 FP-180 (2026-09-16): celda completada con evidencia propia del escenario, verificada contra documentación oficial.</t>
        </is>
      </c>
    </row>
    <row r="714">
      <c r="A714" t="inlineStr">
        <is>
          <t>E2</t>
        </is>
      </c>
      <c r="B714" t="inlineStr">
        <is>
          <t>Multicloud</t>
        </is>
      </c>
      <c r="C714" t="inlineStr">
        <is>
          <t>Vantage</t>
        </is>
      </c>
      <c r="D714" t="inlineStr">
        <is>
          <t>Integracion</t>
        </is>
      </c>
      <c r="E714" t="inlineStr">
        <is>
          <t>I1</t>
        </is>
      </c>
      <c r="F714" s="2" t="inlineStr">
        <is>
          <t>¿Integra datos requeridos (facturación, uso, clúster o IaC) del escenario?</t>
        </is>
      </c>
      <c r="G714" t="n">
        <v>2</v>
      </c>
      <c r="H714" t="inlineStr">
        <is>
          <t>Oficial</t>
        </is>
      </c>
      <c r="I714" s="2" t="inlineStr">
        <is>
          <t>Conectores definidos y documentados: rol IAM de solo lectura entre cuentas para AWS, soporte de los modelos de facturación de Azure, integración con GCP vía BigQuery export y un agente de Kubernetes.</t>
        </is>
      </c>
      <c r="J714" t="inlineStr">
        <is>
          <t>https://docs.vantage.sh/getting_started/</t>
        </is>
      </c>
      <c r="K714" t="inlineStr">
        <is>
          <t>2026-09-16</t>
        </is>
      </c>
      <c r="L714" s="2" t="inlineStr"/>
    </row>
    <row r="715">
      <c r="A715" t="inlineStr">
        <is>
          <t>E2</t>
        </is>
      </c>
      <c r="B715" t="inlineStr">
        <is>
          <t>Multicloud</t>
        </is>
      </c>
      <c r="C715" t="inlineStr">
        <is>
          <t>Vantage</t>
        </is>
      </c>
      <c r="D715" t="inlineStr">
        <is>
          <t>Integracion</t>
        </is>
      </c>
      <c r="E715" t="inlineStr">
        <is>
          <t>I2</t>
        </is>
      </c>
      <c r="F715" s="2" t="inlineStr">
        <is>
          <t>¿Se integra con el flujo de trabajo relevante (alerta, ticket, CI/CD o reporte)?</t>
        </is>
      </c>
      <c r="G715" t="n">
        <v>2</v>
      </c>
      <c r="H715" t="inlineStr">
        <is>
          <t>Oficial</t>
        </is>
      </c>
      <c r="I715" s="2" t="inlineStr">
        <is>
          <t>La integración con Jira crea automáticamente tickets a partir de Cost Anomalies, Budget Alerts, Cost Alerts y Resource Reports, y sincroniza el estado (To Do/In Progress/Done) diariamente dentro de Vantage.</t>
        </is>
      </c>
      <c r="J715" t="inlineStr">
        <is>
          <t>https://docs.vantage.sh/jira</t>
        </is>
      </c>
      <c r="K715" t="inlineStr">
        <is>
          <t>2026-09-16</t>
        </is>
      </c>
      <c r="L715" s="2" t="inlineStr"/>
    </row>
    <row r="716">
      <c r="A716" t="inlineStr">
        <is>
          <t>E2</t>
        </is>
      </c>
      <c r="B716" t="inlineStr">
        <is>
          <t>Multicloud</t>
        </is>
      </c>
      <c r="C716" t="inlineStr">
        <is>
          <t>Vantage</t>
        </is>
      </c>
      <c r="D716" t="inlineStr">
        <is>
          <t>Adopcion</t>
        </is>
      </c>
      <c r="E716" t="inlineStr">
        <is>
          <t>AD1</t>
        </is>
      </c>
      <c r="F716" s="2" t="inlineStr">
        <is>
          <t>¿Soporta acceso/entrega para los roles del escenario?</t>
        </is>
      </c>
      <c r="G716" t="n">
        <v>2</v>
      </c>
      <c r="H716" t="inlineStr">
        <is>
          <t>Oficial</t>
        </is>
      </c>
      <c r="I716" s="2" t="inlineStr">
        <is>
          <t>Existen roles definidos (Organization Owner, Integration Owner, entre otros) con control de acceso basado en roles (RBAC) documentado.</t>
        </is>
      </c>
      <c r="J716" t="inlineStr">
        <is>
          <t>https://docs.vantage.sh/permissions_gcp</t>
        </is>
      </c>
      <c r="K716" t="inlineStr">
        <is>
          <t>2026-09-16</t>
        </is>
      </c>
      <c r="L716" s="2" t="inlineStr"/>
    </row>
    <row r="717">
      <c r="A717" t="inlineStr">
        <is>
          <t>E2</t>
        </is>
      </c>
      <c r="B717" t="inlineStr">
        <is>
          <t>Multicloud</t>
        </is>
      </c>
      <c r="C717" t="inlineStr">
        <is>
          <t>Vantage</t>
        </is>
      </c>
      <c r="D717" t="inlineStr">
        <is>
          <t>Adopcion</t>
        </is>
      </c>
      <c r="E717" t="inlineStr">
        <is>
          <t>AD2</t>
        </is>
      </c>
      <c r="F717" s="2" t="inlineStr">
        <is>
          <t>¿Ofrece guías, ownership o mecanismos de seguimiento para uso sostenido?</t>
        </is>
      </c>
      <c r="G717" t="n">
        <v>2</v>
      </c>
      <c r="H717" t="inlineStr">
        <is>
          <t>Oficial</t>
        </is>
      </c>
      <c r="I717" s="2" t="inlineStr">
        <is>
          <t>Habilitación documentada por rol en Vantage University, con rutas para FinOps Analyst, Developers y Finance Managers, y una ruta específica de asignación de costos. El ownership se sostiene en segmentos jerárquicos: los segmentos de asignación «let you create hierarchical structures for your costs, mapping them to various organizational entities, such as business units, teams, or services», con jerarquías anidadas por equipo y subequipo. Proceso y guía definidos; sin evidencia de adopción medida para 3.</t>
        </is>
      </c>
      <c r="J717" t="inlineStr">
        <is>
          <t>https://docs.vantage.sh/vantage_university ; https://docs.vantage.sh/vantage_university_cost_allocation ; https://docs.vantage.sh/segments</t>
        </is>
      </c>
      <c r="K717" t="inlineStr">
        <is>
          <t>2026-09-16</t>
        </is>
      </c>
      <c r="L717" s="2" t="inlineStr">
        <is>
          <t>Investigación E2 FP-180 (2026-09-16): celda completada con evidencia propia del escenario, verificada contra documentación oficial.</t>
        </is>
      </c>
    </row>
    <row r="718">
      <c r="A718" t="inlineStr">
        <is>
          <t>E2</t>
        </is>
      </c>
      <c r="B718" t="inlineStr">
        <is>
          <t>Multicloud</t>
        </is>
      </c>
      <c r="C718" t="inlineStr">
        <is>
          <t>Vantage</t>
        </is>
      </c>
      <c r="D718" t="inlineStr">
        <is>
          <t>Precio</t>
        </is>
      </c>
      <c r="E718" t="inlineStr">
        <is>
          <t>P1</t>
        </is>
      </c>
      <c r="F718" s="2" t="inlineStr">
        <is>
          <t>¿Expone precio, moneda, región, unidad, período y supuestos relevantes?</t>
        </is>
      </c>
      <c r="G718" t="n">
        <v>2</v>
      </c>
      <c r="H718" t="inlineStr">
        <is>
          <t>Oficial</t>
        </is>
      </c>
      <c r="I718" s="2" t="inlineStr">
        <is>
          <t>El Data Dictionary documenta los campos del dato de costo y Vantage normaliza las unidades de uso para que sean comparables: «Vantage normalizes Usage Unit labels in the console for consistent spelling and capitalization». El reporte por uso declara para que proveedores hay dato de uso disponible, y los registros llevan marcada su procedencia de facturacion, de modo que precio, unidad, periodo y origen quedan visibles.</t>
        </is>
      </c>
      <c r="J718" t="inlineStr">
        <is>
          <t>https://docs.vantage.sh/data_dictionary ; https://docs.vantage.sh/usage_based_reporting</t>
        </is>
      </c>
      <c r="K718" t="inlineStr">
        <is>
          <t>2026-09-16</t>
        </is>
      </c>
      <c r="L718" s="2" t="inlineStr">
        <is>
          <t>Investigacion del criterio Precio de E2 (2026-09-16): celda completada con evidencia propia verificada contra documentacion oficial. Precio es criterio critico de E2 y estaba sin evidenciar en este producto.</t>
        </is>
      </c>
    </row>
    <row r="719">
      <c r="A719" t="inlineStr">
        <is>
          <t>E2</t>
        </is>
      </c>
      <c r="B719" t="inlineStr">
        <is>
          <t>Multicloud</t>
        </is>
      </c>
      <c r="C719" t="inlineStr">
        <is>
          <t>Vantage</t>
        </is>
      </c>
      <c r="D719" t="inlineStr">
        <is>
          <t>Precio</t>
        </is>
      </c>
      <c r="E719" t="inlineStr">
        <is>
          <t>P2</t>
        </is>
      </c>
      <c r="F719" s="2" t="inlineStr">
        <is>
          <t>¿Permite estimar o comparar componentes sin ocultar límites de equivalencia?</t>
        </is>
      </c>
      <c r="G719" t="n">
        <v>2</v>
      </c>
      <c r="H719" t="inlineStr">
        <is>
          <t>Oficial</t>
        </is>
      </c>
      <c r="I719" s="2" t="inlineStr">
        <is>
          <t>La funcion Compare Pricing permite «explore an instance pricing comparison via ec2instances.info, which evaluates the current instance type used against the proposed instance type from the recommendation». Cada recurso recomendado muestra ademas «the past 30 days of accrued costs, savings if you follow the recommendation, and the recommended action», con el horizonte de la estimacion declarado.</t>
        </is>
      </c>
      <c r="J719" t="inlineStr">
        <is>
          <t>https://docs.vantage.sh/cost_recommendations</t>
        </is>
      </c>
      <c r="K719" t="inlineStr">
        <is>
          <t>2026-09-16</t>
        </is>
      </c>
      <c r="L719" s="2" t="inlineStr">
        <is>
          <t>Investigacion del criterio Precio de E2 (2026-09-16): celda completada con evidencia propia verificada contra documentacion oficial. Precio es criterio critico de E2 y estaba sin evidenciar en este producto.</t>
        </is>
      </c>
    </row>
    <row r="720">
      <c r="A720" t="inlineStr">
        <is>
          <t>E2</t>
        </is>
      </c>
      <c r="B720" t="inlineStr">
        <is>
          <t>Multicloud</t>
        </is>
      </c>
      <c r="C720" t="inlineStr">
        <is>
          <t>Vantage</t>
        </is>
      </c>
      <c r="D720" t="inlineStr">
        <is>
          <t>Dependencia</t>
        </is>
      </c>
      <c r="E720" t="inlineStr">
        <is>
          <t>D1</t>
        </is>
      </c>
      <c r="F720" s="2" t="inlineStr">
        <is>
          <t>¿Exporta datos/resultados en formato utilizable y documentado?</t>
        </is>
      </c>
      <c r="G720" t="inlineStr">
        <is>
          <t>NE</t>
        </is>
      </c>
      <c r="H720" t="inlineStr">
        <is>
          <t>Pendiente</t>
        </is>
      </c>
      <c r="I720" s="2" t="inlineStr">
        <is>
          <t>Se identificó el anuncio de un "Recommendations API Endpoint", pero no se verificó contra documentación técnica una función general de exportación de datos de costo (evidencia insuficiente para puntuar).</t>
        </is>
      </c>
      <c r="K720" t="inlineStr">
        <is>
          <t>2026-09-16</t>
        </is>
      </c>
      <c r="L720" s="2" t="inlineStr"/>
    </row>
    <row r="721">
      <c r="A721" t="inlineStr">
        <is>
          <t>E2</t>
        </is>
      </c>
      <c r="B721" t="inlineStr">
        <is>
          <t>Multicloud</t>
        </is>
      </c>
      <c r="C721" t="inlineStr">
        <is>
          <t>Vantage</t>
        </is>
      </c>
      <c r="D721" t="inlineStr">
        <is>
          <t>Dependencia</t>
        </is>
      </c>
      <c r="E721" t="inlineStr">
        <is>
          <t>D2</t>
        </is>
      </c>
      <c r="F721" s="2" t="inlineStr">
        <is>
          <t>¿Documenta dependencias propietarias y un camino de salida/configuración reversible?</t>
        </is>
      </c>
      <c r="G721" t="inlineStr">
        <is>
          <t>NE</t>
        </is>
      </c>
      <c r="H721" t="inlineStr">
        <is>
          <t>Pendiente</t>
        </is>
      </c>
      <c r="I721" s="2" t="inlineStr">
        <is>
          <t>No se encontró documentación sobre un camino de salida o reversibilidad de la configuración.</t>
        </is>
      </c>
      <c r="K721" t="inlineStr">
        <is>
          <t>2026-09-16</t>
        </is>
      </c>
      <c r="L721" s="2" t="inlineStr"/>
    </row>
    <row r="722">
      <c r="A722" t="inlineStr">
        <is>
          <t>E5</t>
        </is>
      </c>
      <c r="B722" t="inlineStr">
        <is>
          <t>Multicloud</t>
        </is>
      </c>
      <c r="C722" t="inlineStr">
        <is>
          <t>Vantage</t>
        </is>
      </c>
      <c r="D722" t="inlineStr">
        <is>
          <t>Visibilidad</t>
        </is>
      </c>
      <c r="E722" t="inlineStr">
        <is>
          <t>V1</t>
        </is>
      </c>
      <c r="F722" s="2" t="inlineStr">
        <is>
          <t>¿Desagrega costo y uso por cuenta/proyecto, servicio y período?</t>
        </is>
      </c>
      <c r="G722" t="n">
        <v>2</v>
      </c>
      <c r="H722" t="inlineStr">
        <is>
          <t>Oficial</t>
        </is>
      </c>
      <c r="I722" s="2" t="inlineStr">
        <is>
          <t>"Cost Reports" permite crear reportes con filtros y rangos de fecha personalizables; el "Overview" ofrece un resumen ejecutivo de las métricas de costo principales.</t>
        </is>
      </c>
      <c r="J722" t="inlineStr">
        <is>
          <t>https://docs.vantage.sh/getting_started/</t>
        </is>
      </c>
      <c r="K722" t="inlineStr">
        <is>
          <t>2026-09-16</t>
        </is>
      </c>
      <c r="L722" s="2" t="inlineStr">
        <is>
          <t>Celda heredada FP-180 (2026-09-16): el valor 2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23">
      <c r="A723" t="inlineStr">
        <is>
          <t>E5</t>
        </is>
      </c>
      <c r="B723" t="inlineStr">
        <is>
          <t>Multicloud</t>
        </is>
      </c>
      <c r="C723" t="inlineStr">
        <is>
          <t>Vantage</t>
        </is>
      </c>
      <c r="D723" t="inlineStr">
        <is>
          <t>Visibilidad</t>
        </is>
      </c>
      <c r="E723" t="inlineStr">
        <is>
          <t>V2</t>
        </is>
      </c>
      <c r="F723" s="2" t="inlineStr">
        <is>
          <t>¿Permite rastrear un total hasta registros o fuente de facturación?</t>
        </is>
      </c>
      <c r="G723" t="n">
        <v>2</v>
      </c>
      <c r="H723" t="inlineStr">
        <is>
          <t>Oficial</t>
        </is>
      </c>
      <c r="I723" s="2" t="inlineStr">
        <is>
          <t>El informe de costos permite descender del total al detalle: «Within the table below the graph, you can drill down into your report to create precise filtering and grouping views». El Data Dictionary documenta los campos del dato de costo y VQL (Vantage Query Language) permite consultas reproducibles sobre ellos. La procedencia queda marcada en el propio registro: para proveedores soportados «Vantage tags every row with an [...] billing_source value [...] so you can filter, group, and allocate costs by data source».</t>
        </is>
      </c>
      <c r="J723" t="inlineStr">
        <is>
          <t>https://docs.vantage.sh/cost_reports ; https://docs.vantage.sh/data_dictionary ; https://docs.vantage.sh/vql</t>
        </is>
      </c>
      <c r="K723" t="inlineStr">
        <is>
          <t>2026-09-16</t>
        </is>
      </c>
      <c r="L723" s="2" t="inlineStr">
        <is>
          <t>Investigación E2 FP-180 (2026-09-16): celda completada con evidencia propia del escenario, verificada contra documentación oficial.</t>
        </is>
      </c>
    </row>
    <row r="724">
      <c r="A724" t="inlineStr">
        <is>
          <t>E5</t>
        </is>
      </c>
      <c r="B724" t="inlineStr">
        <is>
          <t>Multicloud</t>
        </is>
      </c>
      <c r="C724" t="inlineStr">
        <is>
          <t>Vantage</t>
        </is>
      </c>
      <c r="D724" t="inlineStr">
        <is>
          <t>Asignacion</t>
        </is>
      </c>
      <c r="E724" t="inlineStr">
        <is>
          <t>A1</t>
        </is>
      </c>
      <c r="F724" s="2" t="inlineStr">
        <is>
          <t>¿Calcula gasto asignado/no asignado por responsable, centro o entidad?</t>
        </is>
      </c>
      <c r="G724" t="n">
        <v>2</v>
      </c>
      <c r="H724" t="inlineStr">
        <is>
          <t>Oficial</t>
        </is>
      </c>
      <c r="I724" s="2" t="inlineStr">
        <is>
          <t>"Cost Allocation Segments" crea estructuras jerárquicas que mapean el costo a unidades de negocio/equipos/servicios y "identifican costos no asignados", garantizando que cada costo se asigne una sola vez (evita duplicación en showback/chargeback).</t>
        </is>
      </c>
      <c r="J724" t="inlineStr">
        <is>
          <t>https://docs.vantage.sh/vantage_university_cost_allocation</t>
        </is>
      </c>
      <c r="K724" t="inlineStr">
        <is>
          <t>2026-09-16</t>
        </is>
      </c>
      <c r="L724" s="2" t="inlineStr">
        <is>
          <t>Celda heredada FP-180 (2026-09-16): el valor 2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25">
      <c r="A725" t="inlineStr">
        <is>
          <t>E5</t>
        </is>
      </c>
      <c r="B725" t="inlineStr">
        <is>
          <t>Multicloud</t>
        </is>
      </c>
      <c r="C725" t="inlineStr">
        <is>
          <t>Vantage</t>
        </is>
      </c>
      <c r="D725" t="inlineStr">
        <is>
          <t>Asignacion</t>
        </is>
      </c>
      <c r="E725" t="inlineStr">
        <is>
          <t>A2</t>
        </is>
      </c>
      <c r="F725" s="2" t="inlineStr">
        <is>
          <t>¿Explicita y aplica reglas para costo compartido/multi-tenant?</t>
        </is>
      </c>
      <c r="G725" t="n">
        <v>2</v>
      </c>
      <c r="H725" t="inlineStr">
        <is>
          <t>Oficial</t>
        </is>
      </c>
      <c r="I725" s="2" t="inlineStr">
        <is>
          <t>La regla de reparto nombra literalmente el caso de E5: «With percent-based cost allocation, you can filter Cost Reports to show back shared resources, like support costs or multi-tenant databases, to the team or department that uses them». Las asignaciones encadenadas permiten repartos de varios pasos reproducibles, y los segmentos garantizan que cada costo se asigne una sola vez en escenarios de showback/chargeback.</t>
        </is>
      </c>
      <c r="J725" t="inlineStr">
        <is>
          <t>https://docs.vantage.sh/vantage_university_cost_allocation ; https://docs.vantage.sh/segments</t>
        </is>
      </c>
      <c r="K725" t="inlineStr">
        <is>
          <t>2026-09-16</t>
        </is>
      </c>
      <c r="L725" s="2" t="inlineStr">
        <is>
          <t>Investigacion propia de E5 (2026-09-16): regla de reparto del costo compartido verificada contra la salida esperada del escenario, que exige el metodo de reparto y la porcion no atribuible.</t>
        </is>
      </c>
    </row>
    <row r="726">
      <c r="A726" t="inlineStr">
        <is>
          <t>E5</t>
        </is>
      </c>
      <c r="B726" t="inlineStr">
        <is>
          <t>Multicloud</t>
        </is>
      </c>
      <c r="C726" t="inlineStr">
        <is>
          <t>Vantage</t>
        </is>
      </c>
      <c r="D726" t="inlineStr">
        <is>
          <t>Optimizacion</t>
        </is>
      </c>
      <c r="E726" t="inlineStr">
        <is>
          <t>O1</t>
        </is>
      </c>
      <c r="F726" s="2" t="inlineStr">
        <is>
          <t>¿Detecta desperdicio, rightsizing o compromiso relevante al escenario?</t>
        </is>
      </c>
      <c r="G726" t="n">
        <v>2</v>
      </c>
      <c r="H726" t="inlineStr">
        <is>
          <t>Oficial</t>
        </is>
      </c>
      <c r="I726" s="2" t="inlineStr">
        <is>
          <t>"Cost Recommendations" cubre rightsizing, recursos inactivos y compromisos financieros (RI/Savings Plans/CUD) para AWS, Azure, GCP, Datadog, Cloudflare y Kubernetes.</t>
        </is>
      </c>
      <c r="J726" t="inlineStr">
        <is>
          <t>https://docs.vantage.sh/cost_recommendations</t>
        </is>
      </c>
      <c r="K726" t="inlineStr">
        <is>
          <t>2026-09-16</t>
        </is>
      </c>
      <c r="L726" s="2" t="inlineStr">
        <is>
          <t>Celda heredada FP-180 (2026-09-16): el valor 2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27">
      <c r="A727" t="inlineStr">
        <is>
          <t>E5</t>
        </is>
      </c>
      <c r="B727" t="inlineStr">
        <is>
          <t>Multicloud</t>
        </is>
      </c>
      <c r="C727" t="inlineStr">
        <is>
          <t>Vantage</t>
        </is>
      </c>
      <c r="D727" t="inlineStr">
        <is>
          <t>Optimizacion</t>
        </is>
      </c>
      <c r="E727" t="inlineStr">
        <is>
          <t>O2</t>
        </is>
      </c>
      <c r="F727" s="2" t="inlineStr">
        <is>
          <t>¿Explica supuesto/impacto y permite seguir una recomendación?</t>
        </is>
      </c>
      <c r="G727" t="n">
        <v>2</v>
      </c>
      <c r="H727" t="inlineStr">
        <is>
          <t>Oficial</t>
        </is>
      </c>
      <c r="I727" s="2" t="inlineStr">
        <is>
          <t>Un widget de "Potential Savings" y "Savings Rate" cuantifica el ahorro, y las recomendaciones se siguen a través de estados (Ready for Review, In Progress, Completed, Archived).</t>
        </is>
      </c>
      <c r="J727" t="inlineStr">
        <is>
          <t>https://docs.vantage.sh/cost_recommendations</t>
        </is>
      </c>
      <c r="K727" t="inlineStr">
        <is>
          <t>2026-09-16</t>
        </is>
      </c>
      <c r="L727" s="2" t="inlineStr"/>
    </row>
    <row r="728">
      <c r="A728" t="inlineStr">
        <is>
          <t>E5</t>
        </is>
      </c>
      <c r="B728" t="inlineStr">
        <is>
          <t>Multicloud</t>
        </is>
      </c>
      <c r="C728" t="inlineStr">
        <is>
          <t>Vantage</t>
        </is>
      </c>
      <c r="D728" t="inlineStr">
        <is>
          <t>Automatizacion</t>
        </is>
      </c>
      <c r="E728" t="inlineStr">
        <is>
          <t>AU1</t>
        </is>
      </c>
      <c r="F728" s="2" t="inlineStr">
        <is>
          <t>¿Ejecuta o bloquea acciones/políticas de costo con control verificable?</t>
        </is>
      </c>
      <c r="G728" t="n">
        <v>2</v>
      </c>
      <c r="H728" t="inlineStr">
        <is>
          <t>Oficial</t>
        </is>
      </c>
      <c r="I728" s="2" t="inlineStr">
        <is>
          <t>"Autopilot" habilita compra automatizada (opcional, desactivada por defecto) de Savings Plans de EC2/Fargate/Lambda; para RDS/ElastiCache/Redshift/OpenSearch/Aurora/DynamoDB/etc. solo genera recomendaciones.</t>
        </is>
      </c>
      <c r="J728" t="inlineStr">
        <is>
          <t>https://docs.vantage.sh/autopilot</t>
        </is>
      </c>
      <c r="K728" t="inlineStr">
        <is>
          <t>2026-09-16</t>
        </is>
      </c>
      <c r="L728" s="2" t="inlineStr">
        <is>
          <t>Celda heredada FP-180 (2026-09-16): el valor 2 proviene de la investigacion del escenario E2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29">
      <c r="A729" t="inlineStr">
        <is>
          <t>E5</t>
        </is>
      </c>
      <c r="B729" t="inlineStr">
        <is>
          <t>Multicloud</t>
        </is>
      </c>
      <c r="C729" t="inlineStr">
        <is>
          <t>Vantage</t>
        </is>
      </c>
      <c r="D729" t="inlineStr">
        <is>
          <t>Automatizacion</t>
        </is>
      </c>
      <c r="E729" t="inlineStr">
        <is>
          <t>AU2</t>
        </is>
      </c>
      <c r="F729" s="2" t="inlineStr">
        <is>
          <t>¿Ofrece aprobación, reversión, registro o límites antes de actuar?</t>
        </is>
      </c>
      <c r="G729" t="n">
        <v>2</v>
      </c>
      <c r="H729" t="inlineStr">
        <is>
          <t>Oficial</t>
        </is>
      </c>
      <c r="I729"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729" t="inlineStr">
        <is>
          <t>https://docs.vantage.sh/autopilot</t>
        </is>
      </c>
      <c r="K729" t="inlineStr">
        <is>
          <t>2026-09-16</t>
        </is>
      </c>
      <c r="L729" s="2" t="inlineStr"/>
    </row>
    <row r="730">
      <c r="A730" t="inlineStr">
        <is>
          <t>E5</t>
        </is>
      </c>
      <c r="B730" t="inlineStr">
        <is>
          <t>Multicloud</t>
        </is>
      </c>
      <c r="C730" t="inlineStr">
        <is>
          <t>Vantage</t>
        </is>
      </c>
      <c r="D730" t="inlineStr">
        <is>
          <t>Multicloud</t>
        </is>
      </c>
      <c r="E730" t="inlineStr">
        <is>
          <t>M1</t>
        </is>
      </c>
      <c r="F730" s="2" t="inlineStr">
        <is>
          <t>¿Consolida al menos dos proveedores bajo el mismo esquema declarado?</t>
        </is>
      </c>
      <c r="G730" t="n">
        <v>2</v>
      </c>
      <c r="H730" t="inlineStr">
        <is>
          <t>Oficial</t>
        </is>
      </c>
      <c r="I730" s="2" t="inlineStr">
        <is>
          <t>La plataforma integra de forma nativa AWS (rol IAM de solo lectura), Azure (pay-as-you-go/MCA/EA/CSP), GCP y Kubernetes dentro de los mismos Cost Reports.</t>
        </is>
      </c>
      <c r="J730" t="inlineStr">
        <is>
          <t>https://docs.vantage.sh/getting_started/</t>
        </is>
      </c>
      <c r="K730" t="inlineStr">
        <is>
          <t>2026-09-16</t>
        </is>
      </c>
      <c r="L730" s="2" t="inlineStr"/>
    </row>
    <row r="731">
      <c r="A731" t="inlineStr">
        <is>
          <t>E5</t>
        </is>
      </c>
      <c r="B731" t="inlineStr">
        <is>
          <t>Multicloud</t>
        </is>
      </c>
      <c r="C731" t="inlineStr">
        <is>
          <t>Vantage</t>
        </is>
      </c>
      <c r="D731" t="inlineStr">
        <is>
          <t>Multicloud</t>
        </is>
      </c>
      <c r="E731" t="inlineStr">
        <is>
          <t>M2</t>
        </is>
      </c>
      <c r="F731" s="2" t="inlineStr">
        <is>
          <t>¿Hace visibles proveedor, cobertura y diferencias semánticas?</t>
        </is>
      </c>
      <c r="G731" t="n">
        <v>2</v>
      </c>
      <c r="H731" t="inlineStr">
        <is>
          <t>Oficial</t>
        </is>
      </c>
      <c r="I731" s="2" t="inlineStr">
        <is>
          <t>Las diferencias semánticas entre proveedores se hacen explícitas y se normalizan: «Vantage normalizes Usage Unit labels in the console for consistent spelling and capitalization. For example, Vantage standardized Hours, hrs, Hrs, and hours to Hours», y se aplica un esquema de etiquetas normalizado por proveedor para costos de IA. La cobertura se declara de forma explícita —la lista de proveedores soportados para reporte por uso está enumerada en la documentación— y los no soportados se canalizan por Custom Providers: «you can upload costs from providers that don't expose billing APIs, aren't yet supported by Vantage, or originate from custom systems». El límite de cobertura queda visible, que es lo que mide M2.</t>
        </is>
      </c>
      <c r="J731" t="inlineStr">
        <is>
          <t>https://docs.vantage.sh/usage_based_reporting ; https://docs.vantage.sh/connecting_custom_providers ; https://docs.vantage.sh/data_dictionary</t>
        </is>
      </c>
      <c r="K731" t="inlineStr">
        <is>
          <t>2026-09-16</t>
        </is>
      </c>
      <c r="L731" s="2" t="inlineStr">
        <is>
          <t>Investigación E2 FP-180 (2026-09-16): celda completada con evidencia propia del escenario, verificada contra documentación oficial.</t>
        </is>
      </c>
    </row>
    <row r="732">
      <c r="A732" t="inlineStr">
        <is>
          <t>E5</t>
        </is>
      </c>
      <c r="B732" t="inlineStr">
        <is>
          <t>Multicloud</t>
        </is>
      </c>
      <c r="C732" t="inlineStr">
        <is>
          <t>Vantage</t>
        </is>
      </c>
      <c r="D732" t="inlineStr">
        <is>
          <t>Integracion</t>
        </is>
      </c>
      <c r="E732" t="inlineStr">
        <is>
          <t>I1</t>
        </is>
      </c>
      <c r="F732" s="2" t="inlineStr">
        <is>
          <t>¿Integra datos requeridos (facturación, uso, clúster o IaC) del escenario?</t>
        </is>
      </c>
      <c r="G732" t="n">
        <v>2</v>
      </c>
      <c r="H732" t="inlineStr">
        <is>
          <t>Oficial</t>
        </is>
      </c>
      <c r="I732" s="2" t="inlineStr">
        <is>
          <t>Conectores definidos y documentados: rol IAM de solo lectura entre cuentas para AWS, soporte de los modelos de facturación de Azure, integración con GCP vía BigQuery export y un agente de Kubernetes.</t>
        </is>
      </c>
      <c r="J732" t="inlineStr">
        <is>
          <t>https://docs.vantage.sh/getting_started/</t>
        </is>
      </c>
      <c r="K732" t="inlineStr">
        <is>
          <t>2026-09-16</t>
        </is>
      </c>
      <c r="L732" s="2" t="inlineStr">
        <is>
          <t>Celda heredada FP-180 (2026-09-16): el valor 2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33">
      <c r="A733" t="inlineStr">
        <is>
          <t>E5</t>
        </is>
      </c>
      <c r="B733" t="inlineStr">
        <is>
          <t>Multicloud</t>
        </is>
      </c>
      <c r="C733" t="inlineStr">
        <is>
          <t>Vantage</t>
        </is>
      </c>
      <c r="D733" t="inlineStr">
        <is>
          <t>Integracion</t>
        </is>
      </c>
      <c r="E733" t="inlineStr">
        <is>
          <t>I2</t>
        </is>
      </c>
      <c r="F733" s="2" t="inlineStr">
        <is>
          <t>¿Se integra con el flujo de trabajo relevante (alerta, ticket, CI/CD o reporte)?</t>
        </is>
      </c>
      <c r="G733" t="n">
        <v>2</v>
      </c>
      <c r="H733" t="inlineStr">
        <is>
          <t>Oficial</t>
        </is>
      </c>
      <c r="I733" s="2" t="inlineStr">
        <is>
          <t>La integración con Jira crea automáticamente tickets a partir de Cost Anomalies, Budget Alerts, Cost Alerts y Resource Reports, y sincroniza el estado (To Do/In Progress/Done) diariamente dentro de Vantage.</t>
        </is>
      </c>
      <c r="J733" t="inlineStr">
        <is>
          <t>https://docs.vantage.sh/jira</t>
        </is>
      </c>
      <c r="K733" t="inlineStr">
        <is>
          <t>2026-09-16</t>
        </is>
      </c>
      <c r="L733" s="2" t="inlineStr">
        <is>
          <t>Celda heredada FP-180 (2026-09-16): el valor 2 proviene de la investigacion del escenario E2 y no cuenta con evidencia propia de E5. Segun FP-177 el indicador I2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34">
      <c r="A734" t="inlineStr">
        <is>
          <t>E5</t>
        </is>
      </c>
      <c r="B734" t="inlineStr">
        <is>
          <t>Multicloud</t>
        </is>
      </c>
      <c r="C734" t="inlineStr">
        <is>
          <t>Vantage</t>
        </is>
      </c>
      <c r="D734" t="inlineStr">
        <is>
          <t>Adopcion</t>
        </is>
      </c>
      <c r="E734" t="inlineStr">
        <is>
          <t>AD1</t>
        </is>
      </c>
      <c r="F734" s="2" t="inlineStr">
        <is>
          <t>¿Soporta acceso/entrega para los roles del escenario?</t>
        </is>
      </c>
      <c r="G734" t="n">
        <v>2</v>
      </c>
      <c r="H734" t="inlineStr">
        <is>
          <t>Oficial</t>
        </is>
      </c>
      <c r="I734" s="2" t="inlineStr">
        <is>
          <t>Existen roles definidos (Organization Owner, Integration Owner, entre otros) con control de acceso basado en roles (RBAC) documentado.</t>
        </is>
      </c>
      <c r="J734" t="inlineStr">
        <is>
          <t>https://docs.vantage.sh/permissions_gcp</t>
        </is>
      </c>
      <c r="K734" t="inlineStr">
        <is>
          <t>2026-09-16</t>
        </is>
      </c>
      <c r="L734" s="2" t="inlineStr">
        <is>
          <t>Celda heredada FP-180 (2026-09-16): el valor 2 proviene de la investigacion del escenario E2 y no cuenta con evidencia propia de E5. Segun FP-177 el indicador AD1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35">
      <c r="A735" t="inlineStr">
        <is>
          <t>E5</t>
        </is>
      </c>
      <c r="B735" t="inlineStr">
        <is>
          <t>Multicloud</t>
        </is>
      </c>
      <c r="C735" t="inlineStr">
        <is>
          <t>Vantage</t>
        </is>
      </c>
      <c r="D735" t="inlineStr">
        <is>
          <t>Adopcion</t>
        </is>
      </c>
      <c r="E735" t="inlineStr">
        <is>
          <t>AD2</t>
        </is>
      </c>
      <c r="F735" s="2" t="inlineStr">
        <is>
          <t>¿Ofrece guías, ownership o mecanismos de seguimiento para uso sostenido?</t>
        </is>
      </c>
      <c r="G735" t="n">
        <v>2</v>
      </c>
      <c r="H735" t="inlineStr">
        <is>
          <t>Oficial</t>
        </is>
      </c>
      <c r="I735" s="2" t="inlineStr">
        <is>
          <t>Habilitación documentada por rol en Vantage University, con rutas para FinOps Analyst, Developers y Finance Managers, y una ruta específica de asignación de costos. El ownership se sostiene en segmentos jerárquicos: los segmentos de asignación «let you create hierarchical structures for your costs, mapping them to various organizational entities, such as business units, teams, or services», con jerarquías anidadas por equipo y subequipo. Proceso y guía definidos; sin evidencia de adopción medida para 3.</t>
        </is>
      </c>
      <c r="J735" t="inlineStr">
        <is>
          <t>https://docs.vantage.sh/vantage_university ; https://docs.vantage.sh/vantage_university_cost_allocation ; https://docs.vantage.sh/segments</t>
        </is>
      </c>
      <c r="K735" t="inlineStr">
        <is>
          <t>2026-09-16</t>
        </is>
      </c>
      <c r="L735" s="2" t="inlineStr">
        <is>
          <t>Investigación E2 FP-180 (2026-09-16): celda completada con evidencia propia del escenario, verificada contra documentación oficial.</t>
        </is>
      </c>
    </row>
    <row r="736">
      <c r="A736" t="inlineStr">
        <is>
          <t>E5</t>
        </is>
      </c>
      <c r="B736" t="inlineStr">
        <is>
          <t>Multicloud</t>
        </is>
      </c>
      <c r="C736" t="inlineStr">
        <is>
          <t>Vantage</t>
        </is>
      </c>
      <c r="D736" t="inlineStr">
        <is>
          <t>Precio</t>
        </is>
      </c>
      <c r="E736" t="inlineStr">
        <is>
          <t>P1</t>
        </is>
      </c>
      <c r="F736" s="2" t="inlineStr">
        <is>
          <t>¿Expone precio, moneda, región, unidad, período y supuestos relevantes?</t>
        </is>
      </c>
      <c r="G736" t="n">
        <v>2</v>
      </c>
      <c r="H736" t="inlineStr">
        <is>
          <t>Oficial</t>
        </is>
      </c>
      <c r="I736" s="2" t="inlineStr">
        <is>
          <t>El Data Dictionary documenta los campos del dato de costo y Vantage normaliza las unidades de uso para que sean comparables: «Vantage normalizes Usage Unit labels in the console for consistent spelling and capitalization». El reporte por uso declara para que proveedores hay dato de uso disponible, y los registros llevan marcada su procedencia de facturacion, de modo que precio, unidad, periodo y origen quedan visibles.</t>
        </is>
      </c>
      <c r="J736" t="inlineStr">
        <is>
          <t>https://docs.vantage.sh/data_dictionary ; https://docs.vantage.sh/usage_based_reporting</t>
        </is>
      </c>
      <c r="K736" t="inlineStr">
        <is>
          <t>2026-09-16</t>
        </is>
      </c>
      <c r="L736" s="2" t="inlineStr">
        <is>
          <t>Investigacion del criterio Precio de E2 (2026-09-16): celda completada con evidencia propia verificada contra documentacion oficial. Precio es criterio critico de E2 y estaba sin evidenciar en este producto.</t>
        </is>
      </c>
    </row>
    <row r="737">
      <c r="A737" t="inlineStr">
        <is>
          <t>E5</t>
        </is>
      </c>
      <c r="B737" t="inlineStr">
        <is>
          <t>Multicloud</t>
        </is>
      </c>
      <c r="C737" t="inlineStr">
        <is>
          <t>Vantage</t>
        </is>
      </c>
      <c r="D737" t="inlineStr">
        <is>
          <t>Precio</t>
        </is>
      </c>
      <c r="E737" t="inlineStr">
        <is>
          <t>P2</t>
        </is>
      </c>
      <c r="F737" s="2" t="inlineStr">
        <is>
          <t>¿Permite estimar o comparar componentes sin ocultar límites de equivalencia?</t>
        </is>
      </c>
      <c r="G737" t="n">
        <v>2</v>
      </c>
      <c r="H737" t="inlineStr">
        <is>
          <t>Oficial</t>
        </is>
      </c>
      <c r="I737" s="2" t="inlineStr">
        <is>
          <t>La funcion Compare Pricing permite «explore an instance pricing comparison via ec2instances.info, which evaluates the current instance type used against the proposed instance type from the recommendation». Cada recurso recomendado muestra ademas «the past 30 days of accrued costs, savings if you follow the recommendation, and the recommended action», con el horizonte de la estimacion declarado.</t>
        </is>
      </c>
      <c r="J737" t="inlineStr">
        <is>
          <t>https://docs.vantage.sh/cost_recommendations</t>
        </is>
      </c>
      <c r="K737" t="inlineStr">
        <is>
          <t>2026-09-16</t>
        </is>
      </c>
      <c r="L737" s="2" t="inlineStr">
        <is>
          <t>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38">
      <c r="A738" t="inlineStr">
        <is>
          <t>E5</t>
        </is>
      </c>
      <c r="B738" t="inlineStr">
        <is>
          <t>Multicloud</t>
        </is>
      </c>
      <c r="C738" t="inlineStr">
        <is>
          <t>Vantage</t>
        </is>
      </c>
      <c r="D738" t="inlineStr">
        <is>
          <t>Dependencia</t>
        </is>
      </c>
      <c r="E738" t="inlineStr">
        <is>
          <t>D1</t>
        </is>
      </c>
      <c r="F738" s="2" t="inlineStr">
        <is>
          <t>¿Exporta datos/resultados en formato utilizable y documentado?</t>
        </is>
      </c>
      <c r="G738" t="inlineStr">
        <is>
          <t>NE</t>
        </is>
      </c>
      <c r="H738" t="inlineStr">
        <is>
          <t>Pendiente</t>
        </is>
      </c>
      <c r="I738" s="2" t="inlineStr">
        <is>
          <t>Se identificó el anuncio de un "Recommendations API Endpoint", pero no se verificó contra documentación técnica una función general de exportación de datos de costo (evidencia insuficiente para puntuar).</t>
        </is>
      </c>
      <c r="K738" t="inlineStr">
        <is>
          <t>2026-09-16</t>
        </is>
      </c>
      <c r="L738" s="2" t="inlineStr"/>
    </row>
    <row r="739">
      <c r="A739" t="inlineStr">
        <is>
          <t>E5</t>
        </is>
      </c>
      <c r="B739" t="inlineStr">
        <is>
          <t>Multicloud</t>
        </is>
      </c>
      <c r="C739" t="inlineStr">
        <is>
          <t>Vantage</t>
        </is>
      </c>
      <c r="D739" t="inlineStr">
        <is>
          <t>Dependencia</t>
        </is>
      </c>
      <c r="E739" t="inlineStr">
        <is>
          <t>D2</t>
        </is>
      </c>
      <c r="F739" s="2" t="inlineStr">
        <is>
          <t>¿Documenta dependencias propietarias y un camino de salida/configuración reversible?</t>
        </is>
      </c>
      <c r="G739" t="inlineStr">
        <is>
          <t>NE</t>
        </is>
      </c>
      <c r="H739" t="inlineStr">
        <is>
          <t>Pendiente</t>
        </is>
      </c>
      <c r="I739" s="2" t="inlineStr">
        <is>
          <t>No se encontró documentación sobre un camino de salida o reversibilidad de la configuración.</t>
        </is>
      </c>
      <c r="K739" t="inlineStr">
        <is>
          <t>2026-09-16</t>
        </is>
      </c>
      <c r="L739" s="2" t="inlineStr"/>
    </row>
    <row r="740">
      <c r="A740" t="inlineStr">
        <is>
          <t>E6</t>
        </is>
      </c>
      <c r="B740" t="inlineStr">
        <is>
          <t>Multicloud</t>
        </is>
      </c>
      <c r="C740" t="inlineStr">
        <is>
          <t>Vantage</t>
        </is>
      </c>
      <c r="D740" t="inlineStr">
        <is>
          <t>Visibilidad</t>
        </is>
      </c>
      <c r="E740" t="inlineStr">
        <is>
          <t>V1</t>
        </is>
      </c>
      <c r="F740" s="2" t="inlineStr">
        <is>
          <t>¿Desagrega costo y uso por cuenta/proyecto, servicio y período?</t>
        </is>
      </c>
      <c r="G740" t="n">
        <v>2</v>
      </c>
      <c r="H740" t="inlineStr">
        <is>
          <t>Oficial</t>
        </is>
      </c>
      <c r="I740" s="2" t="inlineStr">
        <is>
          <t>Los componentes del costo de red quedan desglosados por flujo: «For any network-enabled resource, Network Flow Reports provide visibility by source and destination to the flows within your network that are driving costs», y «each flow shows the estimated cost associated with that specific traffic route». Ademas reasigna la bolsa agregada de AWS a su origen real: los cargos «initially categorized under transit or egress in EC2-Other» se asignan «to the individual resource that created the charge».</t>
        </is>
      </c>
      <c r="J740" t="inlineStr">
        <is>
          <t>https://docs.vantage.sh/network_flow_reports ; https://docs.vantage.sh/cost_reports</t>
        </is>
      </c>
      <c r="K740" t="inlineStr">
        <is>
          <t>2026-09-16</t>
        </is>
      </c>
      <c r="L740" s="2" t="inlineStr">
        <is>
          <t>Celda heredada FP-180 (2026-09-16): el valor 2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 | Investigacion propia de E6 (2026-09-16): celda verificada contra el componente que distingue a este escenario, el costo de red y transferencia por flujo de trabajo.</t>
        </is>
      </c>
    </row>
    <row r="741">
      <c r="A741" t="inlineStr">
        <is>
          <t>E6</t>
        </is>
      </c>
      <c r="B741" t="inlineStr">
        <is>
          <t>Multicloud</t>
        </is>
      </c>
      <c r="C741" t="inlineStr">
        <is>
          <t>Vantage</t>
        </is>
      </c>
      <c r="D741" t="inlineStr">
        <is>
          <t>Visibilidad</t>
        </is>
      </c>
      <c r="E741" t="inlineStr">
        <is>
          <t>V2</t>
        </is>
      </c>
      <c r="F741" s="2" t="inlineStr">
        <is>
          <t>¿Permite rastrear un total hasta registros o fuente de facturación?</t>
        </is>
      </c>
      <c r="G741" t="n">
        <v>2</v>
      </c>
      <c r="H741" t="inlineStr">
        <is>
          <t>Oficial</t>
        </is>
      </c>
      <c r="I741" s="2" t="inlineStr">
        <is>
          <t>El informe de costos permite descender del total al detalle: «Within the table below the graph, you can drill down into your report to create precise filtering and grouping views». El Data Dictionary documenta los campos del dato de costo y VQL (Vantage Query Language) permite consultas reproducibles sobre ellos. La procedencia queda marcada en el propio registro: para proveedores soportados «Vantage tags every row with an [...] billing_source value [...] so you can filter, group, and allocate costs by data source».</t>
        </is>
      </c>
      <c r="J741" t="inlineStr">
        <is>
          <t>https://docs.vantage.sh/cost_reports ; https://docs.vantage.sh/data_dictionary ; https://docs.vantage.sh/vql</t>
        </is>
      </c>
      <c r="K741" t="inlineStr">
        <is>
          <t>2026-09-16</t>
        </is>
      </c>
      <c r="L741" s="2" t="inlineStr">
        <is>
          <t>Investigación E2 FP-180 (2026-09-16): celda completada con evidencia propia del escenario, verificada contra documentación oficial.</t>
        </is>
      </c>
    </row>
    <row r="742">
      <c r="A742" t="inlineStr">
        <is>
          <t>E6</t>
        </is>
      </c>
      <c r="B742" t="inlineStr">
        <is>
          <t>Multicloud</t>
        </is>
      </c>
      <c r="C742" t="inlineStr">
        <is>
          <t>Vantage</t>
        </is>
      </c>
      <c r="D742" t="inlineStr">
        <is>
          <t>Asignacion</t>
        </is>
      </c>
      <c r="E742" t="inlineStr">
        <is>
          <t>A1</t>
        </is>
      </c>
      <c r="F742" s="2" t="inlineStr">
        <is>
          <t>¿Calcula gasto asignado/no asignado por responsable, centro o entidad?</t>
        </is>
      </c>
      <c r="G742" t="n">
        <v>2</v>
      </c>
      <c r="H742" t="inlineStr">
        <is>
          <t>Oficial</t>
        </is>
      </c>
      <c r="I742" s="2" t="inlineStr">
        <is>
          <t>"Cost Allocation Segments" crea estructuras jerárquicas que mapean el costo a unidades de negocio/equipos/servicios y "identifican costos no asignados", garantizando que cada costo se asigne una sola vez (evita duplicación en showback/chargeback).</t>
        </is>
      </c>
      <c r="J742" t="inlineStr">
        <is>
          <t>https://docs.vantage.sh/vantage_university_cost_allocation</t>
        </is>
      </c>
      <c r="K742" t="inlineStr">
        <is>
          <t>2026-09-16</t>
        </is>
      </c>
      <c r="L742" s="2" t="inlineStr">
        <is>
          <t>Celda heredada FP-180 (2026-09-16): el valor 2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743">
      <c r="A743" t="inlineStr">
        <is>
          <t>E6</t>
        </is>
      </c>
      <c r="B743" t="inlineStr">
        <is>
          <t>Multicloud</t>
        </is>
      </c>
      <c r="C743" t="inlineStr">
        <is>
          <t>Vantage</t>
        </is>
      </c>
      <c r="D743" t="inlineStr">
        <is>
          <t>Asignacion</t>
        </is>
      </c>
      <c r="E743" t="inlineStr">
        <is>
          <t>A2</t>
        </is>
      </c>
      <c r="F743" s="2" t="inlineStr">
        <is>
          <t>¿Explicita y aplica reglas para costo compartido/multi-tenant?</t>
        </is>
      </c>
      <c r="G743" t="n">
        <v>2</v>
      </c>
      <c r="H743" t="inlineStr">
        <is>
          <t>Oficial</t>
        </is>
      </c>
      <c r="I743" s="2" t="inlineStr">
        <is>
          <t>Regla de reparto de costo compartido documentada y configurable: «With percent-based cost allocation, you can filter Cost Reports to show back shared resources, like support costs or multi-tenant databases, to the team or department that uses them». Las asignaciones encadenadas están documentadas: una Virtual Tag basada en costo «can now aggregate by the key of another allocated Virtual Tag in the same provider allocation chain», lo que permite repartos de varios pasos reproducibles.</t>
        </is>
      </c>
      <c r="J743" t="inlineStr">
        <is>
          <t>https://docs.vantage.sh/vantage_university_cost_allocation ; https://docs.vantage.sh/virtual_tagging/</t>
        </is>
      </c>
      <c r="K743" t="inlineStr">
        <is>
          <t>2026-09-16</t>
        </is>
      </c>
      <c r="L743" s="2" t="inlineStr">
        <is>
          <t>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744">
      <c r="A744" t="inlineStr">
        <is>
          <t>E6</t>
        </is>
      </c>
      <c r="B744" t="inlineStr">
        <is>
          <t>Multicloud</t>
        </is>
      </c>
      <c r="C744" t="inlineStr">
        <is>
          <t>Vantage</t>
        </is>
      </c>
      <c r="D744" t="inlineStr">
        <is>
          <t>Optimizacion</t>
        </is>
      </c>
      <c r="E744" t="inlineStr">
        <is>
          <t>O1</t>
        </is>
      </c>
      <c r="F744" s="2" t="inlineStr">
        <is>
          <t>¿Detecta desperdicio, rightsizing o compromiso relevante al escenario?</t>
        </is>
      </c>
      <c r="G744" t="n">
        <v>2</v>
      </c>
      <c r="H744" t="inlineStr">
        <is>
          <t>Oficial</t>
        </is>
      </c>
      <c r="I744" s="2" t="inlineStr">
        <is>
          <t>"Cost Recommendations" cubre rightsizing, recursos inactivos y compromisos financieros (RI/Savings Plans/CUD) para AWS, Azure, GCP, Datadog, Cloudflare y Kubernetes.</t>
        </is>
      </c>
      <c r="J744" t="inlineStr">
        <is>
          <t>https://docs.vantage.sh/cost_recommendations</t>
        </is>
      </c>
      <c r="K744" t="inlineStr">
        <is>
          <t>2026-09-16</t>
        </is>
      </c>
      <c r="L744" s="2" t="inlineStr">
        <is>
          <t>Celda heredada FP-180 (2026-09-16): el valor 2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745">
      <c r="A745" t="inlineStr">
        <is>
          <t>E6</t>
        </is>
      </c>
      <c r="B745" t="inlineStr">
        <is>
          <t>Multicloud</t>
        </is>
      </c>
      <c r="C745" t="inlineStr">
        <is>
          <t>Vantage</t>
        </is>
      </c>
      <c r="D745" t="inlineStr">
        <is>
          <t>Optimizacion</t>
        </is>
      </c>
      <c r="E745" t="inlineStr">
        <is>
          <t>O2</t>
        </is>
      </c>
      <c r="F745" s="2" t="inlineStr">
        <is>
          <t>¿Explica supuesto/impacto y permite seguir una recomendación?</t>
        </is>
      </c>
      <c r="G745" t="n">
        <v>2</v>
      </c>
      <c r="H745" t="inlineStr">
        <is>
          <t>Oficial</t>
        </is>
      </c>
      <c r="I745" s="2" t="inlineStr">
        <is>
          <t>Un widget de "Potential Savings" y "Savings Rate" cuantifica el ahorro, y las recomendaciones se siguen a través de estados (Ready for Review, In Progress, Completed, Archived).</t>
        </is>
      </c>
      <c r="J745" t="inlineStr">
        <is>
          <t>https://docs.vantage.sh/cost_recommendations</t>
        </is>
      </c>
      <c r="K745" t="inlineStr">
        <is>
          <t>2026-09-16</t>
        </is>
      </c>
      <c r="L745" s="2" t="inlineStr"/>
    </row>
    <row r="746">
      <c r="A746" t="inlineStr">
        <is>
          <t>E6</t>
        </is>
      </c>
      <c r="B746" t="inlineStr">
        <is>
          <t>Multicloud</t>
        </is>
      </c>
      <c r="C746" t="inlineStr">
        <is>
          <t>Vantage</t>
        </is>
      </c>
      <c r="D746" t="inlineStr">
        <is>
          <t>Automatizacion</t>
        </is>
      </c>
      <c r="E746" t="inlineStr">
        <is>
          <t>AU1</t>
        </is>
      </c>
      <c r="F746" s="2" t="inlineStr">
        <is>
          <t>¿Ejecuta o bloquea acciones/políticas de costo con control verificable?</t>
        </is>
      </c>
      <c r="G746" t="n">
        <v>2</v>
      </c>
      <c r="H746" t="inlineStr">
        <is>
          <t>Oficial</t>
        </is>
      </c>
      <c r="I746" s="2" t="inlineStr">
        <is>
          <t>"Autopilot" habilita compra automatizada (opcional, desactivada por defecto) de Savings Plans de EC2/Fargate/Lambda; para RDS/ElastiCache/Redshift/OpenSearch/Aurora/DynamoDB/etc. solo genera recomendaciones.</t>
        </is>
      </c>
      <c r="J746" t="inlineStr">
        <is>
          <t>https://docs.vantage.sh/autopilot</t>
        </is>
      </c>
      <c r="K746" t="inlineStr">
        <is>
          <t>2026-09-16</t>
        </is>
      </c>
      <c r="L746" s="2" t="inlineStr">
        <is>
          <t>Celda heredada FP-180 (2026-09-16): el valor 2 proviene de la investigacion del escenario E2 y no cuenta con evidencia propia de E6. Segun FP-177 el indicador AU1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747">
      <c r="A747" t="inlineStr">
        <is>
          <t>E6</t>
        </is>
      </c>
      <c r="B747" t="inlineStr">
        <is>
          <t>Multicloud</t>
        </is>
      </c>
      <c r="C747" t="inlineStr">
        <is>
          <t>Vantage</t>
        </is>
      </c>
      <c r="D747" t="inlineStr">
        <is>
          <t>Automatizacion</t>
        </is>
      </c>
      <c r="E747" t="inlineStr">
        <is>
          <t>AU2</t>
        </is>
      </c>
      <c r="F747" s="2" t="inlineStr">
        <is>
          <t>¿Ofrece aprobación, reversión, registro o límites antes de actuar?</t>
        </is>
      </c>
      <c r="G747" t="n">
        <v>2</v>
      </c>
      <c r="H747" t="inlineStr">
        <is>
          <t>Oficial</t>
        </is>
      </c>
      <c r="I747" s="2" t="inlineStr">
        <is>
          <t>Autopilot exige aprobación manual cuando la compra automática está desactivada ("Approve Purchase"), inicia la compra 24 h después de aprobada (ventana de cancelación), notifica a los account owners por correo y declara explícitamente que "nunca cambiará tu infraestructura subyacente"; se alinea a la política de devolución de 7 días de AWS.</t>
        </is>
      </c>
      <c r="J747" t="inlineStr">
        <is>
          <t>https://docs.vantage.sh/autopilot</t>
        </is>
      </c>
      <c r="K747" t="inlineStr">
        <is>
          <t>2026-09-16</t>
        </is>
      </c>
      <c r="L747" s="2" t="inlineStr"/>
    </row>
    <row r="748">
      <c r="A748" t="inlineStr">
        <is>
          <t>E6</t>
        </is>
      </c>
      <c r="B748" t="inlineStr">
        <is>
          <t>Multicloud</t>
        </is>
      </c>
      <c r="C748" t="inlineStr">
        <is>
          <t>Vantage</t>
        </is>
      </c>
      <c r="D748" t="inlineStr">
        <is>
          <t>Multicloud</t>
        </is>
      </c>
      <c r="E748" t="inlineStr">
        <is>
          <t>M1</t>
        </is>
      </c>
      <c r="F748" s="2" t="inlineStr">
        <is>
          <t>¿Consolida al menos dos proveedores bajo el mismo esquema declarado?</t>
        </is>
      </c>
      <c r="G748" t="n">
        <v>2</v>
      </c>
      <c r="H748" t="inlineStr">
        <is>
          <t>Oficial</t>
        </is>
      </c>
      <c r="I748" s="2" t="inlineStr">
        <is>
          <t>La plataforma integra de forma nativa AWS (rol IAM de solo lectura), Azure (pay-as-you-go/MCA/EA/CSP), GCP y Kubernetes dentro de los mismos Cost Reports.</t>
        </is>
      </c>
      <c r="J748" t="inlineStr">
        <is>
          <t>https://docs.vantage.sh/getting_started/</t>
        </is>
      </c>
      <c r="K748" t="inlineStr">
        <is>
          <t>2026-09-16</t>
        </is>
      </c>
      <c r="L748" s="2" t="inlineStr"/>
    </row>
    <row r="749">
      <c r="A749" t="inlineStr">
        <is>
          <t>E6</t>
        </is>
      </c>
      <c r="B749" t="inlineStr">
        <is>
          <t>Multicloud</t>
        </is>
      </c>
      <c r="C749" t="inlineStr">
        <is>
          <t>Vantage</t>
        </is>
      </c>
      <c r="D749" t="inlineStr">
        <is>
          <t>Multicloud</t>
        </is>
      </c>
      <c r="E749" t="inlineStr">
        <is>
          <t>M2</t>
        </is>
      </c>
      <c r="F749" s="2" t="inlineStr">
        <is>
          <t>¿Hace visibles proveedor, cobertura y diferencias semánticas?</t>
        </is>
      </c>
      <c r="G749" t="n">
        <v>2</v>
      </c>
      <c r="H749" t="inlineStr">
        <is>
          <t>Oficial</t>
        </is>
      </c>
      <c r="I749" s="2" t="inlineStr">
        <is>
          <t>Las diferencias semánticas entre proveedores se hacen explícitas y se normalizan: «Vantage normalizes Usage Unit labels in the console for consistent spelling and capitalization. For example, Vantage standardized Hours, hrs, Hrs, and hours to Hours», y se aplica un esquema de etiquetas normalizado por proveedor para costos de IA. La cobertura se declara de forma explícita —la lista de proveedores soportados para reporte por uso está enumerada en la documentación— y los no soportados se canalizan por Custom Providers: «you can upload costs from providers that don't expose billing APIs, aren't yet supported by Vantage, or originate from custom systems». El límite de cobertura queda visible, que es lo que mide M2.</t>
        </is>
      </c>
      <c r="J749" t="inlineStr">
        <is>
          <t>https://docs.vantage.sh/usage_based_reporting ; https://docs.vantage.sh/connecting_custom_providers ; https://docs.vantage.sh/data_dictionary</t>
        </is>
      </c>
      <c r="K749" t="inlineStr">
        <is>
          <t>2026-09-16</t>
        </is>
      </c>
      <c r="L749" s="2" t="inlineStr">
        <is>
          <t>Investigación E2 FP-180 (2026-09-16): celda completada con evidencia propia del escenario, verificada contra documentación oficial.</t>
        </is>
      </c>
    </row>
    <row r="750">
      <c r="A750" t="inlineStr">
        <is>
          <t>E6</t>
        </is>
      </c>
      <c r="B750" t="inlineStr">
        <is>
          <t>Multicloud</t>
        </is>
      </c>
      <c r="C750" t="inlineStr">
        <is>
          <t>Vantage</t>
        </is>
      </c>
      <c r="D750" t="inlineStr">
        <is>
          <t>Integracion</t>
        </is>
      </c>
      <c r="E750" t="inlineStr">
        <is>
          <t>I1</t>
        </is>
      </c>
      <c r="F750" s="2" t="inlineStr">
        <is>
          <t>¿Integra datos requeridos (facturación, uso, clúster o IaC) del escenario?</t>
        </is>
      </c>
      <c r="G750" t="n">
        <v>2</v>
      </c>
      <c r="H750" t="inlineStr">
        <is>
          <t>Oficial</t>
        </is>
      </c>
      <c r="I750" s="2" t="inlineStr">
        <is>
          <t>Integra los datos de red y transferencia que este escenario exige como entrada, incluyendo el trafico de cluster: «Transmitted bytes are grouped into mutually exclusive buckets. Each bucket is priced by the destination and, for S3-bound traffic, by how the source subnet egresses», lo que permite atribuir el costo de transferencia por destino.</t>
        </is>
      </c>
      <c r="J750" t="inlineStr">
        <is>
          <t>https://docs.vantage.sh/kubernetes_network_costs ; https://docs.vantage.sh/network_flow_reports</t>
        </is>
      </c>
      <c r="K750" t="inlineStr">
        <is>
          <t>2026-09-16</t>
        </is>
      </c>
      <c r="L750" s="2" t="inlineStr">
        <is>
          <t>Celda heredada FP-180 (2026-09-16): el valor 2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 | Investigacion propia de E6 (2026-09-16): celda verificada contra el componente que distingue a este escenario, el costo de red y transferencia por flujo de trabajo.</t>
        </is>
      </c>
    </row>
    <row r="751">
      <c r="A751" t="inlineStr">
        <is>
          <t>E6</t>
        </is>
      </c>
      <c r="B751" t="inlineStr">
        <is>
          <t>Multicloud</t>
        </is>
      </c>
      <c r="C751" t="inlineStr">
        <is>
          <t>Vantage</t>
        </is>
      </c>
      <c r="D751" t="inlineStr">
        <is>
          <t>Integracion</t>
        </is>
      </c>
      <c r="E751" t="inlineStr">
        <is>
          <t>I2</t>
        </is>
      </c>
      <c r="F751" s="2" t="inlineStr">
        <is>
          <t>¿Se integra con el flujo de trabajo relevante (alerta, ticket, CI/CD o reporte)?</t>
        </is>
      </c>
      <c r="G751" t="n">
        <v>2</v>
      </c>
      <c r="H751" t="inlineStr">
        <is>
          <t>Oficial</t>
        </is>
      </c>
      <c r="I751" s="2" t="inlineStr">
        <is>
          <t>La integración con Jira crea automáticamente tickets a partir de Cost Anomalies, Budget Alerts, Cost Alerts y Resource Reports, y sincroniza el estado (To Do/In Progress/Done) diariamente dentro de Vantage.</t>
        </is>
      </c>
      <c r="J751" t="inlineStr">
        <is>
          <t>https://docs.vantage.sh/jira</t>
        </is>
      </c>
      <c r="K751" t="inlineStr">
        <is>
          <t>2026-09-16</t>
        </is>
      </c>
      <c r="L751" s="2" t="inlineStr">
        <is>
          <t>Celda heredada FP-180 (2026-09-16): el valor 2 proviene de la investigacion del escenario E2 y no cuenta con evidencia propia de E6. Segun FP-177 el indicador I2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752">
      <c r="A752" t="inlineStr">
        <is>
          <t>E6</t>
        </is>
      </c>
      <c r="B752" t="inlineStr">
        <is>
          <t>Multicloud</t>
        </is>
      </c>
      <c r="C752" t="inlineStr">
        <is>
          <t>Vantage</t>
        </is>
      </c>
      <c r="D752" t="inlineStr">
        <is>
          <t>Adopcion</t>
        </is>
      </c>
      <c r="E752" t="inlineStr">
        <is>
          <t>AD1</t>
        </is>
      </c>
      <c r="F752" s="2" t="inlineStr">
        <is>
          <t>¿Soporta acceso/entrega para los roles del escenario?</t>
        </is>
      </c>
      <c r="G752" t="n">
        <v>2</v>
      </c>
      <c r="H752" t="inlineStr">
        <is>
          <t>Oficial</t>
        </is>
      </c>
      <c r="I752" s="2" t="inlineStr">
        <is>
          <t>Existen roles definidos (Organization Owner, Integration Owner, entre otros) con control de acceso basado en roles (RBAC) documentado.</t>
        </is>
      </c>
      <c r="J752" t="inlineStr">
        <is>
          <t>https://docs.vantage.sh/permissions_gcp</t>
        </is>
      </c>
      <c r="K752" t="inlineStr">
        <is>
          <t>2026-09-16</t>
        </is>
      </c>
      <c r="L752" s="2" t="inlineStr">
        <is>
          <t>Celda heredada FP-180 (2026-09-16): el valor 2 proviene de la investigacion del escenario E2 y no cuenta con evidencia propia de E6. Segun FP-177 el indicador AD1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753">
      <c r="A753" t="inlineStr">
        <is>
          <t>E6</t>
        </is>
      </c>
      <c r="B753" t="inlineStr">
        <is>
          <t>Multicloud</t>
        </is>
      </c>
      <c r="C753" t="inlineStr">
        <is>
          <t>Vantage</t>
        </is>
      </c>
      <c r="D753" t="inlineStr">
        <is>
          <t>Adopcion</t>
        </is>
      </c>
      <c r="E753" t="inlineStr">
        <is>
          <t>AD2</t>
        </is>
      </c>
      <c r="F753" s="2" t="inlineStr">
        <is>
          <t>¿Ofrece guías, ownership o mecanismos de seguimiento para uso sostenido?</t>
        </is>
      </c>
      <c r="G753" t="n">
        <v>2</v>
      </c>
      <c r="H753" t="inlineStr">
        <is>
          <t>Oficial</t>
        </is>
      </c>
      <c r="I753" s="2" t="inlineStr">
        <is>
          <t>Habilitación documentada por rol en Vantage University, con rutas para FinOps Analyst, Developers y Finance Managers, y una ruta específica de asignación de costos. El ownership se sostiene en segmentos jerárquicos: los segmentos de asignación «let you create hierarchical structures for your costs, mapping them to various organizational entities, such as business units, teams, or services», con jerarquías anidadas por equipo y subequipo. Proceso y guía definidos; sin evidencia de adopción medida para 3.</t>
        </is>
      </c>
      <c r="J753" t="inlineStr">
        <is>
          <t>https://docs.vantage.sh/vantage_university ; https://docs.vantage.sh/vantage_university_cost_allocation ; https://docs.vantage.sh/segments</t>
        </is>
      </c>
      <c r="K753" t="inlineStr">
        <is>
          <t>2026-09-16</t>
        </is>
      </c>
      <c r="L753" s="2" t="inlineStr">
        <is>
          <t>Investigación E2 FP-180 (2026-09-16): celda completada con evidencia propia del escenario, verificada contra documentación oficial.</t>
        </is>
      </c>
    </row>
    <row r="754">
      <c r="A754" t="inlineStr">
        <is>
          <t>E6</t>
        </is>
      </c>
      <c r="B754" t="inlineStr">
        <is>
          <t>Multicloud</t>
        </is>
      </c>
      <c r="C754" t="inlineStr">
        <is>
          <t>Vantage</t>
        </is>
      </c>
      <c r="D754" t="inlineStr">
        <is>
          <t>Precio</t>
        </is>
      </c>
      <c r="E754" t="inlineStr">
        <is>
          <t>P1</t>
        </is>
      </c>
      <c r="F754" s="2" t="inlineStr">
        <is>
          <t>¿Expone precio, moneda, región, unidad, período y supuestos relevantes?</t>
        </is>
      </c>
      <c r="G754" t="n">
        <v>2</v>
      </c>
      <c r="H754" t="inlineStr">
        <is>
          <t>Oficial</t>
        </is>
      </c>
      <c r="I754" s="2" t="inlineStr">
        <is>
          <t>El Data Dictionary documenta los campos del dato de costo y Vantage normaliza las unidades de uso para que sean comparables: «Vantage normalizes Usage Unit labels in the console for consistent spelling and capitalization». El reporte por uso declara para que proveedores hay dato de uso disponible, y los registros llevan marcada su procedencia de facturacion, de modo que precio, unidad, periodo y origen quedan visibles.</t>
        </is>
      </c>
      <c r="J754" t="inlineStr">
        <is>
          <t>https://docs.vantage.sh/data_dictionary ; https://docs.vantage.sh/usage_based_reporting</t>
        </is>
      </c>
      <c r="K754" t="inlineStr">
        <is>
          <t>2026-09-16</t>
        </is>
      </c>
      <c r="L754" s="2" t="inlineStr">
        <is>
          <t>Investigacion del criterio Precio de E2 (2026-09-16): celda completada con evidencia propia verificada contra documentacion oficial. Precio es criterio critico de E2 y estaba sin evidenciar en este producto.</t>
        </is>
      </c>
    </row>
    <row r="755">
      <c r="A755" t="inlineStr">
        <is>
          <t>E6</t>
        </is>
      </c>
      <c r="B755" t="inlineStr">
        <is>
          <t>Multicloud</t>
        </is>
      </c>
      <c r="C755" t="inlineStr">
        <is>
          <t>Vantage</t>
        </is>
      </c>
      <c r="D755" t="inlineStr">
        <is>
          <t>Precio</t>
        </is>
      </c>
      <c r="E755" t="inlineStr">
        <is>
          <t>P2</t>
        </is>
      </c>
      <c r="F755" s="2" t="inlineStr">
        <is>
          <t>¿Permite estimar o comparar componentes sin ocultar límites de equivalencia?</t>
        </is>
      </c>
      <c r="G755" t="n">
        <v>2</v>
      </c>
      <c r="H755" t="inlineStr">
        <is>
          <t>Oficial</t>
        </is>
      </c>
      <c r="I755" s="2" t="inlineStr">
        <is>
          <t>La funcion Compare Pricing permite «explore an instance pricing comparison via ec2instances.info, which evaluates the current instance type used against the proposed instance type from the recommendation». Cada recurso recomendado muestra ademas «the past 30 days of accrued costs, savings if you follow the recommendation, and the recommended action», con el horizonte de la estimacion declarado.</t>
        </is>
      </c>
      <c r="J755" t="inlineStr">
        <is>
          <t>https://docs.vantage.sh/cost_recommendations</t>
        </is>
      </c>
      <c r="K755" t="inlineStr">
        <is>
          <t>2026-09-16</t>
        </is>
      </c>
      <c r="L755" s="2" t="inlineStr">
        <is>
          <t>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756">
      <c r="A756" t="inlineStr">
        <is>
          <t>E6</t>
        </is>
      </c>
      <c r="B756" t="inlineStr">
        <is>
          <t>Multicloud</t>
        </is>
      </c>
      <c r="C756" t="inlineStr">
        <is>
          <t>Vantage</t>
        </is>
      </c>
      <c r="D756" t="inlineStr">
        <is>
          <t>Dependencia</t>
        </is>
      </c>
      <c r="E756" t="inlineStr">
        <is>
          <t>D1</t>
        </is>
      </c>
      <c r="F756" s="2" t="inlineStr">
        <is>
          <t>¿Exporta datos/resultados en formato utilizable y documentado?</t>
        </is>
      </c>
      <c r="G756" t="inlineStr">
        <is>
          <t>NE</t>
        </is>
      </c>
      <c r="H756" t="inlineStr">
        <is>
          <t>Pendiente</t>
        </is>
      </c>
      <c r="I756" s="2" t="inlineStr">
        <is>
          <t>Se identificó el anuncio de un "Recommendations API Endpoint", pero no se verificó contra documentación técnica una función general de exportación de datos de costo (evidencia insuficiente para puntuar).</t>
        </is>
      </c>
      <c r="K756" t="inlineStr">
        <is>
          <t>2026-09-16</t>
        </is>
      </c>
      <c r="L756" s="2" t="inlineStr"/>
    </row>
    <row r="757">
      <c r="A757" t="inlineStr">
        <is>
          <t>E6</t>
        </is>
      </c>
      <c r="B757" t="inlineStr">
        <is>
          <t>Multicloud</t>
        </is>
      </c>
      <c r="C757" t="inlineStr">
        <is>
          <t>Vantage</t>
        </is>
      </c>
      <c r="D757" t="inlineStr">
        <is>
          <t>Dependencia</t>
        </is>
      </c>
      <c r="E757" t="inlineStr">
        <is>
          <t>D2</t>
        </is>
      </c>
      <c r="F757" s="2" t="inlineStr">
        <is>
          <t>¿Documenta dependencias propietarias y un camino de salida/configuración reversible?</t>
        </is>
      </c>
      <c r="G757" t="inlineStr">
        <is>
          <t>NE</t>
        </is>
      </c>
      <c r="H757" t="inlineStr">
        <is>
          <t>Pendiente</t>
        </is>
      </c>
      <c r="I757" s="2" t="inlineStr">
        <is>
          <t>No se encontró documentación sobre un camino de salida o reversibilidad de la configuración.</t>
        </is>
      </c>
      <c r="K757" t="inlineStr">
        <is>
          <t>2026-09-16</t>
        </is>
      </c>
      <c r="L757" s="2" t="inlineStr"/>
    </row>
    <row r="758">
      <c r="A758" t="inlineStr">
        <is>
          <t>E1</t>
        </is>
      </c>
      <c r="B758" t="inlineStr">
        <is>
          <t>Multicloud</t>
        </is>
      </c>
      <c r="C758" t="inlineStr">
        <is>
          <t>Finout</t>
        </is>
      </c>
      <c r="D758" t="inlineStr">
        <is>
          <t>Visibilidad</t>
        </is>
      </c>
      <c r="E758" t="inlineStr">
        <is>
          <t>V1</t>
        </is>
      </c>
      <c r="F758" s="2" t="inlineStr">
        <is>
          <t>¿Desagrega costo y uso por cuenta/proyecto, servicio y período?</t>
        </is>
      </c>
      <c r="G758" t="n">
        <v>2</v>
      </c>
      <c r="H758" t="inlineStr">
        <is>
          <t>Oficial</t>
        </is>
      </c>
      <c r="I758"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758" t="inlineStr">
        <is>
          <t>https://docs.finout.io/get-started-with-finout/cost-and-usage-types/focus-in-finout</t>
        </is>
      </c>
      <c r="K758" t="inlineStr">
        <is>
          <t>2026-09-16</t>
        </is>
      </c>
      <c r="L758" s="2" t="inlineStr">
        <is>
          <t>Celda heredada FP-180 (2026-09-16): el valor 2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759">
      <c r="A759" t="inlineStr">
        <is>
          <t>E1</t>
        </is>
      </c>
      <c r="B759" t="inlineStr">
        <is>
          <t>Multicloud</t>
        </is>
      </c>
      <c r="C759" t="inlineStr">
        <is>
          <t>Finout</t>
        </is>
      </c>
      <c r="D759" t="inlineStr">
        <is>
          <t>Visibilidad</t>
        </is>
      </c>
      <c r="E759" t="inlineStr">
        <is>
          <t>V2</t>
        </is>
      </c>
      <c r="F759" s="2" t="inlineStr">
        <is>
          <t>¿Permite rastrear un total hasta registros o fuente de facturación?</t>
        </is>
      </c>
      <c r="G759" t="n">
        <v>2</v>
      </c>
      <c r="H759" t="inlineStr">
        <is>
          <t>Oficial</t>
        </is>
      </c>
      <c r="I759" s="2" t="inlineStr">
        <is>
          <t>MegaBill permite descender del total al detalle: «You can quickly drill down into the costs/usage by clicking an area on the graph», y la Cost API V2 expone consulta directa de costo y uso con filtros y group-by, de modo que el detalle es exportable y reproducible. Límite registrado para E2: la documentación oficial declara que «Cost data in MegaBill is available for all cloud providers and services supported by Finout. Usage data is available for AWS, GCP, and Azure», es decir, el dato de uso no cubre a todos los proveedores. No se encontró documentación oficial de conciliación contra la factura del proveedor; la afirmación de conciliación patentada aparece solo en material comercial y por eso no se usa para puntuar.</t>
        </is>
      </c>
      <c r="J759" t="inlineStr">
        <is>
          <t>https://docs.finout.io/user-guide/inform/megabill ; https://docs.finout.io/api/finout-api/finout-api-v2</t>
        </is>
      </c>
      <c r="K759" t="inlineStr">
        <is>
          <t>2026-09-16</t>
        </is>
      </c>
      <c r="L759" s="2" t="inlineStr">
        <is>
          <t>Investigación E2 FP-180 (2026-09-16): celda completada con evidencia propia del escenario, verificada contra documentación oficial.</t>
        </is>
      </c>
    </row>
    <row r="760">
      <c r="A760" t="inlineStr">
        <is>
          <t>E1</t>
        </is>
      </c>
      <c r="B760" t="inlineStr">
        <is>
          <t>Multicloud</t>
        </is>
      </c>
      <c r="C760" t="inlineStr">
        <is>
          <t>Finout</t>
        </is>
      </c>
      <c r="D760" t="inlineStr">
        <is>
          <t>Asignacion</t>
        </is>
      </c>
      <c r="E760" t="inlineStr">
        <is>
          <t>A1</t>
        </is>
      </c>
      <c r="F760" s="2" t="inlineStr">
        <is>
          <t>¿Calcula gasto asignado/no asignado por responsable, centro o entidad?</t>
        </is>
      </c>
      <c r="G760" t="n">
        <v>2</v>
      </c>
      <c r="H760" t="inlineStr">
        <is>
          <t>Oficial</t>
        </is>
      </c>
      <c r="I760" s="2" t="inlineStr">
        <is>
          <t>"Virtual Tags" y "Shared Cost Reallocation" (con MegaBill key) permiten segmentar el costo retroactivamente y mejorar la granularidad de la asignación sin modificar las etiquetas originales del recurso, funcionando entre proveedores.</t>
        </is>
      </c>
      <c r="J760" t="inlineStr">
        <is>
          <t>https://docs.finout.io/user-guide/inform/virtual-tags</t>
        </is>
      </c>
      <c r="K760" t="inlineStr">
        <is>
          <t>2026-09-16</t>
        </is>
      </c>
      <c r="L760" s="2" t="inlineStr">
        <is>
          <t>Celda heredada FP-180 (2026-09-16): el valor 2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761">
      <c r="A761" t="inlineStr">
        <is>
          <t>E1</t>
        </is>
      </c>
      <c r="B761" t="inlineStr">
        <is>
          <t>Multicloud</t>
        </is>
      </c>
      <c r="C761" t="inlineStr">
        <is>
          <t>Finout</t>
        </is>
      </c>
      <c r="D761" t="inlineStr">
        <is>
          <t>Asignacion</t>
        </is>
      </c>
      <c r="E761" t="inlineStr">
        <is>
          <t>A2</t>
        </is>
      </c>
      <c r="F761" s="2" t="inlineStr">
        <is>
          <t>¿Explicita y aplica reglas para costo compartido/multi-tenant?</t>
        </is>
      </c>
      <c r="G761" t="n">
        <v>2</v>
      </c>
      <c r="H761" t="inlineStr">
        <is>
          <t>Oficial</t>
        </is>
      </c>
      <c r="I761" s="2" t="inlineStr">
        <is>
          <t>"Shared Cost Reallocation" es una función dedicada para el reparto de costo compartido, construida sobre las reglas de filtrado de Virtual Tags ("funnel from the top down").</t>
        </is>
      </c>
      <c r="J761" t="inlineStr">
        <is>
          <t>https://docs.finout.io/user-guide/inform/shared-cost-reallocation</t>
        </is>
      </c>
      <c r="K761" t="inlineStr">
        <is>
          <t>2026-09-16</t>
        </is>
      </c>
      <c r="L761" s="2" t="inlineStr">
        <is>
          <t>Celda heredada FP-180 (2026-09-16): el valor 2 proviene de la investigacion del escenario E2 y no cuenta con evidencia propia de E1. Segun FP-177 el indicador A2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762">
      <c r="A762" t="inlineStr">
        <is>
          <t>E1</t>
        </is>
      </c>
      <c r="B762" t="inlineStr">
        <is>
          <t>Multicloud</t>
        </is>
      </c>
      <c r="C762" t="inlineStr">
        <is>
          <t>Finout</t>
        </is>
      </c>
      <c r="D762" t="inlineStr">
        <is>
          <t>Optimizacion</t>
        </is>
      </c>
      <c r="E762" t="inlineStr">
        <is>
          <t>O1</t>
        </is>
      </c>
      <c r="F762" s="2" t="inlineStr">
        <is>
          <t>¿Detecta desperdicio, rightsizing o compromiso relevante al escenario?</t>
        </is>
      </c>
      <c r="G762" t="n">
        <v>2</v>
      </c>
      <c r="H762" t="inlineStr">
        <is>
          <t>Oficial</t>
        </is>
      </c>
      <c r="I762" s="2" t="inlineStr">
        <is>
          <t>"CostGuard" detecta recursos inactivos, oportunidades de rightsizing (incluye pods/StatefulSets de Kubernetes) y candidatos a compromisos (savings plans), disponible "out of the box" sin configuración.</t>
        </is>
      </c>
      <c r="J762" t="inlineStr">
        <is>
          <t>https://docs.finout.io/user-guide/optimize/costguard</t>
        </is>
      </c>
      <c r="K762" t="inlineStr">
        <is>
          <t>2026-09-16</t>
        </is>
      </c>
      <c r="L762" s="2" t="inlineStr">
        <is>
          <t>Celda heredada FP-180 (2026-09-16): el valor 2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763">
      <c r="A763" t="inlineStr">
        <is>
          <t>E1</t>
        </is>
      </c>
      <c r="B763" t="inlineStr">
        <is>
          <t>Multicloud</t>
        </is>
      </c>
      <c r="C763" t="inlineStr">
        <is>
          <t>Finout</t>
        </is>
      </c>
      <c r="D763" t="inlineStr">
        <is>
          <t>Optimizacion</t>
        </is>
      </c>
      <c r="E763" t="inlineStr">
        <is>
          <t>O2</t>
        </is>
      </c>
      <c r="F763" s="2" t="inlineStr">
        <is>
          <t>¿Explica supuesto/impacto y permite seguir una recomendación?</t>
        </is>
      </c>
      <c r="G763" t="n">
        <v>1</v>
      </c>
      <c r="H763" t="inlineStr">
        <is>
          <t>Oficial</t>
        </is>
      </c>
      <c r="I763" s="2" t="inlineStr">
        <is>
          <t>CostGuard entrega "información y confianza" para optimizar, pero la documentación revisada no detalla un ciclo de seguimiento de estado/ahorro realizado equivalente al de CloudZero/Vantage.</t>
        </is>
      </c>
      <c r="J763" t="inlineStr">
        <is>
          <t>https://docs.finout.io/user-guide/optimize/costguard</t>
        </is>
      </c>
      <c r="K763" t="inlineStr">
        <is>
          <t>2026-09-16</t>
        </is>
      </c>
      <c r="L763" s="2" t="inlineStr"/>
    </row>
    <row r="764">
      <c r="A764" t="inlineStr">
        <is>
          <t>E1</t>
        </is>
      </c>
      <c r="B764" t="inlineStr">
        <is>
          <t>Multicloud</t>
        </is>
      </c>
      <c r="C764" t="inlineStr">
        <is>
          <t>Finout</t>
        </is>
      </c>
      <c r="D764" t="inlineStr">
        <is>
          <t>Automatizacion</t>
        </is>
      </c>
      <c r="E764" t="inlineStr">
        <is>
          <t>AU1</t>
        </is>
      </c>
      <c r="F764" s="2" t="inlineStr">
        <is>
          <t>¿Ejecuta o bloquea acciones/políticas de costo con control verificable?</t>
        </is>
      </c>
      <c r="G764" t="inlineStr">
        <is>
          <t>NE</t>
        </is>
      </c>
      <c r="H764" t="inlineStr">
        <is>
          <t>Pendiente</t>
        </is>
      </c>
      <c r="I764" s="2" t="inlineStr">
        <is>
          <t>La documentación revisada no confirma ni descarta ejecución automática de acciones; CostGuard se describe como una fuente de información/recomendación, sin detalle suficiente para puntuar con certeza.</t>
        </is>
      </c>
      <c r="K764" t="inlineStr">
        <is>
          <t>2026-09-16</t>
        </is>
      </c>
      <c r="L764" s="2" t="inlineStr"/>
    </row>
    <row r="765">
      <c r="A765" t="inlineStr">
        <is>
          <t>E1</t>
        </is>
      </c>
      <c r="B765" t="inlineStr">
        <is>
          <t>Multicloud</t>
        </is>
      </c>
      <c r="C765" t="inlineStr">
        <is>
          <t>Finout</t>
        </is>
      </c>
      <c r="D765" t="inlineStr">
        <is>
          <t>Automatizacion</t>
        </is>
      </c>
      <c r="E765" t="inlineStr">
        <is>
          <t>AU2</t>
        </is>
      </c>
      <c r="F765" s="2" t="inlineStr">
        <is>
          <t>¿Ofrece aprobación, reversión, registro o límites antes de actuar?</t>
        </is>
      </c>
      <c r="G765" t="inlineStr">
        <is>
          <t>NE</t>
        </is>
      </c>
      <c r="H765" t="inlineStr">
        <is>
          <t>Pendiente</t>
        </is>
      </c>
      <c r="I765" s="2" t="inlineStr">
        <is>
          <t>Mismo motivo que AU1: evidencia insuficiente sobre el mecanismo de ejecución como para evaluar sus salvaguardas.</t>
        </is>
      </c>
      <c r="K765" t="inlineStr">
        <is>
          <t>2026-09-16</t>
        </is>
      </c>
      <c r="L765" s="2" t="inlineStr"/>
    </row>
    <row r="766">
      <c r="A766" t="inlineStr">
        <is>
          <t>E1</t>
        </is>
      </c>
      <c r="B766" t="inlineStr">
        <is>
          <t>Multicloud</t>
        </is>
      </c>
      <c r="C766" t="inlineStr">
        <is>
          <t>Finout</t>
        </is>
      </c>
      <c r="D766" t="inlineStr">
        <is>
          <t>Multicloud</t>
        </is>
      </c>
      <c r="E766" t="inlineStr">
        <is>
          <t>M1</t>
        </is>
      </c>
      <c r="F766" s="2" t="inlineStr">
        <is>
          <t>¿Consolida al menos dos proveedores bajo el mismo esquema declarado?</t>
        </is>
      </c>
      <c r="G766" t="n">
        <v>2</v>
      </c>
      <c r="H766" t="inlineStr">
        <is>
          <t>Oficial</t>
        </is>
      </c>
      <c r="I766" s="2" t="inlineStr">
        <is>
          <t>El "Default FOCUS Table" consolida AWS, Azure, GCP "and more" bajo el estándar FOCUS de forma automática y sin configuración ("no setup required").</t>
        </is>
      </c>
      <c r="J766" t="inlineStr">
        <is>
          <t>https://docs.finout.io/get-started-with-finout/cost-and-usage-types/focus-in-finout</t>
        </is>
      </c>
      <c r="K766" t="inlineStr">
        <is>
          <t>2026-09-16</t>
        </is>
      </c>
      <c r="L766" s="2" t="inlineStr"/>
    </row>
    <row r="767">
      <c r="A767" t="inlineStr">
        <is>
          <t>E1</t>
        </is>
      </c>
      <c r="B767" t="inlineStr">
        <is>
          <t>Multicloud</t>
        </is>
      </c>
      <c r="C767" t="inlineStr">
        <is>
          <t>Finout</t>
        </is>
      </c>
      <c r="D767" t="inlineStr">
        <is>
          <t>Multicloud</t>
        </is>
      </c>
      <c r="E767" t="inlineStr">
        <is>
          <t>M2</t>
        </is>
      </c>
      <c r="F767" s="2" t="inlineStr">
        <is>
          <t>¿Hace visibles proveedor, cobertura y diferencias semánticas?</t>
        </is>
      </c>
      <c r="G767" t="n">
        <v>2</v>
      </c>
      <c r="H767" t="inlineStr">
        <is>
          <t>Oficial</t>
        </is>
      </c>
      <c r="I767" s="2" t="inlineStr">
        <is>
          <t>"Virtual Tags" normaliza explícitamente dimensiones núcleo -proveedor, servicio, región, categoría de cargo y tipo de precio- entre proveedores, exponiendo diferencias en lugar de ocultarlas.</t>
        </is>
      </c>
      <c r="J767" t="inlineStr">
        <is>
          <t>https://docs.finout.io/get-started-with-finout/cost-and-usage-types/focus-in-finout</t>
        </is>
      </c>
      <c r="K767" t="inlineStr">
        <is>
          <t>2026-09-16</t>
        </is>
      </c>
      <c r="L767" s="2" t="inlineStr"/>
    </row>
    <row r="768">
      <c r="A768" t="inlineStr">
        <is>
          <t>E1</t>
        </is>
      </c>
      <c r="B768" t="inlineStr">
        <is>
          <t>Multicloud</t>
        </is>
      </c>
      <c r="C768" t="inlineStr">
        <is>
          <t>Finout</t>
        </is>
      </c>
      <c r="D768" t="inlineStr">
        <is>
          <t>Integracion</t>
        </is>
      </c>
      <c r="E768" t="inlineStr">
        <is>
          <t>I1</t>
        </is>
      </c>
      <c r="F768" s="2" t="inlineStr">
        <is>
          <t>¿Integra datos requeridos (facturación, uso, clúster o IaC) del escenario?</t>
        </is>
      </c>
      <c r="G768" t="n">
        <v>2</v>
      </c>
      <c r="H768" t="inlineStr">
        <is>
          <t>Oficial</t>
        </is>
      </c>
      <c r="I768" s="2" t="inlineStr">
        <is>
          <t>Ingesta automatizada de billing exports en formato FOCUS de cualquier proveedor soportado, más escaneos específicos de Kubernetes para CostGuard.</t>
        </is>
      </c>
      <c r="J768" t="inlineStr">
        <is>
          <t>https://docs.finout.io/get-started-with-finout/cost-and-usage-types/focus-in-finout</t>
        </is>
      </c>
      <c r="K768" t="inlineStr">
        <is>
          <t>2026-09-16</t>
        </is>
      </c>
      <c r="L768" s="2" t="inlineStr">
        <is>
          <t>Celda heredada FP-180 (2026-09-16): el valor 2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769">
      <c r="A769" t="inlineStr">
        <is>
          <t>E1</t>
        </is>
      </c>
      <c r="B769" t="inlineStr">
        <is>
          <t>Multicloud</t>
        </is>
      </c>
      <c r="C769" t="inlineStr">
        <is>
          <t>Finout</t>
        </is>
      </c>
      <c r="D769" t="inlineStr">
        <is>
          <t>Integracion</t>
        </is>
      </c>
      <c r="E769" t="inlineStr">
        <is>
          <t>I2</t>
        </is>
      </c>
      <c r="F769" s="2" t="inlineStr">
        <is>
          <t>¿Se integra con el flujo de trabajo relevante (alerta, ticket, CI/CD o reporte)?</t>
        </is>
      </c>
      <c r="G769" t="n">
        <v>1</v>
      </c>
      <c r="H769" t="inlineStr">
        <is>
          <t>Comercial</t>
        </is>
      </c>
      <c r="I769" s="2" t="inlineStr">
        <is>
          <t>Existe una integración con Slack para seguimiento de uso y anomalías, documentada únicamente en el blog del proveedor (no se ubicó la página técnica equivalente en docs.finout.io), por lo que se trata como evidencia comercial.</t>
        </is>
      </c>
      <c r="J769" t="inlineStr">
        <is>
          <t>https://www.finout.io/slack-and-finout-integration-track-usage-and-anomalies</t>
        </is>
      </c>
      <c r="K769" t="inlineStr">
        <is>
          <t>2026-09-16</t>
        </is>
      </c>
      <c r="L769" s="2" t="inlineStr">
        <is>
          <t>Celda heredada FP-180 (2026-09-16): el valor 1 proviene de la investigacion del escenario E2 y no cuenta con evidencia propia de E1. Segun FP-177 el indicador I2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770">
      <c r="A770" t="inlineStr">
        <is>
          <t>E1</t>
        </is>
      </c>
      <c r="B770" t="inlineStr">
        <is>
          <t>Multicloud</t>
        </is>
      </c>
      <c r="C770" t="inlineStr">
        <is>
          <t>Finout</t>
        </is>
      </c>
      <c r="D770" t="inlineStr">
        <is>
          <t>Adopcion</t>
        </is>
      </c>
      <c r="E770" t="inlineStr">
        <is>
          <t>AD1</t>
        </is>
      </c>
      <c r="F770" s="2" t="inlineStr">
        <is>
          <t>¿Soporta acceso/entrega para los roles del escenario?</t>
        </is>
      </c>
      <c r="G770" t="n">
        <v>2</v>
      </c>
      <c r="H770" t="inlineStr">
        <is>
          <t>Oficial</t>
        </is>
      </c>
      <c r="I770" s="2" t="inlineStr">
        <is>
          <t>Existen páginas dedicadas de "Role-Based Access Control (RBAC)" y "ACL Permissions" en la documentación técnica.</t>
        </is>
      </c>
      <c r="J770" t="inlineStr">
        <is>
          <t>https://docs.finout.io/settings/role-based-access-control-rbac/role-permissions</t>
        </is>
      </c>
      <c r="K770" t="inlineStr">
        <is>
          <t>2026-09-16</t>
        </is>
      </c>
      <c r="L770" s="2" t="inlineStr">
        <is>
          <t>Celda heredada FP-180 (2026-09-16): el valor 2 proviene de la investigacion del escenario E2 y no cuenta con evidencia propia de E1. Segun FP-177 el indicador AD1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771">
      <c r="A771" t="inlineStr">
        <is>
          <t>E1</t>
        </is>
      </c>
      <c r="B771" t="inlineStr">
        <is>
          <t>Multicloud</t>
        </is>
      </c>
      <c r="C771" t="inlineStr">
        <is>
          <t>Finout</t>
        </is>
      </c>
      <c r="D771" t="inlineStr">
        <is>
          <t>Adopcion</t>
        </is>
      </c>
      <c r="E771" t="inlineStr">
        <is>
          <t>AD2</t>
        </is>
      </c>
      <c r="F771" s="2" t="inlineStr">
        <is>
          <t>¿Ofrece guías, ownership o mecanismos de seguimiento para uso sostenido?</t>
        </is>
      </c>
      <c r="G771" t="n">
        <v>2</v>
      </c>
      <c r="H771" t="inlineStr">
        <is>
          <t>Oficial</t>
        </is>
      </c>
      <c r="I771" s="2" t="inlineStr">
        <is>
          <t>Gobernanza documentada como función del producto: la gobernanza de etiquetas «allows you to define tagging policies across multiple cloud environments, offering visibility into non-compliant resources and costs while simplifying resource tracking», que es un mecanismo de seguimiento para uso sostenido en un entorno multinube. La documentación incluye además la guía de incorporación de nuevos usuarios a la cuenta. Proceso definido; sin evidencia de adopción medida para 3.</t>
        </is>
      </c>
      <c r="J771" t="inlineStr">
        <is>
          <t>https://docs.finout.io/user-guide/operate/tag-governance ; https://docs.finout.io/get-started-with-finout/introduction-to-finouts-suite-of-features</t>
        </is>
      </c>
      <c r="K771" t="inlineStr">
        <is>
          <t>2026-09-16</t>
        </is>
      </c>
      <c r="L771" s="2" t="inlineStr">
        <is>
          <t>Investigación E2 FP-180 (2026-09-16): celda completada con evidencia propia del escenario, verificada contra documentación oficial.</t>
        </is>
      </c>
    </row>
    <row r="772">
      <c r="A772" t="inlineStr">
        <is>
          <t>E1</t>
        </is>
      </c>
      <c r="B772" t="inlineStr">
        <is>
          <t>Multicloud</t>
        </is>
      </c>
      <c r="C772" t="inlineStr">
        <is>
          <t>Finout</t>
        </is>
      </c>
      <c r="D772" t="inlineStr">
        <is>
          <t>Precio</t>
        </is>
      </c>
      <c r="E772" t="inlineStr">
        <is>
          <t>P1</t>
        </is>
      </c>
      <c r="F772" s="2" t="inlineStr">
        <is>
          <t>¿Expone precio, moneda, región, unidad, período y supuestos relevantes?</t>
        </is>
      </c>
      <c r="G772" t="inlineStr">
        <is>
          <t>NE</t>
        </is>
      </c>
      <c r="H772" t="inlineStr">
        <is>
          <t>Pendiente</t>
        </is>
      </c>
      <c r="I772" s="2" t="inlineStr">
        <is>
          <t>No se encontró evidencia específica de transparencia de supuestos de precio (moneda/región/período) en las páginas revisadas.</t>
        </is>
      </c>
      <c r="K772" t="inlineStr">
        <is>
          <t>2026-09-16</t>
        </is>
      </c>
      <c r="L772" s="2" t="inlineStr"/>
    </row>
    <row r="773">
      <c r="A773" t="inlineStr">
        <is>
          <t>E1</t>
        </is>
      </c>
      <c r="B773" t="inlineStr">
        <is>
          <t>Multicloud</t>
        </is>
      </c>
      <c r="C773" t="inlineStr">
        <is>
          <t>Finout</t>
        </is>
      </c>
      <c r="D773" t="inlineStr">
        <is>
          <t>Precio</t>
        </is>
      </c>
      <c r="E773" t="inlineStr">
        <is>
          <t>P2</t>
        </is>
      </c>
      <c r="F773" s="2" t="inlineStr">
        <is>
          <t>¿Permite estimar o comparar componentes sin ocultar límites de equivalencia?</t>
        </is>
      </c>
      <c r="G773" t="inlineStr">
        <is>
          <t>NE</t>
        </is>
      </c>
      <c r="H773" t="inlineStr">
        <is>
          <t>Pendiente</t>
        </is>
      </c>
      <c r="I773" s="2" t="inlineStr">
        <is>
          <t>No se encontró evidencia de una función de comparación/estimación de precio contextual en las páginas revisadas.</t>
        </is>
      </c>
      <c r="K773" t="inlineStr">
        <is>
          <t>2026-09-16</t>
        </is>
      </c>
      <c r="L773" s="2" t="inlineStr"/>
    </row>
    <row r="774">
      <c r="A774" t="inlineStr">
        <is>
          <t>E1</t>
        </is>
      </c>
      <c r="B774" t="inlineStr">
        <is>
          <t>Multicloud</t>
        </is>
      </c>
      <c r="C774" t="inlineStr">
        <is>
          <t>Finout</t>
        </is>
      </c>
      <c r="D774" t="inlineStr">
        <is>
          <t>Dependencia</t>
        </is>
      </c>
      <c r="E774" t="inlineStr">
        <is>
          <t>D1</t>
        </is>
      </c>
      <c r="F774" s="2" t="inlineStr">
        <is>
          <t>¿Exporta datos/resultados en formato utilizable y documentado?</t>
        </is>
      </c>
      <c r="G774" t="n">
        <v>2</v>
      </c>
      <c r="H774" t="inlineStr">
        <is>
          <t>Oficial</t>
        </is>
      </c>
      <c r="I774" s="2" t="inlineStr">
        <is>
          <t>Documentación técnica dedicada de "Finout API", "Cost API", "CostGuard API" y "Virtual Tags API" confirma una vía de exportación/acceso a datos definida y reproducible.</t>
        </is>
      </c>
      <c r="J774" t="inlineStr">
        <is>
          <t>https://docs.finout.io/configuration/finout-api</t>
        </is>
      </c>
      <c r="K774" t="inlineStr">
        <is>
          <t>2026-09-16</t>
        </is>
      </c>
      <c r="L774" s="2" t="inlineStr"/>
    </row>
    <row r="775">
      <c r="A775" t="inlineStr">
        <is>
          <t>E1</t>
        </is>
      </c>
      <c r="B775" t="inlineStr">
        <is>
          <t>Multicloud</t>
        </is>
      </c>
      <c r="C775" t="inlineStr">
        <is>
          <t>Finout</t>
        </is>
      </c>
      <c r="D775" t="inlineStr">
        <is>
          <t>Dependencia</t>
        </is>
      </c>
      <c r="E775" t="inlineStr">
        <is>
          <t>D2</t>
        </is>
      </c>
      <c r="F775" s="2" t="inlineStr">
        <is>
          <t>¿Documenta dependencias propietarias y un camino de salida/configuración reversible?</t>
        </is>
      </c>
      <c r="G775" t="inlineStr">
        <is>
          <t>NE</t>
        </is>
      </c>
      <c r="H775" t="inlineStr">
        <is>
          <t>Pendiente</t>
        </is>
      </c>
      <c r="I775" s="2" t="inlineStr">
        <is>
          <t>No se encontró documentación sobre un camino de salida o reversibilidad de la configuración.</t>
        </is>
      </c>
      <c r="K775" t="inlineStr">
        <is>
          <t>2026-09-16</t>
        </is>
      </c>
      <c r="L775" s="2" t="inlineStr"/>
    </row>
    <row r="776">
      <c r="A776" t="inlineStr">
        <is>
          <t>E2</t>
        </is>
      </c>
      <c r="B776" t="inlineStr">
        <is>
          <t>Multicloud</t>
        </is>
      </c>
      <c r="C776" t="inlineStr">
        <is>
          <t>Finout</t>
        </is>
      </c>
      <c r="D776" t="inlineStr">
        <is>
          <t>Visibilidad</t>
        </is>
      </c>
      <c r="E776" t="inlineStr">
        <is>
          <t>V1</t>
        </is>
      </c>
      <c r="F776" s="2" t="inlineStr">
        <is>
          <t>¿Desagrega costo y uso por cuenta/proyecto, servicio y período?</t>
        </is>
      </c>
      <c r="G776" t="n">
        <v>2</v>
      </c>
      <c r="H776" t="inlineStr">
        <is>
          <t>Oficial</t>
        </is>
      </c>
      <c r="I776"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776" t="inlineStr">
        <is>
          <t>https://docs.finout.io/get-started-with-finout/cost-and-usage-types/focus-in-finout</t>
        </is>
      </c>
      <c r="K776" t="inlineStr">
        <is>
          <t>2026-09-16</t>
        </is>
      </c>
      <c r="L776" s="2" t="inlineStr"/>
    </row>
    <row r="777">
      <c r="A777" t="inlineStr">
        <is>
          <t>E2</t>
        </is>
      </c>
      <c r="B777" t="inlineStr">
        <is>
          <t>Multicloud</t>
        </is>
      </c>
      <c r="C777" t="inlineStr">
        <is>
          <t>Finout</t>
        </is>
      </c>
      <c r="D777" t="inlineStr">
        <is>
          <t>Visibilidad</t>
        </is>
      </c>
      <c r="E777" t="inlineStr">
        <is>
          <t>V2</t>
        </is>
      </c>
      <c r="F777" s="2" t="inlineStr">
        <is>
          <t>¿Permite rastrear un total hasta registros o fuente de facturación?</t>
        </is>
      </c>
      <c r="G777" t="n">
        <v>2</v>
      </c>
      <c r="H777" t="inlineStr">
        <is>
          <t>Oficial</t>
        </is>
      </c>
      <c r="I777" s="2" t="inlineStr">
        <is>
          <t>MegaBill permite descender del total al detalle: «You can quickly drill down into the costs/usage by clicking an area on the graph», y la Cost API V2 expone consulta directa de costo y uso con filtros y group-by, de modo que el detalle es exportable y reproducible. Límite registrado para E2: la documentación oficial declara que «Cost data in MegaBill is available for all cloud providers and services supported by Finout. Usage data is available for AWS, GCP, and Azure», es decir, el dato de uso no cubre a todos los proveedores. No se encontró documentación oficial de conciliación contra la factura del proveedor; la afirmación de conciliación patentada aparece solo en material comercial y por eso no se usa para puntuar.</t>
        </is>
      </c>
      <c r="J777" t="inlineStr">
        <is>
          <t>https://docs.finout.io/user-guide/inform/megabill ; https://docs.finout.io/api/finout-api/finout-api-v2</t>
        </is>
      </c>
      <c r="K777" t="inlineStr">
        <is>
          <t>2026-09-16</t>
        </is>
      </c>
      <c r="L777" s="2" t="inlineStr">
        <is>
          <t>Investigación E2 FP-180 (2026-09-16): celda completada con evidencia propia del escenario, verificada contra documentación oficial.</t>
        </is>
      </c>
    </row>
    <row r="778">
      <c r="A778" t="inlineStr">
        <is>
          <t>E2</t>
        </is>
      </c>
      <c r="B778" t="inlineStr">
        <is>
          <t>Multicloud</t>
        </is>
      </c>
      <c r="C778" t="inlineStr">
        <is>
          <t>Finout</t>
        </is>
      </c>
      <c r="D778" t="inlineStr">
        <is>
          <t>Asignacion</t>
        </is>
      </c>
      <c r="E778" t="inlineStr">
        <is>
          <t>A1</t>
        </is>
      </c>
      <c r="F778" s="2" t="inlineStr">
        <is>
          <t>¿Calcula gasto asignado/no asignado por responsable, centro o entidad?</t>
        </is>
      </c>
      <c r="G778" t="n">
        <v>2</v>
      </c>
      <c r="H778" t="inlineStr">
        <is>
          <t>Oficial</t>
        </is>
      </c>
      <c r="I778" s="2" t="inlineStr">
        <is>
          <t>"Virtual Tags" y "Shared Cost Reallocation" (con MegaBill key) permiten segmentar el costo retroactivamente y mejorar la granularidad de la asignación sin modificar las etiquetas originales del recurso, funcionando entre proveedores.</t>
        </is>
      </c>
      <c r="J778" t="inlineStr">
        <is>
          <t>https://docs.finout.io/user-guide/inform/virtual-tags</t>
        </is>
      </c>
      <c r="K778" t="inlineStr">
        <is>
          <t>2026-09-16</t>
        </is>
      </c>
      <c r="L778" s="2" t="inlineStr"/>
    </row>
    <row r="779">
      <c r="A779" t="inlineStr">
        <is>
          <t>E2</t>
        </is>
      </c>
      <c r="B779" t="inlineStr">
        <is>
          <t>Multicloud</t>
        </is>
      </c>
      <c r="C779" t="inlineStr">
        <is>
          <t>Finout</t>
        </is>
      </c>
      <c r="D779" t="inlineStr">
        <is>
          <t>Asignacion</t>
        </is>
      </c>
      <c r="E779" t="inlineStr">
        <is>
          <t>A2</t>
        </is>
      </c>
      <c r="F779" s="2" t="inlineStr">
        <is>
          <t>¿Explicita y aplica reglas para costo compartido/multi-tenant?</t>
        </is>
      </c>
      <c r="G779" t="n">
        <v>2</v>
      </c>
      <c r="H779" t="inlineStr">
        <is>
          <t>Oficial</t>
        </is>
      </c>
      <c r="I779" s="2" t="inlineStr">
        <is>
          <t>"Shared Cost Reallocation" es una función dedicada para el reparto de costo compartido, construida sobre las reglas de filtrado de Virtual Tags ("funnel from the top down").</t>
        </is>
      </c>
      <c r="J779" t="inlineStr">
        <is>
          <t>https://docs.finout.io/user-guide/inform/shared-cost-reallocation</t>
        </is>
      </c>
      <c r="K779" t="inlineStr">
        <is>
          <t>2026-09-16</t>
        </is>
      </c>
      <c r="L779" s="2" t="inlineStr"/>
    </row>
    <row r="780">
      <c r="A780" t="inlineStr">
        <is>
          <t>E2</t>
        </is>
      </c>
      <c r="B780" t="inlineStr">
        <is>
          <t>Multicloud</t>
        </is>
      </c>
      <c r="C780" t="inlineStr">
        <is>
          <t>Finout</t>
        </is>
      </c>
      <c r="D780" t="inlineStr">
        <is>
          <t>Optimizacion</t>
        </is>
      </c>
      <c r="E780" t="inlineStr">
        <is>
          <t>O1</t>
        </is>
      </c>
      <c r="F780" s="2" t="inlineStr">
        <is>
          <t>¿Detecta desperdicio, rightsizing o compromiso relevante al escenario?</t>
        </is>
      </c>
      <c r="G780" t="n">
        <v>2</v>
      </c>
      <c r="H780" t="inlineStr">
        <is>
          <t>Oficial</t>
        </is>
      </c>
      <c r="I780" s="2" t="inlineStr">
        <is>
          <t>"CostGuard" detecta recursos inactivos, oportunidades de rightsizing (incluye pods/StatefulSets de Kubernetes) y candidatos a compromisos (savings plans), disponible "out of the box" sin configuración.</t>
        </is>
      </c>
      <c r="J780" t="inlineStr">
        <is>
          <t>https://docs.finout.io/user-guide/optimize/costguard</t>
        </is>
      </c>
      <c r="K780" t="inlineStr">
        <is>
          <t>2026-09-16</t>
        </is>
      </c>
      <c r="L780" s="2" t="inlineStr"/>
    </row>
    <row r="781">
      <c r="A781" t="inlineStr">
        <is>
          <t>E2</t>
        </is>
      </c>
      <c r="B781" t="inlineStr">
        <is>
          <t>Multicloud</t>
        </is>
      </c>
      <c r="C781" t="inlineStr">
        <is>
          <t>Finout</t>
        </is>
      </c>
      <c r="D781" t="inlineStr">
        <is>
          <t>Optimizacion</t>
        </is>
      </c>
      <c r="E781" t="inlineStr">
        <is>
          <t>O2</t>
        </is>
      </c>
      <c r="F781" s="2" t="inlineStr">
        <is>
          <t>¿Explica supuesto/impacto y permite seguir una recomendación?</t>
        </is>
      </c>
      <c r="G781" t="n">
        <v>1</v>
      </c>
      <c r="H781" t="inlineStr">
        <is>
          <t>Oficial</t>
        </is>
      </c>
      <c r="I781" s="2" t="inlineStr">
        <is>
          <t>CostGuard entrega "información y confianza" para optimizar, pero la documentación revisada no detalla un ciclo de seguimiento de estado/ahorro realizado equivalente al de CloudZero/Vantage.</t>
        </is>
      </c>
      <c r="J781" t="inlineStr">
        <is>
          <t>https://docs.finout.io/user-guide/optimize/costguard</t>
        </is>
      </c>
      <c r="K781" t="inlineStr">
        <is>
          <t>2026-09-16</t>
        </is>
      </c>
      <c r="L781" s="2" t="inlineStr"/>
    </row>
    <row r="782">
      <c r="A782" t="inlineStr">
        <is>
          <t>E2</t>
        </is>
      </c>
      <c r="B782" t="inlineStr">
        <is>
          <t>Multicloud</t>
        </is>
      </c>
      <c r="C782" t="inlineStr">
        <is>
          <t>Finout</t>
        </is>
      </c>
      <c r="D782" t="inlineStr">
        <is>
          <t>Automatizacion</t>
        </is>
      </c>
      <c r="E782" t="inlineStr">
        <is>
          <t>AU1</t>
        </is>
      </c>
      <c r="F782" s="2" t="inlineStr">
        <is>
          <t>¿Ejecuta o bloquea acciones/políticas de costo con control verificable?</t>
        </is>
      </c>
      <c r="G782" t="inlineStr">
        <is>
          <t>NE</t>
        </is>
      </c>
      <c r="H782" t="inlineStr">
        <is>
          <t>Pendiente</t>
        </is>
      </c>
      <c r="I782" s="2" t="inlineStr">
        <is>
          <t>La documentación revisada no confirma ni descarta ejecución automática de acciones; CostGuard se describe como una fuente de información/recomendación, sin detalle suficiente para puntuar con certeza.</t>
        </is>
      </c>
      <c r="K782" t="inlineStr">
        <is>
          <t>2026-09-16</t>
        </is>
      </c>
      <c r="L782" s="2" t="inlineStr"/>
    </row>
    <row r="783">
      <c r="A783" t="inlineStr">
        <is>
          <t>E2</t>
        </is>
      </c>
      <c r="B783" t="inlineStr">
        <is>
          <t>Multicloud</t>
        </is>
      </c>
      <c r="C783" t="inlineStr">
        <is>
          <t>Finout</t>
        </is>
      </c>
      <c r="D783" t="inlineStr">
        <is>
          <t>Automatizacion</t>
        </is>
      </c>
      <c r="E783" t="inlineStr">
        <is>
          <t>AU2</t>
        </is>
      </c>
      <c r="F783" s="2" t="inlineStr">
        <is>
          <t>¿Ofrece aprobación, reversión, registro o límites antes de actuar?</t>
        </is>
      </c>
      <c r="G783" t="inlineStr">
        <is>
          <t>NE</t>
        </is>
      </c>
      <c r="H783" t="inlineStr">
        <is>
          <t>Pendiente</t>
        </is>
      </c>
      <c r="I783" s="2" t="inlineStr">
        <is>
          <t>Mismo motivo que AU1: evidencia insuficiente sobre el mecanismo de ejecución como para evaluar sus salvaguardas.</t>
        </is>
      </c>
      <c r="K783" t="inlineStr">
        <is>
          <t>2026-09-16</t>
        </is>
      </c>
      <c r="L783" s="2" t="inlineStr"/>
    </row>
    <row r="784">
      <c r="A784" t="inlineStr">
        <is>
          <t>E2</t>
        </is>
      </c>
      <c r="B784" t="inlineStr">
        <is>
          <t>Multicloud</t>
        </is>
      </c>
      <c r="C784" t="inlineStr">
        <is>
          <t>Finout</t>
        </is>
      </c>
      <c r="D784" t="inlineStr">
        <is>
          <t>Multicloud</t>
        </is>
      </c>
      <c r="E784" t="inlineStr">
        <is>
          <t>M1</t>
        </is>
      </c>
      <c r="F784" s="2" t="inlineStr">
        <is>
          <t>¿Consolida al menos dos proveedores bajo el mismo esquema declarado?</t>
        </is>
      </c>
      <c r="G784" t="n">
        <v>2</v>
      </c>
      <c r="H784" t="inlineStr">
        <is>
          <t>Oficial</t>
        </is>
      </c>
      <c r="I784" s="2" t="inlineStr">
        <is>
          <t>El "Default FOCUS Table" consolida AWS, Azure, GCP "and more" bajo el estándar FOCUS de forma automática y sin configuración ("no setup required").</t>
        </is>
      </c>
      <c r="J784" t="inlineStr">
        <is>
          <t>https://docs.finout.io/get-started-with-finout/cost-and-usage-types/focus-in-finout</t>
        </is>
      </c>
      <c r="K784" t="inlineStr">
        <is>
          <t>2026-09-16</t>
        </is>
      </c>
      <c r="L784" s="2" t="inlineStr"/>
    </row>
    <row r="785">
      <c r="A785" t="inlineStr">
        <is>
          <t>E2</t>
        </is>
      </c>
      <c r="B785" t="inlineStr">
        <is>
          <t>Multicloud</t>
        </is>
      </c>
      <c r="C785" t="inlineStr">
        <is>
          <t>Finout</t>
        </is>
      </c>
      <c r="D785" t="inlineStr">
        <is>
          <t>Multicloud</t>
        </is>
      </c>
      <c r="E785" t="inlineStr">
        <is>
          <t>M2</t>
        </is>
      </c>
      <c r="F785" s="2" t="inlineStr">
        <is>
          <t>¿Hace visibles proveedor, cobertura y diferencias semánticas?</t>
        </is>
      </c>
      <c r="G785" t="n">
        <v>2</v>
      </c>
      <c r="H785" t="inlineStr">
        <is>
          <t>Oficial</t>
        </is>
      </c>
      <c r="I785" s="2" t="inlineStr">
        <is>
          <t>"Virtual Tags" normaliza explícitamente dimensiones núcleo -proveedor, servicio, región, categoría de cargo y tipo de precio- entre proveedores, exponiendo diferencias en lugar de ocultarlas.</t>
        </is>
      </c>
      <c r="J785" t="inlineStr">
        <is>
          <t>https://docs.finout.io/get-started-with-finout/cost-and-usage-types/focus-in-finout</t>
        </is>
      </c>
      <c r="K785" t="inlineStr">
        <is>
          <t>2026-09-16</t>
        </is>
      </c>
      <c r="L785" s="2" t="inlineStr"/>
    </row>
    <row r="786">
      <c r="A786" t="inlineStr">
        <is>
          <t>E2</t>
        </is>
      </c>
      <c r="B786" t="inlineStr">
        <is>
          <t>Multicloud</t>
        </is>
      </c>
      <c r="C786" t="inlineStr">
        <is>
          <t>Finout</t>
        </is>
      </c>
      <c r="D786" t="inlineStr">
        <is>
          <t>Integracion</t>
        </is>
      </c>
      <c r="E786" t="inlineStr">
        <is>
          <t>I1</t>
        </is>
      </c>
      <c r="F786" s="2" t="inlineStr">
        <is>
          <t>¿Integra datos requeridos (facturación, uso, clúster o IaC) del escenario?</t>
        </is>
      </c>
      <c r="G786" t="n">
        <v>2</v>
      </c>
      <c r="H786" t="inlineStr">
        <is>
          <t>Oficial</t>
        </is>
      </c>
      <c r="I786" s="2" t="inlineStr">
        <is>
          <t>Ingesta automatizada de billing exports en formato FOCUS de cualquier proveedor soportado, más escaneos específicos de Kubernetes para CostGuard.</t>
        </is>
      </c>
      <c r="J786" t="inlineStr">
        <is>
          <t>https://docs.finout.io/get-started-with-finout/cost-and-usage-types/focus-in-finout</t>
        </is>
      </c>
      <c r="K786" t="inlineStr">
        <is>
          <t>2026-09-16</t>
        </is>
      </c>
      <c r="L786" s="2" t="inlineStr"/>
    </row>
    <row r="787">
      <c r="A787" t="inlineStr">
        <is>
          <t>E2</t>
        </is>
      </c>
      <c r="B787" t="inlineStr">
        <is>
          <t>Multicloud</t>
        </is>
      </c>
      <c r="C787" t="inlineStr">
        <is>
          <t>Finout</t>
        </is>
      </c>
      <c r="D787" t="inlineStr">
        <is>
          <t>Integracion</t>
        </is>
      </c>
      <c r="E787" t="inlineStr">
        <is>
          <t>I2</t>
        </is>
      </c>
      <c r="F787" s="2" t="inlineStr">
        <is>
          <t>¿Se integra con el flujo de trabajo relevante (alerta, ticket, CI/CD o reporte)?</t>
        </is>
      </c>
      <c r="G787" t="n">
        <v>1</v>
      </c>
      <c r="H787" t="inlineStr">
        <is>
          <t>Comercial</t>
        </is>
      </c>
      <c r="I787" s="2" t="inlineStr">
        <is>
          <t>Existe una integración con Slack para seguimiento de uso y anomalías, documentada únicamente en el blog del proveedor (no se ubicó la página técnica equivalente en docs.finout.io), por lo que se trata como evidencia comercial.</t>
        </is>
      </c>
      <c r="J787" t="inlineStr">
        <is>
          <t>https://www.finout.io/slack-and-finout-integration-track-usage-and-anomalies</t>
        </is>
      </c>
      <c r="K787" t="inlineStr">
        <is>
          <t>2026-09-16</t>
        </is>
      </c>
      <c r="L787" s="2" t="inlineStr"/>
    </row>
    <row r="788">
      <c r="A788" t="inlineStr">
        <is>
          <t>E2</t>
        </is>
      </c>
      <c r="B788" t="inlineStr">
        <is>
          <t>Multicloud</t>
        </is>
      </c>
      <c r="C788" t="inlineStr">
        <is>
          <t>Finout</t>
        </is>
      </c>
      <c r="D788" t="inlineStr">
        <is>
          <t>Adopcion</t>
        </is>
      </c>
      <c r="E788" t="inlineStr">
        <is>
          <t>AD1</t>
        </is>
      </c>
      <c r="F788" s="2" t="inlineStr">
        <is>
          <t>¿Soporta acceso/entrega para los roles del escenario?</t>
        </is>
      </c>
      <c r="G788" t="n">
        <v>2</v>
      </c>
      <c r="H788" t="inlineStr">
        <is>
          <t>Oficial</t>
        </is>
      </c>
      <c r="I788" s="2" t="inlineStr">
        <is>
          <t>Existen páginas dedicadas de "Role-Based Access Control (RBAC)" y "ACL Permissions" en la documentación técnica.</t>
        </is>
      </c>
      <c r="J788" t="inlineStr">
        <is>
          <t>https://docs.finout.io/settings/role-based-access-control-rbac/role-permissions</t>
        </is>
      </c>
      <c r="K788" t="inlineStr">
        <is>
          <t>2026-09-16</t>
        </is>
      </c>
      <c r="L788" s="2" t="inlineStr"/>
    </row>
    <row r="789">
      <c r="A789" t="inlineStr">
        <is>
          <t>E2</t>
        </is>
      </c>
      <c r="B789" t="inlineStr">
        <is>
          <t>Multicloud</t>
        </is>
      </c>
      <c r="C789" t="inlineStr">
        <is>
          <t>Finout</t>
        </is>
      </c>
      <c r="D789" t="inlineStr">
        <is>
          <t>Adopcion</t>
        </is>
      </c>
      <c r="E789" t="inlineStr">
        <is>
          <t>AD2</t>
        </is>
      </c>
      <c r="F789" s="2" t="inlineStr">
        <is>
          <t>¿Ofrece guías, ownership o mecanismos de seguimiento para uso sostenido?</t>
        </is>
      </c>
      <c r="G789" t="n">
        <v>2</v>
      </c>
      <c r="H789" t="inlineStr">
        <is>
          <t>Oficial</t>
        </is>
      </c>
      <c r="I789" s="2" t="inlineStr">
        <is>
          <t>Gobernanza documentada como función del producto: la gobernanza de etiquetas «allows you to define tagging policies across multiple cloud environments, offering visibility into non-compliant resources and costs while simplifying resource tracking», que es un mecanismo de seguimiento para uso sostenido en un entorno multinube. La documentación incluye además la guía de incorporación de nuevos usuarios a la cuenta. Proceso definido; sin evidencia de adopción medida para 3.</t>
        </is>
      </c>
      <c r="J789" t="inlineStr">
        <is>
          <t>https://docs.finout.io/user-guide/operate/tag-governance ; https://docs.finout.io/get-started-with-finout/introduction-to-finouts-suite-of-features</t>
        </is>
      </c>
      <c r="K789" t="inlineStr">
        <is>
          <t>2026-09-16</t>
        </is>
      </c>
      <c r="L789" s="2" t="inlineStr">
        <is>
          <t>Investigación E2 FP-180 (2026-09-16): celda completada con evidencia propia del escenario, verificada contra documentación oficial.</t>
        </is>
      </c>
    </row>
    <row r="790">
      <c r="A790" t="inlineStr">
        <is>
          <t>E2</t>
        </is>
      </c>
      <c r="B790" t="inlineStr">
        <is>
          <t>Multicloud</t>
        </is>
      </c>
      <c r="C790" t="inlineStr">
        <is>
          <t>Finout</t>
        </is>
      </c>
      <c r="D790" t="inlineStr">
        <is>
          <t>Precio</t>
        </is>
      </c>
      <c r="E790" t="inlineStr">
        <is>
          <t>P1</t>
        </is>
      </c>
      <c r="F790" s="2" t="inlineStr">
        <is>
          <t>¿Expone precio, moneda, región, unidad, período y supuestos relevantes?</t>
        </is>
      </c>
      <c r="G790" t="inlineStr">
        <is>
          <t>NE</t>
        </is>
      </c>
      <c r="H790" t="inlineStr">
        <is>
          <t>Pendiente</t>
        </is>
      </c>
      <c r="I790" s="2" t="inlineStr">
        <is>
          <t>No se encontró evidencia específica de transparencia de supuestos de precio (moneda/región/período) en las páginas revisadas.</t>
        </is>
      </c>
      <c r="K790" t="inlineStr">
        <is>
          <t>2026-09-16</t>
        </is>
      </c>
      <c r="L790" s="2" t="inlineStr"/>
    </row>
    <row r="791">
      <c r="A791" t="inlineStr">
        <is>
          <t>E2</t>
        </is>
      </c>
      <c r="B791" t="inlineStr">
        <is>
          <t>Multicloud</t>
        </is>
      </c>
      <c r="C791" t="inlineStr">
        <is>
          <t>Finout</t>
        </is>
      </c>
      <c r="D791" t="inlineStr">
        <is>
          <t>Precio</t>
        </is>
      </c>
      <c r="E791" t="inlineStr">
        <is>
          <t>P2</t>
        </is>
      </c>
      <c r="F791" s="2" t="inlineStr">
        <is>
          <t>¿Permite estimar o comparar componentes sin ocultar límites de equivalencia?</t>
        </is>
      </c>
      <c r="G791" t="inlineStr">
        <is>
          <t>NE</t>
        </is>
      </c>
      <c r="H791" t="inlineStr">
        <is>
          <t>Pendiente</t>
        </is>
      </c>
      <c r="I791" s="2" t="inlineStr">
        <is>
          <t>No se encontró evidencia de una función de comparación/estimación de precio contextual en las páginas revisadas.</t>
        </is>
      </c>
      <c r="K791" t="inlineStr">
        <is>
          <t>2026-09-16</t>
        </is>
      </c>
      <c r="L791" s="2" t="inlineStr"/>
    </row>
    <row r="792">
      <c r="A792" t="inlineStr">
        <is>
          <t>E2</t>
        </is>
      </c>
      <c r="B792" t="inlineStr">
        <is>
          <t>Multicloud</t>
        </is>
      </c>
      <c r="C792" t="inlineStr">
        <is>
          <t>Finout</t>
        </is>
      </c>
      <c r="D792" t="inlineStr">
        <is>
          <t>Dependencia</t>
        </is>
      </c>
      <c r="E792" t="inlineStr">
        <is>
          <t>D1</t>
        </is>
      </c>
      <c r="F792" s="2" t="inlineStr">
        <is>
          <t>¿Exporta datos/resultados en formato utilizable y documentado?</t>
        </is>
      </c>
      <c r="G792" t="n">
        <v>2</v>
      </c>
      <c r="H792" t="inlineStr">
        <is>
          <t>Oficial</t>
        </is>
      </c>
      <c r="I792" s="2" t="inlineStr">
        <is>
          <t>Documentación técnica dedicada de "Finout API", "Cost API", "CostGuard API" y "Virtual Tags API" confirma una vía de exportación/acceso a datos definida y reproducible.</t>
        </is>
      </c>
      <c r="J792" t="inlineStr">
        <is>
          <t>https://docs.finout.io/configuration/finout-api</t>
        </is>
      </c>
      <c r="K792" t="inlineStr">
        <is>
          <t>2026-09-16</t>
        </is>
      </c>
      <c r="L792" s="2" t="inlineStr"/>
    </row>
    <row r="793">
      <c r="A793" t="inlineStr">
        <is>
          <t>E2</t>
        </is>
      </c>
      <c r="B793" t="inlineStr">
        <is>
          <t>Multicloud</t>
        </is>
      </c>
      <c r="C793" t="inlineStr">
        <is>
          <t>Finout</t>
        </is>
      </c>
      <c r="D793" t="inlineStr">
        <is>
          <t>Dependencia</t>
        </is>
      </c>
      <c r="E793" t="inlineStr">
        <is>
          <t>D2</t>
        </is>
      </c>
      <c r="F793" s="2" t="inlineStr">
        <is>
          <t>¿Documenta dependencias propietarias y un camino de salida/configuración reversible?</t>
        </is>
      </c>
      <c r="G793" t="inlineStr">
        <is>
          <t>NE</t>
        </is>
      </c>
      <c r="H793" t="inlineStr">
        <is>
          <t>Pendiente</t>
        </is>
      </c>
      <c r="I793" s="2" t="inlineStr">
        <is>
          <t>No se encontró documentación sobre un camino de salida o reversibilidad de la configuración.</t>
        </is>
      </c>
      <c r="K793" t="inlineStr">
        <is>
          <t>2026-09-16</t>
        </is>
      </c>
      <c r="L793" s="2" t="inlineStr"/>
    </row>
    <row r="794">
      <c r="A794" t="inlineStr">
        <is>
          <t>E5</t>
        </is>
      </c>
      <c r="B794" t="inlineStr">
        <is>
          <t>Multicloud</t>
        </is>
      </c>
      <c r="C794" t="inlineStr">
        <is>
          <t>Finout</t>
        </is>
      </c>
      <c r="D794" t="inlineStr">
        <is>
          <t>Visibilidad</t>
        </is>
      </c>
      <c r="E794" t="inlineStr">
        <is>
          <t>V1</t>
        </is>
      </c>
      <c r="F794" s="2" t="inlineStr">
        <is>
          <t>¿Desagrega costo y uso por cuenta/proyecto, servicio y período?</t>
        </is>
      </c>
      <c r="G794" t="n">
        <v>2</v>
      </c>
      <c r="H794" t="inlineStr">
        <is>
          <t>Oficial</t>
        </is>
      </c>
      <c r="I794"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794" t="inlineStr">
        <is>
          <t>https://docs.finout.io/get-started-with-finout/cost-and-usage-types/focus-in-finout</t>
        </is>
      </c>
      <c r="K794" t="inlineStr">
        <is>
          <t>2026-09-16</t>
        </is>
      </c>
      <c r="L794" s="2" t="inlineStr">
        <is>
          <t>Celda heredada FP-180 (2026-09-16): el valor 2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95">
      <c r="A795" t="inlineStr">
        <is>
          <t>E5</t>
        </is>
      </c>
      <c r="B795" t="inlineStr">
        <is>
          <t>Multicloud</t>
        </is>
      </c>
      <c r="C795" t="inlineStr">
        <is>
          <t>Finout</t>
        </is>
      </c>
      <c r="D795" t="inlineStr">
        <is>
          <t>Visibilidad</t>
        </is>
      </c>
      <c r="E795" t="inlineStr">
        <is>
          <t>V2</t>
        </is>
      </c>
      <c r="F795" s="2" t="inlineStr">
        <is>
          <t>¿Permite rastrear un total hasta registros o fuente de facturación?</t>
        </is>
      </c>
      <c r="G795" t="n">
        <v>2</v>
      </c>
      <c r="H795" t="inlineStr">
        <is>
          <t>Oficial</t>
        </is>
      </c>
      <c r="I795" s="2" t="inlineStr">
        <is>
          <t>MegaBill permite descender del total al detalle: «You can quickly drill down into the costs/usage by clicking an area on the graph», y la Cost API V2 expone consulta directa de costo y uso con filtros y group-by, de modo que el detalle es exportable y reproducible. Límite registrado para E2: la documentación oficial declara que «Cost data in MegaBill is available for all cloud providers and services supported by Finout. Usage data is available for AWS, GCP, and Azure», es decir, el dato de uso no cubre a todos los proveedores. No se encontró documentación oficial de conciliación contra la factura del proveedor; la afirmación de conciliación patentada aparece solo en material comercial y por eso no se usa para puntuar.</t>
        </is>
      </c>
      <c r="J795" t="inlineStr">
        <is>
          <t>https://docs.finout.io/user-guide/inform/megabill ; https://docs.finout.io/api/finout-api/finout-api-v2</t>
        </is>
      </c>
      <c r="K795" t="inlineStr">
        <is>
          <t>2026-09-16</t>
        </is>
      </c>
      <c r="L795" s="2" t="inlineStr">
        <is>
          <t>Investigación E2 FP-180 (2026-09-16): celda completada con evidencia propia del escenario, verificada contra documentación oficial.</t>
        </is>
      </c>
    </row>
    <row r="796">
      <c r="A796" t="inlineStr">
        <is>
          <t>E5</t>
        </is>
      </c>
      <c r="B796" t="inlineStr">
        <is>
          <t>Multicloud</t>
        </is>
      </c>
      <c r="C796" t="inlineStr">
        <is>
          <t>Finout</t>
        </is>
      </c>
      <c r="D796" t="inlineStr">
        <is>
          <t>Asignacion</t>
        </is>
      </c>
      <c r="E796" t="inlineStr">
        <is>
          <t>A1</t>
        </is>
      </c>
      <c r="F796" s="2" t="inlineStr">
        <is>
          <t>¿Calcula gasto asignado/no asignado por responsable, centro o entidad?</t>
        </is>
      </c>
      <c r="G796" t="n">
        <v>2</v>
      </c>
      <c r="H796" t="inlineStr">
        <is>
          <t>Oficial</t>
        </is>
      </c>
      <c r="I796" s="2" t="inlineStr">
        <is>
          <t>"Virtual Tags" y "Shared Cost Reallocation" (con MegaBill key) permiten segmentar el costo retroactivamente y mejorar la granularidad de la asignación sin modificar las etiquetas originales del recurso, funcionando entre proveedores.</t>
        </is>
      </c>
      <c r="J796" t="inlineStr">
        <is>
          <t>https://docs.finout.io/user-guide/inform/virtual-tags</t>
        </is>
      </c>
      <c r="K796" t="inlineStr">
        <is>
          <t>2026-09-16</t>
        </is>
      </c>
      <c r="L796" s="2" t="inlineStr">
        <is>
          <t>Celda heredada FP-180 (2026-09-16): el valor 2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97">
      <c r="A797" t="inlineStr">
        <is>
          <t>E5</t>
        </is>
      </c>
      <c r="B797" t="inlineStr">
        <is>
          <t>Multicloud</t>
        </is>
      </c>
      <c r="C797" t="inlineStr">
        <is>
          <t>Finout</t>
        </is>
      </c>
      <c r="D797" t="inlineStr">
        <is>
          <t>Asignacion</t>
        </is>
      </c>
      <c r="E797" t="inlineStr">
        <is>
          <t>A2</t>
        </is>
      </c>
      <c r="F797" s="2" t="inlineStr">
        <is>
          <t>¿Explicita y aplica reglas para costo compartido/multi-tenant?</t>
        </is>
      </c>
      <c r="G797" t="inlineStr">
        <is>
          <t>NE</t>
        </is>
      </c>
      <c r="H797" t="inlineStr">
        <is>
          <t>Pendiente</t>
        </is>
      </c>
      <c r="I797" s="2" t="inlineStr">
        <is>
          <t>"Shared Cost Reallocation" es una función dedicada para el reparto de costo compartido, construida sobre las reglas de filtrado de Virtual Tags ("funnel from the top down").</t>
        </is>
      </c>
      <c r="J797" t="inlineStr">
        <is>
          <t>https://docs.finout.io/user-guide/inform/shared-cost-reallocation</t>
        </is>
      </c>
      <c r="K797" t="inlineStr">
        <is>
          <t>2026-09-16</t>
        </is>
      </c>
      <c r="L797" s="2" t="inlineStr">
        <is>
          <t>Celda heredada FP-180 (2026-09-16): el valor 2 proviene de la investigacion del escenario E2 y no cuenta con evidencia propia de E5. Segun FP-177 el indicador A2 depende del escenario, por lo que pasa a NE (no evidenciado, reduce cobertura) hasta investigarlo. La evidencia y la fuente originales se conservan como referencia del escenario de origen.</t>
        </is>
      </c>
    </row>
    <row r="798">
      <c r="A798" t="inlineStr">
        <is>
          <t>E5</t>
        </is>
      </c>
      <c r="B798" t="inlineStr">
        <is>
          <t>Multicloud</t>
        </is>
      </c>
      <c r="C798" t="inlineStr">
        <is>
          <t>Finout</t>
        </is>
      </c>
      <c r="D798" t="inlineStr">
        <is>
          <t>Optimizacion</t>
        </is>
      </c>
      <c r="E798" t="inlineStr">
        <is>
          <t>O1</t>
        </is>
      </c>
      <c r="F798" s="2" t="inlineStr">
        <is>
          <t>¿Detecta desperdicio, rightsizing o compromiso relevante al escenario?</t>
        </is>
      </c>
      <c r="G798" t="n">
        <v>2</v>
      </c>
      <c r="H798" t="inlineStr">
        <is>
          <t>Oficial</t>
        </is>
      </c>
      <c r="I798" s="2" t="inlineStr">
        <is>
          <t>"CostGuard" detecta recursos inactivos, oportunidades de rightsizing (incluye pods/StatefulSets de Kubernetes) y candidatos a compromisos (savings plans), disponible "out of the box" sin configuración.</t>
        </is>
      </c>
      <c r="J798" t="inlineStr">
        <is>
          <t>https://docs.finout.io/user-guide/optimize/costguard</t>
        </is>
      </c>
      <c r="K798" t="inlineStr">
        <is>
          <t>2026-09-16</t>
        </is>
      </c>
      <c r="L798" s="2" t="inlineStr">
        <is>
          <t>Celda heredada FP-180 (2026-09-16): el valor 2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799">
      <c r="A799" t="inlineStr">
        <is>
          <t>E5</t>
        </is>
      </c>
      <c r="B799" t="inlineStr">
        <is>
          <t>Multicloud</t>
        </is>
      </c>
      <c r="C799" t="inlineStr">
        <is>
          <t>Finout</t>
        </is>
      </c>
      <c r="D799" t="inlineStr">
        <is>
          <t>Optimizacion</t>
        </is>
      </c>
      <c r="E799" t="inlineStr">
        <is>
          <t>O2</t>
        </is>
      </c>
      <c r="F799" s="2" t="inlineStr">
        <is>
          <t>¿Explica supuesto/impacto y permite seguir una recomendación?</t>
        </is>
      </c>
      <c r="G799" t="n">
        <v>1</v>
      </c>
      <c r="H799" t="inlineStr">
        <is>
          <t>Oficial</t>
        </is>
      </c>
      <c r="I799" s="2" t="inlineStr">
        <is>
          <t>CostGuard entrega "información y confianza" para optimizar, pero la documentación revisada no detalla un ciclo de seguimiento de estado/ahorro realizado equivalente al de CloudZero/Vantage.</t>
        </is>
      </c>
      <c r="J799" t="inlineStr">
        <is>
          <t>https://docs.finout.io/user-guide/optimize/costguard</t>
        </is>
      </c>
      <c r="K799" t="inlineStr">
        <is>
          <t>2026-09-16</t>
        </is>
      </c>
      <c r="L799" s="2" t="inlineStr"/>
    </row>
    <row r="800">
      <c r="A800" t="inlineStr">
        <is>
          <t>E5</t>
        </is>
      </c>
      <c r="B800" t="inlineStr">
        <is>
          <t>Multicloud</t>
        </is>
      </c>
      <c r="C800" t="inlineStr">
        <is>
          <t>Finout</t>
        </is>
      </c>
      <c r="D800" t="inlineStr">
        <is>
          <t>Automatizacion</t>
        </is>
      </c>
      <c r="E800" t="inlineStr">
        <is>
          <t>AU1</t>
        </is>
      </c>
      <c r="F800" s="2" t="inlineStr">
        <is>
          <t>¿Ejecuta o bloquea acciones/políticas de costo con control verificable?</t>
        </is>
      </c>
      <c r="G800" t="inlineStr">
        <is>
          <t>NE</t>
        </is>
      </c>
      <c r="H800" t="inlineStr">
        <is>
          <t>Pendiente</t>
        </is>
      </c>
      <c r="I800" s="2" t="inlineStr">
        <is>
          <t>La documentación revisada no confirma ni descarta ejecución automática de acciones; CostGuard se describe como una fuente de información/recomendación, sin detalle suficiente para puntuar con certeza.</t>
        </is>
      </c>
      <c r="K800" t="inlineStr">
        <is>
          <t>2026-09-16</t>
        </is>
      </c>
      <c r="L800" s="2" t="inlineStr"/>
    </row>
    <row r="801">
      <c r="A801" t="inlineStr">
        <is>
          <t>E5</t>
        </is>
      </c>
      <c r="B801" t="inlineStr">
        <is>
          <t>Multicloud</t>
        </is>
      </c>
      <c r="C801" t="inlineStr">
        <is>
          <t>Finout</t>
        </is>
      </c>
      <c r="D801" t="inlineStr">
        <is>
          <t>Automatizacion</t>
        </is>
      </c>
      <c r="E801" t="inlineStr">
        <is>
          <t>AU2</t>
        </is>
      </c>
      <c r="F801" s="2" t="inlineStr">
        <is>
          <t>¿Ofrece aprobación, reversión, registro o límites antes de actuar?</t>
        </is>
      </c>
      <c r="G801" t="inlineStr">
        <is>
          <t>NE</t>
        </is>
      </c>
      <c r="H801" t="inlineStr">
        <is>
          <t>Pendiente</t>
        </is>
      </c>
      <c r="I801" s="2" t="inlineStr">
        <is>
          <t>Mismo motivo que AU1: evidencia insuficiente sobre el mecanismo de ejecución como para evaluar sus salvaguardas.</t>
        </is>
      </c>
      <c r="K801" t="inlineStr">
        <is>
          <t>2026-09-16</t>
        </is>
      </c>
      <c r="L801" s="2" t="inlineStr"/>
    </row>
    <row r="802">
      <c r="A802" t="inlineStr">
        <is>
          <t>E5</t>
        </is>
      </c>
      <c r="B802" t="inlineStr">
        <is>
          <t>Multicloud</t>
        </is>
      </c>
      <c r="C802" t="inlineStr">
        <is>
          <t>Finout</t>
        </is>
      </c>
      <c r="D802" t="inlineStr">
        <is>
          <t>Multicloud</t>
        </is>
      </c>
      <c r="E802" t="inlineStr">
        <is>
          <t>M1</t>
        </is>
      </c>
      <c r="F802" s="2" t="inlineStr">
        <is>
          <t>¿Consolida al menos dos proveedores bajo el mismo esquema declarado?</t>
        </is>
      </c>
      <c r="G802" t="n">
        <v>2</v>
      </c>
      <c r="H802" t="inlineStr">
        <is>
          <t>Oficial</t>
        </is>
      </c>
      <c r="I802" s="2" t="inlineStr">
        <is>
          <t>El "Default FOCUS Table" consolida AWS, Azure, GCP "and more" bajo el estándar FOCUS de forma automática y sin configuración ("no setup required").</t>
        </is>
      </c>
      <c r="J802" t="inlineStr">
        <is>
          <t>https://docs.finout.io/get-started-with-finout/cost-and-usage-types/focus-in-finout</t>
        </is>
      </c>
      <c r="K802" t="inlineStr">
        <is>
          <t>2026-09-16</t>
        </is>
      </c>
      <c r="L802" s="2" t="inlineStr"/>
    </row>
    <row r="803">
      <c r="A803" t="inlineStr">
        <is>
          <t>E5</t>
        </is>
      </c>
      <c r="B803" t="inlineStr">
        <is>
          <t>Multicloud</t>
        </is>
      </c>
      <c r="C803" t="inlineStr">
        <is>
          <t>Finout</t>
        </is>
      </c>
      <c r="D803" t="inlineStr">
        <is>
          <t>Multicloud</t>
        </is>
      </c>
      <c r="E803" t="inlineStr">
        <is>
          <t>M2</t>
        </is>
      </c>
      <c r="F803" s="2" t="inlineStr">
        <is>
          <t>¿Hace visibles proveedor, cobertura y diferencias semánticas?</t>
        </is>
      </c>
      <c r="G803" t="n">
        <v>2</v>
      </c>
      <c r="H803" t="inlineStr">
        <is>
          <t>Oficial</t>
        </is>
      </c>
      <c r="I803" s="2" t="inlineStr">
        <is>
          <t>"Virtual Tags" normaliza explícitamente dimensiones núcleo -proveedor, servicio, región, categoría de cargo y tipo de precio- entre proveedores, exponiendo diferencias en lugar de ocultarlas.</t>
        </is>
      </c>
      <c r="J803" t="inlineStr">
        <is>
          <t>https://docs.finout.io/get-started-with-finout/cost-and-usage-types/focus-in-finout</t>
        </is>
      </c>
      <c r="K803" t="inlineStr">
        <is>
          <t>2026-09-16</t>
        </is>
      </c>
      <c r="L803" s="2" t="inlineStr"/>
    </row>
    <row r="804">
      <c r="A804" t="inlineStr">
        <is>
          <t>E5</t>
        </is>
      </c>
      <c r="B804" t="inlineStr">
        <is>
          <t>Multicloud</t>
        </is>
      </c>
      <c r="C804" t="inlineStr">
        <is>
          <t>Finout</t>
        </is>
      </c>
      <c r="D804" t="inlineStr">
        <is>
          <t>Integracion</t>
        </is>
      </c>
      <c r="E804" t="inlineStr">
        <is>
          <t>I1</t>
        </is>
      </c>
      <c r="F804" s="2" t="inlineStr">
        <is>
          <t>¿Integra datos requeridos (facturación, uso, clúster o IaC) del escenario?</t>
        </is>
      </c>
      <c r="G804" t="n">
        <v>2</v>
      </c>
      <c r="H804" t="inlineStr">
        <is>
          <t>Oficial</t>
        </is>
      </c>
      <c r="I804" s="2" t="inlineStr">
        <is>
          <t>Ingesta automatizada de billing exports en formato FOCUS de cualquier proveedor soportado, más escaneos específicos de Kubernetes para CostGuard.</t>
        </is>
      </c>
      <c r="J804" t="inlineStr">
        <is>
          <t>https://docs.finout.io/get-started-with-finout/cost-and-usage-types/focus-in-finout</t>
        </is>
      </c>
      <c r="K804" t="inlineStr">
        <is>
          <t>2026-09-16</t>
        </is>
      </c>
      <c r="L804" s="2" t="inlineStr">
        <is>
          <t>Celda heredada FP-180 (2026-09-16): el valor 2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805">
      <c r="A805" t="inlineStr">
        <is>
          <t>E5</t>
        </is>
      </c>
      <c r="B805" t="inlineStr">
        <is>
          <t>Multicloud</t>
        </is>
      </c>
      <c r="C805" t="inlineStr">
        <is>
          <t>Finout</t>
        </is>
      </c>
      <c r="D805" t="inlineStr">
        <is>
          <t>Integracion</t>
        </is>
      </c>
      <c r="E805" t="inlineStr">
        <is>
          <t>I2</t>
        </is>
      </c>
      <c r="F805" s="2" t="inlineStr">
        <is>
          <t>¿Se integra con el flujo de trabajo relevante (alerta, ticket, CI/CD o reporte)?</t>
        </is>
      </c>
      <c r="G805" t="n">
        <v>1</v>
      </c>
      <c r="H805" t="inlineStr">
        <is>
          <t>Comercial</t>
        </is>
      </c>
      <c r="I805" s="2" t="inlineStr">
        <is>
          <t>Existe una integración con Slack para seguimiento de uso y anomalías, documentada únicamente en el blog del proveedor (no se ubicó la página técnica equivalente en docs.finout.io), por lo que se trata como evidencia comercial.</t>
        </is>
      </c>
      <c r="J805" t="inlineStr">
        <is>
          <t>https://www.finout.io/slack-and-finout-integration-track-usage-and-anomalies</t>
        </is>
      </c>
      <c r="K805" t="inlineStr">
        <is>
          <t>2026-09-16</t>
        </is>
      </c>
      <c r="L805" s="2" t="inlineStr">
        <is>
          <t>Celda heredada FP-180 (2026-09-16): el valor 1 proviene de la investigacion del escenario E2 y no cuenta con evidencia propia de E5. Segun FP-177 el indicador I2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806">
      <c r="A806" t="inlineStr">
        <is>
          <t>E5</t>
        </is>
      </c>
      <c r="B806" t="inlineStr">
        <is>
          <t>Multicloud</t>
        </is>
      </c>
      <c r="C806" t="inlineStr">
        <is>
          <t>Finout</t>
        </is>
      </c>
      <c r="D806" t="inlineStr">
        <is>
          <t>Adopcion</t>
        </is>
      </c>
      <c r="E806" t="inlineStr">
        <is>
          <t>AD1</t>
        </is>
      </c>
      <c r="F806" s="2" t="inlineStr">
        <is>
          <t>¿Soporta acceso/entrega para los roles del escenario?</t>
        </is>
      </c>
      <c r="G806" t="n">
        <v>2</v>
      </c>
      <c r="H806" t="inlineStr">
        <is>
          <t>Oficial</t>
        </is>
      </c>
      <c r="I806" s="2" t="inlineStr">
        <is>
          <t>Existen páginas dedicadas de "Role-Based Access Control (RBAC)" y "ACL Permissions" en la documentación técnica.</t>
        </is>
      </c>
      <c r="J806" t="inlineStr">
        <is>
          <t>https://docs.finout.io/settings/role-based-access-control-rbac/role-permissions</t>
        </is>
      </c>
      <c r="K806" t="inlineStr">
        <is>
          <t>2026-09-16</t>
        </is>
      </c>
      <c r="L806" s="2" t="inlineStr">
        <is>
          <t>Celda heredada FP-180 (2026-09-16): el valor 2 proviene de la investigacion del escenario E2 y no cuenta con evidencia propia de E5. Segun FP-177 el indicador AD1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807">
      <c r="A807" t="inlineStr">
        <is>
          <t>E5</t>
        </is>
      </c>
      <c r="B807" t="inlineStr">
        <is>
          <t>Multicloud</t>
        </is>
      </c>
      <c r="C807" t="inlineStr">
        <is>
          <t>Finout</t>
        </is>
      </c>
      <c r="D807" t="inlineStr">
        <is>
          <t>Adopcion</t>
        </is>
      </c>
      <c r="E807" t="inlineStr">
        <is>
          <t>AD2</t>
        </is>
      </c>
      <c r="F807" s="2" t="inlineStr">
        <is>
          <t>¿Ofrece guías, ownership o mecanismos de seguimiento para uso sostenido?</t>
        </is>
      </c>
      <c r="G807" t="n">
        <v>2</v>
      </c>
      <c r="H807" t="inlineStr">
        <is>
          <t>Oficial</t>
        </is>
      </c>
      <c r="I807" s="2" t="inlineStr">
        <is>
          <t>Gobernanza documentada como función del producto: la gobernanza de etiquetas «allows you to define tagging policies across multiple cloud environments, offering visibility into non-compliant resources and costs while simplifying resource tracking», que es un mecanismo de seguimiento para uso sostenido en un entorno multinube. La documentación incluye además la guía de incorporación de nuevos usuarios a la cuenta. Proceso definido; sin evidencia de adopción medida para 3.</t>
        </is>
      </c>
      <c r="J807" t="inlineStr">
        <is>
          <t>https://docs.finout.io/user-guide/operate/tag-governance ; https://docs.finout.io/get-started-with-finout/introduction-to-finouts-suite-of-features</t>
        </is>
      </c>
      <c r="K807" t="inlineStr">
        <is>
          <t>2026-09-16</t>
        </is>
      </c>
      <c r="L807" s="2" t="inlineStr">
        <is>
          <t>Investigación E2 FP-180 (2026-09-16): celda completada con evidencia propia del escenario, verificada contra documentación oficial.</t>
        </is>
      </c>
    </row>
    <row r="808">
      <c r="A808" t="inlineStr">
        <is>
          <t>E5</t>
        </is>
      </c>
      <c r="B808" t="inlineStr">
        <is>
          <t>Multicloud</t>
        </is>
      </c>
      <c r="C808" t="inlineStr">
        <is>
          <t>Finout</t>
        </is>
      </c>
      <c r="D808" t="inlineStr">
        <is>
          <t>Precio</t>
        </is>
      </c>
      <c r="E808" t="inlineStr">
        <is>
          <t>P1</t>
        </is>
      </c>
      <c r="F808" s="2" t="inlineStr">
        <is>
          <t>¿Expone precio, moneda, región, unidad, período y supuestos relevantes?</t>
        </is>
      </c>
      <c r="G808" t="inlineStr">
        <is>
          <t>NE</t>
        </is>
      </c>
      <c r="H808" t="inlineStr">
        <is>
          <t>Pendiente</t>
        </is>
      </c>
      <c r="I808" s="2" t="inlineStr">
        <is>
          <t>No se encontró evidencia específica de transparencia de supuestos de precio (moneda/región/período) en las páginas revisadas.</t>
        </is>
      </c>
      <c r="K808" t="inlineStr">
        <is>
          <t>2026-09-16</t>
        </is>
      </c>
      <c r="L808" s="2" t="inlineStr"/>
    </row>
    <row r="809">
      <c r="A809" t="inlineStr">
        <is>
          <t>E5</t>
        </is>
      </c>
      <c r="B809" t="inlineStr">
        <is>
          <t>Multicloud</t>
        </is>
      </c>
      <c r="C809" t="inlineStr">
        <is>
          <t>Finout</t>
        </is>
      </c>
      <c r="D809" t="inlineStr">
        <is>
          <t>Precio</t>
        </is>
      </c>
      <c r="E809" t="inlineStr">
        <is>
          <t>P2</t>
        </is>
      </c>
      <c r="F809" s="2" t="inlineStr">
        <is>
          <t>¿Permite estimar o comparar componentes sin ocultar límites de equivalencia?</t>
        </is>
      </c>
      <c r="G809" t="inlineStr">
        <is>
          <t>NE</t>
        </is>
      </c>
      <c r="H809" t="inlineStr">
        <is>
          <t>Pendiente</t>
        </is>
      </c>
      <c r="I809" s="2" t="inlineStr">
        <is>
          <t>No se encontró evidencia de una función de comparación/estimación de precio contextual en las páginas revisadas.</t>
        </is>
      </c>
      <c r="K809" t="inlineStr">
        <is>
          <t>2026-09-16</t>
        </is>
      </c>
      <c r="L809" s="2" t="inlineStr"/>
    </row>
    <row r="810">
      <c r="A810" t="inlineStr">
        <is>
          <t>E5</t>
        </is>
      </c>
      <c r="B810" t="inlineStr">
        <is>
          <t>Multicloud</t>
        </is>
      </c>
      <c r="C810" t="inlineStr">
        <is>
          <t>Finout</t>
        </is>
      </c>
      <c r="D810" t="inlineStr">
        <is>
          <t>Dependencia</t>
        </is>
      </c>
      <c r="E810" t="inlineStr">
        <is>
          <t>D1</t>
        </is>
      </c>
      <c r="F810" s="2" t="inlineStr">
        <is>
          <t>¿Exporta datos/resultados en formato utilizable y documentado?</t>
        </is>
      </c>
      <c r="G810" t="n">
        <v>2</v>
      </c>
      <c r="H810" t="inlineStr">
        <is>
          <t>Oficial</t>
        </is>
      </c>
      <c r="I810" s="2" t="inlineStr">
        <is>
          <t>Documentación técnica dedicada de "Finout API", "Cost API", "CostGuard API" y "Virtual Tags API" confirma una vía de exportación/acceso a datos definida y reproducible.</t>
        </is>
      </c>
      <c r="J810" t="inlineStr">
        <is>
          <t>https://docs.finout.io/configuration/finout-api</t>
        </is>
      </c>
      <c r="K810" t="inlineStr">
        <is>
          <t>2026-09-16</t>
        </is>
      </c>
      <c r="L810" s="2" t="inlineStr"/>
    </row>
    <row r="811">
      <c r="A811" t="inlineStr">
        <is>
          <t>E5</t>
        </is>
      </c>
      <c r="B811" t="inlineStr">
        <is>
          <t>Multicloud</t>
        </is>
      </c>
      <c r="C811" t="inlineStr">
        <is>
          <t>Finout</t>
        </is>
      </c>
      <c r="D811" t="inlineStr">
        <is>
          <t>Dependencia</t>
        </is>
      </c>
      <c r="E811" t="inlineStr">
        <is>
          <t>D2</t>
        </is>
      </c>
      <c r="F811" s="2" t="inlineStr">
        <is>
          <t>¿Documenta dependencias propietarias y un camino de salida/configuración reversible?</t>
        </is>
      </c>
      <c r="G811" t="inlineStr">
        <is>
          <t>NE</t>
        </is>
      </c>
      <c r="H811" t="inlineStr">
        <is>
          <t>Pendiente</t>
        </is>
      </c>
      <c r="I811" s="2" t="inlineStr">
        <is>
          <t>No se encontró documentación sobre un camino de salida o reversibilidad de la configuración.</t>
        </is>
      </c>
      <c r="K811" t="inlineStr">
        <is>
          <t>2026-09-16</t>
        </is>
      </c>
      <c r="L811" s="2" t="inlineStr"/>
    </row>
    <row r="812">
      <c r="A812" t="inlineStr">
        <is>
          <t>E6</t>
        </is>
      </c>
      <c r="B812" t="inlineStr">
        <is>
          <t>Multicloud</t>
        </is>
      </c>
      <c r="C812" t="inlineStr">
        <is>
          <t>Finout</t>
        </is>
      </c>
      <c r="D812" t="inlineStr">
        <is>
          <t>Visibilidad</t>
        </is>
      </c>
      <c r="E812" t="inlineStr">
        <is>
          <t>V1</t>
        </is>
      </c>
      <c r="F812" s="2" t="inlineStr">
        <is>
          <t>¿Desagrega costo y uso por cuenta/proyecto, servicio y período?</t>
        </is>
      </c>
      <c r="G812" t="inlineStr">
        <is>
          <t>NE</t>
        </is>
      </c>
      <c r="H812" t="inlineStr">
        <is>
          <t>Pendiente</t>
        </is>
      </c>
      <c r="I812" s="2" t="inlineStr">
        <is>
          <t>La "Default FOCUS Table" construye automáticamente un dataset unificado y normalizado a partir de los billing exports de todos los proveedores soportados ("AWS, GCP, Azure, and more"), y "Virtual Tags" permite "slice and analyze" el costo por proveedor/servicio/región/categoría de cargo/tipo de precio.</t>
        </is>
      </c>
      <c r="J812" t="inlineStr">
        <is>
          <t>https://docs.finout.io/get-started-with-finout/cost-and-usage-types/focus-in-finout</t>
        </is>
      </c>
      <c r="K812" t="inlineStr">
        <is>
          <t>2026-09-16</t>
        </is>
      </c>
      <c r="L812" s="2" t="inlineStr">
        <is>
          <t>Celda heredada FP-180 (2026-09-16): el valor 2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t>
        </is>
      </c>
    </row>
    <row r="813">
      <c r="A813" t="inlineStr">
        <is>
          <t>E6</t>
        </is>
      </c>
      <c r="B813" t="inlineStr">
        <is>
          <t>Multicloud</t>
        </is>
      </c>
      <c r="C813" t="inlineStr">
        <is>
          <t>Finout</t>
        </is>
      </c>
      <c r="D813" t="inlineStr">
        <is>
          <t>Visibilidad</t>
        </is>
      </c>
      <c r="E813" t="inlineStr">
        <is>
          <t>V2</t>
        </is>
      </c>
      <c r="F813" s="2" t="inlineStr">
        <is>
          <t>¿Permite rastrear un total hasta registros o fuente de facturación?</t>
        </is>
      </c>
      <c r="G813" t="n">
        <v>2</v>
      </c>
      <c r="H813" t="inlineStr">
        <is>
          <t>Oficial</t>
        </is>
      </c>
      <c r="I813" s="2" t="inlineStr">
        <is>
          <t>MegaBill permite descender del total al detalle: «You can quickly drill down into the costs/usage by clicking an area on the graph», y la Cost API V2 expone consulta directa de costo y uso con filtros y group-by, de modo que el detalle es exportable y reproducible. Límite registrado para E2: la documentación oficial declara que «Cost data in MegaBill is available for all cloud providers and services supported by Finout. Usage data is available for AWS, GCP, and Azure», es decir, el dato de uso no cubre a todos los proveedores. No se encontró documentación oficial de conciliación contra la factura del proveedor; la afirmación de conciliación patentada aparece solo en material comercial y por eso no se usa para puntuar.</t>
        </is>
      </c>
      <c r="J813" t="inlineStr">
        <is>
          <t>https://docs.finout.io/user-guide/inform/megabill ; https://docs.finout.io/api/finout-api/finout-api-v2</t>
        </is>
      </c>
      <c r="K813" t="inlineStr">
        <is>
          <t>2026-09-16</t>
        </is>
      </c>
      <c r="L813" s="2" t="inlineStr">
        <is>
          <t>Investigación E2 FP-180 (2026-09-16): celda completada con evidencia propia del escenario, verificada contra documentación oficial.</t>
        </is>
      </c>
    </row>
    <row r="814">
      <c r="A814" t="inlineStr">
        <is>
          <t>E6</t>
        </is>
      </c>
      <c r="B814" t="inlineStr">
        <is>
          <t>Multicloud</t>
        </is>
      </c>
      <c r="C814" t="inlineStr">
        <is>
          <t>Finout</t>
        </is>
      </c>
      <c r="D814" t="inlineStr">
        <is>
          <t>Asignacion</t>
        </is>
      </c>
      <c r="E814" t="inlineStr">
        <is>
          <t>A1</t>
        </is>
      </c>
      <c r="F814" s="2" t="inlineStr">
        <is>
          <t>¿Calcula gasto asignado/no asignado por responsable, centro o entidad?</t>
        </is>
      </c>
      <c r="G814" t="n">
        <v>2</v>
      </c>
      <c r="H814" t="inlineStr">
        <is>
          <t>Oficial</t>
        </is>
      </c>
      <c r="I814" s="2" t="inlineStr">
        <is>
          <t>"Virtual Tags" y "Shared Cost Reallocation" (con MegaBill key) permiten segmentar el costo retroactivamente y mejorar la granularidad de la asignación sin modificar las etiquetas originales del recurso, funcionando entre proveedores.</t>
        </is>
      </c>
      <c r="J814" t="inlineStr">
        <is>
          <t>https://docs.finout.io/user-guide/inform/virtual-tags</t>
        </is>
      </c>
      <c r="K814" t="inlineStr">
        <is>
          <t>2026-09-16</t>
        </is>
      </c>
      <c r="L814" s="2" t="inlineStr">
        <is>
          <t>Celda heredada FP-180 (2026-09-16): el valor 2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15">
      <c r="A815" t="inlineStr">
        <is>
          <t>E6</t>
        </is>
      </c>
      <c r="B815" t="inlineStr">
        <is>
          <t>Multicloud</t>
        </is>
      </c>
      <c r="C815" t="inlineStr">
        <is>
          <t>Finout</t>
        </is>
      </c>
      <c r="D815" t="inlineStr">
        <is>
          <t>Asignacion</t>
        </is>
      </c>
      <c r="E815" t="inlineStr">
        <is>
          <t>A2</t>
        </is>
      </c>
      <c r="F815" s="2" t="inlineStr">
        <is>
          <t>¿Explicita y aplica reglas para costo compartido/multi-tenant?</t>
        </is>
      </c>
      <c r="G815" t="n">
        <v>2</v>
      </c>
      <c r="H815" t="inlineStr">
        <is>
          <t>Oficial</t>
        </is>
      </c>
      <c r="I815" s="2" t="inlineStr">
        <is>
          <t>"Shared Cost Reallocation" es una función dedicada para el reparto de costo compartido, construida sobre las reglas de filtrado de Virtual Tags ("funnel from the top down").</t>
        </is>
      </c>
      <c r="J815" t="inlineStr">
        <is>
          <t>https://docs.finout.io/user-guide/inform/shared-cost-reallocation</t>
        </is>
      </c>
      <c r="K815" t="inlineStr">
        <is>
          <t>2026-09-16</t>
        </is>
      </c>
      <c r="L815" s="2" t="inlineStr">
        <is>
          <t>Celda heredada FP-180 (2026-09-16): el valor 2 proviene de la investigacion del escenario E2 y no cuenta con evidencia propia de E6. Segun FP-177 el indicador A2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16">
      <c r="A816" t="inlineStr">
        <is>
          <t>E6</t>
        </is>
      </c>
      <c r="B816" t="inlineStr">
        <is>
          <t>Multicloud</t>
        </is>
      </c>
      <c r="C816" t="inlineStr">
        <is>
          <t>Finout</t>
        </is>
      </c>
      <c r="D816" t="inlineStr">
        <is>
          <t>Optimizacion</t>
        </is>
      </c>
      <c r="E816" t="inlineStr">
        <is>
          <t>O1</t>
        </is>
      </c>
      <c r="F816" s="2" t="inlineStr">
        <is>
          <t>¿Detecta desperdicio, rightsizing o compromiso relevante al escenario?</t>
        </is>
      </c>
      <c r="G816" t="n">
        <v>2</v>
      </c>
      <c r="H816" t="inlineStr">
        <is>
          <t>Oficial</t>
        </is>
      </c>
      <c r="I816" s="2" t="inlineStr">
        <is>
          <t>"CostGuard" detecta recursos inactivos, oportunidades de rightsizing (incluye pods/StatefulSets de Kubernetes) y candidatos a compromisos (savings plans), disponible "out of the box" sin configuración.</t>
        </is>
      </c>
      <c r="J816" t="inlineStr">
        <is>
          <t>https://docs.finout.io/user-guide/optimize/costguard</t>
        </is>
      </c>
      <c r="K816" t="inlineStr">
        <is>
          <t>2026-09-16</t>
        </is>
      </c>
      <c r="L816" s="2" t="inlineStr">
        <is>
          <t>Celda heredada FP-180 (2026-09-16): el valor 2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17">
      <c r="A817" t="inlineStr">
        <is>
          <t>E6</t>
        </is>
      </c>
      <c r="B817" t="inlineStr">
        <is>
          <t>Multicloud</t>
        </is>
      </c>
      <c r="C817" t="inlineStr">
        <is>
          <t>Finout</t>
        </is>
      </c>
      <c r="D817" t="inlineStr">
        <is>
          <t>Optimizacion</t>
        </is>
      </c>
      <c r="E817" t="inlineStr">
        <is>
          <t>O2</t>
        </is>
      </c>
      <c r="F817" s="2" t="inlineStr">
        <is>
          <t>¿Explica supuesto/impacto y permite seguir una recomendación?</t>
        </is>
      </c>
      <c r="G817" t="n">
        <v>1</v>
      </c>
      <c r="H817" t="inlineStr">
        <is>
          <t>Oficial</t>
        </is>
      </c>
      <c r="I817" s="2" t="inlineStr">
        <is>
          <t>CostGuard entrega "información y confianza" para optimizar, pero la documentación revisada no detalla un ciclo de seguimiento de estado/ahorro realizado equivalente al de CloudZero/Vantage.</t>
        </is>
      </c>
      <c r="J817" t="inlineStr">
        <is>
          <t>https://docs.finout.io/user-guide/optimize/costguard</t>
        </is>
      </c>
      <c r="K817" t="inlineStr">
        <is>
          <t>2026-09-16</t>
        </is>
      </c>
      <c r="L817" s="2" t="inlineStr"/>
    </row>
    <row r="818">
      <c r="A818" t="inlineStr">
        <is>
          <t>E6</t>
        </is>
      </c>
      <c r="B818" t="inlineStr">
        <is>
          <t>Multicloud</t>
        </is>
      </c>
      <c r="C818" t="inlineStr">
        <is>
          <t>Finout</t>
        </is>
      </c>
      <c r="D818" t="inlineStr">
        <is>
          <t>Automatizacion</t>
        </is>
      </c>
      <c r="E818" t="inlineStr">
        <is>
          <t>AU1</t>
        </is>
      </c>
      <c r="F818" s="2" t="inlineStr">
        <is>
          <t>¿Ejecuta o bloquea acciones/políticas de costo con control verificable?</t>
        </is>
      </c>
      <c r="G818" t="inlineStr">
        <is>
          <t>NE</t>
        </is>
      </c>
      <c r="H818" t="inlineStr">
        <is>
          <t>Pendiente</t>
        </is>
      </c>
      <c r="I818" s="2" t="inlineStr">
        <is>
          <t>La documentación revisada no confirma ni descarta ejecución automática de acciones; CostGuard se describe como una fuente de información/recomendación, sin detalle suficiente para puntuar con certeza.</t>
        </is>
      </c>
      <c r="K818" t="inlineStr">
        <is>
          <t>2026-09-16</t>
        </is>
      </c>
      <c r="L818" s="2" t="inlineStr"/>
    </row>
    <row r="819">
      <c r="A819" t="inlineStr">
        <is>
          <t>E6</t>
        </is>
      </c>
      <c r="B819" t="inlineStr">
        <is>
          <t>Multicloud</t>
        </is>
      </c>
      <c r="C819" t="inlineStr">
        <is>
          <t>Finout</t>
        </is>
      </c>
      <c r="D819" t="inlineStr">
        <is>
          <t>Automatizacion</t>
        </is>
      </c>
      <c r="E819" t="inlineStr">
        <is>
          <t>AU2</t>
        </is>
      </c>
      <c r="F819" s="2" t="inlineStr">
        <is>
          <t>¿Ofrece aprobación, reversión, registro o límites antes de actuar?</t>
        </is>
      </c>
      <c r="G819" t="inlineStr">
        <is>
          <t>NE</t>
        </is>
      </c>
      <c r="H819" t="inlineStr">
        <is>
          <t>Pendiente</t>
        </is>
      </c>
      <c r="I819" s="2" t="inlineStr">
        <is>
          <t>Mismo motivo que AU1: evidencia insuficiente sobre el mecanismo de ejecución como para evaluar sus salvaguardas.</t>
        </is>
      </c>
      <c r="K819" t="inlineStr">
        <is>
          <t>2026-09-16</t>
        </is>
      </c>
      <c r="L819" s="2" t="inlineStr"/>
    </row>
    <row r="820">
      <c r="A820" t="inlineStr">
        <is>
          <t>E6</t>
        </is>
      </c>
      <c r="B820" t="inlineStr">
        <is>
          <t>Multicloud</t>
        </is>
      </c>
      <c r="C820" t="inlineStr">
        <is>
          <t>Finout</t>
        </is>
      </c>
      <c r="D820" t="inlineStr">
        <is>
          <t>Multicloud</t>
        </is>
      </c>
      <c r="E820" t="inlineStr">
        <is>
          <t>M1</t>
        </is>
      </c>
      <c r="F820" s="2" t="inlineStr">
        <is>
          <t>¿Consolida al menos dos proveedores bajo el mismo esquema declarado?</t>
        </is>
      </c>
      <c r="G820" t="n">
        <v>2</v>
      </c>
      <c r="H820" t="inlineStr">
        <is>
          <t>Oficial</t>
        </is>
      </c>
      <c r="I820" s="2" t="inlineStr">
        <is>
          <t>El "Default FOCUS Table" consolida AWS, Azure, GCP "and more" bajo el estándar FOCUS de forma automática y sin configuración ("no setup required").</t>
        </is>
      </c>
      <c r="J820" t="inlineStr">
        <is>
          <t>https://docs.finout.io/get-started-with-finout/cost-and-usage-types/focus-in-finout</t>
        </is>
      </c>
      <c r="K820" t="inlineStr">
        <is>
          <t>2026-09-16</t>
        </is>
      </c>
      <c r="L820" s="2" t="inlineStr"/>
    </row>
    <row r="821">
      <c r="A821" t="inlineStr">
        <is>
          <t>E6</t>
        </is>
      </c>
      <c r="B821" t="inlineStr">
        <is>
          <t>Multicloud</t>
        </is>
      </c>
      <c r="C821" t="inlineStr">
        <is>
          <t>Finout</t>
        </is>
      </c>
      <c r="D821" t="inlineStr">
        <is>
          <t>Multicloud</t>
        </is>
      </c>
      <c r="E821" t="inlineStr">
        <is>
          <t>M2</t>
        </is>
      </c>
      <c r="F821" s="2" t="inlineStr">
        <is>
          <t>¿Hace visibles proveedor, cobertura y diferencias semánticas?</t>
        </is>
      </c>
      <c r="G821" t="n">
        <v>2</v>
      </c>
      <c r="H821" t="inlineStr">
        <is>
          <t>Oficial</t>
        </is>
      </c>
      <c r="I821" s="2" t="inlineStr">
        <is>
          <t>"Virtual Tags" normaliza explícitamente dimensiones núcleo -proveedor, servicio, región, categoría de cargo y tipo de precio- entre proveedores, exponiendo diferencias en lugar de ocultarlas.</t>
        </is>
      </c>
      <c r="J821" t="inlineStr">
        <is>
          <t>https://docs.finout.io/get-started-with-finout/cost-and-usage-types/focus-in-finout</t>
        </is>
      </c>
      <c r="K821" t="inlineStr">
        <is>
          <t>2026-09-16</t>
        </is>
      </c>
      <c r="L821" s="2" t="inlineStr"/>
    </row>
    <row r="822">
      <c r="A822" t="inlineStr">
        <is>
          <t>E6</t>
        </is>
      </c>
      <c r="B822" t="inlineStr">
        <is>
          <t>Multicloud</t>
        </is>
      </c>
      <c r="C822" t="inlineStr">
        <is>
          <t>Finout</t>
        </is>
      </c>
      <c r="D822" t="inlineStr">
        <is>
          <t>Integracion</t>
        </is>
      </c>
      <c r="E822" t="inlineStr">
        <is>
          <t>I1</t>
        </is>
      </c>
      <c r="F822" s="2" t="inlineStr">
        <is>
          <t>¿Integra datos requeridos (facturación, uso, clúster o IaC) del escenario?</t>
        </is>
      </c>
      <c r="G822" t="inlineStr">
        <is>
          <t>NE</t>
        </is>
      </c>
      <c r="H822" t="inlineStr">
        <is>
          <t>Pendiente</t>
        </is>
      </c>
      <c r="I822" s="2" t="inlineStr">
        <is>
          <t>Ingesta automatizada de billing exports en formato FOCUS de cualquier proveedor soportado, más escaneos específicos de Kubernetes para CostGuard.</t>
        </is>
      </c>
      <c r="J822" t="inlineStr">
        <is>
          <t>https://docs.finout.io/get-started-with-finout/cost-and-usage-types/focus-in-finout</t>
        </is>
      </c>
      <c r="K822" t="inlineStr">
        <is>
          <t>2026-09-16</t>
        </is>
      </c>
      <c r="L822" s="2" t="inlineStr">
        <is>
          <t>Celda heredada FP-180 (2026-09-16): el valor 2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t>
        </is>
      </c>
    </row>
    <row r="823">
      <c r="A823" t="inlineStr">
        <is>
          <t>E6</t>
        </is>
      </c>
      <c r="B823" t="inlineStr">
        <is>
          <t>Multicloud</t>
        </is>
      </c>
      <c r="C823" t="inlineStr">
        <is>
          <t>Finout</t>
        </is>
      </c>
      <c r="D823" t="inlineStr">
        <is>
          <t>Integracion</t>
        </is>
      </c>
      <c r="E823" t="inlineStr">
        <is>
          <t>I2</t>
        </is>
      </c>
      <c r="F823" s="2" t="inlineStr">
        <is>
          <t>¿Se integra con el flujo de trabajo relevante (alerta, ticket, CI/CD o reporte)?</t>
        </is>
      </c>
      <c r="G823" t="n">
        <v>1</v>
      </c>
      <c r="H823" t="inlineStr">
        <is>
          <t>Comercial</t>
        </is>
      </c>
      <c r="I823" s="2" t="inlineStr">
        <is>
          <t>Existe una integración con Slack para seguimiento de uso y anomalías, documentada únicamente en el blog del proveedor (no se ubicó la página técnica equivalente en docs.finout.io), por lo que se trata como evidencia comercial.</t>
        </is>
      </c>
      <c r="J823" t="inlineStr">
        <is>
          <t>https://www.finout.io/slack-and-finout-integration-track-usage-and-anomalies</t>
        </is>
      </c>
      <c r="K823" t="inlineStr">
        <is>
          <t>2026-09-16</t>
        </is>
      </c>
      <c r="L823" s="2" t="inlineStr">
        <is>
          <t>Celda heredada FP-180 (2026-09-16): el valor 1 proviene de la investigacion del escenario E2 y no cuenta con evidencia propia de E6. Segun FP-177 el indicador I2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24">
      <c r="A824" t="inlineStr">
        <is>
          <t>E6</t>
        </is>
      </c>
      <c r="B824" t="inlineStr">
        <is>
          <t>Multicloud</t>
        </is>
      </c>
      <c r="C824" t="inlineStr">
        <is>
          <t>Finout</t>
        </is>
      </c>
      <c r="D824" t="inlineStr">
        <is>
          <t>Adopcion</t>
        </is>
      </c>
      <c r="E824" t="inlineStr">
        <is>
          <t>AD1</t>
        </is>
      </c>
      <c r="F824" s="2" t="inlineStr">
        <is>
          <t>¿Soporta acceso/entrega para los roles del escenario?</t>
        </is>
      </c>
      <c r="G824" t="n">
        <v>2</v>
      </c>
      <c r="H824" t="inlineStr">
        <is>
          <t>Oficial</t>
        </is>
      </c>
      <c r="I824" s="2" t="inlineStr">
        <is>
          <t>Existen páginas dedicadas de "Role-Based Access Control (RBAC)" y "ACL Permissions" en la documentación técnica.</t>
        </is>
      </c>
      <c r="J824" t="inlineStr">
        <is>
          <t>https://docs.finout.io/settings/role-based-access-control-rbac/role-permissions</t>
        </is>
      </c>
      <c r="K824" t="inlineStr">
        <is>
          <t>2026-09-16</t>
        </is>
      </c>
      <c r="L824" s="2" t="inlineStr">
        <is>
          <t>Celda heredada FP-180 (2026-09-16): el valor 2 proviene de la investigacion del escenario E2 y no cuenta con evidencia propia de E6. Segun FP-177 el indicador AD1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25">
      <c r="A825" t="inlineStr">
        <is>
          <t>E6</t>
        </is>
      </c>
      <c r="B825" t="inlineStr">
        <is>
          <t>Multicloud</t>
        </is>
      </c>
      <c r="C825" t="inlineStr">
        <is>
          <t>Finout</t>
        </is>
      </c>
      <c r="D825" t="inlineStr">
        <is>
          <t>Adopcion</t>
        </is>
      </c>
      <c r="E825" t="inlineStr">
        <is>
          <t>AD2</t>
        </is>
      </c>
      <c r="F825" s="2" t="inlineStr">
        <is>
          <t>¿Ofrece guías, ownership o mecanismos de seguimiento para uso sostenido?</t>
        </is>
      </c>
      <c r="G825" t="n">
        <v>2</v>
      </c>
      <c r="H825" t="inlineStr">
        <is>
          <t>Oficial</t>
        </is>
      </c>
      <c r="I825" s="2" t="inlineStr">
        <is>
          <t>Gobernanza documentada como función del producto: la gobernanza de etiquetas «allows you to define tagging policies across multiple cloud environments, offering visibility into non-compliant resources and costs while simplifying resource tracking», que es un mecanismo de seguimiento para uso sostenido en un entorno multinube. La documentación incluye además la guía de incorporación de nuevos usuarios a la cuenta. Proceso definido; sin evidencia de adopción medida para 3.</t>
        </is>
      </c>
      <c r="J825" t="inlineStr">
        <is>
          <t>https://docs.finout.io/user-guide/operate/tag-governance ; https://docs.finout.io/get-started-with-finout/introduction-to-finouts-suite-of-features</t>
        </is>
      </c>
      <c r="K825" t="inlineStr">
        <is>
          <t>2026-09-16</t>
        </is>
      </c>
      <c r="L825" s="2" t="inlineStr">
        <is>
          <t>Investigación E2 FP-180 (2026-09-16): celda completada con evidencia propia del escenario, verificada contra documentación oficial.</t>
        </is>
      </c>
    </row>
    <row r="826">
      <c r="A826" t="inlineStr">
        <is>
          <t>E6</t>
        </is>
      </c>
      <c r="B826" t="inlineStr">
        <is>
          <t>Multicloud</t>
        </is>
      </c>
      <c r="C826" t="inlineStr">
        <is>
          <t>Finout</t>
        </is>
      </c>
      <c r="D826" t="inlineStr">
        <is>
          <t>Precio</t>
        </is>
      </c>
      <c r="E826" t="inlineStr">
        <is>
          <t>P1</t>
        </is>
      </c>
      <c r="F826" s="2" t="inlineStr">
        <is>
          <t>¿Expone precio, moneda, región, unidad, período y supuestos relevantes?</t>
        </is>
      </c>
      <c r="G826" t="inlineStr">
        <is>
          <t>NE</t>
        </is>
      </c>
      <c r="H826" t="inlineStr">
        <is>
          <t>Pendiente</t>
        </is>
      </c>
      <c r="I826" s="2" t="inlineStr">
        <is>
          <t>No se encontró evidencia específica de transparencia de supuestos de precio (moneda/región/período) en las páginas revisadas.</t>
        </is>
      </c>
      <c r="K826" t="inlineStr">
        <is>
          <t>2026-09-16</t>
        </is>
      </c>
      <c r="L826" s="2" t="inlineStr"/>
    </row>
    <row r="827">
      <c r="A827" t="inlineStr">
        <is>
          <t>E6</t>
        </is>
      </c>
      <c r="B827" t="inlineStr">
        <is>
          <t>Multicloud</t>
        </is>
      </c>
      <c r="C827" t="inlineStr">
        <is>
          <t>Finout</t>
        </is>
      </c>
      <c r="D827" t="inlineStr">
        <is>
          <t>Precio</t>
        </is>
      </c>
      <c r="E827" t="inlineStr">
        <is>
          <t>P2</t>
        </is>
      </c>
      <c r="F827" s="2" t="inlineStr">
        <is>
          <t>¿Permite estimar o comparar componentes sin ocultar límites de equivalencia?</t>
        </is>
      </c>
      <c r="G827" t="inlineStr">
        <is>
          <t>NE</t>
        </is>
      </c>
      <c r="H827" t="inlineStr">
        <is>
          <t>Pendiente</t>
        </is>
      </c>
      <c r="I827" s="2" t="inlineStr">
        <is>
          <t>No se encontró evidencia de una función de comparación/estimación de precio contextual en las páginas revisadas.</t>
        </is>
      </c>
      <c r="K827" t="inlineStr">
        <is>
          <t>2026-09-16</t>
        </is>
      </c>
      <c r="L827" s="2" t="inlineStr"/>
    </row>
    <row r="828">
      <c r="A828" t="inlineStr">
        <is>
          <t>E6</t>
        </is>
      </c>
      <c r="B828" t="inlineStr">
        <is>
          <t>Multicloud</t>
        </is>
      </c>
      <c r="C828" t="inlineStr">
        <is>
          <t>Finout</t>
        </is>
      </c>
      <c r="D828" t="inlineStr">
        <is>
          <t>Dependencia</t>
        </is>
      </c>
      <c r="E828" t="inlineStr">
        <is>
          <t>D1</t>
        </is>
      </c>
      <c r="F828" s="2" t="inlineStr">
        <is>
          <t>¿Exporta datos/resultados en formato utilizable y documentado?</t>
        </is>
      </c>
      <c r="G828" t="n">
        <v>2</v>
      </c>
      <c r="H828" t="inlineStr">
        <is>
          <t>Oficial</t>
        </is>
      </c>
      <c r="I828" s="2" t="inlineStr">
        <is>
          <t>Documentación técnica dedicada de "Finout API", "Cost API", "CostGuard API" y "Virtual Tags API" confirma una vía de exportación/acceso a datos definida y reproducible.</t>
        </is>
      </c>
      <c r="J828" t="inlineStr">
        <is>
          <t>https://docs.finout.io/configuration/finout-api</t>
        </is>
      </c>
      <c r="K828" t="inlineStr">
        <is>
          <t>2026-09-16</t>
        </is>
      </c>
      <c r="L828" s="2" t="inlineStr"/>
    </row>
    <row r="829">
      <c r="A829" t="inlineStr">
        <is>
          <t>E6</t>
        </is>
      </c>
      <c r="B829" t="inlineStr">
        <is>
          <t>Multicloud</t>
        </is>
      </c>
      <c r="C829" t="inlineStr">
        <is>
          <t>Finout</t>
        </is>
      </c>
      <c r="D829" t="inlineStr">
        <is>
          <t>Dependencia</t>
        </is>
      </c>
      <c r="E829" t="inlineStr">
        <is>
          <t>D2</t>
        </is>
      </c>
      <c r="F829" s="2" t="inlineStr">
        <is>
          <t>¿Documenta dependencias propietarias y un camino de salida/configuración reversible?</t>
        </is>
      </c>
      <c r="G829" t="inlineStr">
        <is>
          <t>NE</t>
        </is>
      </c>
      <c r="H829" t="inlineStr">
        <is>
          <t>Pendiente</t>
        </is>
      </c>
      <c r="I829" s="2" t="inlineStr">
        <is>
          <t>No se encontró documentación sobre un camino de salida o reversibilidad de la configuración.</t>
        </is>
      </c>
      <c r="K829" t="inlineStr">
        <is>
          <t>2026-09-16</t>
        </is>
      </c>
      <c r="L829" s="2" t="inlineStr"/>
    </row>
    <row r="830">
      <c r="A830" t="inlineStr">
        <is>
          <t>E1</t>
        </is>
      </c>
      <c r="B830" t="inlineStr">
        <is>
          <t>Multicloud</t>
        </is>
      </c>
      <c r="C830" t="inlineStr">
        <is>
          <t>nOps</t>
        </is>
      </c>
      <c r="D830" t="inlineStr">
        <is>
          <t>Visibilidad</t>
        </is>
      </c>
      <c r="E830" t="inlineStr">
        <is>
          <t>V1</t>
        </is>
      </c>
      <c r="F830" s="2" t="inlineStr">
        <is>
          <t>¿Desagrega costo y uso por cuenta/proyecto, servicio y período?</t>
        </is>
      </c>
      <c r="G830" t="n">
        <v>2</v>
      </c>
      <c r="H830" t="inlineStr">
        <is>
          <t>Oficial</t>
        </is>
      </c>
      <c r="I830" s="2" t="inlineStr">
        <is>
          <t>"Inform" ofrece Explorer, reportes y dashboards con más de 40 filtros diseñados para ingeniería y finanzas, y vistas personalizadas por dimensión de negocio.</t>
        </is>
      </c>
      <c r="J830" t="inlineStr">
        <is>
          <t>https://help.nops.io/</t>
        </is>
      </c>
      <c r="K830" t="inlineStr">
        <is>
          <t>2026-09-16</t>
        </is>
      </c>
      <c r="L830" s="2" t="inlineStr">
        <is>
          <t>Celda heredada FP-180 (2026-09-16): el valor 2 proviene de la investigacion del escenario E2 y no cuenta con evidencia propia de E1. Segun FP-177 el indicador V1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831">
      <c r="A831" t="inlineStr">
        <is>
          <t>E1</t>
        </is>
      </c>
      <c r="B831" t="inlineStr">
        <is>
          <t>Multicloud</t>
        </is>
      </c>
      <c r="C831" t="inlineStr">
        <is>
          <t>nOps</t>
        </is>
      </c>
      <c r="D831" t="inlineStr">
        <is>
          <t>Visibilidad</t>
        </is>
      </c>
      <c r="E831" t="inlineStr">
        <is>
          <t>V2</t>
        </is>
      </c>
      <c r="F831" s="2" t="inlineStr">
        <is>
          <t>¿Permite rastrear un total hasta registros o fuente de facturación?</t>
        </is>
      </c>
      <c r="G831" t="n">
        <v>2</v>
      </c>
      <c r="H831" t="inlineStr">
        <is>
          <t>Oficial</t>
        </is>
      </c>
      <c r="I831" s="2" t="inlineStr">
        <is>
          <t>La API documenta "Allocation history time series" y funciones de previsualización ("Showback spend preview") para rastrear cómo evoluciona una asignación en el tiempo.</t>
        </is>
      </c>
      <c r="J831" t="inlineStr">
        <is>
          <t>https://help.nops.io/llms.txt</t>
        </is>
      </c>
      <c r="K831" t="inlineStr">
        <is>
          <t>2026-09-16</t>
        </is>
      </c>
      <c r="L831" s="2" t="inlineStr"/>
    </row>
    <row r="832">
      <c r="A832" t="inlineStr">
        <is>
          <t>E1</t>
        </is>
      </c>
      <c r="B832" t="inlineStr">
        <is>
          <t>Multicloud</t>
        </is>
      </c>
      <c r="C832" t="inlineStr">
        <is>
          <t>nOps</t>
        </is>
      </c>
      <c r="D832" t="inlineStr">
        <is>
          <t>Asignacion</t>
        </is>
      </c>
      <c r="E832" t="inlineStr">
        <is>
          <t>A1</t>
        </is>
      </c>
      <c r="F832" s="2" t="inlineStr">
        <is>
          <t>¿Calcula gasto asignado/no asignado por responsable, centro o entidad?</t>
        </is>
      </c>
      <c r="G832" t="n">
        <v>2</v>
      </c>
      <c r="H832" t="inlineStr">
        <is>
          <t>Oficial</t>
        </is>
      </c>
      <c r="I832" s="2" t="inlineStr">
        <is>
          <t>"Showback"/"cost allocation" con reglas de asignación (crear, actualizar, reordenar, previsualizar) y un modelo de "Business Unit Economics" que vincula el gasto de Explorer a métricas de negocio (clientes, asientos).</t>
        </is>
      </c>
      <c r="J832" t="inlineStr">
        <is>
          <t>https://help.nops.io/operate/business-unit-economics.md</t>
        </is>
      </c>
      <c r="K832" t="inlineStr">
        <is>
          <t>2026-09-16</t>
        </is>
      </c>
      <c r="L832" s="2" t="inlineStr">
        <is>
          <t>Celda heredada FP-180 (2026-09-16): el valor 2 proviene de la investigacion del escenario E2 y no cuenta con evidencia propia de E1. Segun FP-177 el indicador A1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833">
      <c r="A833" t="inlineStr">
        <is>
          <t>E1</t>
        </is>
      </c>
      <c r="B833" t="inlineStr">
        <is>
          <t>Multicloud</t>
        </is>
      </c>
      <c r="C833" t="inlineStr">
        <is>
          <t>nOps</t>
        </is>
      </c>
      <c r="D833" t="inlineStr">
        <is>
          <t>Asignacion</t>
        </is>
      </c>
      <c r="E833" t="inlineStr">
        <is>
          <t>A2</t>
        </is>
      </c>
      <c r="F833" s="2" t="inlineStr">
        <is>
          <t>¿Explicita y aplica reglas para costo compartido/multi-tenant?</t>
        </is>
      </c>
      <c r="G833" t="n">
        <v>2</v>
      </c>
      <c r="H833" t="inlineStr">
        <is>
          <t>Oficial</t>
        </is>
      </c>
      <c r="I833" s="2" t="inlineStr">
        <is>
          <t>Las "allocation rules" son reordenables y previsualizables antes de guardarse ("Preview a proposed (unsaved) rule set"), y pueden auto-generarse a partir de tags existentes ("Sync dimension-discovered rules").</t>
        </is>
      </c>
      <c r="J833" t="inlineStr">
        <is>
          <t>https://help.nops.io/api-reference/cost-allocation/reorder-allocation-rule.md</t>
        </is>
      </c>
      <c r="K833" t="inlineStr">
        <is>
          <t>2026-09-16</t>
        </is>
      </c>
      <c r="L833" s="2" t="inlineStr">
        <is>
          <t>Celda heredada FP-180 (2026-09-16): el valor 2 proviene de la investigacion del escenario E2 y no cuenta con evidencia propia de E1. Segun FP-177 el indicador A2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834">
      <c r="A834" t="inlineStr">
        <is>
          <t>E1</t>
        </is>
      </c>
      <c r="B834" t="inlineStr">
        <is>
          <t>Multicloud</t>
        </is>
      </c>
      <c r="C834" t="inlineStr">
        <is>
          <t>nOps</t>
        </is>
      </c>
      <c r="D834" t="inlineStr">
        <is>
          <t>Optimizacion</t>
        </is>
      </c>
      <c r="E834" t="inlineStr">
        <is>
          <t>O1</t>
        </is>
      </c>
      <c r="F834" s="2" t="inlineStr">
        <is>
          <t>¿Detecta desperdicio, rightsizing o compromiso relevante al escenario?</t>
        </is>
      </c>
      <c r="G834" t="n">
        <v>2</v>
      </c>
      <c r="H834" t="inlineStr">
        <is>
          <t>Oficial</t>
        </is>
      </c>
      <c r="I834" s="2" t="inlineStr">
        <is>
          <t>"Compute Copilot" reubica de forma continua el cómputo entre Reservas, Savings Plans y Spot ("real-time instance reconsideration"), exclusivamente para AWS (incluye EKS).</t>
        </is>
      </c>
      <c r="J834" t="inlineStr">
        <is>
          <t>https://help.nops.io/docs/products/compute-copilot/introduction/</t>
        </is>
      </c>
      <c r="K834" t="inlineStr">
        <is>
          <t>2026-09-16</t>
        </is>
      </c>
      <c r="L834" s="2" t="inlineStr">
        <is>
          <t>Celda heredada FP-180 (2026-09-16): el valor 2 proviene de la investigacion del escenario E2 y no cuenta con evidencia propia de E1. Segun FP-177 el indicador O1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835">
      <c r="A835" t="inlineStr">
        <is>
          <t>E1</t>
        </is>
      </c>
      <c r="B835" t="inlineStr">
        <is>
          <t>Multicloud</t>
        </is>
      </c>
      <c r="C835" t="inlineStr">
        <is>
          <t>nOps</t>
        </is>
      </c>
      <c r="D835" t="inlineStr">
        <is>
          <t>Optimizacion</t>
        </is>
      </c>
      <c r="E835" t="inlineStr">
        <is>
          <t>O2</t>
        </is>
      </c>
      <c r="F835" s="2" t="inlineStr">
        <is>
          <t>¿Explica supuesto/impacto y permite seguir una recomendación?</t>
        </is>
      </c>
      <c r="G835" t="n">
        <v>1</v>
      </c>
      <c r="H835" t="inlineStr">
        <is>
          <t>Oficial</t>
        </is>
      </c>
      <c r="I835"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35" t="inlineStr">
        <is>
          <t>https://help.nops.io/docs/products/compute-copilot/introduction/</t>
        </is>
      </c>
      <c r="K835" t="inlineStr">
        <is>
          <t>2026-09-16</t>
        </is>
      </c>
      <c r="L835" s="2" t="inlineStr"/>
    </row>
    <row r="836">
      <c r="A836" t="inlineStr">
        <is>
          <t>E1</t>
        </is>
      </c>
      <c r="B836" t="inlineStr">
        <is>
          <t>Multicloud</t>
        </is>
      </c>
      <c r="C836" t="inlineStr">
        <is>
          <t>nOps</t>
        </is>
      </c>
      <c r="D836" t="inlineStr">
        <is>
          <t>Automatizacion</t>
        </is>
      </c>
      <c r="E836" t="inlineStr">
        <is>
          <t>AU1</t>
        </is>
      </c>
      <c r="F836" s="2" t="inlineStr">
        <is>
          <t>¿Ejecuta o bloquea acciones/políticas de costo con control verificable?</t>
        </is>
      </c>
      <c r="G836" t="n">
        <v>2</v>
      </c>
      <c r="H836" t="inlineStr">
        <is>
          <t>Oficial</t>
        </is>
      </c>
      <c r="I836" s="2" t="inlineStr">
        <is>
          <t>La "Commitment Management" ejecuta automáticamente compras/gestión de Reserved Instances y Savings Plans en AWS, Committed Use Discounts en GCP, y Reservations/Savings Plans en Azure, cada una con su propio flujo de onboarding.</t>
        </is>
      </c>
      <c r="J836" t="inlineStr">
        <is>
          <t>https://help.nops.io/aws/commitment-management-setup.md</t>
        </is>
      </c>
      <c r="K836" t="inlineStr">
        <is>
          <t>2026-09-16</t>
        </is>
      </c>
      <c r="L836"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 | Celda heredada FP-180 (2026-09-16): el valor 2 proviene de la investigacion del escenario E2 y no cuenta con evidencia propia de E1. Segun FP-177 el indicador AU1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837">
      <c r="A837" t="inlineStr">
        <is>
          <t>E1</t>
        </is>
      </c>
      <c r="B837" t="inlineStr">
        <is>
          <t>Multicloud</t>
        </is>
      </c>
      <c r="C837" t="inlineStr">
        <is>
          <t>nOps</t>
        </is>
      </c>
      <c r="D837" t="inlineStr">
        <is>
          <t>Automatizacion</t>
        </is>
      </c>
      <c r="E837" t="inlineStr">
        <is>
          <t>AU2</t>
        </is>
      </c>
      <c r="F837" s="2" t="inlineStr">
        <is>
          <t>¿Ofrece aprobación, reversión, registro o límites antes de actuar?</t>
        </is>
      </c>
      <c r="G837" t="n">
        <v>2</v>
      </c>
      <c r="H837" t="inlineStr">
        <is>
          <t>Oficial</t>
        </is>
      </c>
      <c r="I837"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37" t="inlineStr">
        <is>
          <t>https://help.nops.io/gcp/commitment-management-setup.md</t>
        </is>
      </c>
      <c r="K837" t="inlineStr">
        <is>
          <t>2026-09-16</t>
        </is>
      </c>
      <c r="L837"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38">
      <c r="A838" t="inlineStr">
        <is>
          <t>E1</t>
        </is>
      </c>
      <c r="B838" t="inlineStr">
        <is>
          <t>Multicloud</t>
        </is>
      </c>
      <c r="C838" t="inlineStr">
        <is>
          <t>nOps</t>
        </is>
      </c>
      <c r="D838" t="inlineStr">
        <is>
          <t>Multicloud</t>
        </is>
      </c>
      <c r="E838" t="inlineStr">
        <is>
          <t>M1</t>
        </is>
      </c>
      <c r="F838" s="2" t="inlineStr">
        <is>
          <t>¿Consolida al menos dos proveedores bajo el mismo esquema declarado?</t>
        </is>
      </c>
      <c r="G838" t="n">
        <v>2</v>
      </c>
      <c r="H838" t="inlineStr">
        <is>
          <t>Oficial</t>
        </is>
      </c>
      <c r="I838" s="2" t="inlineStr">
        <is>
          <t>"Inform" ingiere costo de AWS, Kubernetes, Azure y GCP (vía FOCUS Export) en una sola plataforma integrada, según la documentación de integraciones y el anuncio oficial de soporte GCP/Azure/Datadog/Databricks.</t>
        </is>
      </c>
      <c r="J838" t="inlineStr">
        <is>
          <t>https://help.nops.io/docs/products/business-contexts/integrations/</t>
        </is>
      </c>
      <c r="K838" t="inlineStr">
        <is>
          <t>2026-09-16</t>
        </is>
      </c>
      <c r="L838"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39">
      <c r="A839" t="inlineStr">
        <is>
          <t>E1</t>
        </is>
      </c>
      <c r="B839" t="inlineStr">
        <is>
          <t>Multicloud</t>
        </is>
      </c>
      <c r="C839" t="inlineStr">
        <is>
          <t>nOps</t>
        </is>
      </c>
      <c r="D839" t="inlineStr">
        <is>
          <t>Multicloud</t>
        </is>
      </c>
      <c r="E839" t="inlineStr">
        <is>
          <t>M2</t>
        </is>
      </c>
      <c r="F839" s="2" t="inlineStr">
        <is>
          <t>¿Hace visibles proveedor, cobertura y diferencias semánticas?</t>
        </is>
      </c>
      <c r="G839" t="n">
        <v>2</v>
      </c>
      <c r="H839" t="inlineStr">
        <is>
          <t>Oficial</t>
        </is>
      </c>
      <c r="I839" s="2" t="inlineStr">
        <is>
          <t>Azure y GCP se ingieren mediante el estándar FOCUS Export (documentado paso a paso), un esquema de normalización declarado y común a ambos proveedores junto con AWS.</t>
        </is>
      </c>
      <c r="J839" t="inlineStr">
        <is>
          <t>https://help.nops.io/docs/agents-integrations/BC+%20Integrations/Azure%20FOCUS%20Exports/ms-azure-export-configuration/</t>
        </is>
      </c>
      <c r="K839" t="inlineStr">
        <is>
          <t>2026-09-16</t>
        </is>
      </c>
      <c r="L839"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40">
      <c r="A840" t="inlineStr">
        <is>
          <t>E1</t>
        </is>
      </c>
      <c r="B840" t="inlineStr">
        <is>
          <t>Multicloud</t>
        </is>
      </c>
      <c r="C840" t="inlineStr">
        <is>
          <t>nOps</t>
        </is>
      </c>
      <c r="D840" t="inlineStr">
        <is>
          <t>Integracion</t>
        </is>
      </c>
      <c r="E840" t="inlineStr">
        <is>
          <t>I1</t>
        </is>
      </c>
      <c r="F840" s="2" t="inlineStr">
        <is>
          <t>¿Integra datos requeridos (facturación, uso, clúster o IaC) del escenario?</t>
        </is>
      </c>
      <c r="G840" t="n">
        <v>2</v>
      </c>
      <c r="H840" t="inlineStr">
        <is>
          <t>Oficial</t>
        </is>
      </c>
      <c r="I840" s="2" t="inlineStr">
        <is>
          <t>Integraciones documentadas para AWS, Azure (FOCUS Export), GCP (Inform Cost), contenedores (EKS), Databricks, Datadog, MongoDB Atlas, Snowflake, OpenAI y Twilio.</t>
        </is>
      </c>
      <c r="J840" t="inlineStr">
        <is>
          <t>https://help.nops.io/docs/agents-integrations/integrations/</t>
        </is>
      </c>
      <c r="K840" t="inlineStr">
        <is>
          <t>2026-09-16</t>
        </is>
      </c>
      <c r="L840" s="2" t="inlineStr">
        <is>
          <t>Celda heredada FP-180 (2026-09-16): el valor 2 proviene de la investigacion del escenario E2 y no cuenta con evidencia propia de E1. Segun FP-177 el indicador I1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841">
      <c r="A841" t="inlineStr">
        <is>
          <t>E1</t>
        </is>
      </c>
      <c r="B841" t="inlineStr">
        <is>
          <t>Multicloud</t>
        </is>
      </c>
      <c r="C841" t="inlineStr">
        <is>
          <t>nOps</t>
        </is>
      </c>
      <c r="D841" t="inlineStr">
        <is>
          <t>Integracion</t>
        </is>
      </c>
      <c r="E841" t="inlineStr">
        <is>
          <t>I2</t>
        </is>
      </c>
      <c r="F841" s="2" t="inlineStr">
        <is>
          <t>¿Se integra con el flujo de trabajo relevante (alerta, ticket, CI/CD o reporte)?</t>
        </is>
      </c>
      <c r="G841" t="inlineStr">
        <is>
          <t>NE</t>
        </is>
      </c>
      <c r="H841" t="inlineStr">
        <is>
          <t>Pendiente</t>
        </is>
      </c>
      <c r="I841" s="2" t="inlineStr">
        <is>
          <t>No se encontró, en las páginas revisadas, documentación de integración directa con ticketing/CI-CD para el flujo de costos (el flujo de "Requests" encontrado es específico de límites de gasto de IA).</t>
        </is>
      </c>
      <c r="K841" t="inlineStr">
        <is>
          <t>2026-09-16</t>
        </is>
      </c>
      <c r="L841" s="2" t="inlineStr"/>
    </row>
    <row r="842">
      <c r="A842" t="inlineStr">
        <is>
          <t>E1</t>
        </is>
      </c>
      <c r="B842" t="inlineStr">
        <is>
          <t>Multicloud</t>
        </is>
      </c>
      <c r="C842" t="inlineStr">
        <is>
          <t>nOps</t>
        </is>
      </c>
      <c r="D842" t="inlineStr">
        <is>
          <t>Adopcion</t>
        </is>
      </c>
      <c r="E842" t="inlineStr">
        <is>
          <t>AD1</t>
        </is>
      </c>
      <c r="F842" s="2" t="inlineStr">
        <is>
          <t>¿Soporta acceso/entrega para los roles del escenario?</t>
        </is>
      </c>
      <c r="G842" t="n">
        <v>2</v>
      </c>
      <c r="H842" t="inlineStr">
        <is>
          <t>Oficial</t>
        </is>
      </c>
      <c r="I842" s="2" t="inlineStr">
        <is>
          <t>"Roles and data scopes" documenta un modelo de dos capas (permisos + alcance de datos) con reglas de inclusión/exclusión por cuenta AWS, región, valor de asignación o tag; por defecto todos los roles son "Unrestricted".</t>
        </is>
      </c>
      <c r="J842" t="inlineStr">
        <is>
          <t>https://help.nops.io/platform/roles-and-data-scopes.md</t>
        </is>
      </c>
      <c r="K842" t="inlineStr">
        <is>
          <t>2026-09-16</t>
        </is>
      </c>
      <c r="L842" s="2" t="inlineStr">
        <is>
          <t>Celda heredada FP-180 (2026-09-16): el valor 2 proviene de la investigacion del escenario E2 y no cuenta con evidencia propia de E1. Segun FP-177 el indicador AD1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843">
      <c r="A843" t="inlineStr">
        <is>
          <t>E1</t>
        </is>
      </c>
      <c r="B843" t="inlineStr">
        <is>
          <t>Multicloud</t>
        </is>
      </c>
      <c r="C843" t="inlineStr">
        <is>
          <t>nOps</t>
        </is>
      </c>
      <c r="D843" t="inlineStr">
        <is>
          <t>Adopcion</t>
        </is>
      </c>
      <c r="E843" t="inlineStr">
        <is>
          <t>AD2</t>
        </is>
      </c>
      <c r="F843" s="2" t="inlineStr">
        <is>
          <t>¿Ofrece guías, ownership o mecanismos de seguimiento para uso sostenido?</t>
        </is>
      </c>
      <c r="G843" t="n">
        <v>2</v>
      </c>
      <c r="H843" t="inlineStr">
        <is>
          <t>Oficial</t>
        </is>
      </c>
      <c r="I843" s="2" t="inlineStr">
        <is>
          <t>El módulo de showback/chargeback y "Business Unit Economics" ofrece un proceso de gobernanza definido para sostener el uso (asignación, métricas de negocio, límites de gasto de IA con flujo de aprobación).</t>
        </is>
      </c>
      <c r="J843" t="inlineStr">
        <is>
          <t>https://help.nops.io/operate/business-unit-economics.md</t>
        </is>
      </c>
      <c r="K843" t="inlineStr">
        <is>
          <t>2026-09-16</t>
        </is>
      </c>
      <c r="L843" s="2" t="inlineStr"/>
    </row>
    <row r="844">
      <c r="A844" t="inlineStr">
        <is>
          <t>E1</t>
        </is>
      </c>
      <c r="B844" t="inlineStr">
        <is>
          <t>Multicloud</t>
        </is>
      </c>
      <c r="C844" t="inlineStr">
        <is>
          <t>nOps</t>
        </is>
      </c>
      <c r="D844" t="inlineStr">
        <is>
          <t>Precio</t>
        </is>
      </c>
      <c r="E844" t="inlineStr">
        <is>
          <t>P1</t>
        </is>
      </c>
      <c r="F844" s="2" t="inlineStr">
        <is>
          <t>¿Expone precio, moneda, región, unidad, período y supuestos relevantes?</t>
        </is>
      </c>
      <c r="G844" t="n">
        <v>1</v>
      </c>
      <c r="H844" t="inlineStr">
        <is>
          <t>Comercial</t>
        </is>
      </c>
      <c r="I844"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44" t="inlineStr">
        <is>
          <t>https://www.nops.io/blog/new-azure-to-aws-cost-assessment/</t>
        </is>
      </c>
      <c r="K844" t="inlineStr">
        <is>
          <t>2026-09-16</t>
        </is>
      </c>
      <c r="L844" s="2" t="inlineStr"/>
    </row>
    <row r="845">
      <c r="A845" t="inlineStr">
        <is>
          <t>E1</t>
        </is>
      </c>
      <c r="B845" t="inlineStr">
        <is>
          <t>Multicloud</t>
        </is>
      </c>
      <c r="C845" t="inlineStr">
        <is>
          <t>nOps</t>
        </is>
      </c>
      <c r="D845" t="inlineStr">
        <is>
          <t>Precio</t>
        </is>
      </c>
      <c r="E845" t="inlineStr">
        <is>
          <t>P2</t>
        </is>
      </c>
      <c r="F845" s="2" t="inlineStr">
        <is>
          <t>¿Permite estimar o comparar componentes sin ocultar límites de equivalencia?</t>
        </is>
      </c>
      <c r="G845" t="n">
        <v>1</v>
      </c>
      <c r="H845" t="inlineStr">
        <is>
          <t>Comercial</t>
        </is>
      </c>
      <c r="I845" s="2" t="inlineStr">
        <is>
          <t>El mismo "Azure to AWS Cost Assessment" mapea especificaciones técnicas de Azure a instancias equivalentes de AWS con ejemplos concretos (p. ej. D16 v3 → m5.4xlarge) y un caso real de 18,8% de ahorro; única evidencia disponible es de blog (Comercial).</t>
        </is>
      </c>
      <c r="J845" t="inlineStr">
        <is>
          <t>https://www.nops.io/blog/new-azure-to-aws-cost-assessment/</t>
        </is>
      </c>
      <c r="K845" t="inlineStr">
        <is>
          <t>2026-09-16</t>
        </is>
      </c>
      <c r="L845" s="2" t="inlineStr">
        <is>
          <t>Celda heredada FP-180 (2026-09-16): el valor 1 proviene de la investigacion del escenario E2 y no cuenta con evidencia propia de E1. Segun FP-177 el indicador P2 depende del escenario, por lo que pasa a NE (no evidenciado, reduce cobertura) hasta investigarlo. La evidencia y la fuente originales se conservan como referencia del escenario de origen.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846">
      <c r="A846" t="inlineStr">
        <is>
          <t>E1</t>
        </is>
      </c>
      <c r="B846" t="inlineStr">
        <is>
          <t>Multicloud</t>
        </is>
      </c>
      <c r="C846" t="inlineStr">
        <is>
          <t>nOps</t>
        </is>
      </c>
      <c r="D846" t="inlineStr">
        <is>
          <t>Dependencia</t>
        </is>
      </c>
      <c r="E846" t="inlineStr">
        <is>
          <t>D1</t>
        </is>
      </c>
      <c r="F846" s="2" t="inlineStr">
        <is>
          <t>¿Exporta datos/resultados en formato utilizable y documentado?</t>
        </is>
      </c>
      <c r="G846" t="n">
        <v>2</v>
      </c>
      <c r="H846" t="inlineStr">
        <is>
          <t>Oficial</t>
        </is>
      </c>
      <c r="I846" s="2" t="inlineStr">
        <is>
          <t>La documentación de API reference (cost-allocation, explorer-dashboards, business-unit-economics) confirma una vía de exportación/acceso a datos definida y reproducible vía API REST.</t>
        </is>
      </c>
      <c r="J846" t="inlineStr">
        <is>
          <t>https://help.nops.io/llms.txt</t>
        </is>
      </c>
      <c r="K846" t="inlineStr">
        <is>
          <t>2026-09-16</t>
        </is>
      </c>
      <c r="L846" s="2" t="inlineStr"/>
    </row>
    <row r="847">
      <c r="A847" t="inlineStr">
        <is>
          <t>E1</t>
        </is>
      </c>
      <c r="B847" t="inlineStr">
        <is>
          <t>Multicloud</t>
        </is>
      </c>
      <c r="C847" t="inlineStr">
        <is>
          <t>nOps</t>
        </is>
      </c>
      <c r="D847" t="inlineStr">
        <is>
          <t>Dependencia</t>
        </is>
      </c>
      <c r="E847" t="inlineStr">
        <is>
          <t>D2</t>
        </is>
      </c>
      <c r="F847" s="2" t="inlineStr">
        <is>
          <t>¿Documenta dependencias propietarias y un camino de salida/configuración reversible?</t>
        </is>
      </c>
      <c r="G847" t="inlineStr">
        <is>
          <t>NE</t>
        </is>
      </c>
      <c r="H847" t="inlineStr">
        <is>
          <t>Pendiente</t>
        </is>
      </c>
      <c r="I847" s="2" t="inlineStr">
        <is>
          <t>No se encontró documentación sobre un camino de salida o reversibilidad de la configuración.</t>
        </is>
      </c>
      <c r="K847" t="inlineStr">
        <is>
          <t>2026-09-16</t>
        </is>
      </c>
      <c r="L847" s="2" t="inlineStr"/>
    </row>
    <row r="848">
      <c r="A848" t="inlineStr">
        <is>
          <t>E2</t>
        </is>
      </c>
      <c r="B848" t="inlineStr">
        <is>
          <t>Multicloud</t>
        </is>
      </c>
      <c r="C848" t="inlineStr">
        <is>
          <t>nOps</t>
        </is>
      </c>
      <c r="D848" t="inlineStr">
        <is>
          <t>Visibilidad</t>
        </is>
      </c>
      <c r="E848" t="inlineStr">
        <is>
          <t>V1</t>
        </is>
      </c>
      <c r="F848" s="2" t="inlineStr">
        <is>
          <t>¿Desagrega costo y uso por cuenta/proyecto, servicio y período?</t>
        </is>
      </c>
      <c r="G848" t="n">
        <v>2</v>
      </c>
      <c r="H848" t="inlineStr">
        <is>
          <t>Oficial</t>
        </is>
      </c>
      <c r="I848" s="2" t="inlineStr">
        <is>
          <t>"Inform" ofrece Explorer, reportes y dashboards con más de 40 filtros diseñados para ingeniería y finanzas, y vistas personalizadas por dimensión de negocio.</t>
        </is>
      </c>
      <c r="J848" t="inlineStr">
        <is>
          <t>https://help.nops.io/</t>
        </is>
      </c>
      <c r="K848" t="inlineStr">
        <is>
          <t>2026-09-16</t>
        </is>
      </c>
      <c r="L848" s="2" t="inlineStr"/>
    </row>
    <row r="849">
      <c r="A849" t="inlineStr">
        <is>
          <t>E2</t>
        </is>
      </c>
      <c r="B849" t="inlineStr">
        <is>
          <t>Multicloud</t>
        </is>
      </c>
      <c r="C849" t="inlineStr">
        <is>
          <t>nOps</t>
        </is>
      </c>
      <c r="D849" t="inlineStr">
        <is>
          <t>Visibilidad</t>
        </is>
      </c>
      <c r="E849" t="inlineStr">
        <is>
          <t>V2</t>
        </is>
      </c>
      <c r="F849" s="2" t="inlineStr">
        <is>
          <t>¿Permite rastrear un total hasta registros o fuente de facturación?</t>
        </is>
      </c>
      <c r="G849" t="n">
        <v>2</v>
      </c>
      <c r="H849" t="inlineStr">
        <is>
          <t>Oficial</t>
        </is>
      </c>
      <c r="I849" s="2" t="inlineStr">
        <is>
          <t>La API documenta "Allocation history time series" y funciones de previsualización ("Showback spend preview") para rastrear cómo evoluciona una asignación en el tiempo.</t>
        </is>
      </c>
      <c r="J849" t="inlineStr">
        <is>
          <t>https://help.nops.io/llms.txt</t>
        </is>
      </c>
      <c r="K849" t="inlineStr">
        <is>
          <t>2026-09-16</t>
        </is>
      </c>
      <c r="L849" s="2" t="inlineStr"/>
    </row>
    <row r="850">
      <c r="A850" t="inlineStr">
        <is>
          <t>E2</t>
        </is>
      </c>
      <c r="B850" t="inlineStr">
        <is>
          <t>Multicloud</t>
        </is>
      </c>
      <c r="C850" t="inlineStr">
        <is>
          <t>nOps</t>
        </is>
      </c>
      <c r="D850" t="inlineStr">
        <is>
          <t>Asignacion</t>
        </is>
      </c>
      <c r="E850" t="inlineStr">
        <is>
          <t>A1</t>
        </is>
      </c>
      <c r="F850" s="2" t="inlineStr">
        <is>
          <t>¿Calcula gasto asignado/no asignado por responsable, centro o entidad?</t>
        </is>
      </c>
      <c r="G850" t="n">
        <v>2</v>
      </c>
      <c r="H850" t="inlineStr">
        <is>
          <t>Oficial</t>
        </is>
      </c>
      <c r="I850" s="2" t="inlineStr">
        <is>
          <t>"Showback"/"cost allocation" con reglas de asignación (crear, actualizar, reordenar, previsualizar) y un modelo de "Business Unit Economics" que vincula el gasto de Explorer a métricas de negocio (clientes, asientos).</t>
        </is>
      </c>
      <c r="J850" t="inlineStr">
        <is>
          <t>https://help.nops.io/operate/business-unit-economics.md</t>
        </is>
      </c>
      <c r="K850" t="inlineStr">
        <is>
          <t>2026-09-16</t>
        </is>
      </c>
      <c r="L850" s="2" t="inlineStr"/>
    </row>
    <row r="851">
      <c r="A851" t="inlineStr">
        <is>
          <t>E2</t>
        </is>
      </c>
      <c r="B851" t="inlineStr">
        <is>
          <t>Multicloud</t>
        </is>
      </c>
      <c r="C851" t="inlineStr">
        <is>
          <t>nOps</t>
        </is>
      </c>
      <c r="D851" t="inlineStr">
        <is>
          <t>Asignacion</t>
        </is>
      </c>
      <c r="E851" t="inlineStr">
        <is>
          <t>A2</t>
        </is>
      </c>
      <c r="F851" s="2" t="inlineStr">
        <is>
          <t>¿Explicita y aplica reglas para costo compartido/multi-tenant?</t>
        </is>
      </c>
      <c r="G851" t="n">
        <v>2</v>
      </c>
      <c r="H851" t="inlineStr">
        <is>
          <t>Oficial</t>
        </is>
      </c>
      <c r="I851" s="2" t="inlineStr">
        <is>
          <t>Las "allocation rules" son reordenables y previsualizables antes de guardarse ("Preview a proposed (unsaved) rule set"), y pueden auto-generarse a partir de tags existentes ("Sync dimension-discovered rules").</t>
        </is>
      </c>
      <c r="J851" t="inlineStr">
        <is>
          <t>https://help.nops.io/api-reference/cost-allocation/reorder-allocation-rule.md</t>
        </is>
      </c>
      <c r="K851" t="inlineStr">
        <is>
          <t>2026-09-16</t>
        </is>
      </c>
      <c r="L851" s="2" t="inlineStr"/>
    </row>
    <row r="852">
      <c r="A852" t="inlineStr">
        <is>
          <t>E2</t>
        </is>
      </c>
      <c r="B852" t="inlineStr">
        <is>
          <t>Multicloud</t>
        </is>
      </c>
      <c r="C852" t="inlineStr">
        <is>
          <t>nOps</t>
        </is>
      </c>
      <c r="D852" t="inlineStr">
        <is>
          <t>Optimizacion</t>
        </is>
      </c>
      <c r="E852" t="inlineStr">
        <is>
          <t>O1</t>
        </is>
      </c>
      <c r="F852" s="2" t="inlineStr">
        <is>
          <t>¿Detecta desperdicio, rightsizing o compromiso relevante al escenario?</t>
        </is>
      </c>
      <c r="G852" t="n">
        <v>2</v>
      </c>
      <c r="H852" t="inlineStr">
        <is>
          <t>Oficial</t>
        </is>
      </c>
      <c r="I852" s="2" t="inlineStr">
        <is>
          <t>"Compute Copilot" reubica de forma continua el cómputo entre Reservas, Savings Plans y Spot ("real-time instance reconsideration"), exclusivamente para AWS (incluye EKS).</t>
        </is>
      </c>
      <c r="J852" t="inlineStr">
        <is>
          <t>https://help.nops.io/docs/products/compute-copilot/introduction/</t>
        </is>
      </c>
      <c r="K852" t="inlineStr">
        <is>
          <t>2026-09-16</t>
        </is>
      </c>
      <c r="L852" s="2" t="inlineStr"/>
    </row>
    <row r="853">
      <c r="A853" t="inlineStr">
        <is>
          <t>E2</t>
        </is>
      </c>
      <c r="B853" t="inlineStr">
        <is>
          <t>Multicloud</t>
        </is>
      </c>
      <c r="C853" t="inlineStr">
        <is>
          <t>nOps</t>
        </is>
      </c>
      <c r="D853" t="inlineStr">
        <is>
          <t>Optimizacion</t>
        </is>
      </c>
      <c r="E853" t="inlineStr">
        <is>
          <t>O2</t>
        </is>
      </c>
      <c r="F853" s="2" t="inlineStr">
        <is>
          <t>¿Explica supuesto/impacto y permite seguir una recomendación?</t>
        </is>
      </c>
      <c r="G853" t="n">
        <v>1</v>
      </c>
      <c r="H853" t="inlineStr">
        <is>
          <t>Oficial</t>
        </is>
      </c>
      <c r="I853"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53" t="inlineStr">
        <is>
          <t>https://help.nops.io/docs/products/compute-copilot/introduction/</t>
        </is>
      </c>
      <c r="K853" t="inlineStr">
        <is>
          <t>2026-09-16</t>
        </is>
      </c>
      <c r="L853" s="2" t="inlineStr"/>
    </row>
    <row r="854">
      <c r="A854" t="inlineStr">
        <is>
          <t>E2</t>
        </is>
      </c>
      <c r="B854" t="inlineStr">
        <is>
          <t>Multicloud</t>
        </is>
      </c>
      <c r="C854" t="inlineStr">
        <is>
          <t>nOps</t>
        </is>
      </c>
      <c r="D854" t="inlineStr">
        <is>
          <t>Automatizacion</t>
        </is>
      </c>
      <c r="E854" t="inlineStr">
        <is>
          <t>AU1</t>
        </is>
      </c>
      <c r="F854" s="2" t="inlineStr">
        <is>
          <t>¿Ejecuta o bloquea acciones/políticas de costo con control verificable?</t>
        </is>
      </c>
      <c r="G854" t="n">
        <v>2</v>
      </c>
      <c r="H854" t="inlineStr">
        <is>
          <t>Oficial</t>
        </is>
      </c>
      <c r="I854" s="2" t="inlineStr">
        <is>
          <t>La "Commitment Management" ejecuta automáticamente compras/gestión de Reserved Instances y Savings Plans en AWS, Committed Use Discounts en GCP, y Reservations/Savings Plans en Azure, cada una con su propio flujo de onboarding.</t>
        </is>
      </c>
      <c r="J854" t="inlineStr">
        <is>
          <t>https://help.nops.io/aws/commitment-management-setup.md</t>
        </is>
      </c>
      <c r="K854" t="inlineStr">
        <is>
          <t>2026-09-16</t>
        </is>
      </c>
      <c r="L854"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5">
      <c r="A855" t="inlineStr">
        <is>
          <t>E2</t>
        </is>
      </c>
      <c r="B855" t="inlineStr">
        <is>
          <t>Multicloud</t>
        </is>
      </c>
      <c r="C855" t="inlineStr">
        <is>
          <t>nOps</t>
        </is>
      </c>
      <c r="D855" t="inlineStr">
        <is>
          <t>Automatizacion</t>
        </is>
      </c>
      <c r="E855" t="inlineStr">
        <is>
          <t>AU2</t>
        </is>
      </c>
      <c r="F855" s="2" t="inlineStr">
        <is>
          <t>¿Ofrece aprobación, reversión, registro o límites antes de actuar?</t>
        </is>
      </c>
      <c r="G855" t="n">
        <v>2</v>
      </c>
      <c r="H855" t="inlineStr">
        <is>
          <t>Oficial</t>
        </is>
      </c>
      <c r="I855"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55" t="inlineStr">
        <is>
          <t>https://help.nops.io/gcp/commitment-management-setup.md</t>
        </is>
      </c>
      <c r="K855" t="inlineStr">
        <is>
          <t>2026-09-16</t>
        </is>
      </c>
      <c r="L855"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6">
      <c r="A856" t="inlineStr">
        <is>
          <t>E2</t>
        </is>
      </c>
      <c r="B856" t="inlineStr">
        <is>
          <t>Multicloud</t>
        </is>
      </c>
      <c r="C856" t="inlineStr">
        <is>
          <t>nOps</t>
        </is>
      </c>
      <c r="D856" t="inlineStr">
        <is>
          <t>Multicloud</t>
        </is>
      </c>
      <c r="E856" t="inlineStr">
        <is>
          <t>M1</t>
        </is>
      </c>
      <c r="F856" s="2" t="inlineStr">
        <is>
          <t>¿Consolida al menos dos proveedores bajo el mismo esquema declarado?</t>
        </is>
      </c>
      <c r="G856" t="n">
        <v>2</v>
      </c>
      <c r="H856" t="inlineStr">
        <is>
          <t>Oficial</t>
        </is>
      </c>
      <c r="I856" s="2" t="inlineStr">
        <is>
          <t>"Inform" ingiere costo de AWS, Kubernetes, Azure y GCP (vía FOCUS Export) en una sola plataforma integrada, según la documentación de integraciones y el anuncio oficial de soporte GCP/Azure/Datadog/Databricks.</t>
        </is>
      </c>
      <c r="J856" t="inlineStr">
        <is>
          <t>https://help.nops.io/docs/products/business-contexts/integrations/</t>
        </is>
      </c>
      <c r="K856" t="inlineStr">
        <is>
          <t>2026-09-16</t>
        </is>
      </c>
      <c r="L856"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7">
      <c r="A857" t="inlineStr">
        <is>
          <t>E2</t>
        </is>
      </c>
      <c r="B857" t="inlineStr">
        <is>
          <t>Multicloud</t>
        </is>
      </c>
      <c r="C857" t="inlineStr">
        <is>
          <t>nOps</t>
        </is>
      </c>
      <c r="D857" t="inlineStr">
        <is>
          <t>Multicloud</t>
        </is>
      </c>
      <c r="E857" t="inlineStr">
        <is>
          <t>M2</t>
        </is>
      </c>
      <c r="F857" s="2" t="inlineStr">
        <is>
          <t>¿Hace visibles proveedor, cobertura y diferencias semánticas?</t>
        </is>
      </c>
      <c r="G857" t="n">
        <v>2</v>
      </c>
      <c r="H857" t="inlineStr">
        <is>
          <t>Oficial</t>
        </is>
      </c>
      <c r="I857" s="2" t="inlineStr">
        <is>
          <t>Azure y GCP se ingieren mediante el estándar FOCUS Export (documentado paso a paso), un esquema de normalización declarado y común a ambos proveedores junto con AWS.</t>
        </is>
      </c>
      <c r="J857" t="inlineStr">
        <is>
          <t>https://help.nops.io/docs/agents-integrations/BC+%20Integrations/Azure%20FOCUS%20Exports/ms-azure-export-configuration/</t>
        </is>
      </c>
      <c r="K857" t="inlineStr">
        <is>
          <t>2026-09-16</t>
        </is>
      </c>
      <c r="L857"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58">
      <c r="A858" t="inlineStr">
        <is>
          <t>E2</t>
        </is>
      </c>
      <c r="B858" t="inlineStr">
        <is>
          <t>Multicloud</t>
        </is>
      </c>
      <c r="C858" t="inlineStr">
        <is>
          <t>nOps</t>
        </is>
      </c>
      <c r="D858" t="inlineStr">
        <is>
          <t>Integracion</t>
        </is>
      </c>
      <c r="E858" t="inlineStr">
        <is>
          <t>I1</t>
        </is>
      </c>
      <c r="F858" s="2" t="inlineStr">
        <is>
          <t>¿Integra datos requeridos (facturación, uso, clúster o IaC) del escenario?</t>
        </is>
      </c>
      <c r="G858" t="n">
        <v>2</v>
      </c>
      <c r="H858" t="inlineStr">
        <is>
          <t>Oficial</t>
        </is>
      </c>
      <c r="I858" s="2" t="inlineStr">
        <is>
          <t>Integraciones documentadas para AWS, Azure (FOCUS Export), GCP (Inform Cost), contenedores (EKS), Databricks, Datadog, MongoDB Atlas, Snowflake, OpenAI y Twilio.</t>
        </is>
      </c>
      <c r="J858" t="inlineStr">
        <is>
          <t>https://help.nops.io/docs/agents-integrations/integrations/</t>
        </is>
      </c>
      <c r="K858" t="inlineStr">
        <is>
          <t>2026-09-16</t>
        </is>
      </c>
      <c r="L858" s="2" t="inlineStr"/>
    </row>
    <row r="859">
      <c r="A859" t="inlineStr">
        <is>
          <t>E2</t>
        </is>
      </c>
      <c r="B859" t="inlineStr">
        <is>
          <t>Multicloud</t>
        </is>
      </c>
      <c r="C859" t="inlineStr">
        <is>
          <t>nOps</t>
        </is>
      </c>
      <c r="D859" t="inlineStr">
        <is>
          <t>Integracion</t>
        </is>
      </c>
      <c r="E859" t="inlineStr">
        <is>
          <t>I2</t>
        </is>
      </c>
      <c r="F859" s="2" t="inlineStr">
        <is>
          <t>¿Se integra con el flujo de trabajo relevante (alerta, ticket, CI/CD o reporte)?</t>
        </is>
      </c>
      <c r="G859" t="inlineStr">
        <is>
          <t>NE</t>
        </is>
      </c>
      <c r="H859" t="inlineStr">
        <is>
          <t>Pendiente</t>
        </is>
      </c>
      <c r="I859" s="2" t="inlineStr">
        <is>
          <t>No se encontró, en las páginas revisadas, documentación de integración directa con ticketing/CI-CD para el flujo de costos (el flujo de "Requests" encontrado es específico de límites de gasto de IA).</t>
        </is>
      </c>
      <c r="K859" t="inlineStr">
        <is>
          <t>2026-09-16</t>
        </is>
      </c>
      <c r="L859" s="2" t="inlineStr"/>
    </row>
    <row r="860">
      <c r="A860" t="inlineStr">
        <is>
          <t>E2</t>
        </is>
      </c>
      <c r="B860" t="inlineStr">
        <is>
          <t>Multicloud</t>
        </is>
      </c>
      <c r="C860" t="inlineStr">
        <is>
          <t>nOps</t>
        </is>
      </c>
      <c r="D860" t="inlineStr">
        <is>
          <t>Adopcion</t>
        </is>
      </c>
      <c r="E860" t="inlineStr">
        <is>
          <t>AD1</t>
        </is>
      </c>
      <c r="F860" s="2" t="inlineStr">
        <is>
          <t>¿Soporta acceso/entrega para los roles del escenario?</t>
        </is>
      </c>
      <c r="G860" t="n">
        <v>2</v>
      </c>
      <c r="H860" t="inlineStr">
        <is>
          <t>Oficial</t>
        </is>
      </c>
      <c r="I860" s="2" t="inlineStr">
        <is>
          <t>"Roles and data scopes" documenta un modelo de dos capas (permisos + alcance de datos) con reglas de inclusión/exclusión por cuenta AWS, región, valor de asignación o tag; por defecto todos los roles son "Unrestricted".</t>
        </is>
      </c>
      <c r="J860" t="inlineStr">
        <is>
          <t>https://help.nops.io/platform/roles-and-data-scopes.md</t>
        </is>
      </c>
      <c r="K860" t="inlineStr">
        <is>
          <t>2026-09-16</t>
        </is>
      </c>
      <c r="L860" s="2" t="inlineStr"/>
    </row>
    <row r="861">
      <c r="A861" t="inlineStr">
        <is>
          <t>E2</t>
        </is>
      </c>
      <c r="B861" t="inlineStr">
        <is>
          <t>Multicloud</t>
        </is>
      </c>
      <c r="C861" t="inlineStr">
        <is>
          <t>nOps</t>
        </is>
      </c>
      <c r="D861" t="inlineStr">
        <is>
          <t>Adopcion</t>
        </is>
      </c>
      <c r="E861" t="inlineStr">
        <is>
          <t>AD2</t>
        </is>
      </c>
      <c r="F861" s="2" t="inlineStr">
        <is>
          <t>¿Ofrece guías, ownership o mecanismos de seguimiento para uso sostenido?</t>
        </is>
      </c>
      <c r="G861" t="n">
        <v>2</v>
      </c>
      <c r="H861" t="inlineStr">
        <is>
          <t>Oficial</t>
        </is>
      </c>
      <c r="I861" s="2" t="inlineStr">
        <is>
          <t>El módulo de showback/chargeback y "Business Unit Economics" ofrece un proceso de gobernanza definido para sostener el uso (asignación, métricas de negocio, límites de gasto de IA con flujo de aprobación).</t>
        </is>
      </c>
      <c r="J861" t="inlineStr">
        <is>
          <t>https://help.nops.io/operate/business-unit-economics.md</t>
        </is>
      </c>
      <c r="K861" t="inlineStr">
        <is>
          <t>2026-09-16</t>
        </is>
      </c>
      <c r="L861" s="2" t="inlineStr"/>
    </row>
    <row r="862">
      <c r="A862" t="inlineStr">
        <is>
          <t>E2</t>
        </is>
      </c>
      <c r="B862" t="inlineStr">
        <is>
          <t>Multicloud</t>
        </is>
      </c>
      <c r="C862" t="inlineStr">
        <is>
          <t>nOps</t>
        </is>
      </c>
      <c r="D862" t="inlineStr">
        <is>
          <t>Precio</t>
        </is>
      </c>
      <c r="E862" t="inlineStr">
        <is>
          <t>P1</t>
        </is>
      </c>
      <c r="F862" s="2" t="inlineStr">
        <is>
          <t>¿Expone precio, moneda, región, unidad, período y supuestos relevantes?</t>
        </is>
      </c>
      <c r="G862" t="n">
        <v>1</v>
      </c>
      <c r="H862" t="inlineStr">
        <is>
          <t>Comercial</t>
        </is>
      </c>
      <c r="I862"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62" t="inlineStr">
        <is>
          <t>https://www.nops.io/blog/new-azure-to-aws-cost-assessment/</t>
        </is>
      </c>
      <c r="K862" t="inlineStr">
        <is>
          <t>2026-09-16</t>
        </is>
      </c>
      <c r="L862" s="2" t="inlineStr"/>
    </row>
    <row r="863">
      <c r="A863" t="inlineStr">
        <is>
          <t>E2</t>
        </is>
      </c>
      <c r="B863" t="inlineStr">
        <is>
          <t>Multicloud</t>
        </is>
      </c>
      <c r="C863" t="inlineStr">
        <is>
          <t>nOps</t>
        </is>
      </c>
      <c r="D863" t="inlineStr">
        <is>
          <t>Precio</t>
        </is>
      </c>
      <c r="E863" t="inlineStr">
        <is>
          <t>P2</t>
        </is>
      </c>
      <c r="F863" s="2" t="inlineStr">
        <is>
          <t>¿Permite estimar o comparar componentes sin ocultar límites de equivalencia?</t>
        </is>
      </c>
      <c r="G863" t="n">
        <v>1</v>
      </c>
      <c r="H863" t="inlineStr">
        <is>
          <t>Comercial</t>
        </is>
      </c>
      <c r="I863" s="2" t="inlineStr">
        <is>
          <t>El mismo "Azure to AWS Cost Assessment" mapea especificaciones técnicas de Azure a instancias equivalentes de AWS con ejemplos concretos (p. ej. D16 v3 → m5.4xlarge) y un caso real de 18,8% de ahorro; única evidencia disponible es de blog (Comercial).</t>
        </is>
      </c>
      <c r="J863" t="inlineStr">
        <is>
          <t>https://www.nops.io/blog/new-azure-to-aws-cost-assessment/</t>
        </is>
      </c>
      <c r="K863" t="inlineStr">
        <is>
          <t>2026-09-16</t>
        </is>
      </c>
      <c r="L863" s="2" t="inlineStr"/>
    </row>
    <row r="864">
      <c r="A864" t="inlineStr">
        <is>
          <t>E2</t>
        </is>
      </c>
      <c r="B864" t="inlineStr">
        <is>
          <t>Multicloud</t>
        </is>
      </c>
      <c r="C864" t="inlineStr">
        <is>
          <t>nOps</t>
        </is>
      </c>
      <c r="D864" t="inlineStr">
        <is>
          <t>Dependencia</t>
        </is>
      </c>
      <c r="E864" t="inlineStr">
        <is>
          <t>D1</t>
        </is>
      </c>
      <c r="F864" s="2" t="inlineStr">
        <is>
          <t>¿Exporta datos/resultados en formato utilizable y documentado?</t>
        </is>
      </c>
      <c r="G864" t="n">
        <v>2</v>
      </c>
      <c r="H864" t="inlineStr">
        <is>
          <t>Oficial</t>
        </is>
      </c>
      <c r="I864" s="2" t="inlineStr">
        <is>
          <t>La documentación de API reference (cost-allocation, explorer-dashboards, business-unit-economics) confirma una vía de exportación/acceso a datos definida y reproducible vía API REST.</t>
        </is>
      </c>
      <c r="J864" t="inlineStr">
        <is>
          <t>https://help.nops.io/llms.txt</t>
        </is>
      </c>
      <c r="K864" t="inlineStr">
        <is>
          <t>2026-09-16</t>
        </is>
      </c>
      <c r="L864" s="2" t="inlineStr"/>
    </row>
    <row r="865">
      <c r="A865" t="inlineStr">
        <is>
          <t>E2</t>
        </is>
      </c>
      <c r="B865" t="inlineStr">
        <is>
          <t>Multicloud</t>
        </is>
      </c>
      <c r="C865" t="inlineStr">
        <is>
          <t>nOps</t>
        </is>
      </c>
      <c r="D865" t="inlineStr">
        <is>
          <t>Dependencia</t>
        </is>
      </c>
      <c r="E865" t="inlineStr">
        <is>
          <t>D2</t>
        </is>
      </c>
      <c r="F865" s="2" t="inlineStr">
        <is>
          <t>¿Documenta dependencias propietarias y un camino de salida/configuración reversible?</t>
        </is>
      </c>
      <c r="G865" t="inlineStr">
        <is>
          <t>NE</t>
        </is>
      </c>
      <c r="H865" t="inlineStr">
        <is>
          <t>Pendiente</t>
        </is>
      </c>
      <c r="I865" s="2" t="inlineStr">
        <is>
          <t>No se encontró documentación sobre un camino de salida o reversibilidad de la configuración.</t>
        </is>
      </c>
      <c r="K865" t="inlineStr">
        <is>
          <t>2026-09-16</t>
        </is>
      </c>
      <c r="L865" s="2" t="inlineStr"/>
    </row>
    <row r="866">
      <c r="A866" t="inlineStr">
        <is>
          <t>E5</t>
        </is>
      </c>
      <c r="B866" t="inlineStr">
        <is>
          <t>Multicloud</t>
        </is>
      </c>
      <c r="C866" t="inlineStr">
        <is>
          <t>nOps</t>
        </is>
      </c>
      <c r="D866" t="inlineStr">
        <is>
          <t>Visibilidad</t>
        </is>
      </c>
      <c r="E866" t="inlineStr">
        <is>
          <t>V1</t>
        </is>
      </c>
      <c r="F866" s="2" t="inlineStr">
        <is>
          <t>¿Desagrega costo y uso por cuenta/proyecto, servicio y período?</t>
        </is>
      </c>
      <c r="G866" t="n">
        <v>2</v>
      </c>
      <c r="H866" t="inlineStr">
        <is>
          <t>Oficial</t>
        </is>
      </c>
      <c r="I866" s="2" t="inlineStr">
        <is>
          <t>"Inform" ofrece Explorer, reportes y dashboards con más de 40 filtros diseñados para ingeniería y finanzas, y vistas personalizadas por dimensión de negocio.</t>
        </is>
      </c>
      <c r="J866" t="inlineStr">
        <is>
          <t>https://help.nops.io/</t>
        </is>
      </c>
      <c r="K866" t="inlineStr">
        <is>
          <t>2026-09-16</t>
        </is>
      </c>
      <c r="L866" s="2" t="inlineStr">
        <is>
          <t>Celda heredada FP-180 (2026-09-16): el valor 2 proviene de la investigacion del escenario E2 y no cuenta con evidencia propia de E5. Segun FP-177 el indicador V1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867">
      <c r="A867" t="inlineStr">
        <is>
          <t>E5</t>
        </is>
      </c>
      <c r="B867" t="inlineStr">
        <is>
          <t>Multicloud</t>
        </is>
      </c>
      <c r="C867" t="inlineStr">
        <is>
          <t>nOps</t>
        </is>
      </c>
      <c r="D867" t="inlineStr">
        <is>
          <t>Visibilidad</t>
        </is>
      </c>
      <c r="E867" t="inlineStr">
        <is>
          <t>V2</t>
        </is>
      </c>
      <c r="F867" s="2" t="inlineStr">
        <is>
          <t>¿Permite rastrear un total hasta registros o fuente de facturación?</t>
        </is>
      </c>
      <c r="G867" t="n">
        <v>2</v>
      </c>
      <c r="H867" t="inlineStr">
        <is>
          <t>Oficial</t>
        </is>
      </c>
      <c r="I867" s="2" t="inlineStr">
        <is>
          <t>La API documenta "Allocation history time series" y funciones de previsualización ("Showback spend preview") para rastrear cómo evoluciona una asignación en el tiempo.</t>
        </is>
      </c>
      <c r="J867" t="inlineStr">
        <is>
          <t>https://help.nops.io/llms.txt</t>
        </is>
      </c>
      <c r="K867" t="inlineStr">
        <is>
          <t>2026-09-16</t>
        </is>
      </c>
      <c r="L867" s="2" t="inlineStr"/>
    </row>
    <row r="868">
      <c r="A868" t="inlineStr">
        <is>
          <t>E5</t>
        </is>
      </c>
      <c r="B868" t="inlineStr">
        <is>
          <t>Multicloud</t>
        </is>
      </c>
      <c r="C868" t="inlineStr">
        <is>
          <t>nOps</t>
        </is>
      </c>
      <c r="D868" t="inlineStr">
        <is>
          <t>Asignacion</t>
        </is>
      </c>
      <c r="E868" t="inlineStr">
        <is>
          <t>A1</t>
        </is>
      </c>
      <c r="F868" s="2" t="inlineStr">
        <is>
          <t>¿Calcula gasto asignado/no asignado por responsable, centro o entidad?</t>
        </is>
      </c>
      <c r="G868" t="n">
        <v>2</v>
      </c>
      <c r="H868" t="inlineStr">
        <is>
          <t>Oficial</t>
        </is>
      </c>
      <c r="I868" s="2" t="inlineStr">
        <is>
          <t>"Showback"/"cost allocation" con reglas de asignación (crear, actualizar, reordenar, previsualizar) y un modelo de "Business Unit Economics" que vincula el gasto de Explorer a métricas de negocio (clientes, asientos).</t>
        </is>
      </c>
      <c r="J868" t="inlineStr">
        <is>
          <t>https://help.nops.io/operate/business-unit-economics.md</t>
        </is>
      </c>
      <c r="K868" t="inlineStr">
        <is>
          <t>2026-09-16</t>
        </is>
      </c>
      <c r="L868" s="2" t="inlineStr">
        <is>
          <t>Celda heredada FP-180 (2026-09-16): el valor 2 proviene de la investigacion del escenario E2 y no cuenta con evidencia propia de E5. Segun FP-177 el indicador A1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869">
      <c r="A869" t="inlineStr">
        <is>
          <t>E5</t>
        </is>
      </c>
      <c r="B869" t="inlineStr">
        <is>
          <t>Multicloud</t>
        </is>
      </c>
      <c r="C869" t="inlineStr">
        <is>
          <t>nOps</t>
        </is>
      </c>
      <c r="D869" t="inlineStr">
        <is>
          <t>Asignacion</t>
        </is>
      </c>
      <c r="E869" t="inlineStr">
        <is>
          <t>A2</t>
        </is>
      </c>
      <c r="F869" s="2" t="inlineStr">
        <is>
          <t>¿Explicita y aplica reglas para costo compartido/multi-tenant?</t>
        </is>
      </c>
      <c r="G869" t="inlineStr">
        <is>
          <t>NE</t>
        </is>
      </c>
      <c r="H869" t="inlineStr">
        <is>
          <t>Pendiente</t>
        </is>
      </c>
      <c r="I869" s="2" t="inlineStr">
        <is>
          <t>Las "allocation rules" son reordenables y previsualizables antes de guardarse ("Preview a proposed (unsaved) rule set"), y pueden auto-generarse a partir de tags existentes ("Sync dimension-discovered rules").</t>
        </is>
      </c>
      <c r="J869" t="inlineStr">
        <is>
          <t>https://help.nops.io/api-reference/cost-allocation/reorder-allocation-rule.md</t>
        </is>
      </c>
      <c r="K869" t="inlineStr">
        <is>
          <t>2026-09-16</t>
        </is>
      </c>
      <c r="L869" s="2" t="inlineStr">
        <is>
          <t>Celda heredada FP-180 (2026-09-16): el valor 2 proviene de la investigacion del escenario E2 y no cuenta con evidencia propia de E5. Segun FP-177 el indicador A2 depende del escenario, por lo que pasa a NE (no evidenciado, reduce cobertura) hasta investigarlo. La evidencia y la fuente originales se conservan como referencia del escenario de origen.</t>
        </is>
      </c>
    </row>
    <row r="870">
      <c r="A870" t="inlineStr">
        <is>
          <t>E5</t>
        </is>
      </c>
      <c r="B870" t="inlineStr">
        <is>
          <t>Multicloud</t>
        </is>
      </c>
      <c r="C870" t="inlineStr">
        <is>
          <t>nOps</t>
        </is>
      </c>
      <c r="D870" t="inlineStr">
        <is>
          <t>Optimizacion</t>
        </is>
      </c>
      <c r="E870" t="inlineStr">
        <is>
          <t>O1</t>
        </is>
      </c>
      <c r="F870" s="2" t="inlineStr">
        <is>
          <t>¿Detecta desperdicio, rightsizing o compromiso relevante al escenario?</t>
        </is>
      </c>
      <c r="G870" t="n">
        <v>2</v>
      </c>
      <c r="H870" t="inlineStr">
        <is>
          <t>Oficial</t>
        </is>
      </c>
      <c r="I870" s="2" t="inlineStr">
        <is>
          <t>"Compute Copilot" reubica de forma continua el cómputo entre Reservas, Savings Plans y Spot ("real-time instance reconsideration"), exclusivamente para AWS (incluye EKS).</t>
        </is>
      </c>
      <c r="J870" t="inlineStr">
        <is>
          <t>https://help.nops.io/docs/products/compute-copilot/introduction/</t>
        </is>
      </c>
      <c r="K870" t="inlineStr">
        <is>
          <t>2026-09-16</t>
        </is>
      </c>
      <c r="L870" s="2" t="inlineStr">
        <is>
          <t>Celda heredada FP-180 (2026-09-16): el valor 2 proviene de la investigacion del escenario E2 y no cuenta con evidencia propia de E5. Segun FP-177 el indicador O1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871">
      <c r="A871" t="inlineStr">
        <is>
          <t>E5</t>
        </is>
      </c>
      <c r="B871" t="inlineStr">
        <is>
          <t>Multicloud</t>
        </is>
      </c>
      <c r="C871" t="inlineStr">
        <is>
          <t>nOps</t>
        </is>
      </c>
      <c r="D871" t="inlineStr">
        <is>
          <t>Optimizacion</t>
        </is>
      </c>
      <c r="E871" t="inlineStr">
        <is>
          <t>O2</t>
        </is>
      </c>
      <c r="F871" s="2" t="inlineStr">
        <is>
          <t>¿Explica supuesto/impacto y permite seguir una recomendación?</t>
        </is>
      </c>
      <c r="G871" t="n">
        <v>1</v>
      </c>
      <c r="H871" t="inlineStr">
        <is>
          <t>Oficial</t>
        </is>
      </c>
      <c r="I871"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71" t="inlineStr">
        <is>
          <t>https://help.nops.io/docs/products/compute-copilot/introduction/</t>
        </is>
      </c>
      <c r="K871" t="inlineStr">
        <is>
          <t>2026-09-16</t>
        </is>
      </c>
      <c r="L871" s="2" t="inlineStr"/>
    </row>
    <row r="872">
      <c r="A872" t="inlineStr">
        <is>
          <t>E5</t>
        </is>
      </c>
      <c r="B872" t="inlineStr">
        <is>
          <t>Multicloud</t>
        </is>
      </c>
      <c r="C872" t="inlineStr">
        <is>
          <t>nOps</t>
        </is>
      </c>
      <c r="D872" t="inlineStr">
        <is>
          <t>Automatizacion</t>
        </is>
      </c>
      <c r="E872" t="inlineStr">
        <is>
          <t>AU1</t>
        </is>
      </c>
      <c r="F872" s="2" t="inlineStr">
        <is>
          <t>¿Ejecuta o bloquea acciones/políticas de costo con control verificable?</t>
        </is>
      </c>
      <c r="G872" t="n">
        <v>2</v>
      </c>
      <c r="H872" t="inlineStr">
        <is>
          <t>Oficial</t>
        </is>
      </c>
      <c r="I872" s="2" t="inlineStr">
        <is>
          <t>La "Commitment Management" ejecuta automáticamente compras/gestión de Reserved Instances y Savings Plans en AWS, Committed Use Discounts en GCP, y Reservations/Savings Plans en Azure, cada una con su propio flujo de onboarding.</t>
        </is>
      </c>
      <c r="J872" t="inlineStr">
        <is>
          <t>https://help.nops.io/aws/commitment-management-setup.md</t>
        </is>
      </c>
      <c r="K872" t="inlineStr">
        <is>
          <t>2026-09-16</t>
        </is>
      </c>
      <c r="L872"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 | Celda heredada FP-180 (2026-09-16): el valor 2 proviene de la investigacion del escenario E2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873">
      <c r="A873" t="inlineStr">
        <is>
          <t>E5</t>
        </is>
      </c>
      <c r="B873" t="inlineStr">
        <is>
          <t>Multicloud</t>
        </is>
      </c>
      <c r="C873" t="inlineStr">
        <is>
          <t>nOps</t>
        </is>
      </c>
      <c r="D873" t="inlineStr">
        <is>
          <t>Automatizacion</t>
        </is>
      </c>
      <c r="E873" t="inlineStr">
        <is>
          <t>AU2</t>
        </is>
      </c>
      <c r="F873" s="2" t="inlineStr">
        <is>
          <t>¿Ofrece aprobación, reversión, registro o límites antes de actuar?</t>
        </is>
      </c>
      <c r="G873" t="n">
        <v>2</v>
      </c>
      <c r="H873" t="inlineStr">
        <is>
          <t>Oficial</t>
        </is>
      </c>
      <c r="I873"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73" t="inlineStr">
        <is>
          <t>https://help.nops.io/gcp/commitment-management-setup.md</t>
        </is>
      </c>
      <c r="K873" t="inlineStr">
        <is>
          <t>2026-09-16</t>
        </is>
      </c>
      <c r="L873"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74">
      <c r="A874" t="inlineStr">
        <is>
          <t>E5</t>
        </is>
      </c>
      <c r="B874" t="inlineStr">
        <is>
          <t>Multicloud</t>
        </is>
      </c>
      <c r="C874" t="inlineStr">
        <is>
          <t>nOps</t>
        </is>
      </c>
      <c r="D874" t="inlineStr">
        <is>
          <t>Multicloud</t>
        </is>
      </c>
      <c r="E874" t="inlineStr">
        <is>
          <t>M1</t>
        </is>
      </c>
      <c r="F874" s="2" t="inlineStr">
        <is>
          <t>¿Consolida al menos dos proveedores bajo el mismo esquema declarado?</t>
        </is>
      </c>
      <c r="G874" t="n">
        <v>2</v>
      </c>
      <c r="H874" t="inlineStr">
        <is>
          <t>Oficial</t>
        </is>
      </c>
      <c r="I874" s="2" t="inlineStr">
        <is>
          <t>"Inform" ingiere costo de AWS, Kubernetes, Azure y GCP (vía FOCUS Export) en una sola plataforma integrada, según la documentación de integraciones y el anuncio oficial de soporte GCP/Azure/Datadog/Databricks.</t>
        </is>
      </c>
      <c r="J874" t="inlineStr">
        <is>
          <t>https://help.nops.io/docs/products/business-contexts/integrations/</t>
        </is>
      </c>
      <c r="K874" t="inlineStr">
        <is>
          <t>2026-09-16</t>
        </is>
      </c>
      <c r="L874"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75">
      <c r="A875" t="inlineStr">
        <is>
          <t>E5</t>
        </is>
      </c>
      <c r="B875" t="inlineStr">
        <is>
          <t>Multicloud</t>
        </is>
      </c>
      <c r="C875" t="inlineStr">
        <is>
          <t>nOps</t>
        </is>
      </c>
      <c r="D875" t="inlineStr">
        <is>
          <t>Multicloud</t>
        </is>
      </c>
      <c r="E875" t="inlineStr">
        <is>
          <t>M2</t>
        </is>
      </c>
      <c r="F875" s="2" t="inlineStr">
        <is>
          <t>¿Hace visibles proveedor, cobertura y diferencias semánticas?</t>
        </is>
      </c>
      <c r="G875" t="n">
        <v>2</v>
      </c>
      <c r="H875" t="inlineStr">
        <is>
          <t>Oficial</t>
        </is>
      </c>
      <c r="I875" s="2" t="inlineStr">
        <is>
          <t>Azure y GCP se ingieren mediante el estándar FOCUS Export (documentado paso a paso), un esquema de normalización declarado y común a ambos proveedores junto con AWS.</t>
        </is>
      </c>
      <c r="J875" t="inlineStr">
        <is>
          <t>https://help.nops.io/docs/agents-integrations/BC+%20Integrations/Azure%20FOCUS%20Exports/ms-azure-export-configuration/</t>
        </is>
      </c>
      <c r="K875" t="inlineStr">
        <is>
          <t>2026-09-16</t>
        </is>
      </c>
      <c r="L875"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76">
      <c r="A876" t="inlineStr">
        <is>
          <t>E5</t>
        </is>
      </c>
      <c r="B876" t="inlineStr">
        <is>
          <t>Multicloud</t>
        </is>
      </c>
      <c r="C876" t="inlineStr">
        <is>
          <t>nOps</t>
        </is>
      </c>
      <c r="D876" t="inlineStr">
        <is>
          <t>Integracion</t>
        </is>
      </c>
      <c r="E876" t="inlineStr">
        <is>
          <t>I1</t>
        </is>
      </c>
      <c r="F876" s="2" t="inlineStr">
        <is>
          <t>¿Integra datos requeridos (facturación, uso, clúster o IaC) del escenario?</t>
        </is>
      </c>
      <c r="G876" t="n">
        <v>2</v>
      </c>
      <c r="H876" t="inlineStr">
        <is>
          <t>Oficial</t>
        </is>
      </c>
      <c r="I876" s="2" t="inlineStr">
        <is>
          <t>Integraciones documentadas para AWS, Azure (FOCUS Export), GCP (Inform Cost), contenedores (EKS), Databricks, Datadog, MongoDB Atlas, Snowflake, OpenAI y Twilio.</t>
        </is>
      </c>
      <c r="J876" t="inlineStr">
        <is>
          <t>https://help.nops.io/docs/agents-integrations/integrations/</t>
        </is>
      </c>
      <c r="K876" t="inlineStr">
        <is>
          <t>2026-09-16</t>
        </is>
      </c>
      <c r="L876" s="2" t="inlineStr">
        <is>
          <t>Celda heredada FP-180 (2026-09-16): el valor 2 proviene de la investigacion del escenario E2 y no cuenta con evidencia propia de E5. Segun FP-177 el indicador I1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877">
      <c r="A877" t="inlineStr">
        <is>
          <t>E5</t>
        </is>
      </c>
      <c r="B877" t="inlineStr">
        <is>
          <t>Multicloud</t>
        </is>
      </c>
      <c r="C877" t="inlineStr">
        <is>
          <t>nOps</t>
        </is>
      </c>
      <c r="D877" t="inlineStr">
        <is>
          <t>Integracion</t>
        </is>
      </c>
      <c r="E877" t="inlineStr">
        <is>
          <t>I2</t>
        </is>
      </c>
      <c r="F877" s="2" t="inlineStr">
        <is>
          <t>¿Se integra con el flujo de trabajo relevante (alerta, ticket, CI/CD o reporte)?</t>
        </is>
      </c>
      <c r="G877" t="inlineStr">
        <is>
          <t>NE</t>
        </is>
      </c>
      <c r="H877" t="inlineStr">
        <is>
          <t>Pendiente</t>
        </is>
      </c>
      <c r="I877" s="2" t="inlineStr">
        <is>
          <t>No se encontró, en las páginas revisadas, documentación de integración directa con ticketing/CI-CD para el flujo de costos (el flujo de "Requests" encontrado es específico de límites de gasto de IA).</t>
        </is>
      </c>
      <c r="K877" t="inlineStr">
        <is>
          <t>2026-09-16</t>
        </is>
      </c>
      <c r="L877" s="2" t="inlineStr"/>
    </row>
    <row r="878">
      <c r="A878" t="inlineStr">
        <is>
          <t>E5</t>
        </is>
      </c>
      <c r="B878" t="inlineStr">
        <is>
          <t>Multicloud</t>
        </is>
      </c>
      <c r="C878" t="inlineStr">
        <is>
          <t>nOps</t>
        </is>
      </c>
      <c r="D878" t="inlineStr">
        <is>
          <t>Adopcion</t>
        </is>
      </c>
      <c r="E878" t="inlineStr">
        <is>
          <t>AD1</t>
        </is>
      </c>
      <c r="F878" s="2" t="inlineStr">
        <is>
          <t>¿Soporta acceso/entrega para los roles del escenario?</t>
        </is>
      </c>
      <c r="G878" t="n">
        <v>2</v>
      </c>
      <c r="H878" t="inlineStr">
        <is>
          <t>Oficial</t>
        </is>
      </c>
      <c r="I878" s="2" t="inlineStr">
        <is>
          <t>"Roles and data scopes" documenta un modelo de dos capas (permisos + alcance de datos) con reglas de inclusión/exclusión por cuenta AWS, región, valor de asignación o tag; por defecto todos los roles son "Unrestricted".</t>
        </is>
      </c>
      <c r="J878" t="inlineStr">
        <is>
          <t>https://help.nops.io/platform/roles-and-data-scopes.md</t>
        </is>
      </c>
      <c r="K878" t="inlineStr">
        <is>
          <t>2026-09-16</t>
        </is>
      </c>
      <c r="L878" s="2" t="inlineStr">
        <is>
          <t>Celda heredada FP-180 (2026-09-16): el valor 2 proviene de la investigacion del escenario E2 y no cuenta con evidencia propia de E5. Segun FP-177 el indicador AD1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879">
      <c r="A879" t="inlineStr">
        <is>
          <t>E5</t>
        </is>
      </c>
      <c r="B879" t="inlineStr">
        <is>
          <t>Multicloud</t>
        </is>
      </c>
      <c r="C879" t="inlineStr">
        <is>
          <t>nOps</t>
        </is>
      </c>
      <c r="D879" t="inlineStr">
        <is>
          <t>Adopcion</t>
        </is>
      </c>
      <c r="E879" t="inlineStr">
        <is>
          <t>AD2</t>
        </is>
      </c>
      <c r="F879" s="2" t="inlineStr">
        <is>
          <t>¿Ofrece guías, ownership o mecanismos de seguimiento para uso sostenido?</t>
        </is>
      </c>
      <c r="G879" t="n">
        <v>2</v>
      </c>
      <c r="H879" t="inlineStr">
        <is>
          <t>Oficial</t>
        </is>
      </c>
      <c r="I879" s="2" t="inlineStr">
        <is>
          <t>El módulo de showback/chargeback y "Business Unit Economics" ofrece un proceso de gobernanza definido para sostener el uso (asignación, métricas de negocio, límites de gasto de IA con flujo de aprobación).</t>
        </is>
      </c>
      <c r="J879" t="inlineStr">
        <is>
          <t>https://help.nops.io/operate/business-unit-economics.md</t>
        </is>
      </c>
      <c r="K879" t="inlineStr">
        <is>
          <t>2026-09-16</t>
        </is>
      </c>
      <c r="L879" s="2" t="inlineStr"/>
    </row>
    <row r="880">
      <c r="A880" t="inlineStr">
        <is>
          <t>E5</t>
        </is>
      </c>
      <c r="B880" t="inlineStr">
        <is>
          <t>Multicloud</t>
        </is>
      </c>
      <c r="C880" t="inlineStr">
        <is>
          <t>nOps</t>
        </is>
      </c>
      <c r="D880" t="inlineStr">
        <is>
          <t>Precio</t>
        </is>
      </c>
      <c r="E880" t="inlineStr">
        <is>
          <t>P1</t>
        </is>
      </c>
      <c r="F880" s="2" t="inlineStr">
        <is>
          <t>¿Expone precio, moneda, región, unidad, período y supuestos relevantes?</t>
        </is>
      </c>
      <c r="G880" t="n">
        <v>1</v>
      </c>
      <c r="H880" t="inlineStr">
        <is>
          <t>Comercial</t>
        </is>
      </c>
      <c r="I880"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80" t="inlineStr">
        <is>
          <t>https://www.nops.io/blog/new-azure-to-aws-cost-assessment/</t>
        </is>
      </c>
      <c r="K880" t="inlineStr">
        <is>
          <t>2026-09-16</t>
        </is>
      </c>
      <c r="L880" s="2" t="inlineStr"/>
    </row>
    <row r="881">
      <c r="A881" t="inlineStr">
        <is>
          <t>E5</t>
        </is>
      </c>
      <c r="B881" t="inlineStr">
        <is>
          <t>Multicloud</t>
        </is>
      </c>
      <c r="C881" t="inlineStr">
        <is>
          <t>nOps</t>
        </is>
      </c>
      <c r="D881" t="inlineStr">
        <is>
          <t>Precio</t>
        </is>
      </c>
      <c r="E881" t="inlineStr">
        <is>
          <t>P2</t>
        </is>
      </c>
      <c r="F881" s="2" t="inlineStr">
        <is>
          <t>¿Permite estimar o comparar componentes sin ocultar límites de equivalencia?</t>
        </is>
      </c>
      <c r="G881" t="n">
        <v>1</v>
      </c>
      <c r="H881" t="inlineStr">
        <is>
          <t>Comercial</t>
        </is>
      </c>
      <c r="I881" s="2" t="inlineStr">
        <is>
          <t>El mismo "Azure to AWS Cost Assessment" mapea especificaciones técnicas de Azure a instancias equivalentes de AWS con ejemplos concretos (p. ej. D16 v3 → m5.4xlarge) y un caso real de 18,8% de ahorro; única evidencia disponible es de blog (Comercial).</t>
        </is>
      </c>
      <c r="J881" t="inlineStr">
        <is>
          <t>https://www.nops.io/blog/new-azure-to-aws-cost-assessment/</t>
        </is>
      </c>
      <c r="K881" t="inlineStr">
        <is>
          <t>2026-09-16</t>
        </is>
      </c>
      <c r="L881" s="2" t="inlineStr">
        <is>
          <t>Celda heredada FP-180 (2026-09-16): el valor 1 proviene de la investigacion del escenario E2 y no cuenta con evidencia propia de E5. Segun FP-177 el indicador P2 depende del escenario, por lo que pasa a NE (no evidenciado, reduce cobertura) hasta investigarlo. La evidencia y la fuente originales se conservan como referencia del escenario de origen.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882">
      <c r="A882" t="inlineStr">
        <is>
          <t>E5</t>
        </is>
      </c>
      <c r="B882" t="inlineStr">
        <is>
          <t>Multicloud</t>
        </is>
      </c>
      <c r="C882" t="inlineStr">
        <is>
          <t>nOps</t>
        </is>
      </c>
      <c r="D882" t="inlineStr">
        <is>
          <t>Dependencia</t>
        </is>
      </c>
      <c r="E882" t="inlineStr">
        <is>
          <t>D1</t>
        </is>
      </c>
      <c r="F882" s="2" t="inlineStr">
        <is>
          <t>¿Exporta datos/resultados en formato utilizable y documentado?</t>
        </is>
      </c>
      <c r="G882" t="n">
        <v>2</v>
      </c>
      <c r="H882" t="inlineStr">
        <is>
          <t>Oficial</t>
        </is>
      </c>
      <c r="I882" s="2" t="inlineStr">
        <is>
          <t>La documentación de API reference (cost-allocation, explorer-dashboards, business-unit-economics) confirma una vía de exportación/acceso a datos definida y reproducible vía API REST.</t>
        </is>
      </c>
      <c r="J882" t="inlineStr">
        <is>
          <t>https://help.nops.io/llms.txt</t>
        </is>
      </c>
      <c r="K882" t="inlineStr">
        <is>
          <t>2026-09-16</t>
        </is>
      </c>
      <c r="L882" s="2" t="inlineStr"/>
    </row>
    <row r="883">
      <c r="A883" t="inlineStr">
        <is>
          <t>E5</t>
        </is>
      </c>
      <c r="B883" t="inlineStr">
        <is>
          <t>Multicloud</t>
        </is>
      </c>
      <c r="C883" t="inlineStr">
        <is>
          <t>nOps</t>
        </is>
      </c>
      <c r="D883" t="inlineStr">
        <is>
          <t>Dependencia</t>
        </is>
      </c>
      <c r="E883" t="inlineStr">
        <is>
          <t>D2</t>
        </is>
      </c>
      <c r="F883" s="2" t="inlineStr">
        <is>
          <t>¿Documenta dependencias propietarias y un camino de salida/configuración reversible?</t>
        </is>
      </c>
      <c r="G883" t="inlineStr">
        <is>
          <t>NE</t>
        </is>
      </c>
      <c r="H883" t="inlineStr">
        <is>
          <t>Pendiente</t>
        </is>
      </c>
      <c r="I883" s="2" t="inlineStr">
        <is>
          <t>No se encontró documentación sobre un camino de salida o reversibilidad de la configuración.</t>
        </is>
      </c>
      <c r="K883" t="inlineStr">
        <is>
          <t>2026-09-16</t>
        </is>
      </c>
      <c r="L883" s="2" t="inlineStr"/>
    </row>
    <row r="884">
      <c r="A884" t="inlineStr">
        <is>
          <t>E6</t>
        </is>
      </c>
      <c r="B884" t="inlineStr">
        <is>
          <t>Multicloud</t>
        </is>
      </c>
      <c r="C884" t="inlineStr">
        <is>
          <t>nOps</t>
        </is>
      </c>
      <c r="D884" t="inlineStr">
        <is>
          <t>Visibilidad</t>
        </is>
      </c>
      <c r="E884" t="inlineStr">
        <is>
          <t>V1</t>
        </is>
      </c>
      <c r="F884" s="2" t="inlineStr">
        <is>
          <t>¿Desagrega costo y uso por cuenta/proyecto, servicio y período?</t>
        </is>
      </c>
      <c r="G884" t="inlineStr">
        <is>
          <t>NE</t>
        </is>
      </c>
      <c r="H884" t="inlineStr">
        <is>
          <t>Pendiente</t>
        </is>
      </c>
      <c r="I884" s="2" t="inlineStr">
        <is>
          <t>"Inform" ofrece Explorer, reportes y dashboards con más de 40 filtros diseñados para ingeniería y finanzas, y vistas personalizadas por dimensión de negocio.</t>
        </is>
      </c>
      <c r="J884" t="inlineStr">
        <is>
          <t>https://help.nops.io/</t>
        </is>
      </c>
      <c r="K884" t="inlineStr">
        <is>
          <t>2026-09-16</t>
        </is>
      </c>
      <c r="L884" s="2" t="inlineStr">
        <is>
          <t>Celda heredada FP-180 (2026-09-16): el valor 2 proviene de la investigacion del escenario E2 y no cuenta con evidencia propia de E6. Segun FP-177 el indicador V1 depende del escenario, por lo que pasa a NE (no evidenciado, reduce cobertura) hasta investigarlo. La evidencia y la fuente originales se conservan como referencia del escenario de origen.</t>
        </is>
      </c>
    </row>
    <row r="885">
      <c r="A885" t="inlineStr">
        <is>
          <t>E6</t>
        </is>
      </c>
      <c r="B885" t="inlineStr">
        <is>
          <t>Multicloud</t>
        </is>
      </c>
      <c r="C885" t="inlineStr">
        <is>
          <t>nOps</t>
        </is>
      </c>
      <c r="D885" t="inlineStr">
        <is>
          <t>Visibilidad</t>
        </is>
      </c>
      <c r="E885" t="inlineStr">
        <is>
          <t>V2</t>
        </is>
      </c>
      <c r="F885" s="2" t="inlineStr">
        <is>
          <t>¿Permite rastrear un total hasta registros o fuente de facturación?</t>
        </is>
      </c>
      <c r="G885" t="n">
        <v>2</v>
      </c>
      <c r="H885" t="inlineStr">
        <is>
          <t>Oficial</t>
        </is>
      </c>
      <c r="I885" s="2" t="inlineStr">
        <is>
          <t>La API documenta "Allocation history time series" y funciones de previsualización ("Showback spend preview") para rastrear cómo evoluciona una asignación en el tiempo.</t>
        </is>
      </c>
      <c r="J885" t="inlineStr">
        <is>
          <t>https://help.nops.io/llms.txt</t>
        </is>
      </c>
      <c r="K885" t="inlineStr">
        <is>
          <t>2026-09-16</t>
        </is>
      </c>
      <c r="L885" s="2" t="inlineStr"/>
    </row>
    <row r="886">
      <c r="A886" t="inlineStr">
        <is>
          <t>E6</t>
        </is>
      </c>
      <c r="B886" t="inlineStr">
        <is>
          <t>Multicloud</t>
        </is>
      </c>
      <c r="C886" t="inlineStr">
        <is>
          <t>nOps</t>
        </is>
      </c>
      <c r="D886" t="inlineStr">
        <is>
          <t>Asignacion</t>
        </is>
      </c>
      <c r="E886" t="inlineStr">
        <is>
          <t>A1</t>
        </is>
      </c>
      <c r="F886" s="2" t="inlineStr">
        <is>
          <t>¿Calcula gasto asignado/no asignado por responsable, centro o entidad?</t>
        </is>
      </c>
      <c r="G886" t="n">
        <v>2</v>
      </c>
      <c r="H886" t="inlineStr">
        <is>
          <t>Oficial</t>
        </is>
      </c>
      <c r="I886" s="2" t="inlineStr">
        <is>
          <t>"Showback"/"cost allocation" con reglas de asignación (crear, actualizar, reordenar, previsualizar) y un modelo de "Business Unit Economics" que vincula el gasto de Explorer a métricas de negocio (clientes, asientos).</t>
        </is>
      </c>
      <c r="J886" t="inlineStr">
        <is>
          <t>https://help.nops.io/operate/business-unit-economics.md</t>
        </is>
      </c>
      <c r="K886" t="inlineStr">
        <is>
          <t>2026-09-16</t>
        </is>
      </c>
      <c r="L886" s="2" t="inlineStr">
        <is>
          <t>Celda heredada FP-180 (2026-09-16): el valor 2 proviene de la investigacion del escenario E2 y no cuenta con evidencia propia de E6. Segun FP-177 el indicador A1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87">
      <c r="A887" t="inlineStr">
        <is>
          <t>E6</t>
        </is>
      </c>
      <c r="B887" t="inlineStr">
        <is>
          <t>Multicloud</t>
        </is>
      </c>
      <c r="C887" t="inlineStr">
        <is>
          <t>nOps</t>
        </is>
      </c>
      <c r="D887" t="inlineStr">
        <is>
          <t>Asignacion</t>
        </is>
      </c>
      <c r="E887" t="inlineStr">
        <is>
          <t>A2</t>
        </is>
      </c>
      <c r="F887" s="2" t="inlineStr">
        <is>
          <t>¿Explicita y aplica reglas para costo compartido/multi-tenant?</t>
        </is>
      </c>
      <c r="G887" t="n">
        <v>2</v>
      </c>
      <c r="H887" t="inlineStr">
        <is>
          <t>Oficial</t>
        </is>
      </c>
      <c r="I887" s="2" t="inlineStr">
        <is>
          <t>Las "allocation rules" son reordenables y previsualizables antes de guardarse ("Preview a proposed (unsaved) rule set"), y pueden auto-generarse a partir de tags existentes ("Sync dimension-discovered rules").</t>
        </is>
      </c>
      <c r="J887" t="inlineStr">
        <is>
          <t>https://help.nops.io/api-reference/cost-allocation/reorder-allocation-rule.md</t>
        </is>
      </c>
      <c r="K887" t="inlineStr">
        <is>
          <t>2026-09-16</t>
        </is>
      </c>
      <c r="L887" s="2" t="inlineStr">
        <is>
          <t>Celda heredada FP-180 (2026-09-16): el valor 2 proviene de la investigacion del escenario E2 y no cuenta con evidencia propia de E6. Segun FP-177 el indicador A2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88">
      <c r="A888" t="inlineStr">
        <is>
          <t>E6</t>
        </is>
      </c>
      <c r="B888" t="inlineStr">
        <is>
          <t>Multicloud</t>
        </is>
      </c>
      <c r="C888" t="inlineStr">
        <is>
          <t>nOps</t>
        </is>
      </c>
      <c r="D888" t="inlineStr">
        <is>
          <t>Optimizacion</t>
        </is>
      </c>
      <c r="E888" t="inlineStr">
        <is>
          <t>O1</t>
        </is>
      </c>
      <c r="F888" s="2" t="inlineStr">
        <is>
          <t>¿Detecta desperdicio, rightsizing o compromiso relevante al escenario?</t>
        </is>
      </c>
      <c r="G888" t="n">
        <v>2</v>
      </c>
      <c r="H888" t="inlineStr">
        <is>
          <t>Oficial</t>
        </is>
      </c>
      <c r="I888" s="2" t="inlineStr">
        <is>
          <t>"Compute Copilot" reubica de forma continua el cómputo entre Reservas, Savings Plans y Spot ("real-time instance reconsideration"), exclusivamente para AWS (incluye EKS).</t>
        </is>
      </c>
      <c r="J888" t="inlineStr">
        <is>
          <t>https://help.nops.io/docs/products/compute-copilot/introduction/</t>
        </is>
      </c>
      <c r="K888" t="inlineStr">
        <is>
          <t>2026-09-16</t>
        </is>
      </c>
      <c r="L888" s="2" t="inlineStr">
        <is>
          <t>Celda heredada FP-180 (2026-09-16): el valor 2 proviene de la investigacion del escenario E2 y no cuenta con evidencia propia de E6. Segun FP-177 el indicador O1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89">
      <c r="A889" t="inlineStr">
        <is>
          <t>E6</t>
        </is>
      </c>
      <c r="B889" t="inlineStr">
        <is>
          <t>Multicloud</t>
        </is>
      </c>
      <c r="C889" t="inlineStr">
        <is>
          <t>nOps</t>
        </is>
      </c>
      <c r="D889" t="inlineStr">
        <is>
          <t>Optimizacion</t>
        </is>
      </c>
      <c r="E889" t="inlineStr">
        <is>
          <t>O2</t>
        </is>
      </c>
      <c r="F889" s="2" t="inlineStr">
        <is>
          <t>¿Explica supuesto/impacto y permite seguir una recomendación?</t>
        </is>
      </c>
      <c r="G889" t="n">
        <v>1</v>
      </c>
      <c r="H889" t="inlineStr">
        <is>
          <t>Oficial</t>
        </is>
      </c>
      <c r="I889" s="2" t="inlineStr">
        <is>
          <t>La documentación revisada no detalla un ciclo de seguimiento de ahorro realizado equivalente al de CloudZero/Vantage para Compute Copilot; el módulo de "Requests" de límites de gasto de IA sí lleva historial, pero es de otro dominio (gasto de IA, no de cómputo).</t>
        </is>
      </c>
      <c r="J889" t="inlineStr">
        <is>
          <t>https://help.nops.io/docs/products/compute-copilot/introduction/</t>
        </is>
      </c>
      <c r="K889" t="inlineStr">
        <is>
          <t>2026-09-16</t>
        </is>
      </c>
      <c r="L889" s="2" t="inlineStr"/>
    </row>
    <row r="890">
      <c r="A890" t="inlineStr">
        <is>
          <t>E6</t>
        </is>
      </c>
      <c r="B890" t="inlineStr">
        <is>
          <t>Multicloud</t>
        </is>
      </c>
      <c r="C890" t="inlineStr">
        <is>
          <t>nOps</t>
        </is>
      </c>
      <c r="D890" t="inlineStr">
        <is>
          <t>Automatizacion</t>
        </is>
      </c>
      <c r="E890" t="inlineStr">
        <is>
          <t>AU1</t>
        </is>
      </c>
      <c r="F890" s="2" t="inlineStr">
        <is>
          <t>¿Ejecuta o bloquea acciones/políticas de costo con control verificable?</t>
        </is>
      </c>
      <c r="G890" t="n">
        <v>2</v>
      </c>
      <c r="H890" t="inlineStr">
        <is>
          <t>Oficial</t>
        </is>
      </c>
      <c r="I890" s="2" t="inlineStr">
        <is>
          <t>La "Commitment Management" ejecuta automáticamente compras/gestión de Reserved Instances y Savings Plans en AWS, Committed Use Discounts en GCP, y Reservations/Savings Plans en Azure, cada una con su propio flujo de onboarding.</t>
        </is>
      </c>
      <c r="J890" t="inlineStr">
        <is>
          <t>https://help.nops.io/aws/commitment-management-setup.md</t>
        </is>
      </c>
      <c r="K890" t="inlineStr">
        <is>
          <t>2026-09-16</t>
        </is>
      </c>
      <c r="L890"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 | Celda heredada FP-180 (2026-09-16): el valor 2 proviene de la investigacion del escenario E2 y no cuenta con evidencia propia de E6. Segun FP-177 el indicador AU1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91">
      <c r="A891" t="inlineStr">
        <is>
          <t>E6</t>
        </is>
      </c>
      <c r="B891" t="inlineStr">
        <is>
          <t>Multicloud</t>
        </is>
      </c>
      <c r="C891" t="inlineStr">
        <is>
          <t>nOps</t>
        </is>
      </c>
      <c r="D891" t="inlineStr">
        <is>
          <t>Automatizacion</t>
        </is>
      </c>
      <c r="E891" t="inlineStr">
        <is>
          <t>AU2</t>
        </is>
      </c>
      <c r="F891" s="2" t="inlineStr">
        <is>
          <t>¿Ofrece aprobación, reversión, registro o límites antes de actuar?</t>
        </is>
      </c>
      <c r="G891" t="n">
        <v>2</v>
      </c>
      <c r="H891" t="inlineStr">
        <is>
          <t>Oficial</t>
        </is>
      </c>
      <c r="I891" s="2" t="inlineStr">
        <is>
          <t>Cada Commitment Management documenta salvaguardas: en GCP, un "Automation Agent" de compra autónoma más un acceso de soporte para "manual overrides"; en Azure, una suscripción dedicada aislada "for clear auditing" y verificación de políticas de facturación antes de comprar.</t>
        </is>
      </c>
      <c r="J891" t="inlineStr">
        <is>
          <t>https://help.nops.io/gcp/commitment-management-setup.md</t>
        </is>
      </c>
      <c r="K891" t="inlineStr">
        <is>
          <t>2026-09-16</t>
        </is>
      </c>
      <c r="L891"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92">
      <c r="A892" t="inlineStr">
        <is>
          <t>E6</t>
        </is>
      </c>
      <c r="B892" t="inlineStr">
        <is>
          <t>Multicloud</t>
        </is>
      </c>
      <c r="C892" t="inlineStr">
        <is>
          <t>nOps</t>
        </is>
      </c>
      <c r="D892" t="inlineStr">
        <is>
          <t>Multicloud</t>
        </is>
      </c>
      <c r="E892" t="inlineStr">
        <is>
          <t>M1</t>
        </is>
      </c>
      <c r="F892" s="2" t="inlineStr">
        <is>
          <t>¿Consolida al menos dos proveedores bajo el mismo esquema declarado?</t>
        </is>
      </c>
      <c r="G892" t="n">
        <v>2</v>
      </c>
      <c r="H892" t="inlineStr">
        <is>
          <t>Oficial</t>
        </is>
      </c>
      <c r="I892" s="2" t="inlineStr">
        <is>
          <t>"Inform" ingiere costo de AWS, Kubernetes, Azure y GCP (vía FOCUS Export) en una sola plataforma integrada, según la documentación de integraciones y el anuncio oficial de soporte GCP/Azure/Datadog/Databricks.</t>
        </is>
      </c>
      <c r="J892" t="inlineStr">
        <is>
          <t>https://help.nops.io/docs/products/business-contexts/integrations/</t>
        </is>
      </c>
      <c r="K892" t="inlineStr">
        <is>
          <t>2026-09-16</t>
        </is>
      </c>
      <c r="L892"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93">
      <c r="A893" t="inlineStr">
        <is>
          <t>E6</t>
        </is>
      </c>
      <c r="B893" t="inlineStr">
        <is>
          <t>Multicloud</t>
        </is>
      </c>
      <c r="C893" t="inlineStr">
        <is>
          <t>nOps</t>
        </is>
      </c>
      <c r="D893" t="inlineStr">
        <is>
          <t>Multicloud</t>
        </is>
      </c>
      <c r="E893" t="inlineStr">
        <is>
          <t>M2</t>
        </is>
      </c>
      <c r="F893" s="2" t="inlineStr">
        <is>
          <t>¿Hace visibles proveedor, cobertura y diferencias semánticas?</t>
        </is>
      </c>
      <c r="G893" t="n">
        <v>2</v>
      </c>
      <c r="H893" t="inlineStr">
        <is>
          <t>Oficial</t>
        </is>
      </c>
      <c r="I893" s="2" t="inlineStr">
        <is>
          <t>Azure y GCP se ingieren mediante el estándar FOCUS Export (documentado paso a paso), un esquema de normalización declarado y común a ambos proveedores junto con AWS.</t>
        </is>
      </c>
      <c r="J893" t="inlineStr">
        <is>
          <t>https://help.nops.io/docs/agents-integrations/BC+%20Integrations/Azure%20FOCUS%20Exports/ms-azure-export-configuration/</t>
        </is>
      </c>
      <c r="K893" t="inlineStr">
        <is>
          <t>2026-09-16</t>
        </is>
      </c>
      <c r="L893" s="2" t="inlineStr">
        <is>
          <t>Nota de alcance: la automatización de ejecución (AU1/AU2) de nOps combina Compute Copilot -exclusivamente AWS, incluye EKS- con Commitment Management -con implementaciones separadas y no unificadas por proveedor para AWS, GCP y Azure-. La consolidación multicloud (M1/M2) es una función distinta (Inform, vía FOCUS Export) que sí integra los tres proveedores en una misma vista.</t>
        </is>
      </c>
    </row>
    <row r="894">
      <c r="A894" t="inlineStr">
        <is>
          <t>E6</t>
        </is>
      </c>
      <c r="B894" t="inlineStr">
        <is>
          <t>Multicloud</t>
        </is>
      </c>
      <c r="C894" t="inlineStr">
        <is>
          <t>nOps</t>
        </is>
      </c>
      <c r="D894" t="inlineStr">
        <is>
          <t>Integracion</t>
        </is>
      </c>
      <c r="E894" t="inlineStr">
        <is>
          <t>I1</t>
        </is>
      </c>
      <c r="F894" s="2" t="inlineStr">
        <is>
          <t>¿Integra datos requeridos (facturación, uso, clúster o IaC) del escenario?</t>
        </is>
      </c>
      <c r="G894" t="inlineStr">
        <is>
          <t>NE</t>
        </is>
      </c>
      <c r="H894" t="inlineStr">
        <is>
          <t>Pendiente</t>
        </is>
      </c>
      <c r="I894" s="2" t="inlineStr">
        <is>
          <t>Integraciones documentadas para AWS, Azure (FOCUS Export), GCP (Inform Cost), contenedores (EKS), Databricks, Datadog, MongoDB Atlas, Snowflake, OpenAI y Twilio.</t>
        </is>
      </c>
      <c r="J894" t="inlineStr">
        <is>
          <t>https://help.nops.io/docs/agents-integrations/integrations/</t>
        </is>
      </c>
      <c r="K894" t="inlineStr">
        <is>
          <t>2026-09-16</t>
        </is>
      </c>
      <c r="L894" s="2" t="inlineStr">
        <is>
          <t>Celda heredada FP-180 (2026-09-16): el valor 2 proviene de la investigacion del escenario E2 y no cuenta con evidencia propia de E6. Segun FP-177 el indicador I1 depende del escenario, por lo que pasa a NE (no evidenciado, reduce cobertura) hasta investigarlo. La evidencia y la fuente originales se conservan como referencia del escenario de origen.</t>
        </is>
      </c>
    </row>
    <row r="895">
      <c r="A895" t="inlineStr">
        <is>
          <t>E6</t>
        </is>
      </c>
      <c r="B895" t="inlineStr">
        <is>
          <t>Multicloud</t>
        </is>
      </c>
      <c r="C895" t="inlineStr">
        <is>
          <t>nOps</t>
        </is>
      </c>
      <c r="D895" t="inlineStr">
        <is>
          <t>Integracion</t>
        </is>
      </c>
      <c r="E895" t="inlineStr">
        <is>
          <t>I2</t>
        </is>
      </c>
      <c r="F895" s="2" t="inlineStr">
        <is>
          <t>¿Se integra con el flujo de trabajo relevante (alerta, ticket, CI/CD o reporte)?</t>
        </is>
      </c>
      <c r="G895" t="inlineStr">
        <is>
          <t>NE</t>
        </is>
      </c>
      <c r="H895" t="inlineStr">
        <is>
          <t>Pendiente</t>
        </is>
      </c>
      <c r="I895" s="2" t="inlineStr">
        <is>
          <t>No se encontró, en las páginas revisadas, documentación de integración directa con ticketing/CI-CD para el flujo de costos (el flujo de "Requests" encontrado es específico de límites de gasto de IA).</t>
        </is>
      </c>
      <c r="K895" t="inlineStr">
        <is>
          <t>2026-09-16</t>
        </is>
      </c>
      <c r="L895" s="2" t="inlineStr"/>
    </row>
    <row r="896">
      <c r="A896" t="inlineStr">
        <is>
          <t>E6</t>
        </is>
      </c>
      <c r="B896" t="inlineStr">
        <is>
          <t>Multicloud</t>
        </is>
      </c>
      <c r="C896" t="inlineStr">
        <is>
          <t>nOps</t>
        </is>
      </c>
      <c r="D896" t="inlineStr">
        <is>
          <t>Adopcion</t>
        </is>
      </c>
      <c r="E896" t="inlineStr">
        <is>
          <t>AD1</t>
        </is>
      </c>
      <c r="F896" s="2" t="inlineStr">
        <is>
          <t>¿Soporta acceso/entrega para los roles del escenario?</t>
        </is>
      </c>
      <c r="G896" t="n">
        <v>2</v>
      </c>
      <c r="H896" t="inlineStr">
        <is>
          <t>Oficial</t>
        </is>
      </c>
      <c r="I896" s="2" t="inlineStr">
        <is>
          <t>"Roles and data scopes" documenta un modelo de dos capas (permisos + alcance de datos) con reglas de inclusión/exclusión por cuenta AWS, región, valor de asignación o tag; por defecto todos los roles son "Unrestricted".</t>
        </is>
      </c>
      <c r="J896" t="inlineStr">
        <is>
          <t>https://help.nops.io/platform/roles-and-data-scopes.md</t>
        </is>
      </c>
      <c r="K896" t="inlineStr">
        <is>
          <t>2026-09-16</t>
        </is>
      </c>
      <c r="L896" s="2" t="inlineStr">
        <is>
          <t>Celda heredada FP-180 (2026-09-16): el valor 2 proviene de la investigacion del escenario E2 y no cuenta con evidencia propia de E6. Segun FP-177 el indicador AD1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897">
      <c r="A897" t="inlineStr">
        <is>
          <t>E6</t>
        </is>
      </c>
      <c r="B897" t="inlineStr">
        <is>
          <t>Multicloud</t>
        </is>
      </c>
      <c r="C897" t="inlineStr">
        <is>
          <t>nOps</t>
        </is>
      </c>
      <c r="D897" t="inlineStr">
        <is>
          <t>Adopcion</t>
        </is>
      </c>
      <c r="E897" t="inlineStr">
        <is>
          <t>AD2</t>
        </is>
      </c>
      <c r="F897" s="2" t="inlineStr">
        <is>
          <t>¿Ofrece guías, ownership o mecanismos de seguimiento para uso sostenido?</t>
        </is>
      </c>
      <c r="G897" t="n">
        <v>2</v>
      </c>
      <c r="H897" t="inlineStr">
        <is>
          <t>Oficial</t>
        </is>
      </c>
      <c r="I897" s="2" t="inlineStr">
        <is>
          <t>El módulo de showback/chargeback y "Business Unit Economics" ofrece un proceso de gobernanza definido para sostener el uso (asignación, métricas de negocio, límites de gasto de IA con flujo de aprobación).</t>
        </is>
      </c>
      <c r="J897" t="inlineStr">
        <is>
          <t>https://help.nops.io/operate/business-unit-economics.md</t>
        </is>
      </c>
      <c r="K897" t="inlineStr">
        <is>
          <t>2026-09-16</t>
        </is>
      </c>
      <c r="L897" s="2" t="inlineStr"/>
    </row>
    <row r="898">
      <c r="A898" t="inlineStr">
        <is>
          <t>E6</t>
        </is>
      </c>
      <c r="B898" t="inlineStr">
        <is>
          <t>Multicloud</t>
        </is>
      </c>
      <c r="C898" t="inlineStr">
        <is>
          <t>nOps</t>
        </is>
      </c>
      <c r="D898" t="inlineStr">
        <is>
          <t>Precio</t>
        </is>
      </c>
      <c r="E898" t="inlineStr">
        <is>
          <t>P1</t>
        </is>
      </c>
      <c r="F898" s="2" t="inlineStr">
        <is>
          <t>¿Expone precio, moneda, región, unidad, período y supuestos relevantes?</t>
        </is>
      </c>
      <c r="G898" t="n">
        <v>1</v>
      </c>
      <c r="H898" t="inlineStr">
        <is>
          <t>Comercial</t>
        </is>
      </c>
      <c r="I898" s="2" t="inlineStr">
        <is>
          <t>El anuncio de "Azure to AWS Cost Assessment" documenta niveles de confianza explícitos (90% coincidencia exacta, 8% equivalente validado, 2% marcado para validación manual) y supuestos de región/SO/tipo de instancia, pero solo se ubicó como anuncio de producto (blog), no como documentación técnica en help.nops.io.</t>
        </is>
      </c>
      <c r="J898" t="inlineStr">
        <is>
          <t>https://www.nops.io/blog/new-azure-to-aws-cost-assessment/</t>
        </is>
      </c>
      <c r="K898" t="inlineStr">
        <is>
          <t>2026-09-16</t>
        </is>
      </c>
      <c r="L898" s="2" t="inlineStr"/>
    </row>
    <row r="899">
      <c r="A899" t="inlineStr">
        <is>
          <t>E6</t>
        </is>
      </c>
      <c r="B899" t="inlineStr">
        <is>
          <t>Multicloud</t>
        </is>
      </c>
      <c r="C899" t="inlineStr">
        <is>
          <t>nOps</t>
        </is>
      </c>
      <c r="D899" t="inlineStr">
        <is>
          <t>Precio</t>
        </is>
      </c>
      <c r="E899" t="inlineStr">
        <is>
          <t>P2</t>
        </is>
      </c>
      <c r="F899" s="2" t="inlineStr">
        <is>
          <t>¿Permite estimar o comparar componentes sin ocultar límites de equivalencia?</t>
        </is>
      </c>
      <c r="G899" t="n">
        <v>1</v>
      </c>
      <c r="H899" t="inlineStr">
        <is>
          <t>Comercial</t>
        </is>
      </c>
      <c r="I899" s="2" t="inlineStr">
        <is>
          <t>El mismo "Azure to AWS Cost Assessment" mapea especificaciones técnicas de Azure a instancias equivalentes de AWS con ejemplos concretos (p. ej. D16 v3 → m5.4xlarge) y un caso real de 18,8% de ahorro; única evidencia disponible es de blog (Comercial).</t>
        </is>
      </c>
      <c r="J899" t="inlineStr">
        <is>
          <t>https://www.nops.io/blog/new-azure-to-aws-cost-assessment/</t>
        </is>
      </c>
      <c r="K899" t="inlineStr">
        <is>
          <t>2026-09-16</t>
        </is>
      </c>
      <c r="L899" s="2" t="inlineStr">
        <is>
          <t>Celda heredada FP-180 (2026-09-16): el valor 1 proviene de la investigacion del escenario E2 y no cuenta con evidencia propia de E6. Segun FP-177 el indicador P2 depende del escenario, por lo que pasa a NE (no evidenciado, reduce cobertura) hasta investigarlo. La evidencia y la fuente originales se conservan como referencia del escenario de origen.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900">
      <c r="A900" t="inlineStr">
        <is>
          <t>E6</t>
        </is>
      </c>
      <c r="B900" t="inlineStr">
        <is>
          <t>Multicloud</t>
        </is>
      </c>
      <c r="C900" t="inlineStr">
        <is>
          <t>nOps</t>
        </is>
      </c>
      <c r="D900" t="inlineStr">
        <is>
          <t>Dependencia</t>
        </is>
      </c>
      <c r="E900" t="inlineStr">
        <is>
          <t>D1</t>
        </is>
      </c>
      <c r="F900" s="2" t="inlineStr">
        <is>
          <t>¿Exporta datos/resultados en formato utilizable y documentado?</t>
        </is>
      </c>
      <c r="G900" t="n">
        <v>2</v>
      </c>
      <c r="H900" t="inlineStr">
        <is>
          <t>Oficial</t>
        </is>
      </c>
      <c r="I900" s="2" t="inlineStr">
        <is>
          <t>La documentación de API reference (cost-allocation, explorer-dashboards, business-unit-economics) confirma una vía de exportación/acceso a datos definida y reproducible vía API REST.</t>
        </is>
      </c>
      <c r="J900" t="inlineStr">
        <is>
          <t>https://help.nops.io/llms.txt</t>
        </is>
      </c>
      <c r="K900" t="inlineStr">
        <is>
          <t>2026-09-16</t>
        </is>
      </c>
      <c r="L900" s="2" t="inlineStr"/>
    </row>
    <row r="901">
      <c r="A901" t="inlineStr">
        <is>
          <t>E6</t>
        </is>
      </c>
      <c r="B901" t="inlineStr">
        <is>
          <t>Multicloud</t>
        </is>
      </c>
      <c r="C901" t="inlineStr">
        <is>
          <t>nOps</t>
        </is>
      </c>
      <c r="D901" t="inlineStr">
        <is>
          <t>Dependencia</t>
        </is>
      </c>
      <c r="E901" t="inlineStr">
        <is>
          <t>D2</t>
        </is>
      </c>
      <c r="F901" s="2" t="inlineStr">
        <is>
          <t>¿Documenta dependencias propietarias y un camino de salida/configuración reversible?</t>
        </is>
      </c>
      <c r="G901" t="inlineStr">
        <is>
          <t>NE</t>
        </is>
      </c>
      <c r="H901" t="inlineStr">
        <is>
          <t>Pendiente</t>
        </is>
      </c>
      <c r="I901" s="2" t="inlineStr">
        <is>
          <t>No se encontró documentación sobre un camino de salida o reversibilidad de la configuración.</t>
        </is>
      </c>
      <c r="K901" t="inlineStr">
        <is>
          <t>2026-09-16</t>
        </is>
      </c>
      <c r="L901" s="2" t="inlineStr"/>
    </row>
    <row r="902">
      <c r="A902" t="inlineStr">
        <is>
          <t>E3</t>
        </is>
      </c>
      <c r="B902" t="inlineStr">
        <is>
          <t>Kubernetes</t>
        </is>
      </c>
      <c r="C902" t="inlineStr">
        <is>
          <t>OpenCost</t>
        </is>
      </c>
      <c r="D902" t="inlineStr">
        <is>
          <t>Visibilidad</t>
        </is>
      </c>
      <c r="E902" t="inlineStr">
        <is>
          <t>V1</t>
        </is>
      </c>
      <c r="F902" s="2" t="inlineStr">
        <is>
          <t>¿Desagrega costo y uso por cuenta/proyecto, servicio y período?</t>
        </is>
      </c>
      <c r="G902" t="n">
        <v>2</v>
      </c>
      <c r="H902" t="inlineStr">
        <is>
          <t>Oficial</t>
        </is>
      </c>
      <c r="I902" s="2" t="inlineStr">
        <is>
          <t>Asignación de costo en tiempo real por clúster, nodo, namespace, tipo de controlador, controlador, servicio o pod, con soporte multicloud vía integraciones con las APIs de facturación de AWS, Azure y GCP.</t>
        </is>
      </c>
      <c r="J902" t="inlineStr">
        <is>
          <t>https://github.com/opencost/opencost</t>
        </is>
      </c>
      <c r="K902" t="inlineStr">
        <is>
          <t>2026-09-16</t>
        </is>
      </c>
      <c r="L902" s="2" t="inlineStr"/>
    </row>
    <row r="903">
      <c r="A903" t="inlineStr">
        <is>
          <t>E3</t>
        </is>
      </c>
      <c r="B903" t="inlineStr">
        <is>
          <t>Kubernetes</t>
        </is>
      </c>
      <c r="C903" t="inlineStr">
        <is>
          <t>OpenCost</t>
        </is>
      </c>
      <c r="D903" t="inlineStr">
        <is>
          <t>Visibilidad</t>
        </is>
      </c>
      <c r="E903" t="inlineStr">
        <is>
          <t>V2</t>
        </is>
      </c>
      <c r="F903" s="2" t="inlineStr">
        <is>
          <t>¿Permite rastrear un total hasta registros o fuente de facturación?</t>
        </is>
      </c>
      <c r="G903" t="n">
        <v>1</v>
      </c>
      <c r="H903" t="inlineStr">
        <is>
          <t>Oficial</t>
        </is>
      </c>
      <c r="I903" s="2" t="inlineStr">
        <is>
          <t>El export a Prometheus (endpoint /metrics) permite rastrear el detalle de costo por recurso, pero no se documentó una reconciliación explícita con la factura del proveedor.</t>
        </is>
      </c>
      <c r="J903" t="inlineStr">
        <is>
          <t>https://github.com/opencost/opencost</t>
        </is>
      </c>
      <c r="K903" t="inlineStr">
        <is>
          <t>2026-09-16</t>
        </is>
      </c>
      <c r="L903" s="2" t="inlineStr"/>
    </row>
    <row r="904">
      <c r="A904" t="inlineStr">
        <is>
          <t>E3</t>
        </is>
      </c>
      <c r="B904" t="inlineStr">
        <is>
          <t>Kubernetes</t>
        </is>
      </c>
      <c r="C904" t="inlineStr">
        <is>
          <t>OpenCost</t>
        </is>
      </c>
      <c r="D904" t="inlineStr">
        <is>
          <t>Asignacion</t>
        </is>
      </c>
      <c r="E904" t="inlineStr">
        <is>
          <t>A1</t>
        </is>
      </c>
      <c r="F904" s="2" t="inlineStr">
        <is>
          <t>¿Calcula gasto asignado/no asignado por responsable, centro o entidad?</t>
        </is>
      </c>
      <c r="G904" t="n">
        <v>2</v>
      </c>
      <c r="H904" t="inlineStr">
        <is>
          <t>Oficial</t>
        </is>
      </c>
      <c r="I904" s="2" t="inlineStr">
        <is>
          <t>El costo idle puede repartirse o excluirse explícitamente entre los recursos, con configuración para incluir/excluir el costo no utilizado del cálculo por namespace/pod.</t>
        </is>
      </c>
      <c r="J904" t="inlineStr">
        <is>
          <t>https://github.com/opencost/opencost</t>
        </is>
      </c>
      <c r="K904" t="inlineStr">
        <is>
          <t>2026-09-16</t>
        </is>
      </c>
      <c r="L904" s="2" t="inlineStr"/>
    </row>
    <row r="905">
      <c r="A905" t="inlineStr">
        <is>
          <t>E3</t>
        </is>
      </c>
      <c r="B905" t="inlineStr">
        <is>
          <t>Kubernetes</t>
        </is>
      </c>
      <c r="C905" t="inlineStr">
        <is>
          <t>OpenCost</t>
        </is>
      </c>
      <c r="D905" t="inlineStr">
        <is>
          <t>Asignacion</t>
        </is>
      </c>
      <c r="E905" t="inlineStr">
        <is>
          <t>A2</t>
        </is>
      </c>
      <c r="F905" s="2" t="inlineStr">
        <is>
          <t>¿Explicita y aplica reglas para costo compartido/multi-tenant?</t>
        </is>
      </c>
      <c r="G905" t="n">
        <v>1</v>
      </c>
      <c r="H905" t="inlineStr">
        <is>
          <t>Oficial</t>
        </is>
      </c>
      <c r="I905" s="2" t="inlineStr">
        <is>
          <t>El reparto de costo idle es configurable (incluir/excluir), pero no se documentó un mecanismo de reparto porcentual de costo compartido más allá de esa función.</t>
        </is>
      </c>
      <c r="J905" t="inlineStr">
        <is>
          <t>https://github.com/opencost/opencost</t>
        </is>
      </c>
      <c r="K905" t="inlineStr">
        <is>
          <t>2026-09-16</t>
        </is>
      </c>
      <c r="L905" s="2" t="inlineStr"/>
    </row>
    <row r="906">
      <c r="A906" t="inlineStr">
        <is>
          <t>E3</t>
        </is>
      </c>
      <c r="B906" t="inlineStr">
        <is>
          <t>Kubernetes</t>
        </is>
      </c>
      <c r="C906" t="inlineStr">
        <is>
          <t>OpenCost</t>
        </is>
      </c>
      <c r="D906" t="inlineStr">
        <is>
          <t>Optimizacion</t>
        </is>
      </c>
      <c r="E906" t="inlineStr">
        <is>
          <t>O1</t>
        </is>
      </c>
      <c r="F906" s="2" t="inlineStr">
        <is>
          <t>¿Detecta desperdicio, rightsizing o compromiso relevante al escenario?</t>
        </is>
      </c>
      <c r="G906" t="n">
        <v>1</v>
      </c>
      <c r="H906" t="inlineStr">
        <is>
          <t>Oficial</t>
        </is>
      </c>
      <c r="I906" s="2" t="inlineStr">
        <is>
          <t>El proyecto declara ofrecer "rightsizing recommendations and cost savings analysis" para informar decisiones manuales de optimización; no se encontró más detalle específico por proveedor.</t>
        </is>
      </c>
      <c r="J906" t="inlineStr">
        <is>
          <t>https://github.com/opencost/opencost</t>
        </is>
      </c>
      <c r="K906" t="inlineStr">
        <is>
          <t>2026-09-16</t>
        </is>
      </c>
      <c r="L906" s="2" t="inlineStr"/>
    </row>
    <row r="907">
      <c r="A907" t="inlineStr">
        <is>
          <t>E3</t>
        </is>
      </c>
      <c r="B907" t="inlineStr">
        <is>
          <t>Kubernetes</t>
        </is>
      </c>
      <c r="C907" t="inlineStr">
        <is>
          <t>OpenCost</t>
        </is>
      </c>
      <c r="D907" t="inlineStr">
        <is>
          <t>Optimizacion</t>
        </is>
      </c>
      <c r="E907" t="inlineStr">
        <is>
          <t>O2</t>
        </is>
      </c>
      <c r="F907" s="2" t="inlineStr">
        <is>
          <t>¿Explica supuesto/impacto y permite seguir una recomendación?</t>
        </is>
      </c>
      <c r="G907" t="n">
        <v>0</v>
      </c>
      <c r="H907" t="inlineStr">
        <is>
          <t>Oficial (ausencia verificada)</t>
        </is>
      </c>
      <c r="I907" s="2" t="inlineStr">
        <is>
          <t>OpenCost funciona explícitamente como "herramienta de visibilidad y medición únicamente"; no ejecuta ni da seguimiento a un ciclo de realización de ahorro, por lo que no aplica evaluar seguimiento de una acción que no ejecuta.</t>
        </is>
      </c>
      <c r="J907" t="inlineStr">
        <is>
          <t>https://github.com/opencost/opencost</t>
        </is>
      </c>
      <c r="K907" t="inlineStr">
        <is>
          <t>2026-09-16</t>
        </is>
      </c>
      <c r="L90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08">
      <c r="A908" t="inlineStr">
        <is>
          <t>E3</t>
        </is>
      </c>
      <c r="B908" t="inlineStr">
        <is>
          <t>Kubernetes</t>
        </is>
      </c>
      <c r="C908" t="inlineStr">
        <is>
          <t>OpenCost</t>
        </is>
      </c>
      <c r="D908" t="inlineStr">
        <is>
          <t>Automatizacion</t>
        </is>
      </c>
      <c r="E908" t="inlineStr">
        <is>
          <t>AU1</t>
        </is>
      </c>
      <c r="F908" s="2" t="inlineStr">
        <is>
          <t>¿Ejecuta o bloquea acciones/políticas de costo con control verificable?</t>
        </is>
      </c>
      <c r="G908" t="n">
        <v>0</v>
      </c>
      <c r="H908" t="inlineStr">
        <is>
          <t>Oficial</t>
        </is>
      </c>
      <c r="I908" s="2" t="inlineStr">
        <is>
          <t>OpenCost es, según su propia documentación, una herramienta de visibilidad y medición únicamente: no ejecuta acciones ni controla recursos.</t>
        </is>
      </c>
      <c r="J908" t="inlineStr">
        <is>
          <t>https://github.com/opencost/opencost</t>
        </is>
      </c>
      <c r="K908" t="inlineStr">
        <is>
          <t>2026-09-16</t>
        </is>
      </c>
      <c r="L908" s="2" t="inlineStr"/>
    </row>
    <row r="909">
      <c r="A909" t="inlineStr">
        <is>
          <t>E3</t>
        </is>
      </c>
      <c r="B909" t="inlineStr">
        <is>
          <t>Kubernetes</t>
        </is>
      </c>
      <c r="C909" t="inlineStr">
        <is>
          <t>OpenCost</t>
        </is>
      </c>
      <c r="D909" t="inlineStr">
        <is>
          <t>Automatizacion</t>
        </is>
      </c>
      <c r="E909" t="inlineStr">
        <is>
          <t>AU2</t>
        </is>
      </c>
      <c r="F909" s="2" t="inlineStr">
        <is>
          <t>¿Ofrece aprobación, reversión, registro o límites antes de actuar?</t>
        </is>
      </c>
      <c r="G909" t="inlineStr">
        <is>
          <t>NA</t>
        </is>
      </c>
      <c r="H909" t="inlineStr">
        <is>
          <t>Justificación de alcance</t>
        </is>
      </c>
      <c r="I909" s="2" t="inlineStr">
        <is>
          <t>Al no ejecutar acciones (ver AU1), no aplica evaluar salvaguardas de ejecución.</t>
        </is>
      </c>
      <c r="J909" t="inlineStr">
        <is>
          <t>https://github.com/opencost/opencost</t>
        </is>
      </c>
      <c r="K909" t="inlineStr">
        <is>
          <t>2026-09-16</t>
        </is>
      </c>
      <c r="L909" s="2" t="inlineStr"/>
    </row>
    <row r="910">
      <c r="A910" t="inlineStr">
        <is>
          <t>E3</t>
        </is>
      </c>
      <c r="B910" t="inlineStr">
        <is>
          <t>Kubernetes</t>
        </is>
      </c>
      <c r="C910" t="inlineStr">
        <is>
          <t>OpenCost</t>
        </is>
      </c>
      <c r="D910" t="inlineStr">
        <is>
          <t>Multicloud</t>
        </is>
      </c>
      <c r="E910" t="inlineStr">
        <is>
          <t>M1</t>
        </is>
      </c>
      <c r="F910" s="2" t="inlineStr">
        <is>
          <t>¿Consolida al menos dos proveedores bajo el mismo esquema declarado?</t>
        </is>
      </c>
      <c r="G910" t="n">
        <v>0</v>
      </c>
      <c r="H910" t="inlineStr">
        <is>
          <t>Oficial</t>
        </is>
      </c>
      <c r="I910" s="2" t="inlineStr">
        <is>
          <t>OpenCost mide el costo dentro de un clúster de Kubernetes; aunque usa las APIs de precio de AWS/Azure/GCP para valorar los recursos de ese clúster, no consolida gasto de cuentas/facturación de múltiples proveedores bajo un mismo esquema (esa función corresponde a las plataformas de la categoría Multicloud).</t>
        </is>
      </c>
      <c r="J910" t="inlineStr">
        <is>
          <t>https://github.com/opencost/opencost</t>
        </is>
      </c>
      <c r="K910" t="inlineStr">
        <is>
          <t>2026-09-16</t>
        </is>
      </c>
      <c r="L910" s="2" t="inlineStr"/>
    </row>
    <row r="911">
      <c r="A911" t="inlineStr">
        <is>
          <t>E3</t>
        </is>
      </c>
      <c r="B911" t="inlineStr">
        <is>
          <t>Kubernetes</t>
        </is>
      </c>
      <c r="C911" t="inlineStr">
        <is>
          <t>OpenCost</t>
        </is>
      </c>
      <c r="D911" t="inlineStr">
        <is>
          <t>Multicloud</t>
        </is>
      </c>
      <c r="E911" t="inlineStr">
        <is>
          <t>M2</t>
        </is>
      </c>
      <c r="F911" s="2" t="inlineStr">
        <is>
          <t>¿Hace visibles proveedor, cobertura y diferencias semánticas?</t>
        </is>
      </c>
      <c r="G911" t="n">
        <v>0</v>
      </c>
      <c r="H911" t="inlineStr">
        <is>
          <t>Oficial</t>
        </is>
      </c>
      <c r="I911" s="2" t="inlineStr">
        <is>
          <t>Mismo motivo que M1: no es una herramienta de consolidación multicloud de facturación.</t>
        </is>
      </c>
      <c r="J911" t="inlineStr">
        <is>
          <t>https://github.com/opencost/opencost</t>
        </is>
      </c>
      <c r="K911" t="inlineStr">
        <is>
          <t>2026-09-16</t>
        </is>
      </c>
      <c r="L911" s="2" t="inlineStr"/>
    </row>
    <row r="912">
      <c r="A912" t="inlineStr">
        <is>
          <t>E3</t>
        </is>
      </c>
      <c r="B912" t="inlineStr">
        <is>
          <t>Kubernetes</t>
        </is>
      </c>
      <c r="C912" t="inlineStr">
        <is>
          <t>OpenCost</t>
        </is>
      </c>
      <c r="D912" t="inlineStr">
        <is>
          <t>Integracion</t>
        </is>
      </c>
      <c r="E912" t="inlineStr">
        <is>
          <t>I1</t>
        </is>
      </c>
      <c r="F912" s="2" t="inlineStr">
        <is>
          <t>¿Integra datos requeridos (facturación, uso, clúster o IaC) del escenario?</t>
        </is>
      </c>
      <c r="G912" t="n">
        <v>2</v>
      </c>
      <c r="H912" t="inlineStr">
        <is>
          <t>Oficial</t>
        </is>
      </c>
      <c r="I912" s="2" t="inlineStr">
        <is>
          <t>Precio dinámico de activos mediante integraciones con las APIs de facturación de AWS, Azure y GCP, con soporte adicional para clústeres on-premises mediante hojas de precio personalizadas (CSV).</t>
        </is>
      </c>
      <c r="J912" t="inlineStr">
        <is>
          <t>https://github.com/opencost/opencost</t>
        </is>
      </c>
      <c r="K912" t="inlineStr">
        <is>
          <t>2026-09-16</t>
        </is>
      </c>
      <c r="L912" s="2" t="inlineStr"/>
    </row>
    <row r="913">
      <c r="A913" t="inlineStr">
        <is>
          <t>E3</t>
        </is>
      </c>
      <c r="B913" t="inlineStr">
        <is>
          <t>Kubernetes</t>
        </is>
      </c>
      <c r="C913" t="inlineStr">
        <is>
          <t>OpenCost</t>
        </is>
      </c>
      <c r="D913" t="inlineStr">
        <is>
          <t>Integracion</t>
        </is>
      </c>
      <c r="E913" t="inlineStr">
        <is>
          <t>I2</t>
        </is>
      </c>
      <c r="F913" s="2" t="inlineStr">
        <is>
          <t>¿Se integra con el flujo de trabajo relevante (alerta, ticket, CI/CD o reporte)?</t>
        </is>
      </c>
      <c r="G913" t="n">
        <v>2</v>
      </c>
      <c r="H913" t="inlineStr">
        <is>
          <t>Oficial</t>
        </is>
      </c>
      <c r="I913" s="2" t="inlineStr">
        <is>
          <t>Acceso mediante interfaz web, Cost APIs, plugin de kubectl (CLI) y exportador de métricas de Prometheus, integrándose al flujo de observabilidad existente del equipo.</t>
        </is>
      </c>
      <c r="J913" t="inlineStr">
        <is>
          <t>https://github.com/opencost/opencost</t>
        </is>
      </c>
      <c r="K913" t="inlineStr">
        <is>
          <t>2026-09-16</t>
        </is>
      </c>
      <c r="L913" s="2" t="inlineStr"/>
    </row>
    <row r="914">
      <c r="A914" t="inlineStr">
        <is>
          <t>E3</t>
        </is>
      </c>
      <c r="B914" t="inlineStr">
        <is>
          <t>Kubernetes</t>
        </is>
      </c>
      <c r="C914" t="inlineStr">
        <is>
          <t>OpenCost</t>
        </is>
      </c>
      <c r="D914" t="inlineStr">
        <is>
          <t>Adopcion</t>
        </is>
      </c>
      <c r="E914" t="inlineStr">
        <is>
          <t>AD1</t>
        </is>
      </c>
      <c r="F914" s="2" t="inlineStr">
        <is>
          <t>¿Soporta acceso/entrega para los roles del escenario?</t>
        </is>
      </c>
      <c r="G914" t="inlineStr">
        <is>
          <t>NE</t>
        </is>
      </c>
      <c r="H914" t="inlineStr">
        <is>
          <t>Pendiente</t>
        </is>
      </c>
      <c r="I914" s="2" t="inlineStr">
        <is>
          <t>No se encontró, en la documentación revisada, un modelo de roles/permisos propio del proyecto (es software open source autoalojado; el control de acceso depende de la infraestructura de Kubernetes del equipo).</t>
        </is>
      </c>
      <c r="K914" t="inlineStr">
        <is>
          <t>2026-09-16</t>
        </is>
      </c>
      <c r="L914" s="2" t="inlineStr"/>
    </row>
    <row r="915">
      <c r="A915" t="inlineStr">
        <is>
          <t>E3</t>
        </is>
      </c>
      <c r="B915" t="inlineStr">
        <is>
          <t>Kubernetes</t>
        </is>
      </c>
      <c r="C915" t="inlineStr">
        <is>
          <t>OpenCost</t>
        </is>
      </c>
      <c r="D915" t="inlineStr">
        <is>
          <t>Adopcion</t>
        </is>
      </c>
      <c r="E915" t="inlineStr">
        <is>
          <t>AD2</t>
        </is>
      </c>
      <c r="F915" s="2" t="inlineStr">
        <is>
          <t>¿Ofrece guías, ownership o mecanismos de seguimiento para uso sostenido?</t>
        </is>
      </c>
      <c r="G915" t="n">
        <v>1</v>
      </c>
      <c r="H915" t="inlineStr">
        <is>
          <t>Oficial</t>
        </is>
      </c>
      <c r="I915" s="2" t="inlineStr">
        <is>
          <t>El proyecto es "vendor-neutral" y de código abierto bajo Apache 2.0, con documentación pública, pero no se identificó un programa de adopción/gobernanza dedicado (a diferencia de productos comerciales con Customer Success).</t>
        </is>
      </c>
      <c r="J915" t="inlineStr">
        <is>
          <t>https://github.com/opencost/opencost</t>
        </is>
      </c>
      <c r="K915" t="inlineStr">
        <is>
          <t>2026-09-16</t>
        </is>
      </c>
      <c r="L915" s="2" t="inlineStr"/>
    </row>
    <row r="916">
      <c r="A916" t="inlineStr">
        <is>
          <t>E3</t>
        </is>
      </c>
      <c r="B916" t="inlineStr">
        <is>
          <t>Kubernetes</t>
        </is>
      </c>
      <c r="C916" t="inlineStr">
        <is>
          <t>OpenCost</t>
        </is>
      </c>
      <c r="D916" t="inlineStr">
        <is>
          <t>Precio</t>
        </is>
      </c>
      <c r="E916" t="inlineStr">
        <is>
          <t>P1</t>
        </is>
      </c>
      <c r="F916" s="2" t="inlineStr">
        <is>
          <t>¿Expone precio, moneda, región, unidad, período y supuestos relevantes?</t>
        </is>
      </c>
      <c r="G916" t="inlineStr">
        <is>
          <t>NE</t>
        </is>
      </c>
      <c r="H916" t="inlineStr">
        <is>
          <t>Pendiente</t>
        </is>
      </c>
      <c r="I916" s="2" t="inlineStr">
        <is>
          <t>OpenCost mide costo de recursos ya desplegados en el clúster; no expone transparencia de precio/supuestos de una estimación (esa función corresponde a herramientas de estimación temprana como Infracost).</t>
        </is>
      </c>
      <c r="J916" t="inlineStr">
        <is>
          <t>https://github.com/opencost/opencost</t>
        </is>
      </c>
      <c r="K916" t="inlineStr">
        <is>
          <t>2026-09-16</t>
        </is>
      </c>
      <c r="L916" s="2" t="inlineStr">
        <is>
          <t>Corrección de alcance FP-180 (2026-09-16): el valor pasa de NA a NE. La justificación NA reinterpreta P1 como estimación previa al despliegue; FP-177 define P1 como exposición de precio, moneda, región, unidad y supuestos, que sí tiene objeto para una herramienta de costo de clúster. Queda NE hasta investigarlo. La evidencia y la fuente originales no se modifican.</t>
        </is>
      </c>
    </row>
    <row r="917">
      <c r="A917" t="inlineStr">
        <is>
          <t>E3</t>
        </is>
      </c>
      <c r="B917" t="inlineStr">
        <is>
          <t>Kubernetes</t>
        </is>
      </c>
      <c r="C917" t="inlineStr">
        <is>
          <t>OpenCost</t>
        </is>
      </c>
      <c r="D917" t="inlineStr">
        <is>
          <t>Precio</t>
        </is>
      </c>
      <c r="E917" t="inlineStr">
        <is>
          <t>P2</t>
        </is>
      </c>
      <c r="F917" s="2" t="inlineStr">
        <is>
          <t>¿Permite estimar o comparar componentes sin ocultar límites de equivalencia?</t>
        </is>
      </c>
      <c r="G917" t="inlineStr">
        <is>
          <t>NE</t>
        </is>
      </c>
      <c r="H917" t="inlineStr">
        <is>
          <t>Pendiente</t>
        </is>
      </c>
      <c r="I917" s="2" t="inlineStr">
        <is>
          <t>Mismo motivo que P1: no es una herramienta de comparación/estimación de precio contextual.</t>
        </is>
      </c>
      <c r="J917" t="inlineStr">
        <is>
          <t>https://github.com/opencost/opencost</t>
        </is>
      </c>
      <c r="K917" t="inlineStr">
        <is>
          <t>2026-09-16</t>
        </is>
      </c>
      <c r="L917" s="2" t="inlineStr">
        <is>
          <t>Corrección de alcance FP-180 (2026-09-16): el valor pasa de NA a NE. Mismo motivo que P1: el indicador tiene objeto y no fue investigado. La evidencia y la fuente originales no se modifican.</t>
        </is>
      </c>
    </row>
    <row r="918">
      <c r="A918" t="inlineStr">
        <is>
          <t>E3</t>
        </is>
      </c>
      <c r="B918" t="inlineStr">
        <is>
          <t>Kubernetes</t>
        </is>
      </c>
      <c r="C918" t="inlineStr">
        <is>
          <t>OpenCost</t>
        </is>
      </c>
      <c r="D918" t="inlineStr">
        <is>
          <t>Dependencia</t>
        </is>
      </c>
      <c r="E918" t="inlineStr">
        <is>
          <t>D1</t>
        </is>
      </c>
      <c r="F918" s="2" t="inlineStr">
        <is>
          <t>¿Exporta datos/resultados en formato utilizable y documentado?</t>
        </is>
      </c>
      <c r="G918" t="n">
        <v>2</v>
      </c>
      <c r="H918" t="inlineStr">
        <is>
          <t>Oficial</t>
        </is>
      </c>
      <c r="I918" s="2" t="inlineStr">
        <is>
          <t>Exportación documentada vía endpoint /metrics de Prometheus, Cost APIs y CLI (kubectl cost), en formatos abiertos y reproducibles.</t>
        </is>
      </c>
      <c r="J918" t="inlineStr">
        <is>
          <t>https://github.com/opencost/opencost</t>
        </is>
      </c>
      <c r="K918" t="inlineStr">
        <is>
          <t>2026-09-16</t>
        </is>
      </c>
      <c r="L918" s="2" t="inlineStr"/>
    </row>
    <row r="919">
      <c r="A919" t="inlineStr">
        <is>
          <t>E3</t>
        </is>
      </c>
      <c r="B919" t="inlineStr">
        <is>
          <t>Kubernetes</t>
        </is>
      </c>
      <c r="C919" t="inlineStr">
        <is>
          <t>OpenCost</t>
        </is>
      </c>
      <c r="D919" t="inlineStr">
        <is>
          <t>Dependencia</t>
        </is>
      </c>
      <c r="E919" t="inlineStr">
        <is>
          <t>D2</t>
        </is>
      </c>
      <c r="F919" s="2" t="inlineStr">
        <is>
          <t>¿Documenta dependencias propietarias y un camino de salida/configuración reversible?</t>
        </is>
      </c>
      <c r="G919" t="n">
        <v>1</v>
      </c>
      <c r="H919" t="inlineStr">
        <is>
          <t>Oficial</t>
        </is>
      </c>
      <c r="I919" s="2" t="inlineStr">
        <is>
          <t>Al ser software open source autoalojado (Apache 2.0), el riesgo de acoplamiento es menor por diseño, pero no se encontró una guía de reversibilidad/salida dedicada.</t>
        </is>
      </c>
      <c r="J919" t="inlineStr">
        <is>
          <t>https://github.com/opencost/opencost</t>
        </is>
      </c>
      <c r="K919" t="inlineStr">
        <is>
          <t>2026-09-16</t>
        </is>
      </c>
      <c r="L919" s="2" t="inlineStr"/>
    </row>
    <row r="920">
      <c r="A920" t="inlineStr">
        <is>
          <t>E5</t>
        </is>
      </c>
      <c r="B920" t="inlineStr">
        <is>
          <t>Kubernetes</t>
        </is>
      </c>
      <c r="C920" t="inlineStr">
        <is>
          <t>OpenCost</t>
        </is>
      </c>
      <c r="D920" t="inlineStr">
        <is>
          <t>Visibilidad</t>
        </is>
      </c>
      <c r="E920" t="inlineStr">
        <is>
          <t>V1</t>
        </is>
      </c>
      <c r="F920" s="2" t="inlineStr">
        <is>
          <t>¿Desagrega costo y uso por cuenta/proyecto, servicio y período?</t>
        </is>
      </c>
      <c r="G920" t="n">
        <v>2</v>
      </c>
      <c r="H920" t="inlineStr">
        <is>
          <t>Oficial</t>
        </is>
      </c>
      <c r="I920" s="2" t="inlineStr">
        <is>
          <t>Asignación de costo en tiempo real por clúster, nodo, namespace, tipo de controlador, controlador, servicio o pod, con soporte multicloud vía integraciones con las APIs de facturación de AWS, Azure y GCP.</t>
        </is>
      </c>
      <c r="J920" t="inlineStr">
        <is>
          <t>https://github.com/opencost/opencost</t>
        </is>
      </c>
      <c r="K920" t="inlineStr">
        <is>
          <t>2026-09-16</t>
        </is>
      </c>
      <c r="L920" s="2" t="inlineStr">
        <is>
          <t>Celda heredada FP-180 (2026-09-16): el valor 2 proviene de la investigacion del escenario E3 y no cuenta con evidencia propia de E5. Segun FP-177 el indicador V1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21">
      <c r="A921" t="inlineStr">
        <is>
          <t>E5</t>
        </is>
      </c>
      <c r="B921" t="inlineStr">
        <is>
          <t>Kubernetes</t>
        </is>
      </c>
      <c r="C921" t="inlineStr">
        <is>
          <t>OpenCost</t>
        </is>
      </c>
      <c r="D921" t="inlineStr">
        <is>
          <t>Visibilidad</t>
        </is>
      </c>
      <c r="E921" t="inlineStr">
        <is>
          <t>V2</t>
        </is>
      </c>
      <c r="F921" s="2" t="inlineStr">
        <is>
          <t>¿Permite rastrear un total hasta registros o fuente de facturación?</t>
        </is>
      </c>
      <c r="G921" t="n">
        <v>1</v>
      </c>
      <c r="H921" t="inlineStr">
        <is>
          <t>Oficial</t>
        </is>
      </c>
      <c r="I921" s="2" t="inlineStr">
        <is>
          <t>El export a Prometheus (endpoint /metrics) permite rastrear el detalle de costo por recurso, pero no se documentó una reconciliación explícita con la factura del proveedor.</t>
        </is>
      </c>
      <c r="J921" t="inlineStr">
        <is>
          <t>https://github.com/opencost/opencost</t>
        </is>
      </c>
      <c r="K921" t="inlineStr">
        <is>
          <t>2026-09-16</t>
        </is>
      </c>
      <c r="L921" s="2" t="inlineStr"/>
    </row>
    <row r="922">
      <c r="A922" t="inlineStr">
        <is>
          <t>E5</t>
        </is>
      </c>
      <c r="B922" t="inlineStr">
        <is>
          <t>Kubernetes</t>
        </is>
      </c>
      <c r="C922" t="inlineStr">
        <is>
          <t>OpenCost</t>
        </is>
      </c>
      <c r="D922" t="inlineStr">
        <is>
          <t>Asignacion</t>
        </is>
      </c>
      <c r="E922" t="inlineStr">
        <is>
          <t>A1</t>
        </is>
      </c>
      <c r="F922" s="2" t="inlineStr">
        <is>
          <t>¿Calcula gasto asignado/no asignado por responsable, centro o entidad?</t>
        </is>
      </c>
      <c r="G922" t="n">
        <v>2</v>
      </c>
      <c r="H922" t="inlineStr">
        <is>
          <t>Oficial</t>
        </is>
      </c>
      <c r="I922" s="2" t="inlineStr">
        <is>
          <t>El costo idle puede repartirse o excluirse explícitamente entre los recursos, con configuración para incluir/excluir el costo no utilizado del cálculo por namespace/pod.</t>
        </is>
      </c>
      <c r="J922" t="inlineStr">
        <is>
          <t>https://github.com/opencost/opencost</t>
        </is>
      </c>
      <c r="K922" t="inlineStr">
        <is>
          <t>2026-09-16</t>
        </is>
      </c>
      <c r="L922" s="2" t="inlineStr">
        <is>
          <t>Celda heredada FP-180 (2026-09-16): el valor 2 proviene de la investigacion del escenario E3 y no cuenta con evidencia propia de E5. Segun FP-177 el indicador A1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23">
      <c r="A923" t="inlineStr">
        <is>
          <t>E5</t>
        </is>
      </c>
      <c r="B923" t="inlineStr">
        <is>
          <t>Kubernetes</t>
        </is>
      </c>
      <c r="C923" t="inlineStr">
        <is>
          <t>OpenCost</t>
        </is>
      </c>
      <c r="D923" t="inlineStr">
        <is>
          <t>Asignacion</t>
        </is>
      </c>
      <c r="E923" t="inlineStr">
        <is>
          <t>A2</t>
        </is>
      </c>
      <c r="F923" s="2" t="inlineStr">
        <is>
          <t>¿Explicita y aplica reglas para costo compartido/multi-tenant?</t>
        </is>
      </c>
      <c r="G923" t="inlineStr">
        <is>
          <t>NE</t>
        </is>
      </c>
      <c r="H923" t="inlineStr">
        <is>
          <t>Pendiente</t>
        </is>
      </c>
      <c r="I923" s="2" t="inlineStr">
        <is>
          <t>El reparto de costo idle es configurable (incluir/excluir), pero no se documentó un mecanismo de reparto porcentual de costo compartido más allá de esa función.</t>
        </is>
      </c>
      <c r="J923" t="inlineStr">
        <is>
          <t>https://github.com/opencost/opencost</t>
        </is>
      </c>
      <c r="K923" t="inlineStr">
        <is>
          <t>2026-09-16</t>
        </is>
      </c>
      <c r="L923" s="2" t="inlineStr">
        <is>
          <t>Celda heredada FP-180 (2026-09-16): el valor 1 proviene de la investigacion del escenario E3 y no cuenta con evidencia propia de E5. Segun FP-177 el indicador A2 depende del escenario, por lo que pasa a NE (no evidenciado, reduce cobertura) hasta investigarlo. La evidencia y la fuente originales se conservan como referencia del escenario de origen.</t>
        </is>
      </c>
    </row>
    <row r="924">
      <c r="A924" t="inlineStr">
        <is>
          <t>E5</t>
        </is>
      </c>
      <c r="B924" t="inlineStr">
        <is>
          <t>Kubernetes</t>
        </is>
      </c>
      <c r="C924" t="inlineStr">
        <is>
          <t>OpenCost</t>
        </is>
      </c>
      <c r="D924" t="inlineStr">
        <is>
          <t>Optimizacion</t>
        </is>
      </c>
      <c r="E924" t="inlineStr">
        <is>
          <t>O1</t>
        </is>
      </c>
      <c r="F924" s="2" t="inlineStr">
        <is>
          <t>¿Detecta desperdicio, rightsizing o compromiso relevante al escenario?</t>
        </is>
      </c>
      <c r="G924" t="n">
        <v>1</v>
      </c>
      <c r="H924" t="inlineStr">
        <is>
          <t>Oficial</t>
        </is>
      </c>
      <c r="I924" s="2" t="inlineStr">
        <is>
          <t>El proyecto declara ofrecer "rightsizing recommendations and cost savings analysis" para informar decisiones manuales de optimización; no se encontró más detalle específico por proveedor.</t>
        </is>
      </c>
      <c r="J924" t="inlineStr">
        <is>
          <t>https://github.com/opencost/opencost</t>
        </is>
      </c>
      <c r="K924" t="inlineStr">
        <is>
          <t>2026-09-16</t>
        </is>
      </c>
      <c r="L924" s="2" t="inlineStr">
        <is>
          <t>Celda heredada FP-180 (2026-09-16): el valor 1 proviene de la investigacion del escenario E3 y no cuenta con evidencia propia de E5. Segun FP-177 el indicador O1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25">
      <c r="A925" t="inlineStr">
        <is>
          <t>E5</t>
        </is>
      </c>
      <c r="B925" t="inlineStr">
        <is>
          <t>Kubernetes</t>
        </is>
      </c>
      <c r="C925" t="inlineStr">
        <is>
          <t>OpenCost</t>
        </is>
      </c>
      <c r="D925" t="inlineStr">
        <is>
          <t>Optimizacion</t>
        </is>
      </c>
      <c r="E925" t="inlineStr">
        <is>
          <t>O2</t>
        </is>
      </c>
      <c r="F925" s="2" t="inlineStr">
        <is>
          <t>¿Explica supuesto/impacto y permite seguir una recomendación?</t>
        </is>
      </c>
      <c r="G925" t="n">
        <v>0</v>
      </c>
      <c r="H925" t="inlineStr">
        <is>
          <t>Oficial (ausencia verificada)</t>
        </is>
      </c>
      <c r="I925" s="2" t="inlineStr">
        <is>
          <t>OpenCost funciona explícitamente como "herramienta de visibilidad y medición únicamente"; no ejecuta ni da seguimiento a un ciclo de realización de ahorro, por lo que no aplica evaluar seguimiento de una acción que no ejecuta.</t>
        </is>
      </c>
      <c r="J925" t="inlineStr">
        <is>
          <t>https://github.com/opencost/opencost</t>
        </is>
      </c>
      <c r="K925" t="inlineStr">
        <is>
          <t>2026-09-16</t>
        </is>
      </c>
      <c r="L92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926">
      <c r="A926" t="inlineStr">
        <is>
          <t>E5</t>
        </is>
      </c>
      <c r="B926" t="inlineStr">
        <is>
          <t>Kubernetes</t>
        </is>
      </c>
      <c r="C926" t="inlineStr">
        <is>
          <t>OpenCost</t>
        </is>
      </c>
      <c r="D926" t="inlineStr">
        <is>
          <t>Automatizacion</t>
        </is>
      </c>
      <c r="E926" t="inlineStr">
        <is>
          <t>AU1</t>
        </is>
      </c>
      <c r="F926" s="2" t="inlineStr">
        <is>
          <t>¿Ejecuta o bloquea acciones/políticas de costo con control verificable?</t>
        </is>
      </c>
      <c r="G926" t="n">
        <v>0</v>
      </c>
      <c r="H926" t="inlineStr">
        <is>
          <t>Oficial</t>
        </is>
      </c>
      <c r="I926" s="2" t="inlineStr">
        <is>
          <t>OpenCost es, según su propia documentación, una herramienta de visibilidad y medición únicamente: no ejecuta acciones ni controla recursos.</t>
        </is>
      </c>
      <c r="J926" t="inlineStr">
        <is>
          <t>https://github.com/opencost/opencost</t>
        </is>
      </c>
      <c r="K926" t="inlineStr">
        <is>
          <t>2026-09-16</t>
        </is>
      </c>
      <c r="L926" s="2" t="inlineStr">
        <is>
          <t>Celda heredada FP-180 (2026-09-16): el valor 0 proviene de la investigacion del escenario E3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27">
      <c r="A927" t="inlineStr">
        <is>
          <t>E5</t>
        </is>
      </c>
      <c r="B927" t="inlineStr">
        <is>
          <t>Kubernetes</t>
        </is>
      </c>
      <c r="C927" t="inlineStr">
        <is>
          <t>OpenCost</t>
        </is>
      </c>
      <c r="D927" t="inlineStr">
        <is>
          <t>Automatizacion</t>
        </is>
      </c>
      <c r="E927" t="inlineStr">
        <is>
          <t>AU2</t>
        </is>
      </c>
      <c r="F927" s="2" t="inlineStr">
        <is>
          <t>¿Ofrece aprobación, reversión, registro o límites antes de actuar?</t>
        </is>
      </c>
      <c r="G927" t="inlineStr">
        <is>
          <t>NA</t>
        </is>
      </c>
      <c r="H927" t="inlineStr">
        <is>
          <t>Justificación de alcance</t>
        </is>
      </c>
      <c r="I927" s="2" t="inlineStr">
        <is>
          <t>Al no ejecutar acciones (ver AU1), no aplica evaluar salvaguardas de ejecución.</t>
        </is>
      </c>
      <c r="J927" t="inlineStr">
        <is>
          <t>https://github.com/opencost/opencost</t>
        </is>
      </c>
      <c r="K927" t="inlineStr">
        <is>
          <t>2026-09-16</t>
        </is>
      </c>
      <c r="L927" s="2" t="inlineStr"/>
    </row>
    <row r="928">
      <c r="A928" t="inlineStr">
        <is>
          <t>E5</t>
        </is>
      </c>
      <c r="B928" t="inlineStr">
        <is>
          <t>Kubernetes</t>
        </is>
      </c>
      <c r="C928" t="inlineStr">
        <is>
          <t>OpenCost</t>
        </is>
      </c>
      <c r="D928" t="inlineStr">
        <is>
          <t>Multicloud</t>
        </is>
      </c>
      <c r="E928" t="inlineStr">
        <is>
          <t>M1</t>
        </is>
      </c>
      <c r="F928" s="2" t="inlineStr">
        <is>
          <t>¿Consolida al menos dos proveedores bajo el mismo esquema declarado?</t>
        </is>
      </c>
      <c r="G928" t="n">
        <v>0</v>
      </c>
      <c r="H928" t="inlineStr">
        <is>
          <t>Oficial</t>
        </is>
      </c>
      <c r="I928" s="2" t="inlineStr">
        <is>
          <t>OpenCost mide el costo dentro de un clúster de Kubernetes; aunque usa las APIs de precio de AWS/Azure/GCP para valorar los recursos de ese clúster, no consolida gasto de cuentas/facturación de múltiples proveedores bajo un mismo esquema (esa función corresponde a las plataformas de la categoría Multicloud).</t>
        </is>
      </c>
      <c r="J928" t="inlineStr">
        <is>
          <t>https://github.com/opencost/opencost</t>
        </is>
      </c>
      <c r="K928" t="inlineStr">
        <is>
          <t>2026-09-16</t>
        </is>
      </c>
      <c r="L928" s="2" t="inlineStr"/>
    </row>
    <row r="929">
      <c r="A929" t="inlineStr">
        <is>
          <t>E5</t>
        </is>
      </c>
      <c r="B929" t="inlineStr">
        <is>
          <t>Kubernetes</t>
        </is>
      </c>
      <c r="C929" t="inlineStr">
        <is>
          <t>OpenCost</t>
        </is>
      </c>
      <c r="D929" t="inlineStr">
        <is>
          <t>Multicloud</t>
        </is>
      </c>
      <c r="E929" t="inlineStr">
        <is>
          <t>M2</t>
        </is>
      </c>
      <c r="F929" s="2" t="inlineStr">
        <is>
          <t>¿Hace visibles proveedor, cobertura y diferencias semánticas?</t>
        </is>
      </c>
      <c r="G929" t="n">
        <v>0</v>
      </c>
      <c r="H929" t="inlineStr">
        <is>
          <t>Oficial</t>
        </is>
      </c>
      <c r="I929" s="2" t="inlineStr">
        <is>
          <t>Mismo motivo que M1: no es una herramienta de consolidación multicloud de facturación.</t>
        </is>
      </c>
      <c r="J929" t="inlineStr">
        <is>
          <t>https://github.com/opencost/opencost</t>
        </is>
      </c>
      <c r="K929" t="inlineStr">
        <is>
          <t>2026-09-16</t>
        </is>
      </c>
      <c r="L929" s="2" t="inlineStr"/>
    </row>
    <row r="930">
      <c r="A930" t="inlineStr">
        <is>
          <t>E5</t>
        </is>
      </c>
      <c r="B930" t="inlineStr">
        <is>
          <t>Kubernetes</t>
        </is>
      </c>
      <c r="C930" t="inlineStr">
        <is>
          <t>OpenCost</t>
        </is>
      </c>
      <c r="D930" t="inlineStr">
        <is>
          <t>Integracion</t>
        </is>
      </c>
      <c r="E930" t="inlineStr">
        <is>
          <t>I1</t>
        </is>
      </c>
      <c r="F930" s="2" t="inlineStr">
        <is>
          <t>¿Integra datos requeridos (facturación, uso, clúster o IaC) del escenario?</t>
        </is>
      </c>
      <c r="G930" t="n">
        <v>2</v>
      </c>
      <c r="H930" t="inlineStr">
        <is>
          <t>Oficial</t>
        </is>
      </c>
      <c r="I930" s="2" t="inlineStr">
        <is>
          <t>Precio dinámico de activos mediante integraciones con las APIs de facturación de AWS, Azure y GCP, con soporte adicional para clústeres on-premises mediante hojas de precio personalizadas (CSV).</t>
        </is>
      </c>
      <c r="J930" t="inlineStr">
        <is>
          <t>https://github.com/opencost/opencost</t>
        </is>
      </c>
      <c r="K930" t="inlineStr">
        <is>
          <t>2026-09-16</t>
        </is>
      </c>
      <c r="L930" s="2" t="inlineStr">
        <is>
          <t>Celda heredada FP-180 (2026-09-16): el valor 2 proviene de la investigacion del escenario E3 y no cuenta con evidencia propia de E5. Segun FP-177 el indicador I1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31">
      <c r="A931" t="inlineStr">
        <is>
          <t>E5</t>
        </is>
      </c>
      <c r="B931" t="inlineStr">
        <is>
          <t>Kubernetes</t>
        </is>
      </c>
      <c r="C931" t="inlineStr">
        <is>
          <t>OpenCost</t>
        </is>
      </c>
      <c r="D931" t="inlineStr">
        <is>
          <t>Integracion</t>
        </is>
      </c>
      <c r="E931" t="inlineStr">
        <is>
          <t>I2</t>
        </is>
      </c>
      <c r="F931" s="2" t="inlineStr">
        <is>
          <t>¿Se integra con el flujo de trabajo relevante (alerta, ticket, CI/CD o reporte)?</t>
        </is>
      </c>
      <c r="G931" t="n">
        <v>2</v>
      </c>
      <c r="H931" t="inlineStr">
        <is>
          <t>Oficial</t>
        </is>
      </c>
      <c r="I931" s="2" t="inlineStr">
        <is>
          <t>Acceso mediante interfaz web, Cost APIs, plugin de kubectl (CLI) y exportador de métricas de Prometheus, integrándose al flujo de observabilidad existente del equipo.</t>
        </is>
      </c>
      <c r="J931" t="inlineStr">
        <is>
          <t>https://github.com/opencost/opencost</t>
        </is>
      </c>
      <c r="K931" t="inlineStr">
        <is>
          <t>2026-09-16</t>
        </is>
      </c>
      <c r="L931" s="2" t="inlineStr">
        <is>
          <t>Celda heredada FP-180 (2026-09-16): el valor 2 proviene de la investigacion del escenario E3 y no cuenta con evidencia propia de E5. Segun FP-177 el indicador I2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32">
      <c r="A932" t="inlineStr">
        <is>
          <t>E5</t>
        </is>
      </c>
      <c r="B932" t="inlineStr">
        <is>
          <t>Kubernetes</t>
        </is>
      </c>
      <c r="C932" t="inlineStr">
        <is>
          <t>OpenCost</t>
        </is>
      </c>
      <c r="D932" t="inlineStr">
        <is>
          <t>Adopcion</t>
        </is>
      </c>
      <c r="E932" t="inlineStr">
        <is>
          <t>AD1</t>
        </is>
      </c>
      <c r="F932" s="2" t="inlineStr">
        <is>
          <t>¿Soporta acceso/entrega para los roles del escenario?</t>
        </is>
      </c>
      <c r="G932" t="inlineStr">
        <is>
          <t>NE</t>
        </is>
      </c>
      <c r="H932" t="inlineStr">
        <is>
          <t>Pendiente</t>
        </is>
      </c>
      <c r="I932" s="2" t="inlineStr">
        <is>
          <t>No se encontró, en la documentación revisada, un modelo de roles/permisos propio del proyecto (es software open source autoalojado; el control de acceso depende de la infraestructura de Kubernetes del equipo).</t>
        </is>
      </c>
      <c r="K932" t="inlineStr">
        <is>
          <t>2026-09-16</t>
        </is>
      </c>
      <c r="L932" s="2" t="inlineStr"/>
    </row>
    <row r="933">
      <c r="A933" t="inlineStr">
        <is>
          <t>E5</t>
        </is>
      </c>
      <c r="B933" t="inlineStr">
        <is>
          <t>Kubernetes</t>
        </is>
      </c>
      <c r="C933" t="inlineStr">
        <is>
          <t>OpenCost</t>
        </is>
      </c>
      <c r="D933" t="inlineStr">
        <is>
          <t>Adopcion</t>
        </is>
      </c>
      <c r="E933" t="inlineStr">
        <is>
          <t>AD2</t>
        </is>
      </c>
      <c r="F933" s="2" t="inlineStr">
        <is>
          <t>¿Ofrece guías, ownership o mecanismos de seguimiento para uso sostenido?</t>
        </is>
      </c>
      <c r="G933" t="n">
        <v>1</v>
      </c>
      <c r="H933" t="inlineStr">
        <is>
          <t>Oficial</t>
        </is>
      </c>
      <c r="I933" s="2" t="inlineStr">
        <is>
          <t>El proyecto es "vendor-neutral" y de código abierto bajo Apache 2.0, con documentación pública, pero no se identificó un programa de adopción/gobernanza dedicado (a diferencia de productos comerciales con Customer Success).</t>
        </is>
      </c>
      <c r="J933" t="inlineStr">
        <is>
          <t>https://github.com/opencost/opencost</t>
        </is>
      </c>
      <c r="K933" t="inlineStr">
        <is>
          <t>2026-09-16</t>
        </is>
      </c>
      <c r="L933" s="2" t="inlineStr"/>
    </row>
    <row r="934">
      <c r="A934" t="inlineStr">
        <is>
          <t>E5</t>
        </is>
      </c>
      <c r="B934" t="inlineStr">
        <is>
          <t>Kubernetes</t>
        </is>
      </c>
      <c r="C934" t="inlineStr">
        <is>
          <t>OpenCost</t>
        </is>
      </c>
      <c r="D934" t="inlineStr">
        <is>
          <t>Precio</t>
        </is>
      </c>
      <c r="E934" t="inlineStr">
        <is>
          <t>P1</t>
        </is>
      </c>
      <c r="F934" s="2" t="inlineStr">
        <is>
          <t>¿Expone precio, moneda, región, unidad, período y supuestos relevantes?</t>
        </is>
      </c>
      <c r="G934" t="inlineStr">
        <is>
          <t>NE</t>
        </is>
      </c>
      <c r="H934" t="inlineStr">
        <is>
          <t>Pendiente</t>
        </is>
      </c>
      <c r="I934" s="2" t="inlineStr">
        <is>
          <t>OpenCost mide costo de recursos ya desplegados en el clúster; no expone transparencia de precio/supuestos de una estimación (esa función corresponde a herramientas de estimación temprana como Infracost).</t>
        </is>
      </c>
      <c r="J934" t="inlineStr">
        <is>
          <t>https://github.com/opencost/opencost</t>
        </is>
      </c>
      <c r="K934" t="inlineStr">
        <is>
          <t>2026-09-16</t>
        </is>
      </c>
      <c r="L934" s="2" t="inlineStr">
        <is>
          <t>Corrección de alcance FP-180 (2026-09-16): el valor pasa de NA a NE. La justificación NA reinterpreta P1 como estimación previa al despliegue; FP-177 define P1 como exposición de precio, moneda, región, unidad y supuestos, que sí tiene objeto para una herramienta de costo de clúster. Queda NE hasta investigarlo. La evidencia y la fuente originales no se modifican.</t>
        </is>
      </c>
    </row>
    <row r="935">
      <c r="A935" t="inlineStr">
        <is>
          <t>E5</t>
        </is>
      </c>
      <c r="B935" t="inlineStr">
        <is>
          <t>Kubernetes</t>
        </is>
      </c>
      <c r="C935" t="inlineStr">
        <is>
          <t>OpenCost</t>
        </is>
      </c>
      <c r="D935" t="inlineStr">
        <is>
          <t>Precio</t>
        </is>
      </c>
      <c r="E935" t="inlineStr">
        <is>
          <t>P2</t>
        </is>
      </c>
      <c r="F935" s="2" t="inlineStr">
        <is>
          <t>¿Permite estimar o comparar componentes sin ocultar límites de equivalencia?</t>
        </is>
      </c>
      <c r="G935" t="inlineStr">
        <is>
          <t>NE</t>
        </is>
      </c>
      <c r="H935" t="inlineStr">
        <is>
          <t>Pendiente</t>
        </is>
      </c>
      <c r="I935" s="2" t="inlineStr">
        <is>
          <t>Mismo motivo que P1: no es una herramienta de comparación/estimación de precio contextual.</t>
        </is>
      </c>
      <c r="J935" t="inlineStr">
        <is>
          <t>https://github.com/opencost/opencost</t>
        </is>
      </c>
      <c r="K935" t="inlineStr">
        <is>
          <t>2026-09-16</t>
        </is>
      </c>
      <c r="L935" s="2" t="inlineStr">
        <is>
          <t>Corrección de alcance FP-180 (2026-09-16): el valor pasa de NA a NE. Mismo motivo que P1: el indicador tiene objeto y no fue investigado. La evidencia y la fuente originales no se modifican.</t>
        </is>
      </c>
    </row>
    <row r="936">
      <c r="A936" t="inlineStr">
        <is>
          <t>E5</t>
        </is>
      </c>
      <c r="B936" t="inlineStr">
        <is>
          <t>Kubernetes</t>
        </is>
      </c>
      <c r="C936" t="inlineStr">
        <is>
          <t>OpenCost</t>
        </is>
      </c>
      <c r="D936" t="inlineStr">
        <is>
          <t>Dependencia</t>
        </is>
      </c>
      <c r="E936" t="inlineStr">
        <is>
          <t>D1</t>
        </is>
      </c>
      <c r="F936" s="2" t="inlineStr">
        <is>
          <t>¿Exporta datos/resultados en formato utilizable y documentado?</t>
        </is>
      </c>
      <c r="G936" t="n">
        <v>2</v>
      </c>
      <c r="H936" t="inlineStr">
        <is>
          <t>Oficial</t>
        </is>
      </c>
      <c r="I936" s="2" t="inlineStr">
        <is>
          <t>Exportación documentada vía endpoint /metrics de Prometheus, Cost APIs y CLI (kubectl cost), en formatos abiertos y reproducibles.</t>
        </is>
      </c>
      <c r="J936" t="inlineStr">
        <is>
          <t>https://github.com/opencost/opencost</t>
        </is>
      </c>
      <c r="K936" t="inlineStr">
        <is>
          <t>2026-09-16</t>
        </is>
      </c>
      <c r="L936" s="2" t="inlineStr"/>
    </row>
    <row r="937">
      <c r="A937" t="inlineStr">
        <is>
          <t>E5</t>
        </is>
      </c>
      <c r="B937" t="inlineStr">
        <is>
          <t>Kubernetes</t>
        </is>
      </c>
      <c r="C937" t="inlineStr">
        <is>
          <t>OpenCost</t>
        </is>
      </c>
      <c r="D937" t="inlineStr">
        <is>
          <t>Dependencia</t>
        </is>
      </c>
      <c r="E937" t="inlineStr">
        <is>
          <t>D2</t>
        </is>
      </c>
      <c r="F937" s="2" t="inlineStr">
        <is>
          <t>¿Documenta dependencias propietarias y un camino de salida/configuración reversible?</t>
        </is>
      </c>
      <c r="G937" t="n">
        <v>1</v>
      </c>
      <c r="H937" t="inlineStr">
        <is>
          <t>Oficial</t>
        </is>
      </c>
      <c r="I937" s="2" t="inlineStr">
        <is>
          <t>Al ser software open source autoalojado (Apache 2.0), el riesgo de acoplamiento es menor por diseño, pero no se encontró una guía de reversibilidad/salida dedicada.</t>
        </is>
      </c>
      <c r="J937" t="inlineStr">
        <is>
          <t>https://github.com/opencost/opencost</t>
        </is>
      </c>
      <c r="K937" t="inlineStr">
        <is>
          <t>2026-09-16</t>
        </is>
      </c>
      <c r="L937" s="2" t="inlineStr"/>
    </row>
    <row r="938">
      <c r="A938" t="inlineStr">
        <is>
          <t>E3</t>
        </is>
      </c>
      <c r="B938" t="inlineStr">
        <is>
          <t>Kubernetes</t>
        </is>
      </c>
      <c r="C938" t="inlineStr">
        <is>
          <t>Kubecost</t>
        </is>
      </c>
      <c r="D938" t="inlineStr">
        <is>
          <t>Visibilidad</t>
        </is>
      </c>
      <c r="E938" t="inlineStr">
        <is>
          <t>V1</t>
        </is>
      </c>
      <c r="F938" s="2" t="inlineStr">
        <is>
          <t>¿Desagrega costo y uso por cuenta/proyecto, servicio y período?</t>
        </is>
      </c>
      <c r="G938" t="n">
        <v>2</v>
      </c>
      <c r="H938" t="inlineStr">
        <is>
          <t>Oficial</t>
        </is>
      </c>
      <c r="I938" s="2" t="inlineStr">
        <is>
          <t>Asignación de costo en tiempo real por Service, Deployment, Namespace, label, StatefulSet, DaemonSet, Pod y contenedor ("Allocation view"), con desglose de CPU, memoria, volúmenes persistentes y red.</t>
        </is>
      </c>
      <c r="J938" t="inlineStr">
        <is>
          <t>https://kubecost.github.io/cost-analyzer/</t>
        </is>
      </c>
      <c r="K938" t="inlineStr">
        <is>
          <t>2026-09-16</t>
        </is>
      </c>
      <c r="L938" s="2" t="inlineStr"/>
    </row>
    <row r="939">
      <c r="A939" t="inlineStr">
        <is>
          <t>E3</t>
        </is>
      </c>
      <c r="B939" t="inlineStr">
        <is>
          <t>Kubernetes</t>
        </is>
      </c>
      <c r="C939" t="inlineStr">
        <is>
          <t>Kubecost</t>
        </is>
      </c>
      <c r="D939" t="inlineStr">
        <is>
          <t>Visibilidad</t>
        </is>
      </c>
      <c r="E939" t="inlineStr">
        <is>
          <t>V2</t>
        </is>
      </c>
      <c r="F939" s="2" t="inlineStr">
        <is>
          <t>¿Permite rastrear un total hasta registros o fuente de facturación?</t>
        </is>
      </c>
      <c r="G939" t="n">
        <v>1</v>
      </c>
      <c r="H939" t="inlineStr">
        <is>
          <t>Oficial</t>
        </is>
      </c>
      <c r="I939" s="2" t="inlineStr">
        <is>
          <t>Se conecta con Microsoft Cost Export y la Azure Billing Rate Card API para AKS, lo que sugiere una vía de reconciliación con la facturación real, pero no se documentó el detalle específico de esa reconciliación.</t>
        </is>
      </c>
      <c r="J939" t="inlineStr">
        <is>
          <t>https://learn.microsoft.com/en-us/azure/cloud-adoption-framework/scenarios/app-platform/aks/cost-governance-with-kubecost</t>
        </is>
      </c>
      <c r="K939" t="inlineStr">
        <is>
          <t>2026-09-16</t>
        </is>
      </c>
      <c r="L939" s="2" t="inlineStr"/>
    </row>
    <row r="940">
      <c r="A940" t="inlineStr">
        <is>
          <t>E3</t>
        </is>
      </c>
      <c r="B940" t="inlineStr">
        <is>
          <t>Kubernetes</t>
        </is>
      </c>
      <c r="C940" t="inlineStr">
        <is>
          <t>Kubecost</t>
        </is>
      </c>
      <c r="D940" t="inlineStr">
        <is>
          <t>Asignacion</t>
        </is>
      </c>
      <c r="E940" t="inlineStr">
        <is>
          <t>A1</t>
        </is>
      </c>
      <c r="F940" s="2" t="inlineStr">
        <is>
          <t>¿Calcula gasto asignado/no asignado por responsable, centro o entidad?</t>
        </is>
      </c>
      <c r="G940" t="n">
        <v>2</v>
      </c>
      <c r="H940" t="inlineStr">
        <is>
          <t>Oficial</t>
        </is>
      </c>
      <c r="I940" s="2" t="inlineStr">
        <is>
          <t>El alcance de asignación es configurable a nivel de deployment, servicio, label, pod o namespace, habilitando explícitamente showback y chargeback a los usuarios del clúster.</t>
        </is>
      </c>
      <c r="J940" t="inlineStr">
        <is>
          <t>https://learn.microsoft.com/en-us/azure/cloud-adoption-framework/scenarios/app-platform/aks/cost-governance-with-kubecost</t>
        </is>
      </c>
      <c r="K940" t="inlineStr">
        <is>
          <t>2026-09-16</t>
        </is>
      </c>
      <c r="L940" s="2" t="inlineStr"/>
    </row>
    <row r="941">
      <c r="A941" t="inlineStr">
        <is>
          <t>E3</t>
        </is>
      </c>
      <c r="B941" t="inlineStr">
        <is>
          <t>Kubernetes</t>
        </is>
      </c>
      <c r="C941" t="inlineStr">
        <is>
          <t>Kubecost</t>
        </is>
      </c>
      <c r="D941" t="inlineStr">
        <is>
          <t>Asignacion</t>
        </is>
      </c>
      <c r="E941" t="inlineStr">
        <is>
          <t>A2</t>
        </is>
      </c>
      <c r="F941" s="2" t="inlineStr">
        <is>
          <t>¿Explicita y aplica reglas para costo compartido/multi-tenant?</t>
        </is>
      </c>
      <c r="G941" t="n">
        <v>1</v>
      </c>
      <c r="H941" t="inlineStr">
        <is>
          <t>Oficial</t>
        </is>
      </c>
      <c r="I941" s="2" t="inlineStr">
        <is>
          <t>La asignación por label/namespace permite repartir costo compartido de un clúster entre equipos, pero no se documentó un mecanismo de reparto porcentual explícito para recursos compartidos entre namespaces.</t>
        </is>
      </c>
      <c r="J941" t="inlineStr">
        <is>
          <t>https://learn.microsoft.com/en-us/azure/cloud-adoption-framework/scenarios/app-platform/aks/cost-governance-with-kubecost</t>
        </is>
      </c>
      <c r="K941" t="inlineStr">
        <is>
          <t>2026-09-16</t>
        </is>
      </c>
      <c r="L941" s="2" t="inlineStr"/>
    </row>
    <row r="942">
      <c r="A942" t="inlineStr">
        <is>
          <t>E3</t>
        </is>
      </c>
      <c r="B942" t="inlineStr">
        <is>
          <t>Kubernetes</t>
        </is>
      </c>
      <c r="C942" t="inlineStr">
        <is>
          <t>Kubecost</t>
        </is>
      </c>
      <c r="D942" t="inlineStr">
        <is>
          <t>Optimizacion</t>
        </is>
      </c>
      <c r="E942" t="inlineStr">
        <is>
          <t>O1</t>
        </is>
      </c>
      <c r="F942" s="2" t="inlineStr">
        <is>
          <t>¿Detecta desperdicio, rightsizing o compromiso relevante al escenario?</t>
        </is>
      </c>
      <c r="G942" t="n">
        <v>2</v>
      </c>
      <c r="H942" t="inlineStr">
        <is>
          <t>Oficial</t>
        </is>
      </c>
      <c r="I942" s="2" t="inlineStr">
        <is>
          <t>La vista "Savings" identifica nodos/pods subutilizados, recursos abandonados y solicitudes sobreaprovisionadas ("overprovisioned requests"), con datos de precio dinámico de AWS/Azure/GCP.</t>
        </is>
      </c>
      <c r="J942" t="inlineStr">
        <is>
          <t>https://learn.microsoft.com/en-us/azure/cloud-adoption-framework/scenarios/app-platform/aks/cost-governance-with-kubecost</t>
        </is>
      </c>
      <c r="K942" t="inlineStr">
        <is>
          <t>2026-09-16</t>
        </is>
      </c>
      <c r="L942" s="2" t="inlineStr"/>
    </row>
    <row r="943">
      <c r="A943" t="inlineStr">
        <is>
          <t>E3</t>
        </is>
      </c>
      <c r="B943" t="inlineStr">
        <is>
          <t>Kubernetes</t>
        </is>
      </c>
      <c r="C943" t="inlineStr">
        <is>
          <t>Kubecost</t>
        </is>
      </c>
      <c r="D943" t="inlineStr">
        <is>
          <t>Optimizacion</t>
        </is>
      </c>
      <c r="E943" t="inlineStr">
        <is>
          <t>O2</t>
        </is>
      </c>
      <c r="F943" s="2" t="inlineStr">
        <is>
          <t>¿Explica supuesto/impacto y permite seguir una recomendación?</t>
        </is>
      </c>
      <c r="G943" t="n">
        <v>1</v>
      </c>
      <c r="H943" t="inlineStr">
        <is>
          <t>Oficial</t>
        </is>
      </c>
      <c r="I943" s="2" t="inlineStr">
        <is>
          <t>La vista de eficiencia de costo y savings muestra el hallazgo (recurso subutilizado/abandonado/sobreaprovisionado), pero la documentación revisada no describe un ciclo de seguimiento del estado de la recomendación tras aplicarla.</t>
        </is>
      </c>
      <c r="J943" t="inlineStr">
        <is>
          <t>https://learn.microsoft.com/en-us/azure/cloud-adoption-framework/scenarios/app-platform/aks/cost-governance-with-kubecost</t>
        </is>
      </c>
      <c r="K943" t="inlineStr">
        <is>
          <t>2026-09-16</t>
        </is>
      </c>
      <c r="L943" s="2" t="inlineStr"/>
    </row>
    <row r="944">
      <c r="A944" t="inlineStr">
        <is>
          <t>E3</t>
        </is>
      </c>
      <c r="B944" t="inlineStr">
        <is>
          <t>Kubernetes</t>
        </is>
      </c>
      <c r="C944" t="inlineStr">
        <is>
          <t>Kubecost</t>
        </is>
      </c>
      <c r="D944" t="inlineStr">
        <is>
          <t>Automatizacion</t>
        </is>
      </c>
      <c r="E944" t="inlineStr">
        <is>
          <t>AU1</t>
        </is>
      </c>
      <c r="F944" s="2" t="inlineStr">
        <is>
          <t>¿Ejecuta o bloquea acciones/políticas de costo con control verificable?</t>
        </is>
      </c>
      <c r="G944" t="n">
        <v>2</v>
      </c>
      <c r="H944" t="inlineStr">
        <is>
          <t>Oficial</t>
        </is>
      </c>
      <c r="I944" s="2" t="inlineStr">
        <is>
          <t>El Cluster Controller ejecuta el redimensionamiento, no solo lo recomienda: la Apply API «is available at /cluster/requestsizer/plan and expects a POST request with a body identical to a response from the Plan API», y la interfaz ofrece el boton «Automatically implement recommendations» para aplicar las recomendaciones de request sizing.</t>
        </is>
      </c>
      <c r="J944" t="inlineStr">
        <is>
          <t>https://docs.kubecost.com/apis/apis/api-request-recommendation-apply ; https://docs.kubecost.com/using-kubecost/getting-started/guide-one-click-request-sizing</t>
        </is>
      </c>
      <c r="K944" t="inlineStr">
        <is>
          <t>2026-09-16</t>
        </is>
      </c>
      <c r="L944" s="2" t="inlineStr">
        <is>
          <t>Investigacion propia de E3 (2026-09-16): celda verificada contra las entradas y salidas del escenario de Kubernetes.</t>
        </is>
      </c>
    </row>
    <row r="945">
      <c r="A945" t="inlineStr">
        <is>
          <t>E3</t>
        </is>
      </c>
      <c r="B945" t="inlineStr">
        <is>
          <t>Kubernetes</t>
        </is>
      </c>
      <c r="C945" t="inlineStr">
        <is>
          <t>Kubecost</t>
        </is>
      </c>
      <c r="D945" t="inlineStr">
        <is>
          <t>Automatizacion</t>
        </is>
      </c>
      <c r="E945" t="inlineStr">
        <is>
          <t>AU2</t>
        </is>
      </c>
      <c r="F945" s="2" t="inlineStr">
        <is>
          <t>¿Ofrece aprobación, reversión, registro o límites antes de actuar?</t>
        </is>
      </c>
      <c r="G945" t="n">
        <v>2</v>
      </c>
      <c r="H945" t="inlineStr">
        <is>
          <t>Oficial</t>
        </is>
      </c>
      <c r="I945" s="2" t="inlineStr">
        <is>
          <t>La salvaguarda esta documentada como limite duro de la propia API: «The Apply APIs only 'size down', meaning they will never increase container requests, only lower them». El alcance de la automatizacion tambien se declara: soporta Deployments, DaemonSets, StatefulSets y ReplicaSets, y «do not support clusters other than the 'local' cluster».</t>
        </is>
      </c>
      <c r="J945" t="inlineStr">
        <is>
          <t>https://docs.kubecost.com/apis/apis/api-request-recommendation-apply</t>
        </is>
      </c>
      <c r="K945" t="inlineStr">
        <is>
          <t>2026-09-16</t>
        </is>
      </c>
      <c r="L945" s="2" t="inlineStr">
        <is>
          <t>Investigacion propia de E3 (2026-09-16): celda verificada contra las entradas y salidas del escenario de Kubernetes.</t>
        </is>
      </c>
    </row>
    <row r="946">
      <c r="A946" t="inlineStr">
        <is>
          <t>E3</t>
        </is>
      </c>
      <c r="B946" t="inlineStr">
        <is>
          <t>Kubernetes</t>
        </is>
      </c>
      <c r="C946" t="inlineStr">
        <is>
          <t>Kubecost</t>
        </is>
      </c>
      <c r="D946" t="inlineStr">
        <is>
          <t>Multicloud</t>
        </is>
      </c>
      <c r="E946" t="inlineStr">
        <is>
          <t>M1</t>
        </is>
      </c>
      <c r="F946" s="2" t="inlineStr">
        <is>
          <t>¿Consolida al menos dos proveedores bajo el mismo esquema declarado?</t>
        </is>
      </c>
      <c r="G946" t="n">
        <v>0</v>
      </c>
      <c r="H946" t="inlineStr">
        <is>
          <t>Oficial</t>
        </is>
      </c>
      <c r="I946" s="2" t="inlineStr">
        <is>
          <t>Kubecost mide costo dentro de clústeres de Kubernetes usando precio dinámico de AWS/Azure/GCP para valorar esos recursos; no consolida gasto de cuentas/facturación completas de múltiples proveedores fuera del clúster (esa función corresponde a la categoría Multicloud).</t>
        </is>
      </c>
      <c r="J946" t="inlineStr">
        <is>
          <t>https://kubecost.github.io/cost-analyzer/</t>
        </is>
      </c>
      <c r="K946" t="inlineStr">
        <is>
          <t>2026-09-16</t>
        </is>
      </c>
      <c r="L946" s="2" t="inlineStr"/>
    </row>
    <row r="947">
      <c r="A947" t="inlineStr">
        <is>
          <t>E3</t>
        </is>
      </c>
      <c r="B947" t="inlineStr">
        <is>
          <t>Kubernetes</t>
        </is>
      </c>
      <c r="C947" t="inlineStr">
        <is>
          <t>Kubecost</t>
        </is>
      </c>
      <c r="D947" t="inlineStr">
        <is>
          <t>Multicloud</t>
        </is>
      </c>
      <c r="E947" t="inlineStr">
        <is>
          <t>M2</t>
        </is>
      </c>
      <c r="F947" s="2" t="inlineStr">
        <is>
          <t>¿Hace visibles proveedor, cobertura y diferencias semánticas?</t>
        </is>
      </c>
      <c r="G947" t="n">
        <v>0</v>
      </c>
      <c r="H947" t="inlineStr">
        <is>
          <t>Oficial</t>
        </is>
      </c>
      <c r="I947" s="2" t="inlineStr">
        <is>
          <t>Mismo motivo que M1.</t>
        </is>
      </c>
      <c r="J947" t="inlineStr">
        <is>
          <t>https://kubecost.github.io/cost-analyzer/</t>
        </is>
      </c>
      <c r="K947" t="inlineStr">
        <is>
          <t>2026-09-16</t>
        </is>
      </c>
      <c r="L947" s="2" t="inlineStr"/>
    </row>
    <row r="948">
      <c r="A948" t="inlineStr">
        <is>
          <t>E3</t>
        </is>
      </c>
      <c r="B948" t="inlineStr">
        <is>
          <t>Kubernetes</t>
        </is>
      </c>
      <c r="C948" t="inlineStr">
        <is>
          <t>Kubecost</t>
        </is>
      </c>
      <c r="D948" t="inlineStr">
        <is>
          <t>Integracion</t>
        </is>
      </c>
      <c r="E948" t="inlineStr">
        <is>
          <t>I1</t>
        </is>
      </c>
      <c r="F948" s="2" t="inlineStr">
        <is>
          <t>¿Integra datos requeridos (facturación, uso, clúster o IaC) del escenario?</t>
        </is>
      </c>
      <c r="G948" t="n">
        <v>2</v>
      </c>
      <c r="H948" t="inlineStr">
        <is>
          <t>Oficial</t>
        </is>
      </c>
      <c r="I948" s="2" t="inlineStr">
        <is>
          <t>Precio dinámico habilitado por integraciones con las APIs de facturación de AWS, Azure y GCP, con soporte de clústeres on-premises mediante hojas de precio personalizadas, y asignación de recursos fuera del clúster (RDS, S3).</t>
        </is>
      </c>
      <c r="J948" t="inlineStr">
        <is>
          <t>https://kubecost.github.io/cost-analyzer/</t>
        </is>
      </c>
      <c r="K948" t="inlineStr">
        <is>
          <t>2026-09-16</t>
        </is>
      </c>
      <c r="L948" s="2" t="inlineStr"/>
    </row>
    <row r="949">
      <c r="A949" t="inlineStr">
        <is>
          <t>E3</t>
        </is>
      </c>
      <c r="B949" t="inlineStr">
        <is>
          <t>Kubernetes</t>
        </is>
      </c>
      <c r="C949" t="inlineStr">
        <is>
          <t>Kubecost</t>
        </is>
      </c>
      <c r="D949" t="inlineStr">
        <is>
          <t>Integracion</t>
        </is>
      </c>
      <c r="E949" t="inlineStr">
        <is>
          <t>I2</t>
        </is>
      </c>
      <c r="F949" s="2" t="inlineStr">
        <is>
          <t>¿Se integra con el flujo de trabajo relevante (alerta, ticket, CI/CD o reporte)?</t>
        </is>
      </c>
      <c r="G949" t="n">
        <v>2</v>
      </c>
      <c r="H949" t="inlineStr">
        <is>
          <t>Oficial</t>
        </is>
      </c>
      <c r="I949" s="2" t="inlineStr">
        <is>
          <t>Acceso mediante interfaz de usuario, Cost APIs, plugin de kubectl (CLI) y exportador de métricas de Prometheus.</t>
        </is>
      </c>
      <c r="J949" t="inlineStr">
        <is>
          <t>https://kubecost.github.io/cost-analyzer/</t>
        </is>
      </c>
      <c r="K949" t="inlineStr">
        <is>
          <t>2026-09-16</t>
        </is>
      </c>
      <c r="L949" s="2" t="inlineStr"/>
    </row>
    <row r="950">
      <c r="A950" t="inlineStr">
        <is>
          <t>E3</t>
        </is>
      </c>
      <c r="B950" t="inlineStr">
        <is>
          <t>Kubernetes</t>
        </is>
      </c>
      <c r="C950" t="inlineStr">
        <is>
          <t>Kubecost</t>
        </is>
      </c>
      <c r="D950" t="inlineStr">
        <is>
          <t>Adopcion</t>
        </is>
      </c>
      <c r="E950" t="inlineStr">
        <is>
          <t>AD1</t>
        </is>
      </c>
      <c r="F950" s="2" t="inlineStr">
        <is>
          <t>¿Soporta acceso/entrega para los roles del escenario?</t>
        </is>
      </c>
      <c r="G950" t="n">
        <v>2</v>
      </c>
      <c r="H950" t="inlineStr">
        <is>
          <t>Oficial</t>
        </is>
      </c>
      <c r="I950" s="2" t="inlineStr">
        <is>
          <t>El acceso por rol esta documentado con proveedores de identidad externos: la documentacion cubre integracion SAML con Microsoft Entra ID y Okta, e integracion OIDC con RBAC, donde los roles se adjuntan «to users and groups within your identity provider» mediante claims, incluyendo un rol «readonly» para acceso de solo lectura.</t>
        </is>
      </c>
      <c r="J950" t="inlineStr">
        <is>
          <t>https://docs.kubecost.com/install-and-configure/advanced-configuration/user-management-saml ; https://docs.kubecost.com/install-and-configure/advanced-configuration/user-management-oidc/microsoft-entra-id-oidc-integration-for-kubecost</t>
        </is>
      </c>
      <c r="K950" t="inlineStr">
        <is>
          <t>2026-09-16</t>
        </is>
      </c>
      <c r="L950" s="2" t="inlineStr">
        <is>
          <t>Investigacion propia de E3 (2026-09-16): celda verificada contra las entradas y salidas del escenario de Kubernetes.</t>
        </is>
      </c>
    </row>
    <row r="951">
      <c r="A951" t="inlineStr">
        <is>
          <t>E3</t>
        </is>
      </c>
      <c r="B951" t="inlineStr">
        <is>
          <t>Kubernetes</t>
        </is>
      </c>
      <c r="C951" t="inlineStr">
        <is>
          <t>Kubecost</t>
        </is>
      </c>
      <c r="D951" t="inlineStr">
        <is>
          <t>Adopcion</t>
        </is>
      </c>
      <c r="E951" t="inlineStr">
        <is>
          <t>AD2</t>
        </is>
      </c>
      <c r="F951" s="2" t="inlineStr">
        <is>
          <t>¿Ofrece guías, ownership o mecanismos de seguimiento para uso sostenido?</t>
        </is>
      </c>
      <c r="G951" t="inlineStr">
        <is>
          <t>NE</t>
        </is>
      </c>
      <c r="H951" t="inlineStr">
        <is>
          <t>Pendiente</t>
        </is>
      </c>
      <c r="I951" s="2" t="inlineStr">
        <is>
          <t>No se encontró, en la documentación revisada, una guía de adopción/gobernanza dedicada más allá de la documentación general del producto.</t>
        </is>
      </c>
      <c r="K951" t="inlineStr">
        <is>
          <t>2026-09-16</t>
        </is>
      </c>
      <c r="L951" s="2" t="inlineStr"/>
    </row>
    <row r="952">
      <c r="A952" t="inlineStr">
        <is>
          <t>E3</t>
        </is>
      </c>
      <c r="B952" t="inlineStr">
        <is>
          <t>Kubernetes</t>
        </is>
      </c>
      <c r="C952" t="inlineStr">
        <is>
          <t>Kubecost</t>
        </is>
      </c>
      <c r="D952" t="inlineStr">
        <is>
          <t>Precio</t>
        </is>
      </c>
      <c r="E952" t="inlineStr">
        <is>
          <t>P1</t>
        </is>
      </c>
      <c r="F952" s="2" t="inlineStr">
        <is>
          <t>¿Expone precio, moneda, región, unidad, período y supuestos relevantes?</t>
        </is>
      </c>
      <c r="G952" t="inlineStr">
        <is>
          <t>NE</t>
        </is>
      </c>
      <c r="H952" t="inlineStr">
        <is>
          <t>Pendiente</t>
        </is>
      </c>
      <c r="I952" s="2" t="inlineStr">
        <is>
          <t>Kubecost mide costo de recursos ya desplegados en el clúster; no expone transparencia de precio/supuestos de una estimación previa al despliegue.</t>
        </is>
      </c>
      <c r="J952" t="inlineStr">
        <is>
          <t>https://kubecost.github.io/cost-analyzer/</t>
        </is>
      </c>
      <c r="K952" t="inlineStr">
        <is>
          <t>2026-09-16</t>
        </is>
      </c>
      <c r="L952" s="2" t="inlineStr">
        <is>
          <t>Corrección de alcance FP-180 (2026-09-16): el valor pasa de NA a NE. La justificación NA reinterpreta P1 como estimación previa al despliegue; el indicador tiene objeto y no fue investigado. La evidencia y la fuente originales no se modifican.</t>
        </is>
      </c>
    </row>
    <row r="953">
      <c r="A953" t="inlineStr">
        <is>
          <t>E3</t>
        </is>
      </c>
      <c r="B953" t="inlineStr">
        <is>
          <t>Kubernetes</t>
        </is>
      </c>
      <c r="C953" t="inlineStr">
        <is>
          <t>Kubecost</t>
        </is>
      </c>
      <c r="D953" t="inlineStr">
        <is>
          <t>Precio</t>
        </is>
      </c>
      <c r="E953" t="inlineStr">
        <is>
          <t>P2</t>
        </is>
      </c>
      <c r="F953" s="2" t="inlineStr">
        <is>
          <t>¿Permite estimar o comparar componentes sin ocultar límites de equivalencia?</t>
        </is>
      </c>
      <c r="G953" t="inlineStr">
        <is>
          <t>NE</t>
        </is>
      </c>
      <c r="H953" t="inlineStr">
        <is>
          <t>Pendiente</t>
        </is>
      </c>
      <c r="I953" s="2" t="inlineStr">
        <is>
          <t>Mismo motivo que P1.</t>
        </is>
      </c>
      <c r="J953" t="inlineStr">
        <is>
          <t>https://kubecost.github.io/cost-analyzer/</t>
        </is>
      </c>
      <c r="K953" t="inlineStr">
        <is>
          <t>2026-09-16</t>
        </is>
      </c>
      <c r="L953" s="2" t="inlineStr">
        <is>
          <t>Corrección de alcance FP-180 (2026-09-16): el valor pasa de NA a NE. Mismo motivo que P1. La evidencia y la fuente originales no se modifican.</t>
        </is>
      </c>
    </row>
    <row r="954">
      <c r="A954" t="inlineStr">
        <is>
          <t>E3</t>
        </is>
      </c>
      <c r="B954" t="inlineStr">
        <is>
          <t>Kubernetes</t>
        </is>
      </c>
      <c r="C954" t="inlineStr">
        <is>
          <t>Kubecost</t>
        </is>
      </c>
      <c r="D954" t="inlineStr">
        <is>
          <t>Dependencia</t>
        </is>
      </c>
      <c r="E954" t="inlineStr">
        <is>
          <t>D1</t>
        </is>
      </c>
      <c r="F954" s="2" t="inlineStr">
        <is>
          <t>¿Exporta datos/resultados en formato utilizable y documentado?</t>
        </is>
      </c>
      <c r="G954" t="n">
        <v>2</v>
      </c>
      <c r="H954" t="inlineStr">
        <is>
          <t>Oficial</t>
        </is>
      </c>
      <c r="I954" s="2" t="inlineStr">
        <is>
          <t>Exportación documentada vía Cost APIs, plugin de kubectl (CLI) y exportador de métricas de Prometheus, en formatos abiertos y reproducibles.</t>
        </is>
      </c>
      <c r="J954" t="inlineStr">
        <is>
          <t>https://kubecost.github.io/cost-analyzer/</t>
        </is>
      </c>
      <c r="K954" t="inlineStr">
        <is>
          <t>2026-09-16</t>
        </is>
      </c>
      <c r="L954" s="2" t="inlineStr"/>
    </row>
    <row r="955">
      <c r="A955" t="inlineStr">
        <is>
          <t>E3</t>
        </is>
      </c>
      <c r="B955" t="inlineStr">
        <is>
          <t>Kubernetes</t>
        </is>
      </c>
      <c r="C955" t="inlineStr">
        <is>
          <t>Kubecost</t>
        </is>
      </c>
      <c r="D955" t="inlineStr">
        <is>
          <t>Dependencia</t>
        </is>
      </c>
      <c r="E955" t="inlineStr">
        <is>
          <t>D2</t>
        </is>
      </c>
      <c r="F955" s="2" t="inlineStr">
        <is>
          <t>¿Documenta dependencias propietarias y un camino de salida/configuración reversible?</t>
        </is>
      </c>
      <c r="G955" t="n">
        <v>2</v>
      </c>
      <c r="H955" t="inlineStr">
        <is>
          <t>Oficial</t>
        </is>
      </c>
      <c r="I955" s="2" t="inlineStr">
        <is>
          <t>El camino de salida y la reversibilidad estan documentados, algo infrecuente en la poblacion: los respaldos de ETL «are executed by customers in their own environment» y los datos «can be downloaded to local disk using automated or manual backup methods», de modo que el historico queda en poder del cliente. La desinstalacion tambien esta descrita: la remocion manual se hace borrando el namespace de Kubecost. El producto se despliega por Helm dentro del propio cluster, lo que acota la dependencia de infraestructura del proveedor.</t>
        </is>
      </c>
      <c r="J955" t="inlineStr">
        <is>
          <t>https://docs.kubecost.com/1.0x/install-and-configure/install/etl-backup ; https://docs.kubecost.com/1.0x/troubleshooting/troubleshoot-install</t>
        </is>
      </c>
      <c r="K955" t="inlineStr">
        <is>
          <t>2026-09-16</t>
        </is>
      </c>
      <c r="L955" s="2" t="inlineStr">
        <is>
          <t>Investigacion propia de E3 (2026-09-16): celda verificada contra las entradas y salidas del escenario de Kubernetes.</t>
        </is>
      </c>
    </row>
    <row r="956">
      <c r="A956" t="inlineStr">
        <is>
          <t>E5</t>
        </is>
      </c>
      <c r="B956" t="inlineStr">
        <is>
          <t>Kubernetes</t>
        </is>
      </c>
      <c r="C956" t="inlineStr">
        <is>
          <t>Kubecost</t>
        </is>
      </c>
      <c r="D956" t="inlineStr">
        <is>
          <t>Visibilidad</t>
        </is>
      </c>
      <c r="E956" t="inlineStr">
        <is>
          <t>V1</t>
        </is>
      </c>
      <c r="F956" s="2" t="inlineStr">
        <is>
          <t>¿Desagrega costo y uso por cuenta/proyecto, servicio y período?</t>
        </is>
      </c>
      <c r="G956" t="n">
        <v>2</v>
      </c>
      <c r="H956" t="inlineStr">
        <is>
          <t>Oficial</t>
        </is>
      </c>
      <c r="I956" s="2" t="inlineStr">
        <is>
          <t>Asignación de costo en tiempo real por Service, Deployment, Namespace, label, StatefulSet, DaemonSet, Pod y contenedor ("Allocation view"), con desglose de CPU, memoria, volúmenes persistentes y red.</t>
        </is>
      </c>
      <c r="J956" t="inlineStr">
        <is>
          <t>https://kubecost.github.io/cost-analyzer/</t>
        </is>
      </c>
      <c r="K956" t="inlineStr">
        <is>
          <t>2026-09-16</t>
        </is>
      </c>
      <c r="L956" s="2" t="inlineStr">
        <is>
          <t>Celda heredada FP-180 (2026-09-16): el valor 2 proviene de la investigacion del escenario E3 y no cuenta con evidencia propia de E5. Segun FP-177 el indicador V1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57">
      <c r="A957" t="inlineStr">
        <is>
          <t>E5</t>
        </is>
      </c>
      <c r="B957" t="inlineStr">
        <is>
          <t>Kubernetes</t>
        </is>
      </c>
      <c r="C957" t="inlineStr">
        <is>
          <t>Kubecost</t>
        </is>
      </c>
      <c r="D957" t="inlineStr">
        <is>
          <t>Visibilidad</t>
        </is>
      </c>
      <c r="E957" t="inlineStr">
        <is>
          <t>V2</t>
        </is>
      </c>
      <c r="F957" s="2" t="inlineStr">
        <is>
          <t>¿Permite rastrear un total hasta registros o fuente de facturación?</t>
        </is>
      </c>
      <c r="G957" t="n">
        <v>1</v>
      </c>
      <c r="H957" t="inlineStr">
        <is>
          <t>Oficial</t>
        </is>
      </c>
      <c r="I957" s="2" t="inlineStr">
        <is>
          <t>Se conecta con Microsoft Cost Export y la Azure Billing Rate Card API para AKS, lo que sugiere una vía de reconciliación con la facturación real, pero no se documentó el detalle específico de esa reconciliación.</t>
        </is>
      </c>
      <c r="J957" t="inlineStr">
        <is>
          <t>https://learn.microsoft.com/en-us/azure/cloud-adoption-framework/scenarios/app-platform/aks/cost-governance-with-kubecost</t>
        </is>
      </c>
      <c r="K957" t="inlineStr">
        <is>
          <t>2026-09-16</t>
        </is>
      </c>
      <c r="L957" s="2" t="inlineStr"/>
    </row>
    <row r="958">
      <c r="A958" t="inlineStr">
        <is>
          <t>E5</t>
        </is>
      </c>
      <c r="B958" t="inlineStr">
        <is>
          <t>Kubernetes</t>
        </is>
      </c>
      <c r="C958" t="inlineStr">
        <is>
          <t>Kubecost</t>
        </is>
      </c>
      <c r="D958" t="inlineStr">
        <is>
          <t>Asignacion</t>
        </is>
      </c>
      <c r="E958" t="inlineStr">
        <is>
          <t>A1</t>
        </is>
      </c>
      <c r="F958" s="2" t="inlineStr">
        <is>
          <t>¿Calcula gasto asignado/no asignado por responsable, centro o entidad?</t>
        </is>
      </c>
      <c r="G958" t="n">
        <v>2</v>
      </c>
      <c r="H958" t="inlineStr">
        <is>
          <t>Oficial</t>
        </is>
      </c>
      <c r="I958" s="2" t="inlineStr">
        <is>
          <t>El alcance de asignación es configurable a nivel de deployment, servicio, label, pod o namespace, habilitando explícitamente showback y chargeback a los usuarios del clúster.</t>
        </is>
      </c>
      <c r="J958" t="inlineStr">
        <is>
          <t>https://learn.microsoft.com/en-us/azure/cloud-adoption-framework/scenarios/app-platform/aks/cost-governance-with-kubecost</t>
        </is>
      </c>
      <c r="K958" t="inlineStr">
        <is>
          <t>2026-09-16</t>
        </is>
      </c>
      <c r="L958" s="2" t="inlineStr">
        <is>
          <t>Celda heredada FP-180 (2026-09-16): el valor 2 proviene de la investigacion del escenario E3 y no cuenta con evidencia propia de E5. Segun FP-177 el indicador A1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59">
      <c r="A959" t="inlineStr">
        <is>
          <t>E5</t>
        </is>
      </c>
      <c r="B959" t="inlineStr">
        <is>
          <t>Kubernetes</t>
        </is>
      </c>
      <c r="C959" t="inlineStr">
        <is>
          <t>Kubecost</t>
        </is>
      </c>
      <c r="D959" t="inlineStr">
        <is>
          <t>Asignacion</t>
        </is>
      </c>
      <c r="E959" t="inlineStr">
        <is>
          <t>A2</t>
        </is>
      </c>
      <c r="F959" s="2" t="inlineStr">
        <is>
          <t>¿Explicita y aplica reglas para costo compartido/multi-tenant?</t>
        </is>
      </c>
      <c r="G959" t="inlineStr">
        <is>
          <t>NE</t>
        </is>
      </c>
      <c r="H959" t="inlineStr">
        <is>
          <t>Pendiente</t>
        </is>
      </c>
      <c r="I959" s="2" t="inlineStr">
        <is>
          <t>La asignación por label/namespace permite repartir costo compartido de un clúster entre equipos, pero no se documentó un mecanismo de reparto porcentual explícito para recursos compartidos entre namespaces.</t>
        </is>
      </c>
      <c r="J959" t="inlineStr">
        <is>
          <t>https://learn.microsoft.com/en-us/azure/cloud-adoption-framework/scenarios/app-platform/aks/cost-governance-with-kubecost</t>
        </is>
      </c>
      <c r="K959" t="inlineStr">
        <is>
          <t>2026-09-16</t>
        </is>
      </c>
      <c r="L959" s="2" t="inlineStr">
        <is>
          <t>Celda heredada FP-180 (2026-09-16): el valor 1 proviene de la investigacion del escenario E3 y no cuenta con evidencia propia de E5. Segun FP-177 el indicador A2 depende del escenario, por lo que pasa a NE (no evidenciado, reduce cobertura) hasta investigarlo. La evidencia y la fuente originales se conservan como referencia del escenario de origen.</t>
        </is>
      </c>
    </row>
    <row r="960">
      <c r="A960" t="inlineStr">
        <is>
          <t>E5</t>
        </is>
      </c>
      <c r="B960" t="inlineStr">
        <is>
          <t>Kubernetes</t>
        </is>
      </c>
      <c r="C960" t="inlineStr">
        <is>
          <t>Kubecost</t>
        </is>
      </c>
      <c r="D960" t="inlineStr">
        <is>
          <t>Optimizacion</t>
        </is>
      </c>
      <c r="E960" t="inlineStr">
        <is>
          <t>O1</t>
        </is>
      </c>
      <c r="F960" s="2" t="inlineStr">
        <is>
          <t>¿Detecta desperdicio, rightsizing o compromiso relevante al escenario?</t>
        </is>
      </c>
      <c r="G960" t="n">
        <v>2</v>
      </c>
      <c r="H960" t="inlineStr">
        <is>
          <t>Oficial</t>
        </is>
      </c>
      <c r="I960" s="2" t="inlineStr">
        <is>
          <t>La vista "Savings" identifica nodos/pods subutilizados, recursos abandonados y solicitudes sobreaprovisionadas ("overprovisioned requests"), con datos de precio dinámico de AWS/Azure/GCP.</t>
        </is>
      </c>
      <c r="J960" t="inlineStr">
        <is>
          <t>https://learn.microsoft.com/en-us/azure/cloud-adoption-framework/scenarios/app-platform/aks/cost-governance-with-kubecost</t>
        </is>
      </c>
      <c r="K960" t="inlineStr">
        <is>
          <t>2026-09-16</t>
        </is>
      </c>
      <c r="L960" s="2" t="inlineStr">
        <is>
          <t>Celda heredada FP-180 (2026-09-16): el valor 2 proviene de la investigacion del escenario E3 y no cuenta con evidencia propia de E5. Segun FP-177 el indicador O1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61">
      <c r="A961" t="inlineStr">
        <is>
          <t>E5</t>
        </is>
      </c>
      <c r="B961" t="inlineStr">
        <is>
          <t>Kubernetes</t>
        </is>
      </c>
      <c r="C961" t="inlineStr">
        <is>
          <t>Kubecost</t>
        </is>
      </c>
      <c r="D961" t="inlineStr">
        <is>
          <t>Optimizacion</t>
        </is>
      </c>
      <c r="E961" t="inlineStr">
        <is>
          <t>O2</t>
        </is>
      </c>
      <c r="F961" s="2" t="inlineStr">
        <is>
          <t>¿Explica supuesto/impacto y permite seguir una recomendación?</t>
        </is>
      </c>
      <c r="G961" t="n">
        <v>1</v>
      </c>
      <c r="H961" t="inlineStr">
        <is>
          <t>Oficial</t>
        </is>
      </c>
      <c r="I961" s="2" t="inlineStr">
        <is>
          <t>La vista de eficiencia de costo y savings muestra el hallazgo (recurso subutilizado/abandonado/sobreaprovisionado), pero la documentación revisada no describe un ciclo de seguimiento del estado de la recomendación tras aplicarla.</t>
        </is>
      </c>
      <c r="J961" t="inlineStr">
        <is>
          <t>https://learn.microsoft.com/en-us/azure/cloud-adoption-framework/scenarios/app-platform/aks/cost-governance-with-kubecost</t>
        </is>
      </c>
      <c r="K961" t="inlineStr">
        <is>
          <t>2026-09-16</t>
        </is>
      </c>
      <c r="L961" s="2" t="inlineStr"/>
    </row>
    <row r="962">
      <c r="A962" t="inlineStr">
        <is>
          <t>E5</t>
        </is>
      </c>
      <c r="B962" t="inlineStr">
        <is>
          <t>Kubernetes</t>
        </is>
      </c>
      <c r="C962" t="inlineStr">
        <is>
          <t>Kubecost</t>
        </is>
      </c>
      <c r="D962" t="inlineStr">
        <is>
          <t>Automatizacion</t>
        </is>
      </c>
      <c r="E962" t="inlineStr">
        <is>
          <t>AU1</t>
        </is>
      </c>
      <c r="F962" s="2" t="inlineStr">
        <is>
          <t>¿Ejecuta o bloquea acciones/políticas de costo con control verificable?</t>
        </is>
      </c>
      <c r="G962" t="n">
        <v>2</v>
      </c>
      <c r="H962" t="inlineStr">
        <is>
          <t>Oficial</t>
        </is>
      </c>
      <c r="I962" s="2" t="inlineStr">
        <is>
          <t>El Cluster Controller ejecuta el redimensionamiento, no solo lo recomienda: la Apply API «is available at /cluster/requestsizer/plan and expects a POST request with a body identical to a response from the Plan API», y la interfaz ofrece el boton «Automatically implement recommendations» para aplicar las recomendaciones de request sizing.</t>
        </is>
      </c>
      <c r="J962" t="inlineStr">
        <is>
          <t>https://docs.kubecost.com/apis/apis/api-request-recommendation-apply ; https://docs.kubecost.com/using-kubecost/getting-started/guide-one-click-request-sizing</t>
        </is>
      </c>
      <c r="K962" t="inlineStr">
        <is>
          <t>2026-09-16</t>
        </is>
      </c>
      <c r="L962" s="2" t="inlineStr">
        <is>
          <t>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63">
      <c r="A963" t="inlineStr">
        <is>
          <t>E5</t>
        </is>
      </c>
      <c r="B963" t="inlineStr">
        <is>
          <t>Kubernetes</t>
        </is>
      </c>
      <c r="C963" t="inlineStr">
        <is>
          <t>Kubecost</t>
        </is>
      </c>
      <c r="D963" t="inlineStr">
        <is>
          <t>Automatizacion</t>
        </is>
      </c>
      <c r="E963" t="inlineStr">
        <is>
          <t>AU2</t>
        </is>
      </c>
      <c r="F963" s="2" t="inlineStr">
        <is>
          <t>¿Ofrece aprobación, reversión, registro o límites antes de actuar?</t>
        </is>
      </c>
      <c r="G963" t="inlineStr">
        <is>
          <t>NE</t>
        </is>
      </c>
      <c r="H963" t="inlineStr">
        <is>
          <t>Pendiente</t>
        </is>
      </c>
      <c r="I963" s="2" t="inlineStr">
        <is>
          <t>Mismo motivo que AU1: evidencia insuficiente sobre el mecanismo de ejecución como para evaluar sus salvaguardas.</t>
        </is>
      </c>
      <c r="K963" t="inlineStr">
        <is>
          <t>2026-09-16</t>
        </is>
      </c>
      <c r="L963" s="2" t="inlineStr"/>
    </row>
    <row r="964">
      <c r="A964" t="inlineStr">
        <is>
          <t>E5</t>
        </is>
      </c>
      <c r="B964" t="inlineStr">
        <is>
          <t>Kubernetes</t>
        </is>
      </c>
      <c r="C964" t="inlineStr">
        <is>
          <t>Kubecost</t>
        </is>
      </c>
      <c r="D964" t="inlineStr">
        <is>
          <t>Multicloud</t>
        </is>
      </c>
      <c r="E964" t="inlineStr">
        <is>
          <t>M1</t>
        </is>
      </c>
      <c r="F964" s="2" t="inlineStr">
        <is>
          <t>¿Consolida al menos dos proveedores bajo el mismo esquema declarado?</t>
        </is>
      </c>
      <c r="G964" t="n">
        <v>0</v>
      </c>
      <c r="H964" t="inlineStr">
        <is>
          <t>Oficial</t>
        </is>
      </c>
      <c r="I964" s="2" t="inlineStr">
        <is>
          <t>Kubecost mide costo dentro de clústeres de Kubernetes usando precio dinámico de AWS/Azure/GCP para valorar esos recursos; no consolida gasto de cuentas/facturación completas de múltiples proveedores fuera del clúster (esa función corresponde a la categoría Multicloud).</t>
        </is>
      </c>
      <c r="J964" t="inlineStr">
        <is>
          <t>https://kubecost.github.io/cost-analyzer/</t>
        </is>
      </c>
      <c r="K964" t="inlineStr">
        <is>
          <t>2026-09-16</t>
        </is>
      </c>
      <c r="L964" s="2" t="inlineStr"/>
    </row>
    <row r="965">
      <c r="A965" t="inlineStr">
        <is>
          <t>E5</t>
        </is>
      </c>
      <c r="B965" t="inlineStr">
        <is>
          <t>Kubernetes</t>
        </is>
      </c>
      <c r="C965" t="inlineStr">
        <is>
          <t>Kubecost</t>
        </is>
      </c>
      <c r="D965" t="inlineStr">
        <is>
          <t>Multicloud</t>
        </is>
      </c>
      <c r="E965" t="inlineStr">
        <is>
          <t>M2</t>
        </is>
      </c>
      <c r="F965" s="2" t="inlineStr">
        <is>
          <t>¿Hace visibles proveedor, cobertura y diferencias semánticas?</t>
        </is>
      </c>
      <c r="G965" t="n">
        <v>0</v>
      </c>
      <c r="H965" t="inlineStr">
        <is>
          <t>Oficial</t>
        </is>
      </c>
      <c r="I965" s="2" t="inlineStr">
        <is>
          <t>Mismo motivo que M1.</t>
        </is>
      </c>
      <c r="J965" t="inlineStr">
        <is>
          <t>https://kubecost.github.io/cost-analyzer/</t>
        </is>
      </c>
      <c r="K965" t="inlineStr">
        <is>
          <t>2026-09-16</t>
        </is>
      </c>
      <c r="L965" s="2" t="inlineStr"/>
    </row>
    <row r="966">
      <c r="A966" t="inlineStr">
        <is>
          <t>E5</t>
        </is>
      </c>
      <c r="B966" t="inlineStr">
        <is>
          <t>Kubernetes</t>
        </is>
      </c>
      <c r="C966" t="inlineStr">
        <is>
          <t>Kubecost</t>
        </is>
      </c>
      <c r="D966" t="inlineStr">
        <is>
          <t>Integracion</t>
        </is>
      </c>
      <c r="E966" t="inlineStr">
        <is>
          <t>I1</t>
        </is>
      </c>
      <c r="F966" s="2" t="inlineStr">
        <is>
          <t>¿Integra datos requeridos (facturación, uso, clúster o IaC) del escenario?</t>
        </is>
      </c>
      <c r="G966" t="n">
        <v>2</v>
      </c>
      <c r="H966" t="inlineStr">
        <is>
          <t>Oficial</t>
        </is>
      </c>
      <c r="I966" s="2" t="inlineStr">
        <is>
          <t>Precio dinámico habilitado por integraciones con las APIs de facturación de AWS, Azure y GCP, con soporte de clústeres on-premises mediante hojas de precio personalizadas, y asignación de recursos fuera del clúster (RDS, S3).</t>
        </is>
      </c>
      <c r="J966" t="inlineStr">
        <is>
          <t>https://kubecost.github.io/cost-analyzer/</t>
        </is>
      </c>
      <c r="K966" t="inlineStr">
        <is>
          <t>2026-09-16</t>
        </is>
      </c>
      <c r="L966" s="2" t="inlineStr">
        <is>
          <t>Celda heredada FP-180 (2026-09-16): el valor 2 proviene de la investigacion del escenario E3 y no cuenta con evidencia propia de E5. Segun FP-177 el indicador I1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67">
      <c r="A967" t="inlineStr">
        <is>
          <t>E5</t>
        </is>
      </c>
      <c r="B967" t="inlineStr">
        <is>
          <t>Kubernetes</t>
        </is>
      </c>
      <c r="C967" t="inlineStr">
        <is>
          <t>Kubecost</t>
        </is>
      </c>
      <c r="D967" t="inlineStr">
        <is>
          <t>Integracion</t>
        </is>
      </c>
      <c r="E967" t="inlineStr">
        <is>
          <t>I2</t>
        </is>
      </c>
      <c r="F967" s="2" t="inlineStr">
        <is>
          <t>¿Se integra con el flujo de trabajo relevante (alerta, ticket, CI/CD o reporte)?</t>
        </is>
      </c>
      <c r="G967" t="n">
        <v>2</v>
      </c>
      <c r="H967" t="inlineStr">
        <is>
          <t>Oficial</t>
        </is>
      </c>
      <c r="I967" s="2" t="inlineStr">
        <is>
          <t>Acceso mediante interfaz de usuario, Cost APIs, plugin de kubectl (CLI) y exportador de métricas de Prometheus.</t>
        </is>
      </c>
      <c r="J967" t="inlineStr">
        <is>
          <t>https://kubecost.github.io/cost-analyzer/</t>
        </is>
      </c>
      <c r="K967" t="inlineStr">
        <is>
          <t>2026-09-16</t>
        </is>
      </c>
      <c r="L967" s="2" t="inlineStr">
        <is>
          <t>Celda heredada FP-180 (2026-09-16): el valor 2 proviene de la investigacion del escenario E3 y no cuenta con evidencia propia de E5. Segun FP-177 el indicador I2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68">
      <c r="A968" t="inlineStr">
        <is>
          <t>E5</t>
        </is>
      </c>
      <c r="B968" t="inlineStr">
        <is>
          <t>Kubernetes</t>
        </is>
      </c>
      <c r="C968" t="inlineStr">
        <is>
          <t>Kubecost</t>
        </is>
      </c>
      <c r="D968" t="inlineStr">
        <is>
          <t>Adopcion</t>
        </is>
      </c>
      <c r="E968" t="inlineStr">
        <is>
          <t>AD1</t>
        </is>
      </c>
      <c r="F968" s="2" t="inlineStr">
        <is>
          <t>¿Soporta acceso/entrega para los roles del escenario?</t>
        </is>
      </c>
      <c r="G968" t="n">
        <v>2</v>
      </c>
      <c r="H968" t="inlineStr">
        <is>
          <t>Oficial</t>
        </is>
      </c>
      <c r="I968" s="2" t="inlineStr">
        <is>
          <t>El acceso por rol esta documentado con proveedores de identidad externos: la documentacion cubre integracion SAML con Microsoft Entra ID y Okta, e integracion OIDC con RBAC, donde los roles se adjuntan «to users and groups within your identity provider» mediante claims, incluyendo un rol «readonly» para acceso de solo lectura.</t>
        </is>
      </c>
      <c r="J968" t="inlineStr">
        <is>
          <t>https://docs.kubecost.com/install-and-configure/advanced-configuration/user-management-saml ; https://docs.kubecost.com/install-and-configure/advanced-configuration/user-management-oidc/microsoft-entra-id-oidc-integration-for-kubecost</t>
        </is>
      </c>
      <c r="K968" t="inlineStr">
        <is>
          <t>2026-09-16</t>
        </is>
      </c>
      <c r="L968" s="2" t="inlineStr">
        <is>
          <t>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69">
      <c r="A969" t="inlineStr">
        <is>
          <t>E5</t>
        </is>
      </c>
      <c r="B969" t="inlineStr">
        <is>
          <t>Kubernetes</t>
        </is>
      </c>
      <c r="C969" t="inlineStr">
        <is>
          <t>Kubecost</t>
        </is>
      </c>
      <c r="D969" t="inlineStr">
        <is>
          <t>Adopcion</t>
        </is>
      </c>
      <c r="E969" t="inlineStr">
        <is>
          <t>AD2</t>
        </is>
      </c>
      <c r="F969" s="2" t="inlineStr">
        <is>
          <t>¿Ofrece guías, ownership o mecanismos de seguimiento para uso sostenido?</t>
        </is>
      </c>
      <c r="G969" t="inlineStr">
        <is>
          <t>NE</t>
        </is>
      </c>
      <c r="H969" t="inlineStr">
        <is>
          <t>Pendiente</t>
        </is>
      </c>
      <c r="I969" s="2" t="inlineStr">
        <is>
          <t>No se encontró, en la documentación revisada, una guía de adopción/gobernanza dedicada más allá de la documentación general del producto.</t>
        </is>
      </c>
      <c r="K969" t="inlineStr">
        <is>
          <t>2026-09-16</t>
        </is>
      </c>
      <c r="L969" s="2" t="inlineStr"/>
    </row>
    <row r="970">
      <c r="A970" t="inlineStr">
        <is>
          <t>E5</t>
        </is>
      </c>
      <c r="B970" t="inlineStr">
        <is>
          <t>Kubernetes</t>
        </is>
      </c>
      <c r="C970" t="inlineStr">
        <is>
          <t>Kubecost</t>
        </is>
      </c>
      <c r="D970" t="inlineStr">
        <is>
          <t>Precio</t>
        </is>
      </c>
      <c r="E970" t="inlineStr">
        <is>
          <t>P1</t>
        </is>
      </c>
      <c r="F970" s="2" t="inlineStr">
        <is>
          <t>¿Expone precio, moneda, región, unidad, período y supuestos relevantes?</t>
        </is>
      </c>
      <c r="G970" t="inlineStr">
        <is>
          <t>NE</t>
        </is>
      </c>
      <c r="H970" t="inlineStr">
        <is>
          <t>Pendiente</t>
        </is>
      </c>
      <c r="I970" s="2" t="inlineStr">
        <is>
          <t>Kubecost mide costo de recursos ya desplegados en el clúster; no expone transparencia de precio/supuestos de una estimación previa al despliegue.</t>
        </is>
      </c>
      <c r="J970" t="inlineStr">
        <is>
          <t>https://kubecost.github.io/cost-analyzer/</t>
        </is>
      </c>
      <c r="K970" t="inlineStr">
        <is>
          <t>2026-09-16</t>
        </is>
      </c>
      <c r="L970" s="2" t="inlineStr">
        <is>
          <t>Corrección de alcance FP-180 (2026-09-16): el valor pasa de NA a NE. La justificación NA reinterpreta P1 como estimación previa al despliegue; el indicador tiene objeto y no fue investigado. La evidencia y la fuente originales no se modifican.</t>
        </is>
      </c>
    </row>
    <row r="971">
      <c r="A971" t="inlineStr">
        <is>
          <t>E5</t>
        </is>
      </c>
      <c r="B971" t="inlineStr">
        <is>
          <t>Kubernetes</t>
        </is>
      </c>
      <c r="C971" t="inlineStr">
        <is>
          <t>Kubecost</t>
        </is>
      </c>
      <c r="D971" t="inlineStr">
        <is>
          <t>Precio</t>
        </is>
      </c>
      <c r="E971" t="inlineStr">
        <is>
          <t>P2</t>
        </is>
      </c>
      <c r="F971" s="2" t="inlineStr">
        <is>
          <t>¿Permite estimar o comparar componentes sin ocultar límites de equivalencia?</t>
        </is>
      </c>
      <c r="G971" t="inlineStr">
        <is>
          <t>NE</t>
        </is>
      </c>
      <c r="H971" t="inlineStr">
        <is>
          <t>Pendiente</t>
        </is>
      </c>
      <c r="I971" s="2" t="inlineStr">
        <is>
          <t>Mismo motivo que P1.</t>
        </is>
      </c>
      <c r="J971" t="inlineStr">
        <is>
          <t>https://kubecost.github.io/cost-analyzer/</t>
        </is>
      </c>
      <c r="K971" t="inlineStr">
        <is>
          <t>2026-09-16</t>
        </is>
      </c>
      <c r="L971" s="2" t="inlineStr">
        <is>
          <t>Corrección de alcance FP-180 (2026-09-16): el valor pasa de NA a NE. Mismo motivo que P1. La evidencia y la fuente originales no se modifican.</t>
        </is>
      </c>
    </row>
    <row r="972">
      <c r="A972" t="inlineStr">
        <is>
          <t>E5</t>
        </is>
      </c>
      <c r="B972" t="inlineStr">
        <is>
          <t>Kubernetes</t>
        </is>
      </c>
      <c r="C972" t="inlineStr">
        <is>
          <t>Kubecost</t>
        </is>
      </c>
      <c r="D972" t="inlineStr">
        <is>
          <t>Dependencia</t>
        </is>
      </c>
      <c r="E972" t="inlineStr">
        <is>
          <t>D1</t>
        </is>
      </c>
      <c r="F972" s="2" t="inlineStr">
        <is>
          <t>¿Exporta datos/resultados en formato utilizable y documentado?</t>
        </is>
      </c>
      <c r="G972" t="n">
        <v>2</v>
      </c>
      <c r="H972" t="inlineStr">
        <is>
          <t>Oficial</t>
        </is>
      </c>
      <c r="I972" s="2" t="inlineStr">
        <is>
          <t>Exportación documentada vía Cost APIs, plugin de kubectl (CLI) y exportador de métricas de Prometheus, en formatos abiertos y reproducibles.</t>
        </is>
      </c>
      <c r="J972" t="inlineStr">
        <is>
          <t>https://kubecost.github.io/cost-analyzer/</t>
        </is>
      </c>
      <c r="K972" t="inlineStr">
        <is>
          <t>2026-09-16</t>
        </is>
      </c>
      <c r="L972" s="2" t="inlineStr"/>
    </row>
    <row r="973">
      <c r="A973" t="inlineStr">
        <is>
          <t>E5</t>
        </is>
      </c>
      <c r="B973" t="inlineStr">
        <is>
          <t>Kubernetes</t>
        </is>
      </c>
      <c r="C973" t="inlineStr">
        <is>
          <t>Kubecost</t>
        </is>
      </c>
      <c r="D973" t="inlineStr">
        <is>
          <t>Dependencia</t>
        </is>
      </c>
      <c r="E973" t="inlineStr">
        <is>
          <t>D2</t>
        </is>
      </c>
      <c r="F973" s="2" t="inlineStr">
        <is>
          <t>¿Documenta dependencias propietarias y un camino de salida/configuración reversible?</t>
        </is>
      </c>
      <c r="G973" t="inlineStr">
        <is>
          <t>NE</t>
        </is>
      </c>
      <c r="H973" t="inlineStr">
        <is>
          <t>Pendiente</t>
        </is>
      </c>
      <c r="I973" s="2" t="inlineStr">
        <is>
          <t>No se encontró documentación sobre un camino de salida o reversibilidad de la configuración.</t>
        </is>
      </c>
      <c r="K973" t="inlineStr">
        <is>
          <t>2026-09-16</t>
        </is>
      </c>
      <c r="L973" s="2" t="inlineStr"/>
    </row>
    <row r="974">
      <c r="A974" t="inlineStr">
        <is>
          <t>E3</t>
        </is>
      </c>
      <c r="B974" t="inlineStr">
        <is>
          <t>Kubernetes</t>
        </is>
      </c>
      <c r="C974" t="inlineStr">
        <is>
          <t>Cast AI</t>
        </is>
      </c>
      <c r="D974" t="inlineStr">
        <is>
          <t>Visibilidad</t>
        </is>
      </c>
      <c r="E974" t="inlineStr">
        <is>
          <t>V1</t>
        </is>
      </c>
      <c r="F974" s="2" t="inlineStr">
        <is>
          <t>¿Desagrega costo y uso por cuenta/proyecto, servicio y período?</t>
        </is>
      </c>
      <c r="G974" t="n">
        <v>2</v>
      </c>
      <c r="H974" t="inlineStr">
        <is>
          <t>Oficial</t>
        </is>
      </c>
      <c r="I974" s="2" t="inlineStr">
        <is>
          <t>Ofrece "reportes de costo en tiempo real y de períodos más largos a nivel de clúster, namespace y workload", habilitando desglose de costo/uso multinivel.</t>
        </is>
      </c>
      <c r="J974" t="inlineStr">
        <is>
          <t>https://docs.cast.ai/docs/getting-started</t>
        </is>
      </c>
      <c r="K974" t="inlineStr">
        <is>
          <t>2026-09-16</t>
        </is>
      </c>
      <c r="L974" s="2" t="inlineStr"/>
    </row>
    <row r="975">
      <c r="A975" t="inlineStr">
        <is>
          <t>E3</t>
        </is>
      </c>
      <c r="B975" t="inlineStr">
        <is>
          <t>Kubernetes</t>
        </is>
      </c>
      <c r="C975" t="inlineStr">
        <is>
          <t>Cast AI</t>
        </is>
      </c>
      <c r="D975" t="inlineStr">
        <is>
          <t>Visibilidad</t>
        </is>
      </c>
      <c r="E975" t="inlineStr">
        <is>
          <t>V2</t>
        </is>
      </c>
      <c r="F975" s="2" t="inlineStr">
        <is>
          <t>¿Permite rastrear un total hasta registros o fuente de facturación?</t>
        </is>
      </c>
      <c r="G975" t="inlineStr">
        <is>
          <t>NE</t>
        </is>
      </c>
      <c r="H975" t="inlineStr">
        <is>
          <t>Pendiente</t>
        </is>
      </c>
      <c r="I975" s="2" t="inlineStr">
        <is>
          <t>No se encontró, en la documentación revisada, una descripción explícita de trazabilidad/reconciliación de un total hasta el registro de facturación fuente.</t>
        </is>
      </c>
      <c r="K975" t="inlineStr">
        <is>
          <t>2026-09-16</t>
        </is>
      </c>
      <c r="L975" s="2" t="inlineStr"/>
    </row>
    <row r="976">
      <c r="A976" t="inlineStr">
        <is>
          <t>E3</t>
        </is>
      </c>
      <c r="B976" t="inlineStr">
        <is>
          <t>Kubernetes</t>
        </is>
      </c>
      <c r="C976" t="inlineStr">
        <is>
          <t>Cast AI</t>
        </is>
      </c>
      <c r="D976" t="inlineStr">
        <is>
          <t>Asignacion</t>
        </is>
      </c>
      <c r="E976" t="inlineStr">
        <is>
          <t>A1</t>
        </is>
      </c>
      <c r="F976" s="2" t="inlineStr">
        <is>
          <t>¿Calcula gasto asignado/no asignado por responsable, centro o entidad?</t>
        </is>
      </c>
      <c r="G976" t="n">
        <v>1</v>
      </c>
      <c r="H976" t="inlineStr">
        <is>
          <t>Oficial</t>
        </is>
      </c>
      <c r="I976" s="2" t="inlineStr">
        <is>
          <t>Los reportes de costo a nivel de namespace/workload permiten atribuir gasto, pero no se encontró una función de asignación organizacional (por responsable/centro de costo) equivalente a la de las plataformas multicloud, ni un indicador explícito de gasto "no asignado".</t>
        </is>
      </c>
      <c r="J976" t="inlineStr">
        <is>
          <t>https://docs.cast.ai/docs/getting-started</t>
        </is>
      </c>
      <c r="K976" t="inlineStr">
        <is>
          <t>2026-09-16</t>
        </is>
      </c>
      <c r="L976" s="2" t="inlineStr"/>
    </row>
    <row r="977">
      <c r="A977" t="inlineStr">
        <is>
          <t>E3</t>
        </is>
      </c>
      <c r="B977" t="inlineStr">
        <is>
          <t>Kubernetes</t>
        </is>
      </c>
      <c r="C977" t="inlineStr">
        <is>
          <t>Cast AI</t>
        </is>
      </c>
      <c r="D977" t="inlineStr">
        <is>
          <t>Asignacion</t>
        </is>
      </c>
      <c r="E977" t="inlineStr">
        <is>
          <t>A2</t>
        </is>
      </c>
      <c r="F977" s="2" t="inlineStr">
        <is>
          <t>¿Explicita y aplica reglas para costo compartido/multi-tenant?</t>
        </is>
      </c>
      <c r="G977" t="n">
        <v>2</v>
      </c>
      <c r="H977" t="inlineStr">
        <is>
          <t>Oficial</t>
        </is>
      </c>
      <c r="I977" s="2" t="inlineStr">
        <is>
          <t>Los grupos de asignacion son una regla de reparto configurable y versionable: «Allocation groups is a custom-made report that lets you allocate the costs of your cluster per team, application, or other criteria by selecting relevant labels and namespaces», y ademas «Allocation Groups are now also supported in the Cast AI Terraform provider, enabling Infrastructure as Code management of cost allocation strategies», lo que las hace reproducibles.</t>
        </is>
      </c>
      <c r="J977" t="inlineStr">
        <is>
          <t>https://docs.cast.ai/docs/allocation-groups</t>
        </is>
      </c>
      <c r="K977" t="inlineStr">
        <is>
          <t>2026-09-16</t>
        </is>
      </c>
      <c r="L977" s="2" t="inlineStr">
        <is>
          <t>Investigacion propia de E3 (2026-09-16): celda verificada contra las entradas y salidas del escenario de Kubernetes.</t>
        </is>
      </c>
    </row>
    <row r="978">
      <c r="A978" t="inlineStr">
        <is>
          <t>E3</t>
        </is>
      </c>
      <c r="B978" t="inlineStr">
        <is>
          <t>Kubernetes</t>
        </is>
      </c>
      <c r="C978" t="inlineStr">
        <is>
          <t>Cast AI</t>
        </is>
      </c>
      <c r="D978" t="inlineStr">
        <is>
          <t>Optimizacion</t>
        </is>
      </c>
      <c r="E978" t="inlineStr">
        <is>
          <t>O1</t>
        </is>
      </c>
      <c r="F978" s="2" t="inlineStr">
        <is>
          <t>¿Detecta desperdicio, rightsizing o compromiso relevante al escenario?</t>
        </is>
      </c>
      <c r="G978" t="n">
        <v>2</v>
      </c>
      <c r="H978" t="inlineStr">
        <is>
          <t>Oficial</t>
        </is>
      </c>
      <c r="I978" s="2" t="inlineStr">
        <is>
          <t>Ejecuta rightsizing automático de nodos y contenedores basado en uso real ("right-size your containers automatically based on actual resource usage"), con recomendaciones generadas ya a los 30 minutos de observar un workload.</t>
        </is>
      </c>
      <c r="J978" t="inlineStr">
        <is>
          <t>https://docs.cast.ai/docs/rightsizing-recommendations-and-woop</t>
        </is>
      </c>
      <c r="K978" t="inlineStr">
        <is>
          <t>2026-09-16</t>
        </is>
      </c>
      <c r="L978" s="2" t="inlineStr"/>
    </row>
    <row r="979">
      <c r="A979" t="inlineStr">
        <is>
          <t>E3</t>
        </is>
      </c>
      <c r="B979" t="inlineStr">
        <is>
          <t>Kubernetes</t>
        </is>
      </c>
      <c r="C979" t="inlineStr">
        <is>
          <t>Cast AI</t>
        </is>
      </c>
      <c r="D979" t="inlineStr">
        <is>
          <t>Optimizacion</t>
        </is>
      </c>
      <c r="E979" t="inlineStr">
        <is>
          <t>O2</t>
        </is>
      </c>
      <c r="F979" s="2" t="inlineStr">
        <is>
          <t>¿Explica supuesto/impacto y permite seguir una recomendación?</t>
        </is>
      </c>
      <c r="G979" t="n">
        <v>1</v>
      </c>
      <c r="H979" t="inlineStr">
        <is>
          <t>Oficial</t>
        </is>
      </c>
      <c r="I979" s="2" t="inlineStr">
        <is>
          <t>La documentación revisada no detalla métricas de ahorro realizado ni un ciclo de seguimiento explícito del impacto de una recomendación una vez aplicada.</t>
        </is>
      </c>
      <c r="J979" t="inlineStr">
        <is>
          <t>https://docs.cast.ai/docs/rightsizing-recommendations-and-woop</t>
        </is>
      </c>
      <c r="K979" t="inlineStr">
        <is>
          <t>2026-09-16</t>
        </is>
      </c>
      <c r="L979" s="2" t="inlineStr"/>
    </row>
    <row r="980">
      <c r="A980" t="inlineStr">
        <is>
          <t>E3</t>
        </is>
      </c>
      <c r="B980" t="inlineStr">
        <is>
          <t>Kubernetes</t>
        </is>
      </c>
      <c r="C980" t="inlineStr">
        <is>
          <t>Cast AI</t>
        </is>
      </c>
      <c r="D980" t="inlineStr">
        <is>
          <t>Automatizacion</t>
        </is>
      </c>
      <c r="E980" t="inlineStr">
        <is>
          <t>AU1</t>
        </is>
      </c>
      <c r="F980" s="2" t="inlineStr">
        <is>
          <t>¿Ejecuta o bloquea acciones/políticas de costo con control verificable?</t>
        </is>
      </c>
      <c r="G980" t="n">
        <v>2</v>
      </c>
      <c r="H980" t="inlineStr">
        <is>
          <t>Oficial</t>
        </is>
      </c>
      <c r="I980" s="2" t="inlineStr">
        <is>
          <t>Ejecuta automáticamente node autoscaling, selección de instancias Spot, bin packing y "Workload Autoscaling" (ajuste de solicitudes de Pod), operando sobre EKS, GKE, AKS, OCI, Azure for Government y clústeres on-premises/híbridos ("Cast AI Anywhere").</t>
        </is>
      </c>
      <c r="J980" t="inlineStr">
        <is>
          <t>https://docs.cast.ai/docs/getting-started</t>
        </is>
      </c>
      <c r="K980" t="inlineStr">
        <is>
          <t>2026-09-16</t>
        </is>
      </c>
      <c r="L980" s="2" t="inlineStr"/>
    </row>
    <row r="981">
      <c r="A981" t="inlineStr">
        <is>
          <t>E3</t>
        </is>
      </c>
      <c r="B981" t="inlineStr">
        <is>
          <t>Kubernetes</t>
        </is>
      </c>
      <c r="C981" t="inlineStr">
        <is>
          <t>Cast AI</t>
        </is>
      </c>
      <c r="D981" t="inlineStr">
        <is>
          <t>Automatizacion</t>
        </is>
      </c>
      <c r="E981" t="inlineStr">
        <is>
          <t>AU2</t>
        </is>
      </c>
      <c r="F981" s="2" t="inlineStr">
        <is>
          <t>¿Ofrece aprobación, reversión, registro o límites antes de actuar?</t>
        </is>
      </c>
      <c r="G981" t="n">
        <v>2</v>
      </c>
      <c r="H981" t="inlineStr">
        <is>
          <t>Oficial</t>
        </is>
      </c>
      <c r="I981" s="2" t="inlineStr">
        <is>
          <t>Las "Scaling Policies" definen límites mínimo/máximo de recursos, un interruptor global de "Automatically optimize workloads" (activable por workload), exclusión de contenedores específicos y control de cuándo aplicar cambios (inmediato o en el próximo reinicio natural del pod); además, los límites de memoria se fijan en 1,5x la solicitud para evitar terminaciones por falta de memoria mientras el sistema se adapta.</t>
        </is>
      </c>
      <c r="J981" t="inlineStr">
        <is>
          <t>https://docs.cast.ai/docs/woop-scaling-policies</t>
        </is>
      </c>
      <c r="K981" t="inlineStr">
        <is>
          <t>2026-09-16</t>
        </is>
      </c>
      <c r="L981" s="2" t="inlineStr"/>
    </row>
    <row r="982">
      <c r="A982" t="inlineStr">
        <is>
          <t>E3</t>
        </is>
      </c>
      <c r="B982" t="inlineStr">
        <is>
          <t>Kubernetes</t>
        </is>
      </c>
      <c r="C982" t="inlineStr">
        <is>
          <t>Cast AI</t>
        </is>
      </c>
      <c r="D982" t="inlineStr">
        <is>
          <t>Multicloud</t>
        </is>
      </c>
      <c r="E982" t="inlineStr">
        <is>
          <t>M1</t>
        </is>
      </c>
      <c r="F982" s="2" t="inlineStr">
        <is>
          <t>¿Consolida al menos dos proveedores bajo el mismo esquema declarado?</t>
        </is>
      </c>
      <c r="G982" t="n">
        <v>0</v>
      </c>
      <c r="H982" t="inlineStr">
        <is>
          <t>Oficial</t>
        </is>
      </c>
      <c r="I982" s="2" t="inlineStr">
        <is>
          <t>Cast AI opera de forma independiente sobre cada clúster (EKS, GKE, AKS, OCI, on-premises); la documentación revisada no describe una consolidación normalizada de costo entre proveedores bajo un mismo esquema (es una plataforma de automatización de Kubernetes, no de reporting multicloud consolidado).</t>
        </is>
      </c>
      <c r="J982" t="inlineStr">
        <is>
          <t>https://docs.cast.ai/docs/getting-started</t>
        </is>
      </c>
      <c r="K982" t="inlineStr">
        <is>
          <t>2026-09-16</t>
        </is>
      </c>
      <c r="L982" s="2" t="inlineStr"/>
    </row>
    <row r="983">
      <c r="A983" t="inlineStr">
        <is>
          <t>E3</t>
        </is>
      </c>
      <c r="B983" t="inlineStr">
        <is>
          <t>Kubernetes</t>
        </is>
      </c>
      <c r="C983" t="inlineStr">
        <is>
          <t>Cast AI</t>
        </is>
      </c>
      <c r="D983" t="inlineStr">
        <is>
          <t>Multicloud</t>
        </is>
      </c>
      <c r="E983" t="inlineStr">
        <is>
          <t>M2</t>
        </is>
      </c>
      <c r="F983" s="2" t="inlineStr">
        <is>
          <t>¿Hace visibles proveedor, cobertura y diferencias semánticas?</t>
        </is>
      </c>
      <c r="G983" t="n">
        <v>1</v>
      </c>
      <c r="H983" t="inlineStr">
        <is>
          <t>Oficial</t>
        </is>
      </c>
      <c r="I983" s="2" t="inlineStr">
        <is>
          <t>Al operar clúster por clúster sobre EKS/GKE/AKS/OCI, el proveedor de cada clúster es explícito por diseño (no se ocultan diferencias), pero no se documentó un mapeo/diccionario semántico explícito entre proveedores.</t>
        </is>
      </c>
      <c r="J983" t="inlineStr">
        <is>
          <t>https://docs.cast.ai/docs/getting-started</t>
        </is>
      </c>
      <c r="K983" t="inlineStr">
        <is>
          <t>2026-09-16</t>
        </is>
      </c>
      <c r="L983" s="2" t="inlineStr"/>
    </row>
    <row r="984">
      <c r="A984" t="inlineStr">
        <is>
          <t>E3</t>
        </is>
      </c>
      <c r="B984" t="inlineStr">
        <is>
          <t>Kubernetes</t>
        </is>
      </c>
      <c r="C984" t="inlineStr">
        <is>
          <t>Cast AI</t>
        </is>
      </c>
      <c r="D984" t="inlineStr">
        <is>
          <t>Integracion</t>
        </is>
      </c>
      <c r="E984" t="inlineStr">
        <is>
          <t>I1</t>
        </is>
      </c>
      <c r="F984" s="2" t="inlineStr">
        <is>
          <t>¿Integra datos requeridos (facturación, uso, clúster o IaC) del escenario?</t>
        </is>
      </c>
      <c r="G984" t="n">
        <v>2</v>
      </c>
      <c r="H984" t="inlineStr">
        <is>
          <t>Oficial</t>
        </is>
      </c>
      <c r="I984" s="2" t="inlineStr">
        <is>
          <t>Se integra mediante un "agente de solo lectura" con controles de permisos a nivel de Kubernetes y de la nube subyacente, con soporte documentado para EKS, GKE, AKS, OCI y clústeres híbridos/on-premises.</t>
        </is>
      </c>
      <c r="J984" t="inlineStr">
        <is>
          <t>https://docs.cast.ai/docs/getting-started</t>
        </is>
      </c>
      <c r="K984" t="inlineStr">
        <is>
          <t>2026-09-16</t>
        </is>
      </c>
      <c r="L984" s="2" t="inlineStr"/>
    </row>
    <row r="985">
      <c r="A985" t="inlineStr">
        <is>
          <t>E3</t>
        </is>
      </c>
      <c r="B985" t="inlineStr">
        <is>
          <t>Kubernetes</t>
        </is>
      </c>
      <c r="C985" t="inlineStr">
        <is>
          <t>Cast AI</t>
        </is>
      </c>
      <c r="D985" t="inlineStr">
        <is>
          <t>Integracion</t>
        </is>
      </c>
      <c r="E985" t="inlineStr">
        <is>
          <t>I2</t>
        </is>
      </c>
      <c r="F985" s="2" t="inlineStr">
        <is>
          <t>¿Se integra con el flujo de trabajo relevante (alerta, ticket, CI/CD o reporte)?</t>
        </is>
      </c>
      <c r="G985" t="n">
        <v>2</v>
      </c>
      <c r="H985" t="inlineStr">
        <is>
          <t>Oficial</t>
        </is>
      </c>
      <c r="I985" s="2" t="inlineStr">
        <is>
          <t>Integracion nativa con el flujo operativo del escenario: «Cast AI now supports native Slack integration as a delivery method for alert notifications», conectando el workspace por OAuth desde la consola y permitiendo entregar cada alerta «to up to 5 selected Slack channels per alert».</t>
        </is>
      </c>
      <c r="J985" t="inlineStr">
        <is>
          <t>https://docs.cast.ai/changelog/february-2025</t>
        </is>
      </c>
      <c r="K985" t="inlineStr">
        <is>
          <t>2026-09-16</t>
        </is>
      </c>
      <c r="L985" s="2" t="inlineStr">
        <is>
          <t>Investigacion propia de E3 (2026-09-16): celda verificada contra las entradas y salidas del escenario de Kubernetes.</t>
        </is>
      </c>
    </row>
    <row r="986">
      <c r="A986" t="inlineStr">
        <is>
          <t>E3</t>
        </is>
      </c>
      <c r="B986" t="inlineStr">
        <is>
          <t>Kubernetes</t>
        </is>
      </c>
      <c r="C986" t="inlineStr">
        <is>
          <t>Cast AI</t>
        </is>
      </c>
      <c r="D986" t="inlineStr">
        <is>
          <t>Adopcion</t>
        </is>
      </c>
      <c r="E986" t="inlineStr">
        <is>
          <t>AD1</t>
        </is>
      </c>
      <c r="F986" s="2" t="inlineStr">
        <is>
          <t>¿Soporta acceso/entrega para los roles del escenario?</t>
        </is>
      </c>
      <c r="G986" t="n">
        <v>2</v>
      </c>
      <c r="H986" t="inlineStr">
        <is>
          <t>Oficial</t>
        </is>
      </c>
      <c r="I986" s="2" t="inlineStr">
        <is>
          <t>RBAC documentado con roles predefinidos: «Owner role has full administrative access to all organization and cluster resources, Member role can perform all cluster-related operations but has limited access to organizational features, and Viewer role provides read-only access across all features», gestionables por consola, API y Terraform.</t>
        </is>
      </c>
      <c r="J986" t="inlineStr">
        <is>
          <t>https://docs.cast.ai/docs/role-based-access-control-rbac</t>
        </is>
      </c>
      <c r="K986" t="inlineStr">
        <is>
          <t>2026-09-16</t>
        </is>
      </c>
      <c r="L986" s="2" t="inlineStr">
        <is>
          <t>Investigacion propia de E3 (2026-09-16): celda verificada contra las entradas y salidas del escenario de Kubernetes.</t>
        </is>
      </c>
    </row>
    <row r="987">
      <c r="A987" t="inlineStr">
        <is>
          <t>E3</t>
        </is>
      </c>
      <c r="B987" t="inlineStr">
        <is>
          <t>Kubernetes</t>
        </is>
      </c>
      <c r="C987" t="inlineStr">
        <is>
          <t>Cast AI</t>
        </is>
      </c>
      <c r="D987" t="inlineStr">
        <is>
          <t>Adopcion</t>
        </is>
      </c>
      <c r="E987" t="inlineStr">
        <is>
          <t>AD2</t>
        </is>
      </c>
      <c r="F987" s="2" t="inlineStr">
        <is>
          <t>¿Ofrece guías, ownership o mecanismos de seguimiento para uso sostenido?</t>
        </is>
      </c>
      <c r="G987" t="inlineStr">
        <is>
          <t>NE</t>
        </is>
      </c>
      <c r="H987" t="inlineStr">
        <is>
          <t>Pendiente</t>
        </is>
      </c>
      <c r="I987" s="2" t="inlineStr">
        <is>
          <t>No se encontró, en la documentación revisada, una guía de adopción/gobernanza dedicada más allá de la documentación general del producto.</t>
        </is>
      </c>
      <c r="K987" t="inlineStr">
        <is>
          <t>2026-09-16</t>
        </is>
      </c>
      <c r="L987"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988">
      <c r="A988" t="inlineStr">
        <is>
          <t>E3</t>
        </is>
      </c>
      <c r="B988" t="inlineStr">
        <is>
          <t>Kubernetes</t>
        </is>
      </c>
      <c r="C988" t="inlineStr">
        <is>
          <t>Cast AI</t>
        </is>
      </c>
      <c r="D988" t="inlineStr">
        <is>
          <t>Precio</t>
        </is>
      </c>
      <c r="E988" t="inlineStr">
        <is>
          <t>P1</t>
        </is>
      </c>
      <c r="F988" s="2" t="inlineStr">
        <is>
          <t>¿Expone precio, moneda, región, unidad, período y supuestos relevantes?</t>
        </is>
      </c>
      <c r="G988" t="inlineStr">
        <is>
          <t>NE</t>
        </is>
      </c>
      <c r="H988" t="inlineStr">
        <is>
          <t>Pendiente</t>
        </is>
      </c>
      <c r="I988" s="2" t="inlineStr">
        <is>
          <t>Cast AI automatiza costo de recursos ya desplegados en el clúster; no expone transparencia de precio/supuestos de una estimación previa al despliegue.</t>
        </is>
      </c>
      <c r="J988" t="inlineStr">
        <is>
          <t>https://docs.cast.ai/docs/getting-started</t>
        </is>
      </c>
      <c r="K988" t="inlineStr">
        <is>
          <t>2026-09-16</t>
        </is>
      </c>
      <c r="L988" s="2" t="inlineStr">
        <is>
          <t>Corrección de alcance FP-180 (2026-09-16): el valor pasa de NA a NE. La justificación NA reinterpreta P1 como estimación previa al despliegue; el indicador tiene objeto y no fue investigado. La evidencia y la fuente originales no se modifican.</t>
        </is>
      </c>
    </row>
    <row r="989">
      <c r="A989" t="inlineStr">
        <is>
          <t>E3</t>
        </is>
      </c>
      <c r="B989" t="inlineStr">
        <is>
          <t>Kubernetes</t>
        </is>
      </c>
      <c r="C989" t="inlineStr">
        <is>
          <t>Cast AI</t>
        </is>
      </c>
      <c r="D989" t="inlineStr">
        <is>
          <t>Precio</t>
        </is>
      </c>
      <c r="E989" t="inlineStr">
        <is>
          <t>P2</t>
        </is>
      </c>
      <c r="F989" s="2" t="inlineStr">
        <is>
          <t>¿Permite estimar o comparar componentes sin ocultar límites de equivalencia?</t>
        </is>
      </c>
      <c r="G989" t="inlineStr">
        <is>
          <t>NE</t>
        </is>
      </c>
      <c r="H989" t="inlineStr">
        <is>
          <t>Pendiente</t>
        </is>
      </c>
      <c r="I989" s="2" t="inlineStr">
        <is>
          <t>Mismo motivo que P1.</t>
        </is>
      </c>
      <c r="J989" t="inlineStr">
        <is>
          <t>https://docs.cast.ai/docs/getting-started</t>
        </is>
      </c>
      <c r="K989" t="inlineStr">
        <is>
          <t>2026-09-16</t>
        </is>
      </c>
      <c r="L989" s="2" t="inlineStr">
        <is>
          <t>Corrección de alcance FP-180 (2026-09-16): el valor pasa de NA a NE. Mismo motivo que P1. La evidencia y la fuente originales no se modifican.</t>
        </is>
      </c>
    </row>
    <row r="990">
      <c r="A990" t="inlineStr">
        <is>
          <t>E3</t>
        </is>
      </c>
      <c r="B990" t="inlineStr">
        <is>
          <t>Kubernetes</t>
        </is>
      </c>
      <c r="C990" t="inlineStr">
        <is>
          <t>Cast AI</t>
        </is>
      </c>
      <c r="D990" t="inlineStr">
        <is>
          <t>Dependencia</t>
        </is>
      </c>
      <c r="E990" t="inlineStr">
        <is>
          <t>D1</t>
        </is>
      </c>
      <c r="F990" s="2" t="inlineStr">
        <is>
          <t>¿Exporta datos/resultados en formato utilizable y documentado?</t>
        </is>
      </c>
      <c r="G990" t="inlineStr">
        <is>
          <t>NE</t>
        </is>
      </c>
      <c r="H990" t="inlineStr">
        <is>
          <t>Pendiente</t>
        </is>
      </c>
      <c r="I990" s="2" t="inlineStr">
        <is>
          <t>No se encontró, en la documentación revisada, una función explícita de exportación masiva de datos de costo (a diferencia de OpenCost/Kubecost, que documentan endpoints de Prometheus/Cost API específicos para este fin).</t>
        </is>
      </c>
      <c r="K990" t="inlineStr">
        <is>
          <t>2026-09-16</t>
        </is>
      </c>
      <c r="L990" s="2" t="inlineStr"/>
    </row>
    <row r="991">
      <c r="A991" t="inlineStr">
        <is>
          <t>E3</t>
        </is>
      </c>
      <c r="B991" t="inlineStr">
        <is>
          <t>Kubernetes</t>
        </is>
      </c>
      <c r="C991" t="inlineStr">
        <is>
          <t>Cast AI</t>
        </is>
      </c>
      <c r="D991" t="inlineStr">
        <is>
          <t>Dependencia</t>
        </is>
      </c>
      <c r="E991" t="inlineStr">
        <is>
          <t>D2</t>
        </is>
      </c>
      <c r="F991" s="2" t="inlineStr">
        <is>
          <t>¿Documenta dependencias propietarias y un camino de salida/configuración reversible?</t>
        </is>
      </c>
      <c r="G991" t="inlineStr">
        <is>
          <t>NE</t>
        </is>
      </c>
      <c r="H991" t="inlineStr">
        <is>
          <t>Pendiente</t>
        </is>
      </c>
      <c r="I991" s="2" t="inlineStr">
        <is>
          <t>No se encontró documentación sobre un camino de salida o reversibilidad de la configuración.</t>
        </is>
      </c>
      <c r="K991" t="inlineStr">
        <is>
          <t>2026-09-16</t>
        </is>
      </c>
      <c r="L991" s="2" t="inlineStr"/>
    </row>
    <row r="992">
      <c r="A992" t="inlineStr">
        <is>
          <t>E5</t>
        </is>
      </c>
      <c r="B992" t="inlineStr">
        <is>
          <t>Kubernetes</t>
        </is>
      </c>
      <c r="C992" t="inlineStr">
        <is>
          <t>Cast AI</t>
        </is>
      </c>
      <c r="D992" t="inlineStr">
        <is>
          <t>Visibilidad</t>
        </is>
      </c>
      <c r="E992" t="inlineStr">
        <is>
          <t>V1</t>
        </is>
      </c>
      <c r="F992" s="2" t="inlineStr">
        <is>
          <t>¿Desagrega costo y uso por cuenta/proyecto, servicio y período?</t>
        </is>
      </c>
      <c r="G992" t="n">
        <v>2</v>
      </c>
      <c r="H992" t="inlineStr">
        <is>
          <t>Oficial</t>
        </is>
      </c>
      <c r="I992" s="2" t="inlineStr">
        <is>
          <t>Ofrece "reportes de costo en tiempo real y de períodos más largos a nivel de clúster, namespace y workload", habilitando desglose de costo/uso multinivel.</t>
        </is>
      </c>
      <c r="J992" t="inlineStr">
        <is>
          <t>https://docs.cast.ai/docs/getting-started</t>
        </is>
      </c>
      <c r="K992" t="inlineStr">
        <is>
          <t>2026-09-16</t>
        </is>
      </c>
      <c r="L992" s="2" t="inlineStr">
        <is>
          <t>Celda heredada FP-180 (2026-09-16): el valor 2 proviene de la investigacion del escenario E3 y no cuenta con evidencia propia de E5. Segun FP-177 el indicador V1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93">
      <c r="A993" t="inlineStr">
        <is>
          <t>E5</t>
        </is>
      </c>
      <c r="B993" t="inlineStr">
        <is>
          <t>Kubernetes</t>
        </is>
      </c>
      <c r="C993" t="inlineStr">
        <is>
          <t>Cast AI</t>
        </is>
      </c>
      <c r="D993" t="inlineStr">
        <is>
          <t>Visibilidad</t>
        </is>
      </c>
      <c r="E993" t="inlineStr">
        <is>
          <t>V2</t>
        </is>
      </c>
      <c r="F993" s="2" t="inlineStr">
        <is>
          <t>¿Permite rastrear un total hasta registros o fuente de facturación?</t>
        </is>
      </c>
      <c r="G993" t="inlineStr">
        <is>
          <t>NE</t>
        </is>
      </c>
      <c r="H993" t="inlineStr">
        <is>
          <t>Pendiente</t>
        </is>
      </c>
      <c r="I993" s="2" t="inlineStr">
        <is>
          <t>No se encontró, en la documentación revisada, una descripción explícita de trazabilidad/reconciliación de un total hasta el registro de facturación fuente.</t>
        </is>
      </c>
      <c r="K993" t="inlineStr">
        <is>
          <t>2026-09-16</t>
        </is>
      </c>
      <c r="L993" s="2" t="inlineStr"/>
    </row>
    <row r="994">
      <c r="A994" t="inlineStr">
        <is>
          <t>E5</t>
        </is>
      </c>
      <c r="B994" t="inlineStr">
        <is>
          <t>Kubernetes</t>
        </is>
      </c>
      <c r="C994" t="inlineStr">
        <is>
          <t>Cast AI</t>
        </is>
      </c>
      <c r="D994" t="inlineStr">
        <is>
          <t>Asignacion</t>
        </is>
      </c>
      <c r="E994" t="inlineStr">
        <is>
          <t>A1</t>
        </is>
      </c>
      <c r="F994" s="2" t="inlineStr">
        <is>
          <t>¿Calcula gasto asignado/no asignado por responsable, centro o entidad?</t>
        </is>
      </c>
      <c r="G994" t="n">
        <v>1</v>
      </c>
      <c r="H994" t="inlineStr">
        <is>
          <t>Oficial</t>
        </is>
      </c>
      <c r="I994" s="2" t="inlineStr">
        <is>
          <t>Los reportes de costo a nivel de namespace/workload permiten atribuir gasto, pero no se encontró una función de asignación organizacional (por responsable/centro de costo) equivalente a la de las plataformas multicloud, ni un indicador explícito de gasto "no asignado".</t>
        </is>
      </c>
      <c r="J994" t="inlineStr">
        <is>
          <t>https://docs.cast.ai/docs/getting-started</t>
        </is>
      </c>
      <c r="K994" t="inlineStr">
        <is>
          <t>2026-09-16</t>
        </is>
      </c>
      <c r="L994" s="2" t="inlineStr">
        <is>
          <t>Celda heredada FP-180 (2026-09-16): el valor 1 proviene de la investigacion del escenario E3 y no cuenta con evidencia propia de E5. Segun FP-177 el indicador A1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95">
      <c r="A995" t="inlineStr">
        <is>
          <t>E5</t>
        </is>
      </c>
      <c r="B995" t="inlineStr">
        <is>
          <t>Kubernetes</t>
        </is>
      </c>
      <c r="C995" t="inlineStr">
        <is>
          <t>Cast AI</t>
        </is>
      </c>
      <c r="D995" t="inlineStr">
        <is>
          <t>Asignacion</t>
        </is>
      </c>
      <c r="E995" t="inlineStr">
        <is>
          <t>A2</t>
        </is>
      </c>
      <c r="F995" s="2" t="inlineStr">
        <is>
          <t>¿Explicita y aplica reglas para costo compartido/multi-tenant?</t>
        </is>
      </c>
      <c r="G995" t="inlineStr">
        <is>
          <t>NE</t>
        </is>
      </c>
      <c r="H995" t="inlineStr">
        <is>
          <t>Pendiente</t>
        </is>
      </c>
      <c r="I995" s="2" t="inlineStr">
        <is>
          <t>No se encontró documentación de una función dedicada de reparto de costo compartido/multi-tenant.</t>
        </is>
      </c>
      <c r="K995" t="inlineStr">
        <is>
          <t>2026-09-16</t>
        </is>
      </c>
      <c r="L995" s="2" t="inlineStr"/>
    </row>
    <row r="996">
      <c r="A996" t="inlineStr">
        <is>
          <t>E5</t>
        </is>
      </c>
      <c r="B996" t="inlineStr">
        <is>
          <t>Kubernetes</t>
        </is>
      </c>
      <c r="C996" t="inlineStr">
        <is>
          <t>Cast AI</t>
        </is>
      </c>
      <c r="D996" t="inlineStr">
        <is>
          <t>Optimizacion</t>
        </is>
      </c>
      <c r="E996" t="inlineStr">
        <is>
          <t>O1</t>
        </is>
      </c>
      <c r="F996" s="2" t="inlineStr">
        <is>
          <t>¿Detecta desperdicio, rightsizing o compromiso relevante al escenario?</t>
        </is>
      </c>
      <c r="G996" t="n">
        <v>2</v>
      </c>
      <c r="H996" t="inlineStr">
        <is>
          <t>Oficial</t>
        </is>
      </c>
      <c r="I996" s="2" t="inlineStr">
        <is>
          <t>Ejecuta rightsizing automático de nodos y contenedores basado en uso real ("right-size your containers automatically based on actual resource usage"), con recomendaciones generadas ya a los 30 minutos de observar un workload.</t>
        </is>
      </c>
      <c r="J996" t="inlineStr">
        <is>
          <t>https://docs.cast.ai/docs/rightsizing-recommendations-and-woop</t>
        </is>
      </c>
      <c r="K996" t="inlineStr">
        <is>
          <t>2026-09-16</t>
        </is>
      </c>
      <c r="L996" s="2" t="inlineStr">
        <is>
          <t>Celda heredada FP-180 (2026-09-16): el valor 2 proviene de la investigacion del escenario E3 y no cuenta con evidencia propia de E5. Segun FP-177 el indicador O1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97">
      <c r="A997" t="inlineStr">
        <is>
          <t>E5</t>
        </is>
      </c>
      <c r="B997" t="inlineStr">
        <is>
          <t>Kubernetes</t>
        </is>
      </c>
      <c r="C997" t="inlineStr">
        <is>
          <t>Cast AI</t>
        </is>
      </c>
      <c r="D997" t="inlineStr">
        <is>
          <t>Optimizacion</t>
        </is>
      </c>
      <c r="E997" t="inlineStr">
        <is>
          <t>O2</t>
        </is>
      </c>
      <c r="F997" s="2" t="inlineStr">
        <is>
          <t>¿Explica supuesto/impacto y permite seguir una recomendación?</t>
        </is>
      </c>
      <c r="G997" t="n">
        <v>1</v>
      </c>
      <c r="H997" t="inlineStr">
        <is>
          <t>Oficial</t>
        </is>
      </c>
      <c r="I997" s="2" t="inlineStr">
        <is>
          <t>La documentación revisada no detalla métricas de ahorro realizado ni un ciclo de seguimiento explícito del impacto de una recomendación una vez aplicada.</t>
        </is>
      </c>
      <c r="J997" t="inlineStr">
        <is>
          <t>https://docs.cast.ai/docs/rightsizing-recommendations-and-woop</t>
        </is>
      </c>
      <c r="K997" t="inlineStr">
        <is>
          <t>2026-09-16</t>
        </is>
      </c>
      <c r="L997" s="2" t="inlineStr"/>
    </row>
    <row r="998">
      <c r="A998" t="inlineStr">
        <is>
          <t>E5</t>
        </is>
      </c>
      <c r="B998" t="inlineStr">
        <is>
          <t>Kubernetes</t>
        </is>
      </c>
      <c r="C998" t="inlineStr">
        <is>
          <t>Cast AI</t>
        </is>
      </c>
      <c r="D998" t="inlineStr">
        <is>
          <t>Automatizacion</t>
        </is>
      </c>
      <c r="E998" t="inlineStr">
        <is>
          <t>AU1</t>
        </is>
      </c>
      <c r="F998" s="2" t="inlineStr">
        <is>
          <t>¿Ejecuta o bloquea acciones/políticas de costo con control verificable?</t>
        </is>
      </c>
      <c r="G998" t="n">
        <v>2</v>
      </c>
      <c r="H998" t="inlineStr">
        <is>
          <t>Oficial</t>
        </is>
      </c>
      <c r="I998" s="2" t="inlineStr">
        <is>
          <t>Ejecuta automáticamente node autoscaling, selección de instancias Spot, bin packing y "Workload Autoscaling" (ajuste de solicitudes de Pod), operando sobre EKS, GKE, AKS, OCI, Azure for Government y clústeres on-premises/híbridos ("Cast AI Anywhere").</t>
        </is>
      </c>
      <c r="J998" t="inlineStr">
        <is>
          <t>https://docs.cast.ai/docs/getting-started</t>
        </is>
      </c>
      <c r="K998" t="inlineStr">
        <is>
          <t>2026-09-16</t>
        </is>
      </c>
      <c r="L998" s="2" t="inlineStr">
        <is>
          <t>Celda heredada FP-180 (2026-09-16): el valor 2 proviene de la investigacion del escenario E3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999">
      <c r="A999" t="inlineStr">
        <is>
          <t>E5</t>
        </is>
      </c>
      <c r="B999" t="inlineStr">
        <is>
          <t>Kubernetes</t>
        </is>
      </c>
      <c r="C999" t="inlineStr">
        <is>
          <t>Cast AI</t>
        </is>
      </c>
      <c r="D999" t="inlineStr">
        <is>
          <t>Automatizacion</t>
        </is>
      </c>
      <c r="E999" t="inlineStr">
        <is>
          <t>AU2</t>
        </is>
      </c>
      <c r="F999" s="2" t="inlineStr">
        <is>
          <t>¿Ofrece aprobación, reversión, registro o límites antes de actuar?</t>
        </is>
      </c>
      <c r="G999" t="n">
        <v>2</v>
      </c>
      <c r="H999" t="inlineStr">
        <is>
          <t>Oficial</t>
        </is>
      </c>
      <c r="I999" s="2" t="inlineStr">
        <is>
          <t>Las "Scaling Policies" definen límites mínimo/máximo de recursos, un interruptor global de "Automatically optimize workloads" (activable por workload), exclusión de contenedores específicos y control de cuándo aplicar cambios (inmediato o en el próximo reinicio natural del pod); además, los límites de memoria se fijan en 1,5x la solicitud para evitar terminaciones por falta de memoria mientras el sistema se adapta.</t>
        </is>
      </c>
      <c r="J999" t="inlineStr">
        <is>
          <t>https://docs.cast.ai/docs/woop-scaling-policies</t>
        </is>
      </c>
      <c r="K999" t="inlineStr">
        <is>
          <t>2026-09-16</t>
        </is>
      </c>
      <c r="L999" s="2" t="inlineStr"/>
    </row>
    <row r="1000">
      <c r="A1000" t="inlineStr">
        <is>
          <t>E5</t>
        </is>
      </c>
      <c r="B1000" t="inlineStr">
        <is>
          <t>Kubernetes</t>
        </is>
      </c>
      <c r="C1000" t="inlineStr">
        <is>
          <t>Cast AI</t>
        </is>
      </c>
      <c r="D1000" t="inlineStr">
        <is>
          <t>Multicloud</t>
        </is>
      </c>
      <c r="E1000" t="inlineStr">
        <is>
          <t>M1</t>
        </is>
      </c>
      <c r="F1000" s="2" t="inlineStr">
        <is>
          <t>¿Consolida al menos dos proveedores bajo el mismo esquema declarado?</t>
        </is>
      </c>
      <c r="G1000" t="n">
        <v>0</v>
      </c>
      <c r="H1000" t="inlineStr">
        <is>
          <t>Oficial</t>
        </is>
      </c>
      <c r="I1000" s="2" t="inlineStr">
        <is>
          <t>Cast AI opera de forma independiente sobre cada clúster (EKS, GKE, AKS, OCI, on-premises); la documentación revisada no describe una consolidación normalizada de costo entre proveedores bajo un mismo esquema (es una plataforma de automatización de Kubernetes, no de reporting multicloud consolidado).</t>
        </is>
      </c>
      <c r="J1000" t="inlineStr">
        <is>
          <t>https://docs.cast.ai/docs/getting-started</t>
        </is>
      </c>
      <c r="K1000" t="inlineStr">
        <is>
          <t>2026-09-16</t>
        </is>
      </c>
      <c r="L1000" s="2" t="inlineStr"/>
    </row>
    <row r="1001">
      <c r="A1001" t="inlineStr">
        <is>
          <t>E5</t>
        </is>
      </c>
      <c r="B1001" t="inlineStr">
        <is>
          <t>Kubernetes</t>
        </is>
      </c>
      <c r="C1001" t="inlineStr">
        <is>
          <t>Cast AI</t>
        </is>
      </c>
      <c r="D1001" t="inlineStr">
        <is>
          <t>Multicloud</t>
        </is>
      </c>
      <c r="E1001" t="inlineStr">
        <is>
          <t>M2</t>
        </is>
      </c>
      <c r="F1001" s="2" t="inlineStr">
        <is>
          <t>¿Hace visibles proveedor, cobertura y diferencias semánticas?</t>
        </is>
      </c>
      <c r="G1001" t="n">
        <v>1</v>
      </c>
      <c r="H1001" t="inlineStr">
        <is>
          <t>Oficial</t>
        </is>
      </c>
      <c r="I1001" s="2" t="inlineStr">
        <is>
          <t>Al operar clúster por clúster sobre EKS/GKE/AKS/OCI, el proveedor de cada clúster es explícito por diseño (no se ocultan diferencias), pero no se documentó un mapeo/diccionario semántico explícito entre proveedores.</t>
        </is>
      </c>
      <c r="J1001" t="inlineStr">
        <is>
          <t>https://docs.cast.ai/docs/getting-started</t>
        </is>
      </c>
      <c r="K1001" t="inlineStr">
        <is>
          <t>2026-09-16</t>
        </is>
      </c>
      <c r="L1001" s="2" t="inlineStr"/>
    </row>
    <row r="1002">
      <c r="A1002" t="inlineStr">
        <is>
          <t>E5</t>
        </is>
      </c>
      <c r="B1002" t="inlineStr">
        <is>
          <t>Kubernetes</t>
        </is>
      </c>
      <c r="C1002" t="inlineStr">
        <is>
          <t>Cast AI</t>
        </is>
      </c>
      <c r="D1002" t="inlineStr">
        <is>
          <t>Integracion</t>
        </is>
      </c>
      <c r="E1002" t="inlineStr">
        <is>
          <t>I1</t>
        </is>
      </c>
      <c r="F1002" s="2" t="inlineStr">
        <is>
          <t>¿Integra datos requeridos (facturación, uso, clúster o IaC) del escenario?</t>
        </is>
      </c>
      <c r="G1002" t="n">
        <v>2</v>
      </c>
      <c r="H1002" t="inlineStr">
        <is>
          <t>Oficial</t>
        </is>
      </c>
      <c r="I1002" s="2" t="inlineStr">
        <is>
          <t>Se integra mediante un "agente de solo lectura" con controles de permisos a nivel de Kubernetes y de la nube subyacente, con soporte documentado para EKS, GKE, AKS, OCI y clústeres híbridos/on-premises.</t>
        </is>
      </c>
      <c r="J1002" t="inlineStr">
        <is>
          <t>https://docs.cast.ai/docs/getting-started</t>
        </is>
      </c>
      <c r="K1002" t="inlineStr">
        <is>
          <t>2026-09-16</t>
        </is>
      </c>
      <c r="L1002" s="2" t="inlineStr">
        <is>
          <t>Celda heredada FP-180 (2026-09-16): el valor 2 proviene de la investigacion del escenario E3 y no cuenta con evidencia propia de E5. Segun FP-177 el indicador I1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003">
      <c r="A1003" t="inlineStr">
        <is>
          <t>E5</t>
        </is>
      </c>
      <c r="B1003" t="inlineStr">
        <is>
          <t>Kubernetes</t>
        </is>
      </c>
      <c r="C1003" t="inlineStr">
        <is>
          <t>Cast AI</t>
        </is>
      </c>
      <c r="D1003" t="inlineStr">
        <is>
          <t>Integracion</t>
        </is>
      </c>
      <c r="E1003" t="inlineStr">
        <is>
          <t>I2</t>
        </is>
      </c>
      <c r="F1003" s="2" t="inlineStr">
        <is>
          <t>¿Se integra con el flujo de trabajo relevante (alerta, ticket, CI/CD o reporte)?</t>
        </is>
      </c>
      <c r="G1003" t="n">
        <v>2</v>
      </c>
      <c r="H1003" t="inlineStr">
        <is>
          <t>Oficial</t>
        </is>
      </c>
      <c r="I1003" s="2" t="inlineStr">
        <is>
          <t>Integracion nativa con el flujo operativo del escenario: «Cast AI now supports native Slack integration as a delivery method for alert notifications», conectando el workspace por OAuth desde la consola y permitiendo entregar cada alerta «to up to 5 selected Slack channels per alert».</t>
        </is>
      </c>
      <c r="J1003" t="inlineStr">
        <is>
          <t>https://docs.cast.ai/changelog/february-2025</t>
        </is>
      </c>
      <c r="K1003" t="inlineStr">
        <is>
          <t>2026-09-16</t>
        </is>
      </c>
      <c r="L1003" s="2" t="inlineStr">
        <is>
          <t>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004">
      <c r="A1004" t="inlineStr">
        <is>
          <t>E5</t>
        </is>
      </c>
      <c r="B1004" t="inlineStr">
        <is>
          <t>Kubernetes</t>
        </is>
      </c>
      <c r="C1004" t="inlineStr">
        <is>
          <t>Cast AI</t>
        </is>
      </c>
      <c r="D1004" t="inlineStr">
        <is>
          <t>Adopcion</t>
        </is>
      </c>
      <c r="E1004" t="inlineStr">
        <is>
          <t>AD1</t>
        </is>
      </c>
      <c r="F1004" s="2" t="inlineStr">
        <is>
          <t>¿Soporta acceso/entrega para los roles del escenario?</t>
        </is>
      </c>
      <c r="G1004" t="n">
        <v>2</v>
      </c>
      <c r="H1004" t="inlineStr">
        <is>
          <t>Oficial</t>
        </is>
      </c>
      <c r="I1004" s="2" t="inlineStr">
        <is>
          <t>RBAC documentado con roles predefinidos: «Owner role has full administrative access to all organization and cluster resources, Member role can perform all cluster-related operations but has limited access to organizational features, and Viewer role provides read-only access across all features», gestionables por consola, API y Terraform.</t>
        </is>
      </c>
      <c r="J1004" t="inlineStr">
        <is>
          <t>https://docs.cast.ai/docs/role-based-access-control-rbac</t>
        </is>
      </c>
      <c r="K1004" t="inlineStr">
        <is>
          <t>2026-09-16</t>
        </is>
      </c>
      <c r="L1004" s="2" t="inlineStr">
        <is>
          <t>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005">
      <c r="A1005" t="inlineStr">
        <is>
          <t>E5</t>
        </is>
      </c>
      <c r="B1005" t="inlineStr">
        <is>
          <t>Kubernetes</t>
        </is>
      </c>
      <c r="C1005" t="inlineStr">
        <is>
          <t>Cast AI</t>
        </is>
      </c>
      <c r="D1005" t="inlineStr">
        <is>
          <t>Adopcion</t>
        </is>
      </c>
      <c r="E1005" t="inlineStr">
        <is>
          <t>AD2</t>
        </is>
      </c>
      <c r="F1005" s="2" t="inlineStr">
        <is>
          <t>¿Ofrece guías, ownership o mecanismos de seguimiento para uso sostenido?</t>
        </is>
      </c>
      <c r="G1005" t="inlineStr">
        <is>
          <t>NE</t>
        </is>
      </c>
      <c r="H1005" t="inlineStr">
        <is>
          <t>Pendiente</t>
        </is>
      </c>
      <c r="I1005" s="2" t="inlineStr">
        <is>
          <t>No se encontró, en la documentación revisada, una guía de adopción/gobernanza dedicada más allá de la documentación general del producto.</t>
        </is>
      </c>
      <c r="K1005" t="inlineStr">
        <is>
          <t>2026-09-16</t>
        </is>
      </c>
      <c r="L1005"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1006">
      <c r="A1006" t="inlineStr">
        <is>
          <t>E5</t>
        </is>
      </c>
      <c r="B1006" t="inlineStr">
        <is>
          <t>Kubernetes</t>
        </is>
      </c>
      <c r="C1006" t="inlineStr">
        <is>
          <t>Cast AI</t>
        </is>
      </c>
      <c r="D1006" t="inlineStr">
        <is>
          <t>Precio</t>
        </is>
      </c>
      <c r="E1006" t="inlineStr">
        <is>
          <t>P1</t>
        </is>
      </c>
      <c r="F1006" s="2" t="inlineStr">
        <is>
          <t>¿Expone precio, moneda, región, unidad, período y supuestos relevantes?</t>
        </is>
      </c>
      <c r="G1006" t="inlineStr">
        <is>
          <t>NE</t>
        </is>
      </c>
      <c r="H1006" t="inlineStr">
        <is>
          <t>Pendiente</t>
        </is>
      </c>
      <c r="I1006" s="2" t="inlineStr">
        <is>
          <t>Cast AI automatiza costo de recursos ya desplegados en el clúster; no expone transparencia de precio/supuestos de una estimación previa al despliegue.</t>
        </is>
      </c>
      <c r="J1006" t="inlineStr">
        <is>
          <t>https://docs.cast.ai/docs/getting-started</t>
        </is>
      </c>
      <c r="K1006" t="inlineStr">
        <is>
          <t>2026-09-16</t>
        </is>
      </c>
      <c r="L1006" s="2" t="inlineStr">
        <is>
          <t>Corrección de alcance FP-180 (2026-09-16): el valor pasa de NA a NE. La justificación NA reinterpreta P1 como estimación previa al despliegue; el indicador tiene objeto y no fue investigado. La evidencia y la fuente originales no se modifican.</t>
        </is>
      </c>
    </row>
    <row r="1007">
      <c r="A1007" t="inlineStr">
        <is>
          <t>E5</t>
        </is>
      </c>
      <c r="B1007" t="inlineStr">
        <is>
          <t>Kubernetes</t>
        </is>
      </c>
      <c r="C1007" t="inlineStr">
        <is>
          <t>Cast AI</t>
        </is>
      </c>
      <c r="D1007" t="inlineStr">
        <is>
          <t>Precio</t>
        </is>
      </c>
      <c r="E1007" t="inlineStr">
        <is>
          <t>P2</t>
        </is>
      </c>
      <c r="F1007" s="2" t="inlineStr">
        <is>
          <t>¿Permite estimar o comparar componentes sin ocultar límites de equivalencia?</t>
        </is>
      </c>
      <c r="G1007" t="inlineStr">
        <is>
          <t>NE</t>
        </is>
      </c>
      <c r="H1007" t="inlineStr">
        <is>
          <t>Pendiente</t>
        </is>
      </c>
      <c r="I1007" s="2" t="inlineStr">
        <is>
          <t>Mismo motivo que P1.</t>
        </is>
      </c>
      <c r="J1007" t="inlineStr">
        <is>
          <t>https://docs.cast.ai/docs/getting-started</t>
        </is>
      </c>
      <c r="K1007" t="inlineStr">
        <is>
          <t>2026-09-16</t>
        </is>
      </c>
      <c r="L1007" s="2" t="inlineStr">
        <is>
          <t>Corrección de alcance FP-180 (2026-09-16): el valor pasa de NA a NE. Mismo motivo que P1. La evidencia y la fuente originales no se modifican.</t>
        </is>
      </c>
    </row>
    <row r="1008">
      <c r="A1008" t="inlineStr">
        <is>
          <t>E5</t>
        </is>
      </c>
      <c r="B1008" t="inlineStr">
        <is>
          <t>Kubernetes</t>
        </is>
      </c>
      <c r="C1008" t="inlineStr">
        <is>
          <t>Cast AI</t>
        </is>
      </c>
      <c r="D1008" t="inlineStr">
        <is>
          <t>Dependencia</t>
        </is>
      </c>
      <c r="E1008" t="inlineStr">
        <is>
          <t>D1</t>
        </is>
      </c>
      <c r="F1008" s="2" t="inlineStr">
        <is>
          <t>¿Exporta datos/resultados en formato utilizable y documentado?</t>
        </is>
      </c>
      <c r="G1008" t="inlineStr">
        <is>
          <t>NE</t>
        </is>
      </c>
      <c r="H1008" t="inlineStr">
        <is>
          <t>Pendiente</t>
        </is>
      </c>
      <c r="I1008" s="2" t="inlineStr">
        <is>
          <t>No se encontró, en la documentación revisada, una función explícita de exportación masiva de datos de costo (a diferencia de OpenCost/Kubecost, que documentan endpoints de Prometheus/Cost API específicos para este fin).</t>
        </is>
      </c>
      <c r="K1008" t="inlineStr">
        <is>
          <t>2026-09-16</t>
        </is>
      </c>
      <c r="L1008" s="2" t="inlineStr"/>
    </row>
    <row r="1009">
      <c r="A1009" t="inlineStr">
        <is>
          <t>E5</t>
        </is>
      </c>
      <c r="B1009" t="inlineStr">
        <is>
          <t>Kubernetes</t>
        </is>
      </c>
      <c r="C1009" t="inlineStr">
        <is>
          <t>Cast AI</t>
        </is>
      </c>
      <c r="D1009" t="inlineStr">
        <is>
          <t>Dependencia</t>
        </is>
      </c>
      <c r="E1009" t="inlineStr">
        <is>
          <t>D2</t>
        </is>
      </c>
      <c r="F1009" s="2" t="inlineStr">
        <is>
          <t>¿Documenta dependencias propietarias y un camino de salida/configuración reversible?</t>
        </is>
      </c>
      <c r="G1009" t="inlineStr">
        <is>
          <t>NE</t>
        </is>
      </c>
      <c r="H1009" t="inlineStr">
        <is>
          <t>Pendiente</t>
        </is>
      </c>
      <c r="I1009" s="2" t="inlineStr">
        <is>
          <t>No se encontró documentación sobre un camino de salida o reversibilidad de la configuración.</t>
        </is>
      </c>
      <c r="K1009" t="inlineStr">
        <is>
          <t>2026-09-16</t>
        </is>
      </c>
      <c r="L1009" s="2" t="inlineStr"/>
    </row>
    <row r="1010">
      <c r="A1010" t="inlineStr">
        <is>
          <t>E3</t>
        </is>
      </c>
      <c r="B1010" t="inlineStr">
        <is>
          <t>Kubernetes</t>
        </is>
      </c>
      <c r="C1010" t="inlineStr">
        <is>
          <t>StormForge</t>
        </is>
      </c>
      <c r="D1010" t="inlineStr">
        <is>
          <t>Visibilidad</t>
        </is>
      </c>
      <c r="E1010" t="inlineStr">
        <is>
          <t>V1</t>
        </is>
      </c>
      <c r="F1010" s="2" t="inlineStr">
        <is>
          <t>¿Desagrega costo y uso por cuenta/proyecto, servicio y período?</t>
        </is>
      </c>
      <c r="G1010" t="inlineStr">
        <is>
          <t>NE</t>
        </is>
      </c>
      <c r="H1010" t="inlineStr">
        <is>
          <t>Pendiente</t>
        </is>
      </c>
      <c r="I1010" s="2" t="inlineStr">
        <is>
          <t>StormForge Optimize Live se enfoca en generar recomendaciones de dimensionamiento por workload; la documentación revisada no describe un desglose de costo/uso por cuenta-namespace-período (esa función corresponde a OpenCost/Kubecost/Cast AI).</t>
        </is>
      </c>
      <c r="J1010" t="inlineStr">
        <is>
          <t>https://docs.stormforge.io/optimize-live/recommendations/</t>
        </is>
      </c>
      <c r="K1010" t="inlineStr">
        <is>
          <t>2026-09-16</t>
        </is>
      </c>
      <c r="L1010"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1">
      <c r="A1011" t="inlineStr">
        <is>
          <t>E3</t>
        </is>
      </c>
      <c r="B1011" t="inlineStr">
        <is>
          <t>Kubernetes</t>
        </is>
      </c>
      <c r="C1011" t="inlineStr">
        <is>
          <t>StormForge</t>
        </is>
      </c>
      <c r="D1011" t="inlineStr">
        <is>
          <t>Visibilidad</t>
        </is>
      </c>
      <c r="E1011" t="inlineStr">
        <is>
          <t>V2</t>
        </is>
      </c>
      <c r="F1011" s="2" t="inlineStr">
        <is>
          <t>¿Permite rastrear un total hasta registros o fuente de facturación?</t>
        </is>
      </c>
      <c r="G1011" t="inlineStr">
        <is>
          <t>NE</t>
        </is>
      </c>
      <c r="H1011" t="inlineStr">
        <is>
          <t>Pendiente</t>
        </is>
      </c>
      <c r="I1011" s="2" t="inlineStr">
        <is>
          <t>Mismo motivo que V1.</t>
        </is>
      </c>
      <c r="J1011" t="inlineStr">
        <is>
          <t>https://docs.stormforge.io/optimize-live/recommendations/</t>
        </is>
      </c>
      <c r="K1011" t="inlineStr">
        <is>
          <t>2026-09-16</t>
        </is>
      </c>
      <c r="L1011"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2">
      <c r="A1012" t="inlineStr">
        <is>
          <t>E3</t>
        </is>
      </c>
      <c r="B1012" t="inlineStr">
        <is>
          <t>Kubernetes</t>
        </is>
      </c>
      <c r="C1012" t="inlineStr">
        <is>
          <t>StormForge</t>
        </is>
      </c>
      <c r="D1012" t="inlineStr">
        <is>
          <t>Asignacion</t>
        </is>
      </c>
      <c r="E1012" t="inlineStr">
        <is>
          <t>A1</t>
        </is>
      </c>
      <c r="F1012" s="2" t="inlineStr">
        <is>
          <t>¿Calcula gasto asignado/no asignado por responsable, centro o entidad?</t>
        </is>
      </c>
      <c r="G1012" t="inlineStr">
        <is>
          <t>NE</t>
        </is>
      </c>
      <c r="H1012" t="inlineStr">
        <is>
          <t>Pendiente</t>
        </is>
      </c>
      <c r="I1012" s="2" t="inlineStr">
        <is>
          <t>No es una herramienta de asignación de costo organizacional.</t>
        </is>
      </c>
      <c r="J1012" t="inlineStr">
        <is>
          <t>https://docs.stormforge.io/optimize-live/recommendations/</t>
        </is>
      </c>
      <c r="K1012" t="inlineStr">
        <is>
          <t>2026-09-16</t>
        </is>
      </c>
      <c r="L1012"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3">
      <c r="A1013" t="inlineStr">
        <is>
          <t>E3</t>
        </is>
      </c>
      <c r="B1013" t="inlineStr">
        <is>
          <t>Kubernetes</t>
        </is>
      </c>
      <c r="C1013" t="inlineStr">
        <is>
          <t>StormForge</t>
        </is>
      </c>
      <c r="D1013" t="inlineStr">
        <is>
          <t>Asignacion</t>
        </is>
      </c>
      <c r="E1013" t="inlineStr">
        <is>
          <t>A2</t>
        </is>
      </c>
      <c r="F1013" s="2" t="inlineStr">
        <is>
          <t>¿Explicita y aplica reglas para costo compartido/multi-tenant?</t>
        </is>
      </c>
      <c r="G1013" t="inlineStr">
        <is>
          <t>NE</t>
        </is>
      </c>
      <c r="H1013" t="inlineStr">
        <is>
          <t>Pendiente</t>
        </is>
      </c>
      <c r="I1013" s="2" t="inlineStr">
        <is>
          <t>Mismo motivo que A1.</t>
        </is>
      </c>
      <c r="J1013" t="inlineStr">
        <is>
          <t>https://docs.stormforge.io/optimize-live/recommendations/</t>
        </is>
      </c>
      <c r="K1013" t="inlineStr">
        <is>
          <t>2026-09-16</t>
        </is>
      </c>
      <c r="L101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4">
      <c r="A1014" t="inlineStr">
        <is>
          <t>E3</t>
        </is>
      </c>
      <c r="B1014" t="inlineStr">
        <is>
          <t>Kubernetes</t>
        </is>
      </c>
      <c r="C1014" t="inlineStr">
        <is>
          <t>StormForge</t>
        </is>
      </c>
      <c r="D1014" t="inlineStr">
        <is>
          <t>Optimizacion</t>
        </is>
      </c>
      <c r="E1014" t="inlineStr">
        <is>
          <t>O1</t>
        </is>
      </c>
      <c r="F1014" s="2" t="inlineStr">
        <is>
          <t>¿Detecta desperdicio, rightsizing o compromiso relevante al escenario?</t>
        </is>
      </c>
      <c r="G1014" t="n">
        <v>2</v>
      </c>
      <c r="H1014" t="inlineStr">
        <is>
          <t>Oficial</t>
        </is>
      </c>
      <c r="I1014" s="2" t="inlineStr">
        <is>
          <t>Un modelo de machine learning genera recomendaciones de CPU/memoria (requests y limits), tamaño de heap de Java, afinidad de nodo y umbral objetivo de HPA, con tres variantes por objetivo (ahorro, confiabilidad, balanceado).</t>
        </is>
      </c>
      <c r="J1014" t="inlineStr">
        <is>
          <t>https://docs.stormforge.io/optimize-live/recommendations/</t>
        </is>
      </c>
      <c r="K1014" t="inlineStr">
        <is>
          <t>2026-09-16</t>
        </is>
      </c>
      <c r="L1014" s="2" t="inlineStr"/>
    </row>
    <row r="1015">
      <c r="A1015" t="inlineStr">
        <is>
          <t>E3</t>
        </is>
      </c>
      <c r="B1015" t="inlineStr">
        <is>
          <t>Kubernetes</t>
        </is>
      </c>
      <c r="C1015" t="inlineStr">
        <is>
          <t>StormForge</t>
        </is>
      </c>
      <c r="D1015" t="inlineStr">
        <is>
          <t>Optimizacion</t>
        </is>
      </c>
      <c r="E1015" t="inlineStr">
        <is>
          <t>O2</t>
        </is>
      </c>
      <c r="F1015" s="2" t="inlineStr">
        <is>
          <t>¿Explica supuesto/impacto y permite seguir una recomendación?</t>
        </is>
      </c>
      <c r="G1015" t="n">
        <v>1</v>
      </c>
      <c r="H1015" t="inlineStr">
        <is>
          <t>Oficial</t>
        </is>
      </c>
      <c r="I1015" s="2" t="inlineStr">
        <is>
          <t>La documentación revisada no menciona estimaciones de ahorro en dinero; el seguimiento se limita al estado de la recomendación (generada/aplicada), sin una métrica de impacto económico explícita.</t>
        </is>
      </c>
      <c r="J1015" t="inlineStr">
        <is>
          <t>https://docs.stormforge.io/optimize-live/recommendations/</t>
        </is>
      </c>
      <c r="K1015" t="inlineStr">
        <is>
          <t>2026-09-16</t>
        </is>
      </c>
      <c r="L1015" s="2" t="inlineStr"/>
    </row>
    <row r="1016">
      <c r="A1016" t="inlineStr">
        <is>
          <t>E3</t>
        </is>
      </c>
      <c r="B1016" t="inlineStr">
        <is>
          <t>Kubernetes</t>
        </is>
      </c>
      <c r="C1016" t="inlineStr">
        <is>
          <t>StormForge</t>
        </is>
      </c>
      <c r="D1016" t="inlineStr">
        <is>
          <t>Automatizacion</t>
        </is>
      </c>
      <c r="E1016" t="inlineStr">
        <is>
          <t>AU1</t>
        </is>
      </c>
      <c r="F1016" s="2" t="inlineStr">
        <is>
          <t>¿Ejecuta o bloquea acciones/políticas de costo con control verificable?</t>
        </is>
      </c>
      <c r="G1016" t="n">
        <v>2</v>
      </c>
      <c r="H1016" t="inlineStr">
        <is>
          <t>Oficial</t>
        </is>
      </c>
      <c r="I1016" s="2" t="inlineStr">
        <is>
          <t>El modo automático aplica nuevas recomendaciones según una programación configurada ("automatically applies new recommendations when they are generated on the configured schedule"); también admite aplicación manual bajo demanda.</t>
        </is>
      </c>
      <c r="J1016" t="inlineStr">
        <is>
          <t>https://docs.stormforge.io/optimize-live/configure/settings/apply-settings/</t>
        </is>
      </c>
      <c r="K1016" t="inlineStr">
        <is>
          <t>2026-09-16</t>
        </is>
      </c>
      <c r="L1016" s="2" t="inlineStr"/>
    </row>
    <row r="1017">
      <c r="A1017" t="inlineStr">
        <is>
          <t>E3</t>
        </is>
      </c>
      <c r="B1017" t="inlineStr">
        <is>
          <t>Kubernetes</t>
        </is>
      </c>
      <c r="C1017" t="inlineStr">
        <is>
          <t>StormForge</t>
        </is>
      </c>
      <c r="D1017" t="inlineStr">
        <is>
          <t>Automatizacion</t>
        </is>
      </c>
      <c r="E1017" t="inlineStr">
        <is>
          <t>AU2</t>
        </is>
      </c>
      <c r="F1017" s="2" t="inlineStr">
        <is>
          <t>¿Ofrece aprobación, reversión, registro o límites antes de actuar?</t>
        </is>
      </c>
      <c r="G1017" t="n">
        <v>2</v>
      </c>
      <c r="H1017" t="inlineStr">
        <is>
          <t>Oficial</t>
        </is>
      </c>
      <c r="I1017" s="2" t="inlineStr">
        <is>
          <t>Incluye un "Learning Period" (mínimo 1 día, por defecto 7) como puerta de automatización antes de permitir auto-despliegue, umbrales mínimos configurables que impiden desplegar cambios menores, y despliegue incremental (porcentaje máximo de incremento/decremento) para evitar ajustes bruscos.</t>
        </is>
      </c>
      <c r="J1017" t="inlineStr">
        <is>
          <t>https://docs.stormforge.io/optimize-live/configure/settings/apply-settings/</t>
        </is>
      </c>
      <c r="K1017" t="inlineStr">
        <is>
          <t>2026-09-16</t>
        </is>
      </c>
      <c r="L1017" s="2" t="inlineStr"/>
    </row>
    <row r="1018">
      <c r="A1018" t="inlineStr">
        <is>
          <t>E3</t>
        </is>
      </c>
      <c r="B1018" t="inlineStr">
        <is>
          <t>Kubernetes</t>
        </is>
      </c>
      <c r="C1018" t="inlineStr">
        <is>
          <t>StormForge</t>
        </is>
      </c>
      <c r="D1018" t="inlineStr">
        <is>
          <t>Multicloud</t>
        </is>
      </c>
      <c r="E1018" t="inlineStr">
        <is>
          <t>M1</t>
        </is>
      </c>
      <c r="F1018" s="2" t="inlineStr">
        <is>
          <t>¿Consolida al menos dos proveedores bajo el mismo esquema declarado?</t>
        </is>
      </c>
      <c r="G1018" t="inlineStr">
        <is>
          <t>NE</t>
        </is>
      </c>
      <c r="H1018" t="inlineStr">
        <is>
          <t>Pendiente</t>
        </is>
      </c>
      <c r="I1018" s="2" t="inlineStr">
        <is>
          <t>StormForge opera sobre workloads de Kubernetes; la documentación revisada no describe consolidación de costo entre proveedores cloud.</t>
        </is>
      </c>
      <c r="J1018" t="inlineStr">
        <is>
          <t>https://docs.stormforge.io/optimize-live/recommendations/</t>
        </is>
      </c>
      <c r="K1018" t="inlineStr">
        <is>
          <t>2026-09-16</t>
        </is>
      </c>
      <c r="L1018"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19">
      <c r="A1019" t="inlineStr">
        <is>
          <t>E3</t>
        </is>
      </c>
      <c r="B1019" t="inlineStr">
        <is>
          <t>Kubernetes</t>
        </is>
      </c>
      <c r="C1019" t="inlineStr">
        <is>
          <t>StormForge</t>
        </is>
      </c>
      <c r="D1019" t="inlineStr">
        <is>
          <t>Multicloud</t>
        </is>
      </c>
      <c r="E1019" t="inlineStr">
        <is>
          <t>M2</t>
        </is>
      </c>
      <c r="F1019" s="2" t="inlineStr">
        <is>
          <t>¿Hace visibles proveedor, cobertura y diferencias semánticas?</t>
        </is>
      </c>
      <c r="G1019" t="inlineStr">
        <is>
          <t>NE</t>
        </is>
      </c>
      <c r="H1019" t="inlineStr">
        <is>
          <t>Pendiente</t>
        </is>
      </c>
      <c r="I1019" s="2" t="inlineStr">
        <is>
          <t>Mismo motivo que M1.</t>
        </is>
      </c>
      <c r="J1019" t="inlineStr">
        <is>
          <t>https://docs.stormforge.io/optimize-live/recommendations/</t>
        </is>
      </c>
      <c r="K1019" t="inlineStr">
        <is>
          <t>2026-09-16</t>
        </is>
      </c>
      <c r="L101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0">
      <c r="A1020" t="inlineStr">
        <is>
          <t>E3</t>
        </is>
      </c>
      <c r="B1020" t="inlineStr">
        <is>
          <t>Kubernetes</t>
        </is>
      </c>
      <c r="C1020" t="inlineStr">
        <is>
          <t>StormForge</t>
        </is>
      </c>
      <c r="D1020" t="inlineStr">
        <is>
          <t>Integracion</t>
        </is>
      </c>
      <c r="E1020" t="inlineStr">
        <is>
          <t>I1</t>
        </is>
      </c>
      <c r="F1020" s="2" t="inlineStr">
        <is>
          <t>¿Integra datos requeridos (facturación, uso, clúster o IaC) del escenario?</t>
        </is>
      </c>
      <c r="G1020" t="n">
        <v>1</v>
      </c>
      <c r="H1020" t="inlineStr">
        <is>
          <t>Oficial</t>
        </is>
      </c>
      <c r="I1020" s="2" t="inlineStr">
        <is>
          <t>Se integra con métricas de CPU/memoria del clúster (requests y uso real) para generar recomendaciones; la documentación revisada no detalla el mecanismo de ingesta con el mismo nivel de especificidad que OpenCost/Kubecost.</t>
        </is>
      </c>
      <c r="J1020" t="inlineStr">
        <is>
          <t>https://docs.stormforge.io/optimize-live/recommendations/</t>
        </is>
      </c>
      <c r="K1020" t="inlineStr">
        <is>
          <t>2026-09-16</t>
        </is>
      </c>
      <c r="L1020" s="2" t="inlineStr"/>
    </row>
    <row r="1021">
      <c r="A1021" t="inlineStr">
        <is>
          <t>E3</t>
        </is>
      </c>
      <c r="B1021" t="inlineStr">
        <is>
          <t>Kubernetes</t>
        </is>
      </c>
      <c r="C1021" t="inlineStr">
        <is>
          <t>StormForge</t>
        </is>
      </c>
      <c r="D1021" t="inlineStr">
        <is>
          <t>Integracion</t>
        </is>
      </c>
      <c r="E1021" t="inlineStr">
        <is>
          <t>I2</t>
        </is>
      </c>
      <c r="F1021" s="2" t="inlineStr">
        <is>
          <t>¿Se integra con el flujo de trabajo relevante (alerta, ticket, CI/CD o reporte)?</t>
        </is>
      </c>
      <c r="G1021" t="n">
        <v>1</v>
      </c>
      <c r="H1021" t="inlineStr">
        <is>
          <t>Oficial</t>
        </is>
      </c>
      <c r="I1021" s="2" t="inlineStr">
        <is>
          <t>Soporta métodos de aplicación inmediatos o diferidos hasta el próximo reinicio del pod, e incluye un "add-on" de instalación para EKS y soporte de Red Hat OpenShift, pero no se documentó integración con ticketing/CI-CD externos.</t>
        </is>
      </c>
      <c r="J1021" t="inlineStr">
        <is>
          <t>https://docs.stormforge.io/optimize-live/configure/settings/apply-settings/</t>
        </is>
      </c>
      <c r="K1021" t="inlineStr">
        <is>
          <t>2026-09-16</t>
        </is>
      </c>
      <c r="L1021" s="2" t="inlineStr"/>
    </row>
    <row r="1022">
      <c r="A1022" t="inlineStr">
        <is>
          <t>E3</t>
        </is>
      </c>
      <c r="B1022" t="inlineStr">
        <is>
          <t>Kubernetes</t>
        </is>
      </c>
      <c r="C1022" t="inlineStr">
        <is>
          <t>StormForge</t>
        </is>
      </c>
      <c r="D1022" t="inlineStr">
        <is>
          <t>Adopcion</t>
        </is>
      </c>
      <c r="E1022" t="inlineStr">
        <is>
          <t>AD1</t>
        </is>
      </c>
      <c r="F1022" s="2" t="inlineStr">
        <is>
          <t>¿Soporta acceso/entrega para los roles del escenario?</t>
        </is>
      </c>
      <c r="G1022" t="inlineStr">
        <is>
          <t>NE</t>
        </is>
      </c>
      <c r="H1022" t="inlineStr">
        <is>
          <t>Pendiente</t>
        </is>
      </c>
      <c r="I1022" s="2" t="inlineStr">
        <is>
          <t>No se encontró, en la documentación revisada, un modelo de roles/permisos propio del producto.</t>
        </is>
      </c>
      <c r="K1022" t="inlineStr">
        <is>
          <t>2026-09-16</t>
        </is>
      </c>
      <c r="L1022" s="2" t="inlineStr"/>
    </row>
    <row r="1023">
      <c r="A1023" t="inlineStr">
        <is>
          <t>E3</t>
        </is>
      </c>
      <c r="B1023" t="inlineStr">
        <is>
          <t>Kubernetes</t>
        </is>
      </c>
      <c r="C1023" t="inlineStr">
        <is>
          <t>StormForge</t>
        </is>
      </c>
      <c r="D1023" t="inlineStr">
        <is>
          <t>Adopcion</t>
        </is>
      </c>
      <c r="E1023" t="inlineStr">
        <is>
          <t>AD2</t>
        </is>
      </c>
      <c r="F1023" s="2" t="inlineStr">
        <is>
          <t>¿Ofrece guías, ownership o mecanismos de seguimiento para uso sostenido?</t>
        </is>
      </c>
      <c r="G1023" t="inlineStr">
        <is>
          <t>NE</t>
        </is>
      </c>
      <c r="H1023" t="inlineStr">
        <is>
          <t>Pendiente</t>
        </is>
      </c>
      <c r="I1023" s="2" t="inlineStr">
        <is>
          <t>No se encontró, en la documentación revisada, una guía de adopción/gobernanza dedicada más allá de la documentación general del producto.</t>
        </is>
      </c>
      <c r="K1023" t="inlineStr">
        <is>
          <t>2026-09-16</t>
        </is>
      </c>
      <c r="L1023" s="2" t="inlineStr"/>
    </row>
    <row r="1024">
      <c r="A1024" t="inlineStr">
        <is>
          <t>E3</t>
        </is>
      </c>
      <c r="B1024" t="inlineStr">
        <is>
          <t>Kubernetes</t>
        </is>
      </c>
      <c r="C1024" t="inlineStr">
        <is>
          <t>StormForge</t>
        </is>
      </c>
      <c r="D1024" t="inlineStr">
        <is>
          <t>Precio</t>
        </is>
      </c>
      <c r="E1024" t="inlineStr">
        <is>
          <t>P1</t>
        </is>
      </c>
      <c r="F1024" s="2" t="inlineStr">
        <is>
          <t>¿Expone precio, moneda, región, unidad, período y supuestos relevantes?</t>
        </is>
      </c>
      <c r="G1024" t="inlineStr">
        <is>
          <t>NE</t>
        </is>
      </c>
      <c r="H1024" t="inlineStr">
        <is>
          <t>Pendiente</t>
        </is>
      </c>
      <c r="I1024" s="2" t="inlineStr">
        <is>
          <t>No expone transparencia de precio/supuestos de una estimación previa al despliegue (opera sobre workloads ya desplegados).</t>
        </is>
      </c>
      <c r="J1024" t="inlineStr">
        <is>
          <t>https://docs.stormforge.io/optimize-live/recommendations/</t>
        </is>
      </c>
      <c r="K1024" t="inlineStr">
        <is>
          <t>2026-09-16</t>
        </is>
      </c>
      <c r="L1024"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5">
      <c r="A1025" t="inlineStr">
        <is>
          <t>E3</t>
        </is>
      </c>
      <c r="B1025" t="inlineStr">
        <is>
          <t>Kubernetes</t>
        </is>
      </c>
      <c r="C1025" t="inlineStr">
        <is>
          <t>StormForge</t>
        </is>
      </c>
      <c r="D1025" t="inlineStr">
        <is>
          <t>Precio</t>
        </is>
      </c>
      <c r="E1025" t="inlineStr">
        <is>
          <t>P2</t>
        </is>
      </c>
      <c r="F1025" s="2" t="inlineStr">
        <is>
          <t>¿Permite estimar o comparar componentes sin ocultar límites de equivalencia?</t>
        </is>
      </c>
      <c r="G1025" t="inlineStr">
        <is>
          <t>NE</t>
        </is>
      </c>
      <c r="H1025" t="inlineStr">
        <is>
          <t>Pendiente</t>
        </is>
      </c>
      <c r="I1025" s="2" t="inlineStr">
        <is>
          <t>Mismo motivo que P1.</t>
        </is>
      </c>
      <c r="J1025" t="inlineStr">
        <is>
          <t>https://docs.stormforge.io/optimize-live/recommendations/</t>
        </is>
      </c>
      <c r="K1025" t="inlineStr">
        <is>
          <t>2026-09-16</t>
        </is>
      </c>
      <c r="L1025"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6">
      <c r="A1026" t="inlineStr">
        <is>
          <t>E3</t>
        </is>
      </c>
      <c r="B1026" t="inlineStr">
        <is>
          <t>Kubernetes</t>
        </is>
      </c>
      <c r="C1026" t="inlineStr">
        <is>
          <t>StormForge</t>
        </is>
      </c>
      <c r="D1026" t="inlineStr">
        <is>
          <t>Dependencia</t>
        </is>
      </c>
      <c r="E1026" t="inlineStr">
        <is>
          <t>D1</t>
        </is>
      </c>
      <c r="F1026" s="2" t="inlineStr">
        <is>
          <t>¿Exporta datos/resultados en formato utilizable y documentado?</t>
        </is>
      </c>
      <c r="G1026" t="inlineStr">
        <is>
          <t>NE</t>
        </is>
      </c>
      <c r="H1026" t="inlineStr">
        <is>
          <t>Pendiente</t>
        </is>
      </c>
      <c r="I1026" s="2" t="inlineStr">
        <is>
          <t>No se encontró, en la documentación revisada, una función explícita de exportación de datos/recomendaciones.</t>
        </is>
      </c>
      <c r="K1026" t="inlineStr">
        <is>
          <t>2026-09-16</t>
        </is>
      </c>
      <c r="L1026" s="2" t="inlineStr"/>
    </row>
    <row r="1027">
      <c r="A1027" t="inlineStr">
        <is>
          <t>E3</t>
        </is>
      </c>
      <c r="B1027" t="inlineStr">
        <is>
          <t>Kubernetes</t>
        </is>
      </c>
      <c r="C1027" t="inlineStr">
        <is>
          <t>StormForge</t>
        </is>
      </c>
      <c r="D1027" t="inlineStr">
        <is>
          <t>Dependencia</t>
        </is>
      </c>
      <c r="E1027" t="inlineStr">
        <is>
          <t>D2</t>
        </is>
      </c>
      <c r="F1027" s="2" t="inlineStr">
        <is>
          <t>¿Documenta dependencias propietarias y un camino de salida/configuración reversible?</t>
        </is>
      </c>
      <c r="G1027" t="inlineStr">
        <is>
          <t>NE</t>
        </is>
      </c>
      <c r="H1027" t="inlineStr">
        <is>
          <t>Pendiente</t>
        </is>
      </c>
      <c r="I1027" s="2" t="inlineStr">
        <is>
          <t>No se encontró documentación sobre un camino de salida o reversibilidad de la configuración.</t>
        </is>
      </c>
      <c r="K1027" t="inlineStr">
        <is>
          <t>2026-09-16</t>
        </is>
      </c>
      <c r="L1027" s="2" t="inlineStr"/>
    </row>
    <row r="1028">
      <c r="A1028" t="inlineStr">
        <is>
          <t>E5</t>
        </is>
      </c>
      <c r="B1028" t="inlineStr">
        <is>
          <t>Kubernetes</t>
        </is>
      </c>
      <c r="C1028" t="inlineStr">
        <is>
          <t>StormForge</t>
        </is>
      </c>
      <c r="D1028" t="inlineStr">
        <is>
          <t>Visibilidad</t>
        </is>
      </c>
      <c r="E1028" t="inlineStr">
        <is>
          <t>V1</t>
        </is>
      </c>
      <c r="F1028" s="2" t="inlineStr">
        <is>
          <t>¿Desagrega costo y uso por cuenta/proyecto, servicio y período?</t>
        </is>
      </c>
      <c r="G1028" t="inlineStr">
        <is>
          <t>NE</t>
        </is>
      </c>
      <c r="H1028" t="inlineStr">
        <is>
          <t>Pendiente</t>
        </is>
      </c>
      <c r="I1028" s="2" t="inlineStr">
        <is>
          <t>StormForge Optimize Live se enfoca en generar recomendaciones de dimensionamiento por workload; la documentación revisada no describe un desglose de costo/uso por cuenta-namespace-período (esa función corresponde a OpenCost/Kubecost/Cast AI).</t>
        </is>
      </c>
      <c r="J1028" t="inlineStr">
        <is>
          <t>https://docs.stormforge.io/optimize-live/recommendations/</t>
        </is>
      </c>
      <c r="K1028" t="inlineStr">
        <is>
          <t>2026-09-16</t>
        </is>
      </c>
      <c r="L1028"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29">
      <c r="A1029" t="inlineStr">
        <is>
          <t>E5</t>
        </is>
      </c>
      <c r="B1029" t="inlineStr">
        <is>
          <t>Kubernetes</t>
        </is>
      </c>
      <c r="C1029" t="inlineStr">
        <is>
          <t>StormForge</t>
        </is>
      </c>
      <c r="D1029" t="inlineStr">
        <is>
          <t>Visibilidad</t>
        </is>
      </c>
      <c r="E1029" t="inlineStr">
        <is>
          <t>V2</t>
        </is>
      </c>
      <c r="F1029" s="2" t="inlineStr">
        <is>
          <t>¿Permite rastrear un total hasta registros o fuente de facturación?</t>
        </is>
      </c>
      <c r="G1029" t="inlineStr">
        <is>
          <t>NE</t>
        </is>
      </c>
      <c r="H1029" t="inlineStr">
        <is>
          <t>Pendiente</t>
        </is>
      </c>
      <c r="I1029" s="2" t="inlineStr">
        <is>
          <t>Mismo motivo que V1.</t>
        </is>
      </c>
      <c r="J1029" t="inlineStr">
        <is>
          <t>https://docs.stormforge.io/optimize-live/recommendations/</t>
        </is>
      </c>
      <c r="K1029" t="inlineStr">
        <is>
          <t>2026-09-16</t>
        </is>
      </c>
      <c r="L1029"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0">
      <c r="A1030" t="inlineStr">
        <is>
          <t>E5</t>
        </is>
      </c>
      <c r="B1030" t="inlineStr">
        <is>
          <t>Kubernetes</t>
        </is>
      </c>
      <c r="C1030" t="inlineStr">
        <is>
          <t>StormForge</t>
        </is>
      </c>
      <c r="D1030" t="inlineStr">
        <is>
          <t>Asignacion</t>
        </is>
      </c>
      <c r="E1030" t="inlineStr">
        <is>
          <t>A1</t>
        </is>
      </c>
      <c r="F1030" s="2" t="inlineStr">
        <is>
          <t>¿Calcula gasto asignado/no asignado por responsable, centro o entidad?</t>
        </is>
      </c>
      <c r="G1030" t="inlineStr">
        <is>
          <t>NE</t>
        </is>
      </c>
      <c r="H1030" t="inlineStr">
        <is>
          <t>Pendiente</t>
        </is>
      </c>
      <c r="I1030" s="2" t="inlineStr">
        <is>
          <t>No es una herramienta de asignación de costo organizacional.</t>
        </is>
      </c>
      <c r="J1030" t="inlineStr">
        <is>
          <t>https://docs.stormforge.io/optimize-live/recommendations/</t>
        </is>
      </c>
      <c r="K1030" t="inlineStr">
        <is>
          <t>2026-09-16</t>
        </is>
      </c>
      <c r="L1030"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1">
      <c r="A1031" t="inlineStr">
        <is>
          <t>E5</t>
        </is>
      </c>
      <c r="B1031" t="inlineStr">
        <is>
          <t>Kubernetes</t>
        </is>
      </c>
      <c r="C1031" t="inlineStr">
        <is>
          <t>StormForge</t>
        </is>
      </c>
      <c r="D1031" t="inlineStr">
        <is>
          <t>Asignacion</t>
        </is>
      </c>
      <c r="E1031" t="inlineStr">
        <is>
          <t>A2</t>
        </is>
      </c>
      <c r="F1031" s="2" t="inlineStr">
        <is>
          <t>¿Explicita y aplica reglas para costo compartido/multi-tenant?</t>
        </is>
      </c>
      <c r="G1031" t="inlineStr">
        <is>
          <t>NE</t>
        </is>
      </c>
      <c r="H1031" t="inlineStr">
        <is>
          <t>Pendiente</t>
        </is>
      </c>
      <c r="I1031" s="2" t="inlineStr">
        <is>
          <t>Mismo motivo que A1.</t>
        </is>
      </c>
      <c r="J1031" t="inlineStr">
        <is>
          <t>https://docs.stormforge.io/optimize-live/recommendations/</t>
        </is>
      </c>
      <c r="K1031" t="inlineStr">
        <is>
          <t>2026-09-16</t>
        </is>
      </c>
      <c r="L1031"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2">
      <c r="A1032" t="inlineStr">
        <is>
          <t>E5</t>
        </is>
      </c>
      <c r="B1032" t="inlineStr">
        <is>
          <t>Kubernetes</t>
        </is>
      </c>
      <c r="C1032" t="inlineStr">
        <is>
          <t>StormForge</t>
        </is>
      </c>
      <c r="D1032" t="inlineStr">
        <is>
          <t>Optimizacion</t>
        </is>
      </c>
      <c r="E1032" t="inlineStr">
        <is>
          <t>O1</t>
        </is>
      </c>
      <c r="F1032" s="2" t="inlineStr">
        <is>
          <t>¿Detecta desperdicio, rightsizing o compromiso relevante al escenario?</t>
        </is>
      </c>
      <c r="G1032" t="n">
        <v>2</v>
      </c>
      <c r="H1032" t="inlineStr">
        <is>
          <t>Oficial</t>
        </is>
      </c>
      <c r="I1032" s="2" t="inlineStr">
        <is>
          <t>Un modelo de machine learning genera recomendaciones de CPU/memoria (requests y limits), tamaño de heap de Java, afinidad de nodo y umbral objetivo de HPA, con tres variantes por objetivo (ahorro, confiabilidad, balanceado).</t>
        </is>
      </c>
      <c r="J1032" t="inlineStr">
        <is>
          <t>https://docs.stormforge.io/optimize-live/recommendations/</t>
        </is>
      </c>
      <c r="K1032" t="inlineStr">
        <is>
          <t>2026-09-16</t>
        </is>
      </c>
      <c r="L1032" s="2" t="inlineStr">
        <is>
          <t>Celda heredada FP-180 (2026-09-16): el valor 2 proviene de la investigacion del escenario E3 y no cuenta con evidencia propia de E5. Segun FP-177 el indicador O1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033">
      <c r="A1033" t="inlineStr">
        <is>
          <t>E5</t>
        </is>
      </c>
      <c r="B1033" t="inlineStr">
        <is>
          <t>Kubernetes</t>
        </is>
      </c>
      <c r="C1033" t="inlineStr">
        <is>
          <t>StormForge</t>
        </is>
      </c>
      <c r="D1033" t="inlineStr">
        <is>
          <t>Optimizacion</t>
        </is>
      </c>
      <c r="E1033" t="inlineStr">
        <is>
          <t>O2</t>
        </is>
      </c>
      <c r="F1033" s="2" t="inlineStr">
        <is>
          <t>¿Explica supuesto/impacto y permite seguir una recomendación?</t>
        </is>
      </c>
      <c r="G1033" t="n">
        <v>1</v>
      </c>
      <c r="H1033" t="inlineStr">
        <is>
          <t>Oficial</t>
        </is>
      </c>
      <c r="I1033" s="2" t="inlineStr">
        <is>
          <t>La documentación revisada no menciona estimaciones de ahorro en dinero; el seguimiento se limita al estado de la recomendación (generada/aplicada), sin una métrica de impacto económico explícita.</t>
        </is>
      </c>
      <c r="J1033" t="inlineStr">
        <is>
          <t>https://docs.stormforge.io/optimize-live/recommendations/</t>
        </is>
      </c>
      <c r="K1033" t="inlineStr">
        <is>
          <t>2026-09-16</t>
        </is>
      </c>
      <c r="L1033" s="2" t="inlineStr"/>
    </row>
    <row r="1034">
      <c r="A1034" t="inlineStr">
        <is>
          <t>E5</t>
        </is>
      </c>
      <c r="B1034" t="inlineStr">
        <is>
          <t>Kubernetes</t>
        </is>
      </c>
      <c r="C1034" t="inlineStr">
        <is>
          <t>StormForge</t>
        </is>
      </c>
      <c r="D1034" t="inlineStr">
        <is>
          <t>Automatizacion</t>
        </is>
      </c>
      <c r="E1034" t="inlineStr">
        <is>
          <t>AU1</t>
        </is>
      </c>
      <c r="F1034" s="2" t="inlineStr">
        <is>
          <t>¿Ejecuta o bloquea acciones/políticas de costo con control verificable?</t>
        </is>
      </c>
      <c r="G1034" t="n">
        <v>2</v>
      </c>
      <c r="H1034" t="inlineStr">
        <is>
          <t>Oficial</t>
        </is>
      </c>
      <c r="I1034" s="2" t="inlineStr">
        <is>
          <t>El modo automático aplica nuevas recomendaciones según una programación configurada ("automatically applies new recommendations when they are generated on the configured schedule"); también admite aplicación manual bajo demanda.</t>
        </is>
      </c>
      <c r="J1034" t="inlineStr">
        <is>
          <t>https://docs.stormforge.io/optimize-live/configure/settings/apply-settings/</t>
        </is>
      </c>
      <c r="K1034" t="inlineStr">
        <is>
          <t>2026-09-16</t>
        </is>
      </c>
      <c r="L1034" s="2" t="inlineStr">
        <is>
          <t>Celda heredada FP-180 (2026-09-16): el valor 2 proviene de la investigacion del escenario E3 y no cuenta con evidencia propia de E5. Segun FP-177 el indicador AU1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035">
      <c r="A1035" t="inlineStr">
        <is>
          <t>E5</t>
        </is>
      </c>
      <c r="B1035" t="inlineStr">
        <is>
          <t>Kubernetes</t>
        </is>
      </c>
      <c r="C1035" t="inlineStr">
        <is>
          <t>StormForge</t>
        </is>
      </c>
      <c r="D1035" t="inlineStr">
        <is>
          <t>Automatizacion</t>
        </is>
      </c>
      <c r="E1035" t="inlineStr">
        <is>
          <t>AU2</t>
        </is>
      </c>
      <c r="F1035" s="2" t="inlineStr">
        <is>
          <t>¿Ofrece aprobación, reversión, registro o límites antes de actuar?</t>
        </is>
      </c>
      <c r="G1035" t="n">
        <v>2</v>
      </c>
      <c r="H1035" t="inlineStr">
        <is>
          <t>Oficial</t>
        </is>
      </c>
      <c r="I1035" s="2" t="inlineStr">
        <is>
          <t>Incluye un "Learning Period" (mínimo 1 día, por defecto 7) como puerta de automatización antes de permitir auto-despliegue, umbrales mínimos configurables que impiden desplegar cambios menores, y despliegue incremental (porcentaje máximo de incremento/decremento) para evitar ajustes bruscos.</t>
        </is>
      </c>
      <c r="J1035" t="inlineStr">
        <is>
          <t>https://docs.stormforge.io/optimize-live/configure/settings/apply-settings/</t>
        </is>
      </c>
      <c r="K1035" t="inlineStr">
        <is>
          <t>2026-09-16</t>
        </is>
      </c>
      <c r="L1035" s="2" t="inlineStr"/>
    </row>
    <row r="1036">
      <c r="A1036" t="inlineStr">
        <is>
          <t>E5</t>
        </is>
      </c>
      <c r="B1036" t="inlineStr">
        <is>
          <t>Kubernetes</t>
        </is>
      </c>
      <c r="C1036" t="inlineStr">
        <is>
          <t>StormForge</t>
        </is>
      </c>
      <c r="D1036" t="inlineStr">
        <is>
          <t>Multicloud</t>
        </is>
      </c>
      <c r="E1036" t="inlineStr">
        <is>
          <t>M1</t>
        </is>
      </c>
      <c r="F1036" s="2" t="inlineStr">
        <is>
          <t>¿Consolida al menos dos proveedores bajo el mismo esquema declarado?</t>
        </is>
      </c>
      <c r="G1036" t="inlineStr">
        <is>
          <t>NE</t>
        </is>
      </c>
      <c r="H1036" t="inlineStr">
        <is>
          <t>Pendiente</t>
        </is>
      </c>
      <c r="I1036" s="2" t="inlineStr">
        <is>
          <t>StormForge opera sobre workloads de Kubernetes; la documentación revisada no describe consolidación de costo entre proveedores cloud.</t>
        </is>
      </c>
      <c r="J1036" t="inlineStr">
        <is>
          <t>https://docs.stormforge.io/optimize-live/recommendations/</t>
        </is>
      </c>
      <c r="K1036" t="inlineStr">
        <is>
          <t>2026-09-16</t>
        </is>
      </c>
      <c r="L1036"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7">
      <c r="A1037" t="inlineStr">
        <is>
          <t>E5</t>
        </is>
      </c>
      <c r="B1037" t="inlineStr">
        <is>
          <t>Kubernetes</t>
        </is>
      </c>
      <c r="C1037" t="inlineStr">
        <is>
          <t>StormForge</t>
        </is>
      </c>
      <c r="D1037" t="inlineStr">
        <is>
          <t>Multicloud</t>
        </is>
      </c>
      <c r="E1037" t="inlineStr">
        <is>
          <t>M2</t>
        </is>
      </c>
      <c r="F1037" s="2" t="inlineStr">
        <is>
          <t>¿Hace visibles proveedor, cobertura y diferencias semánticas?</t>
        </is>
      </c>
      <c r="G1037" t="inlineStr">
        <is>
          <t>NE</t>
        </is>
      </c>
      <c r="H1037" t="inlineStr">
        <is>
          <t>Pendiente</t>
        </is>
      </c>
      <c r="I1037" s="2" t="inlineStr">
        <is>
          <t>Mismo motivo que M1.</t>
        </is>
      </c>
      <c r="J1037" t="inlineStr">
        <is>
          <t>https://docs.stormforge.io/optimize-live/recommendations/</t>
        </is>
      </c>
      <c r="K1037" t="inlineStr">
        <is>
          <t>2026-09-16</t>
        </is>
      </c>
      <c r="L1037"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38">
      <c r="A1038" t="inlineStr">
        <is>
          <t>E5</t>
        </is>
      </c>
      <c r="B1038" t="inlineStr">
        <is>
          <t>Kubernetes</t>
        </is>
      </c>
      <c r="C1038" t="inlineStr">
        <is>
          <t>StormForge</t>
        </is>
      </c>
      <c r="D1038" t="inlineStr">
        <is>
          <t>Integracion</t>
        </is>
      </c>
      <c r="E1038" t="inlineStr">
        <is>
          <t>I1</t>
        </is>
      </c>
      <c r="F1038" s="2" t="inlineStr">
        <is>
          <t>¿Integra datos requeridos (facturación, uso, clúster o IaC) del escenario?</t>
        </is>
      </c>
      <c r="G1038" t="n">
        <v>1</v>
      </c>
      <c r="H1038" t="inlineStr">
        <is>
          <t>Oficial</t>
        </is>
      </c>
      <c r="I1038" s="2" t="inlineStr">
        <is>
          <t>Se integra con métricas de CPU/memoria del clúster (requests y uso real) para generar recomendaciones; la documentación revisada no detalla el mecanismo de ingesta con el mismo nivel de especificidad que OpenCost/Kubecost.</t>
        </is>
      </c>
      <c r="J1038" t="inlineStr">
        <is>
          <t>https://docs.stormforge.io/optimize-live/recommendations/</t>
        </is>
      </c>
      <c r="K1038" t="inlineStr">
        <is>
          <t>2026-09-16</t>
        </is>
      </c>
      <c r="L1038" s="2" t="inlineStr">
        <is>
          <t>Celda heredada FP-180 (2026-09-16): el valor 1 proviene de la investigacion del escenario E3 y no cuenta con evidencia propia de E5. Segun FP-177 el indicador I1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039">
      <c r="A1039" t="inlineStr">
        <is>
          <t>E5</t>
        </is>
      </c>
      <c r="B1039" t="inlineStr">
        <is>
          <t>Kubernetes</t>
        </is>
      </c>
      <c r="C1039" t="inlineStr">
        <is>
          <t>StormForge</t>
        </is>
      </c>
      <c r="D1039" t="inlineStr">
        <is>
          <t>Integracion</t>
        </is>
      </c>
      <c r="E1039" t="inlineStr">
        <is>
          <t>I2</t>
        </is>
      </c>
      <c r="F1039" s="2" t="inlineStr">
        <is>
          <t>¿Se integra con el flujo de trabajo relevante (alerta, ticket, CI/CD o reporte)?</t>
        </is>
      </c>
      <c r="G1039" t="n">
        <v>1</v>
      </c>
      <c r="H1039" t="inlineStr">
        <is>
          <t>Oficial</t>
        </is>
      </c>
      <c r="I1039" s="2" t="inlineStr">
        <is>
          <t>Soporta métodos de aplicación inmediatos o diferidos hasta el próximo reinicio del pod, e incluye un "add-on" de instalación para EKS y soporte de Red Hat OpenShift, pero no se documentó integración con ticketing/CI-CD externos.</t>
        </is>
      </c>
      <c r="J1039" t="inlineStr">
        <is>
          <t>https://docs.stormforge.io/optimize-live/configure/settings/apply-settings/</t>
        </is>
      </c>
      <c r="K1039" t="inlineStr">
        <is>
          <t>2026-09-16</t>
        </is>
      </c>
      <c r="L1039" s="2" t="inlineStr">
        <is>
          <t>Celda heredada FP-180 (2026-09-16): el valor 1 proviene de la investigacion del escenario E3 y no cuenta con evidencia propia de E5. Segun FP-177 el indicador I2 depende del escenario, por lo que pasa a NE (no evidenciado, reduce cobertura) hasta investigarlo. La evidencia y la fuente originales se conservan como referencia del escenario de origen.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040">
      <c r="A1040" t="inlineStr">
        <is>
          <t>E5</t>
        </is>
      </c>
      <c r="B1040" t="inlineStr">
        <is>
          <t>Kubernetes</t>
        </is>
      </c>
      <c r="C1040" t="inlineStr">
        <is>
          <t>StormForge</t>
        </is>
      </c>
      <c r="D1040" t="inlineStr">
        <is>
          <t>Adopcion</t>
        </is>
      </c>
      <c r="E1040" t="inlineStr">
        <is>
          <t>AD1</t>
        </is>
      </c>
      <c r="F1040" s="2" t="inlineStr">
        <is>
          <t>¿Soporta acceso/entrega para los roles del escenario?</t>
        </is>
      </c>
      <c r="G1040" t="inlineStr">
        <is>
          <t>NE</t>
        </is>
      </c>
      <c r="H1040" t="inlineStr">
        <is>
          <t>Pendiente</t>
        </is>
      </c>
      <c r="I1040" s="2" t="inlineStr">
        <is>
          <t>No se encontró, en la documentación revisada, un modelo de roles/permisos propio del producto.</t>
        </is>
      </c>
      <c r="K1040" t="inlineStr">
        <is>
          <t>2026-09-16</t>
        </is>
      </c>
      <c r="L1040" s="2" t="inlineStr"/>
    </row>
    <row r="1041">
      <c r="A1041" t="inlineStr">
        <is>
          <t>E5</t>
        </is>
      </c>
      <c r="B1041" t="inlineStr">
        <is>
          <t>Kubernetes</t>
        </is>
      </c>
      <c r="C1041" t="inlineStr">
        <is>
          <t>StormForge</t>
        </is>
      </c>
      <c r="D1041" t="inlineStr">
        <is>
          <t>Adopcion</t>
        </is>
      </c>
      <c r="E1041" t="inlineStr">
        <is>
          <t>AD2</t>
        </is>
      </c>
      <c r="F1041" s="2" t="inlineStr">
        <is>
          <t>¿Ofrece guías, ownership o mecanismos de seguimiento para uso sostenido?</t>
        </is>
      </c>
      <c r="G1041" t="inlineStr">
        <is>
          <t>NE</t>
        </is>
      </c>
      <c r="H1041" t="inlineStr">
        <is>
          <t>Pendiente</t>
        </is>
      </c>
      <c r="I1041" s="2" t="inlineStr">
        <is>
          <t>No se encontró, en la documentación revisada, una guía de adopción/gobernanza dedicada más allá de la documentación general del producto.</t>
        </is>
      </c>
      <c r="K1041" t="inlineStr">
        <is>
          <t>2026-09-16</t>
        </is>
      </c>
      <c r="L1041" s="2" t="inlineStr"/>
    </row>
    <row r="1042">
      <c r="A1042" t="inlineStr">
        <is>
          <t>E5</t>
        </is>
      </c>
      <c r="B1042" t="inlineStr">
        <is>
          <t>Kubernetes</t>
        </is>
      </c>
      <c r="C1042" t="inlineStr">
        <is>
          <t>StormForge</t>
        </is>
      </c>
      <c r="D1042" t="inlineStr">
        <is>
          <t>Precio</t>
        </is>
      </c>
      <c r="E1042" t="inlineStr">
        <is>
          <t>P1</t>
        </is>
      </c>
      <c r="F1042" s="2" t="inlineStr">
        <is>
          <t>¿Expone precio, moneda, región, unidad, período y supuestos relevantes?</t>
        </is>
      </c>
      <c r="G1042" t="inlineStr">
        <is>
          <t>NE</t>
        </is>
      </c>
      <c r="H1042" t="inlineStr">
        <is>
          <t>Pendiente</t>
        </is>
      </c>
      <c r="I1042" s="2" t="inlineStr">
        <is>
          <t>No expone transparencia de precio/supuestos de una estimación previa al despliegue (opera sobre workloads ya desplegados).</t>
        </is>
      </c>
      <c r="J1042" t="inlineStr">
        <is>
          <t>https://docs.stormforge.io/optimize-live/recommendations/</t>
        </is>
      </c>
      <c r="K1042" t="inlineStr">
        <is>
          <t>2026-09-16</t>
        </is>
      </c>
      <c r="L1042"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43">
      <c r="A1043" t="inlineStr">
        <is>
          <t>E5</t>
        </is>
      </c>
      <c r="B1043" t="inlineStr">
        <is>
          <t>Kubernetes</t>
        </is>
      </c>
      <c r="C1043" t="inlineStr">
        <is>
          <t>StormForge</t>
        </is>
      </c>
      <c r="D1043" t="inlineStr">
        <is>
          <t>Precio</t>
        </is>
      </c>
      <c r="E1043" t="inlineStr">
        <is>
          <t>P2</t>
        </is>
      </c>
      <c r="F1043" s="2" t="inlineStr">
        <is>
          <t>¿Permite estimar o comparar componentes sin ocultar límites de equivalencia?</t>
        </is>
      </c>
      <c r="G1043" t="inlineStr">
        <is>
          <t>NE</t>
        </is>
      </c>
      <c r="H1043" t="inlineStr">
        <is>
          <t>Pendiente</t>
        </is>
      </c>
      <c r="I1043" s="2" t="inlineStr">
        <is>
          <t>Mismo motivo que P1.</t>
        </is>
      </c>
      <c r="J1043" t="inlineStr">
        <is>
          <t>https://docs.stormforge.io/optimize-live/recommendations/</t>
        </is>
      </c>
      <c r="K1043" t="inlineStr">
        <is>
          <t>2026-09-16</t>
        </is>
      </c>
      <c r="L1043" s="2" t="inlineStr">
        <is>
          <t>Corrección de alcance FP-180 (2026-09-16): el valor pasa de NA a NE. La justificación registrada indica que la documentación revisada no describe la función o que no se investigó: en FP-177 eso corresponde a NE (reduce cobertura), no a NA (renormaliza pesos). La evidencia y la fuente originales no se modifican.</t>
        </is>
      </c>
    </row>
    <row r="1044">
      <c r="A1044" t="inlineStr">
        <is>
          <t>E5</t>
        </is>
      </c>
      <c r="B1044" t="inlineStr">
        <is>
          <t>Kubernetes</t>
        </is>
      </c>
      <c r="C1044" t="inlineStr">
        <is>
          <t>StormForge</t>
        </is>
      </c>
      <c r="D1044" t="inlineStr">
        <is>
          <t>Dependencia</t>
        </is>
      </c>
      <c r="E1044" t="inlineStr">
        <is>
          <t>D1</t>
        </is>
      </c>
      <c r="F1044" s="2" t="inlineStr">
        <is>
          <t>¿Exporta datos/resultados en formato utilizable y documentado?</t>
        </is>
      </c>
      <c r="G1044" t="inlineStr">
        <is>
          <t>NE</t>
        </is>
      </c>
      <c r="H1044" t="inlineStr">
        <is>
          <t>Pendiente</t>
        </is>
      </c>
      <c r="I1044" s="2" t="inlineStr">
        <is>
          <t>No se encontró, en la documentación revisada, una función explícita de exportación de datos/recomendaciones.</t>
        </is>
      </c>
      <c r="K1044" t="inlineStr">
        <is>
          <t>2026-09-16</t>
        </is>
      </c>
      <c r="L1044" s="2" t="inlineStr"/>
    </row>
    <row r="1045">
      <c r="A1045" t="inlineStr">
        <is>
          <t>E5</t>
        </is>
      </c>
      <c r="B1045" t="inlineStr">
        <is>
          <t>Kubernetes</t>
        </is>
      </c>
      <c r="C1045" t="inlineStr">
        <is>
          <t>StormForge</t>
        </is>
      </c>
      <c r="D1045" t="inlineStr">
        <is>
          <t>Dependencia</t>
        </is>
      </c>
      <c r="E1045" t="inlineStr">
        <is>
          <t>D2</t>
        </is>
      </c>
      <c r="F1045" s="2" t="inlineStr">
        <is>
          <t>¿Documenta dependencias propietarias y un camino de salida/configuración reversible?</t>
        </is>
      </c>
      <c r="G1045" t="inlineStr">
        <is>
          <t>NE</t>
        </is>
      </c>
      <c r="H1045" t="inlineStr">
        <is>
          <t>Pendiente</t>
        </is>
      </c>
      <c r="I1045" s="2" t="inlineStr">
        <is>
          <t>No se encontró documentación sobre un camino de salida o reversibilidad de la configuración.</t>
        </is>
      </c>
      <c r="K1045" t="inlineStr">
        <is>
          <t>2026-09-16</t>
        </is>
      </c>
      <c r="L1045" s="2" t="inlineStr"/>
    </row>
    <row r="1046">
      <c r="A1046" t="inlineStr">
        <is>
          <t>E4</t>
        </is>
      </c>
      <c r="B1046" t="inlineStr">
        <is>
          <t>Estimacion temprana</t>
        </is>
      </c>
      <c r="C1046" t="inlineStr">
        <is>
          <t>Infracost</t>
        </is>
      </c>
      <c r="D1046" t="inlineStr">
        <is>
          <t>Visibilidad</t>
        </is>
      </c>
      <c r="E1046" t="inlineStr">
        <is>
          <t>V1</t>
        </is>
      </c>
      <c r="F1046" s="2" t="inlineStr">
        <is>
          <t>¿Desagrega costo y uso por cuenta/proyecto, servicio y período?</t>
        </is>
      </c>
      <c r="G1046" t="n">
        <v>2</v>
      </c>
      <c r="H1046" t="inlineStr">
        <is>
          <t>Oficial</t>
        </is>
      </c>
      <c r="I1046" s="2" t="inlineStr">
        <is>
          <t>Calcula el costo estimado localmente a partir de definiciones de infraestructura como código (Terraform, CloudFormation, AWS CDK) para AWS, Azure y Google Cloud, con desglose detallado por recurso.</t>
        </is>
      </c>
      <c r="J1046" t="inlineStr">
        <is>
          <t>https://www.infracost.io/docs/</t>
        </is>
      </c>
      <c r="K1046" t="inlineStr">
        <is>
          <t>2026-09-16</t>
        </is>
      </c>
      <c r="L1046" s="2" t="inlineStr"/>
    </row>
    <row r="1047">
      <c r="A1047" t="inlineStr">
        <is>
          <t>E4</t>
        </is>
      </c>
      <c r="B1047" t="inlineStr">
        <is>
          <t>Estimacion temprana</t>
        </is>
      </c>
      <c r="C1047" t="inlineStr">
        <is>
          <t>Infracost</t>
        </is>
      </c>
      <c r="D1047" t="inlineStr">
        <is>
          <t>Visibilidad</t>
        </is>
      </c>
      <c r="E1047" t="inlineStr">
        <is>
          <t>V2</t>
        </is>
      </c>
      <c r="F1047" s="2" t="inlineStr">
        <is>
          <t>¿Permite rastrear un total hasta registros o fuente de facturación?</t>
        </is>
      </c>
      <c r="G1047" t="inlineStr">
        <is>
          <t>NA</t>
        </is>
      </c>
      <c r="H1047" t="inlineStr">
        <is>
          <t>Justificación de alcance</t>
        </is>
      </c>
      <c r="I1047" s="2" t="inlineStr">
        <is>
          <t>Infracost estima costo antes del despliegue a partir de definiciones de IaC; no rastrea ni reconcilia con la facturación real de una cuenta ya desplegada (esa función corresponde a las herramientas de visibilidad de costo).</t>
        </is>
      </c>
      <c r="J1047" t="inlineStr">
        <is>
          <t>https://www.infracost.io/docs/</t>
        </is>
      </c>
      <c r="K1047" t="inlineStr">
        <is>
          <t>2026-09-16</t>
        </is>
      </c>
      <c r="L1047" s="2" t="inlineStr"/>
    </row>
    <row r="1048">
      <c r="A1048" t="inlineStr">
        <is>
          <t>E4</t>
        </is>
      </c>
      <c r="B1048" t="inlineStr">
        <is>
          <t>Estimacion temprana</t>
        </is>
      </c>
      <c r="C1048" t="inlineStr">
        <is>
          <t>Infracost</t>
        </is>
      </c>
      <c r="D1048" t="inlineStr">
        <is>
          <t>Asignacion</t>
        </is>
      </c>
      <c r="E1048" t="inlineStr">
        <is>
          <t>A1</t>
        </is>
      </c>
      <c r="F1048" s="2" t="inlineStr">
        <is>
          <t>¿Calcula gasto asignado/no asignado por responsable, centro o entidad?</t>
        </is>
      </c>
      <c r="G1048" t="inlineStr">
        <is>
          <t>NA</t>
        </is>
      </c>
      <c r="H1048" t="inlineStr">
        <is>
          <t>Justificación de alcance</t>
        </is>
      </c>
      <c r="I1048" s="2" t="inlineStr">
        <is>
          <t>No es una herramienta de asignación de gasto organizacional; entrega una estimación de costo por definición de infraestructura, no un cálculo de gasto asignado/no asignado por responsable o centro de costo.</t>
        </is>
      </c>
      <c r="J1048" t="inlineStr">
        <is>
          <t>https://www.infracost.io/docs/</t>
        </is>
      </c>
      <c r="K1048" t="inlineStr">
        <is>
          <t>2026-09-16</t>
        </is>
      </c>
      <c r="L1048" s="2" t="inlineStr"/>
    </row>
    <row r="1049">
      <c r="A1049" t="inlineStr">
        <is>
          <t>E4</t>
        </is>
      </c>
      <c r="B1049" t="inlineStr">
        <is>
          <t>Estimacion temprana</t>
        </is>
      </c>
      <c r="C1049" t="inlineStr">
        <is>
          <t>Infracost</t>
        </is>
      </c>
      <c r="D1049" t="inlineStr">
        <is>
          <t>Asignacion</t>
        </is>
      </c>
      <c r="E1049" t="inlineStr">
        <is>
          <t>A2</t>
        </is>
      </c>
      <c r="F1049" s="2" t="inlineStr">
        <is>
          <t>¿Explicita y aplica reglas para costo compartido/multi-tenant?</t>
        </is>
      </c>
      <c r="G1049" t="inlineStr">
        <is>
          <t>NA</t>
        </is>
      </c>
      <c r="H1049" t="inlineStr">
        <is>
          <t>Justificación de alcance</t>
        </is>
      </c>
      <c r="I1049" s="2" t="inlineStr">
        <is>
          <t>Mismo motivo que A1.</t>
        </is>
      </c>
      <c r="J1049" t="inlineStr">
        <is>
          <t>https://www.infracost.io/docs/</t>
        </is>
      </c>
      <c r="K1049" t="inlineStr">
        <is>
          <t>2026-09-16</t>
        </is>
      </c>
      <c r="L1049" s="2" t="inlineStr"/>
    </row>
    <row r="1050">
      <c r="A1050" t="inlineStr">
        <is>
          <t>E4</t>
        </is>
      </c>
      <c r="B1050" t="inlineStr">
        <is>
          <t>Estimacion temprana</t>
        </is>
      </c>
      <c r="C1050" t="inlineStr">
        <is>
          <t>Infracost</t>
        </is>
      </c>
      <c r="D1050" t="inlineStr">
        <is>
          <t>Optimizacion</t>
        </is>
      </c>
      <c r="E1050" t="inlineStr">
        <is>
          <t>O1</t>
        </is>
      </c>
      <c r="F1050" s="2" t="inlineStr">
        <is>
          <t>¿Detecta desperdicio, rightsizing o compromiso relevante al escenario?</t>
        </is>
      </c>
      <c r="G1050" t="n">
        <v>2</v>
      </c>
      <c r="H1050" t="inlineStr">
        <is>
          <t>Oficial</t>
        </is>
      </c>
      <c r="I1050" s="2" t="inlineStr">
        <is>
          <t>Las "FinOps policies" y "policy violations flagging" detectan configuraciones costosas o no conformes directamente en el pull request o el editor, antes de que el cambio se despliegue.</t>
        </is>
      </c>
      <c r="J1050" t="inlineStr">
        <is>
          <t>https://www.infracost.io/docs/</t>
        </is>
      </c>
      <c r="K1050" t="inlineStr">
        <is>
          <t>2026-09-16</t>
        </is>
      </c>
      <c r="L1050" s="2" t="inlineStr"/>
    </row>
    <row r="1051">
      <c r="A1051" t="inlineStr">
        <is>
          <t>E4</t>
        </is>
      </c>
      <c r="B1051" t="inlineStr">
        <is>
          <t>Estimacion temprana</t>
        </is>
      </c>
      <c r="C1051" t="inlineStr">
        <is>
          <t>Infracost</t>
        </is>
      </c>
      <c r="D1051" t="inlineStr">
        <is>
          <t>Optimizacion</t>
        </is>
      </c>
      <c r="E1051" t="inlineStr">
        <is>
          <t>O2</t>
        </is>
      </c>
      <c r="F1051" s="2" t="inlineStr">
        <is>
          <t>¿Explica supuesto/impacto y permite seguir una recomendación?</t>
        </is>
      </c>
      <c r="G1051" t="n">
        <v>1</v>
      </c>
      <c r="H1051" t="inlineStr">
        <is>
          <t>Oficial</t>
        </is>
      </c>
      <c r="I1051" s="2" t="inlineStr">
        <is>
          <t>Infracost resalta las diferencias de costo entre la configuración propuesta y la actual y señala los "recursos más caros", pero la documentación revisada no describe un ciclo de seguimiento de estado posterior a la fusión del cambio.</t>
        </is>
      </c>
      <c r="J1051" t="inlineStr">
        <is>
          <t>https://www.infracost.io/docs/</t>
        </is>
      </c>
      <c r="K1051" t="inlineStr">
        <is>
          <t>2026-09-16</t>
        </is>
      </c>
      <c r="L1051" s="2" t="inlineStr"/>
    </row>
    <row r="1052">
      <c r="A1052" t="inlineStr">
        <is>
          <t>E4</t>
        </is>
      </c>
      <c r="B1052" t="inlineStr">
        <is>
          <t>Estimacion temprana</t>
        </is>
      </c>
      <c r="C1052" t="inlineStr">
        <is>
          <t>Infracost</t>
        </is>
      </c>
      <c r="D1052" t="inlineStr">
        <is>
          <t>Automatizacion</t>
        </is>
      </c>
      <c r="E1052" t="inlineStr">
        <is>
          <t>AU1</t>
        </is>
      </c>
      <c r="F1052" s="2" t="inlineStr">
        <is>
          <t>¿Ejecuta o bloquea acciones/políticas de costo con control verificable?</t>
        </is>
      </c>
      <c r="G1052" t="n">
        <v>0</v>
      </c>
      <c r="H1052" t="inlineStr">
        <is>
          <t>Oficial (ausencia verificada)</t>
        </is>
      </c>
      <c r="I1052" s="2" t="inlineStr">
        <is>
          <t>Infracost anota el impacto de costo dentro del flujo de revisión (PR/IDE); no ejecuta ni bloquea el despliegue por sí mismo (esa decisión queda en manos del pipeline de CI/CD del equipo).</t>
        </is>
      </c>
      <c r="J1052" t="inlineStr">
        <is>
          <t>https://www.infracost.io/docs/</t>
        </is>
      </c>
      <c r="K1052" t="inlineStr">
        <is>
          <t>2026-09-16</t>
        </is>
      </c>
      <c r="L1052"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53">
      <c r="A1053" t="inlineStr">
        <is>
          <t>E4</t>
        </is>
      </c>
      <c r="B1053" t="inlineStr">
        <is>
          <t>Estimacion temprana</t>
        </is>
      </c>
      <c r="C1053" t="inlineStr">
        <is>
          <t>Infracost</t>
        </is>
      </c>
      <c r="D1053" t="inlineStr">
        <is>
          <t>Automatizacion</t>
        </is>
      </c>
      <c r="E1053" t="inlineStr">
        <is>
          <t>AU2</t>
        </is>
      </c>
      <c r="F1053" s="2" t="inlineStr">
        <is>
          <t>¿Ofrece aprobación, reversión, registro o límites antes de actuar?</t>
        </is>
      </c>
      <c r="G1053" t="inlineStr">
        <is>
          <t>NA</t>
        </is>
      </c>
      <c r="H1053" t="inlineStr">
        <is>
          <t>Justificación de alcance</t>
        </is>
      </c>
      <c r="I1053" s="2" t="inlineStr">
        <is>
          <t>Mismo motivo que AU1.</t>
        </is>
      </c>
      <c r="J1053" t="inlineStr">
        <is>
          <t>https://www.infracost.io/docs/</t>
        </is>
      </c>
      <c r="K1053" t="inlineStr">
        <is>
          <t>2026-09-16</t>
        </is>
      </c>
      <c r="L1053" s="2" t="inlineStr"/>
    </row>
    <row r="1054">
      <c r="A1054" t="inlineStr">
        <is>
          <t>E4</t>
        </is>
      </c>
      <c r="B1054" t="inlineStr">
        <is>
          <t>Estimacion temprana</t>
        </is>
      </c>
      <c r="C1054" t="inlineStr">
        <is>
          <t>Infracost</t>
        </is>
      </c>
      <c r="D1054" t="inlineStr">
        <is>
          <t>Multicloud</t>
        </is>
      </c>
      <c r="E1054" t="inlineStr">
        <is>
          <t>M1</t>
        </is>
      </c>
      <c r="F1054" s="2" t="inlineStr">
        <is>
          <t>¿Consolida al menos dos proveedores bajo el mismo esquema declarado?</t>
        </is>
      </c>
      <c r="G1054" t="n">
        <v>1</v>
      </c>
      <c r="H1054" t="inlineStr">
        <is>
          <t>Oficial</t>
        </is>
      </c>
      <c r="I1054" s="2" t="inlineStr">
        <is>
          <t>Soporta AWS, Azure y Google Cloud dentro de la misma herramienta, pero cada estimación es por ejecución/módulo de IaC, no una consolidación normalizada y continua de gasto multicloud ya facturado.</t>
        </is>
      </c>
      <c r="J1054" t="inlineStr">
        <is>
          <t>https://www.infracost.io/docs/</t>
        </is>
      </c>
      <c r="K1054" t="inlineStr">
        <is>
          <t>2026-09-16</t>
        </is>
      </c>
      <c r="L1054" s="2" t="inlineStr"/>
    </row>
    <row r="1055">
      <c r="A1055" t="inlineStr">
        <is>
          <t>E4</t>
        </is>
      </c>
      <c r="B1055" t="inlineStr">
        <is>
          <t>Estimacion temprana</t>
        </is>
      </c>
      <c r="C1055" t="inlineStr">
        <is>
          <t>Infracost</t>
        </is>
      </c>
      <c r="D1055" t="inlineStr">
        <is>
          <t>Multicloud</t>
        </is>
      </c>
      <c r="E1055" t="inlineStr">
        <is>
          <t>M2</t>
        </is>
      </c>
      <c r="F1055" s="2" t="inlineStr">
        <is>
          <t>¿Hace visibles proveedor, cobertura y diferencias semánticas?</t>
        </is>
      </c>
      <c r="G1055" t="n">
        <v>1</v>
      </c>
      <c r="H1055" t="inlineStr">
        <is>
          <t>Oficial</t>
        </is>
      </c>
      <c r="I1055" s="2" t="inlineStr">
        <is>
          <t>El desglose por recurso/proveedor hace visible el origen de cada costo estimado, pero no se documentó un diccionario/mapeo explícito de diferencias semánticas entre proveedores.</t>
        </is>
      </c>
      <c r="J1055" t="inlineStr">
        <is>
          <t>https://www.infracost.io/docs/</t>
        </is>
      </c>
      <c r="K1055" t="inlineStr">
        <is>
          <t>2026-09-16</t>
        </is>
      </c>
      <c r="L1055" s="2" t="inlineStr"/>
    </row>
    <row r="1056">
      <c r="A1056" t="inlineStr">
        <is>
          <t>E4</t>
        </is>
      </c>
      <c r="B1056" t="inlineStr">
        <is>
          <t>Estimacion temprana</t>
        </is>
      </c>
      <c r="C1056" t="inlineStr">
        <is>
          <t>Infracost</t>
        </is>
      </c>
      <c r="D1056" t="inlineStr">
        <is>
          <t>Integracion</t>
        </is>
      </c>
      <c r="E1056" t="inlineStr">
        <is>
          <t>I1</t>
        </is>
      </c>
      <c r="F1056" s="2" t="inlineStr">
        <is>
          <t>¿Integra datos requeridos (facturación, uso, clúster o IaC) del escenario?</t>
        </is>
      </c>
      <c r="G1056" t="n">
        <v>2</v>
      </c>
      <c r="H1056" t="inlineStr">
        <is>
          <t>Oficial</t>
        </is>
      </c>
      <c r="I1056" s="2" t="inlineStr">
        <is>
          <t>Analiza directamente definiciones de Terraform, CloudFormation y AWS CDK ("infracost scan"), con caché de resultados consultable ("infracost inspect").</t>
        </is>
      </c>
      <c r="J1056" t="inlineStr">
        <is>
          <t>https://www.infracost.io/docs/</t>
        </is>
      </c>
      <c r="K1056" t="inlineStr">
        <is>
          <t>2026-09-16</t>
        </is>
      </c>
      <c r="L1056" s="2" t="inlineStr"/>
    </row>
    <row r="1057">
      <c r="A1057" t="inlineStr">
        <is>
          <t>E4</t>
        </is>
      </c>
      <c r="B1057" t="inlineStr">
        <is>
          <t>Estimacion temprana</t>
        </is>
      </c>
      <c r="C1057" t="inlineStr">
        <is>
          <t>Infracost</t>
        </is>
      </c>
      <c r="D1057" t="inlineStr">
        <is>
          <t>Integracion</t>
        </is>
      </c>
      <c r="E1057" t="inlineStr">
        <is>
          <t>I2</t>
        </is>
      </c>
      <c r="F1057" s="2" t="inlineStr">
        <is>
          <t>¿Se integra con el flujo de trabajo relevante (alerta, ticket, CI/CD o reporte)?</t>
        </is>
      </c>
      <c r="G1057" t="n">
        <v>2</v>
      </c>
      <c r="H1057" t="inlineStr">
        <is>
          <t>Oficial</t>
        </is>
      </c>
      <c r="I1057" s="2" t="inlineStr">
        <is>
          <t>Comenta automáticamente el impacto de costo en los pull requests ("so cost impact gets discussed alongside the code review") y en editores de IDE, integrándose al flujo de revisión de código.</t>
        </is>
      </c>
      <c r="J1057" t="inlineStr">
        <is>
          <t>https://www.infracost.io/docs/</t>
        </is>
      </c>
      <c r="K1057" t="inlineStr">
        <is>
          <t>2026-09-16</t>
        </is>
      </c>
      <c r="L1057" s="2" t="inlineStr"/>
    </row>
    <row r="1058">
      <c r="A1058" t="inlineStr">
        <is>
          <t>E4</t>
        </is>
      </c>
      <c r="B1058" t="inlineStr">
        <is>
          <t>Estimacion temprana</t>
        </is>
      </c>
      <c r="C1058" t="inlineStr">
        <is>
          <t>Infracost</t>
        </is>
      </c>
      <c r="D1058" t="inlineStr">
        <is>
          <t>Adopcion</t>
        </is>
      </c>
      <c r="E1058" t="inlineStr">
        <is>
          <t>AD1</t>
        </is>
      </c>
      <c r="F1058" s="2" t="inlineStr">
        <is>
          <t>¿Soporta acceso/entrega para los roles del escenario?</t>
        </is>
      </c>
      <c r="G1058" t="inlineStr">
        <is>
          <t>NE</t>
        </is>
      </c>
      <c r="H1058" t="inlineStr">
        <is>
          <t>Pendiente</t>
        </is>
      </c>
      <c r="I1058" s="2" t="inlineStr">
        <is>
          <t>No se encontró, en la documentación revisada, un modelo de roles/permisos propio del producto.</t>
        </is>
      </c>
      <c r="K1058" t="inlineStr">
        <is>
          <t>2026-09-16</t>
        </is>
      </c>
      <c r="L1058" s="2" t="inlineStr"/>
    </row>
    <row r="1059">
      <c r="A1059" t="inlineStr">
        <is>
          <t>E4</t>
        </is>
      </c>
      <c r="B1059" t="inlineStr">
        <is>
          <t>Estimacion temprana</t>
        </is>
      </c>
      <c r="C1059" t="inlineStr">
        <is>
          <t>Infracost</t>
        </is>
      </c>
      <c r="D1059" t="inlineStr">
        <is>
          <t>Adopcion</t>
        </is>
      </c>
      <c r="E1059" t="inlineStr">
        <is>
          <t>AD2</t>
        </is>
      </c>
      <c r="F1059" s="2" t="inlineStr">
        <is>
          <t>¿Ofrece guías, ownership o mecanismos de seguimiento para uso sostenido?</t>
        </is>
      </c>
      <c r="G1059" t="n">
        <v>2</v>
      </c>
      <c r="H1059" t="inlineStr">
        <is>
          <t>Oficial</t>
        </is>
      </c>
      <c r="I1059" s="2" t="inlineStr">
        <is>
          <t>Las "FinOps policies" y "tagging policies" son mecanismos de gobernanza definidos para exigir estándares organizacionales de forma sostenida en cada cambio de infraestructura.</t>
        </is>
      </c>
      <c r="J1059" t="inlineStr">
        <is>
          <t>https://www.infracost.io/docs/</t>
        </is>
      </c>
      <c r="K1059" t="inlineStr">
        <is>
          <t>2026-09-16</t>
        </is>
      </c>
      <c r="L1059" s="2" t="inlineStr">
        <is>
          <t>Contexto académico (no usado para puntuar): Manurung y Aji (2025) entrevistaron a 6 organizaciones que usan explícitamente esta herramienta ("We use AWS Cost Explorer, cast.ai, and infracost.", P2) y encontraron que el 100% (6/6) carece de showback/chargeback pese a ello ("[Gap] Cost ownership is centralized, no showback/chargeback", Tabla 4). Es evidencia de brecha organizacional, no de una limitación verificada del producto; se deja como insumo para el análisis de sensibilidad/limitaciones de FP-181, no como ajuste de este puntaje.</t>
        </is>
      </c>
    </row>
    <row r="1060">
      <c r="A1060" t="inlineStr">
        <is>
          <t>E4</t>
        </is>
      </c>
      <c r="B1060" t="inlineStr">
        <is>
          <t>Estimacion temprana</t>
        </is>
      </c>
      <c r="C1060" t="inlineStr">
        <is>
          <t>Infracost</t>
        </is>
      </c>
      <c r="D1060" t="inlineStr">
        <is>
          <t>Precio</t>
        </is>
      </c>
      <c r="E1060" t="inlineStr">
        <is>
          <t>P1</t>
        </is>
      </c>
      <c r="F1060" s="2" t="inlineStr">
        <is>
          <t>¿Expone precio, moneda, región, unidad, período y supuestos relevantes?</t>
        </is>
      </c>
      <c r="G1060" t="n">
        <v>2</v>
      </c>
      <c r="H1060" t="inlineStr">
        <is>
          <t>Oficial</t>
        </is>
      </c>
      <c r="I1060" s="2" t="inlineStr">
        <is>
          <t>Expone el desglose de costo por recurso individual, con soporte de múltiples monedas y regiones configurables y supuestos propios de cada patrón de infraestructura.</t>
        </is>
      </c>
      <c r="J1060" t="inlineStr">
        <is>
          <t>https://www.infracost.io/docs/</t>
        </is>
      </c>
      <c r="K1060" t="inlineStr">
        <is>
          <t>2026-09-16</t>
        </is>
      </c>
      <c r="L1060" s="2" t="inlineStr"/>
    </row>
    <row r="1061">
      <c r="A1061" t="inlineStr">
        <is>
          <t>E4</t>
        </is>
      </c>
      <c r="B1061" t="inlineStr">
        <is>
          <t>Estimacion temprana</t>
        </is>
      </c>
      <c r="C1061" t="inlineStr">
        <is>
          <t>Infracost</t>
        </is>
      </c>
      <c r="D1061" t="inlineStr">
        <is>
          <t>Precio</t>
        </is>
      </c>
      <c r="E1061" t="inlineStr">
        <is>
          <t>P2</t>
        </is>
      </c>
      <c r="F1061" s="2" t="inlineStr">
        <is>
          <t>¿Permite estimar o comparar componentes sin ocultar límites de equivalencia?</t>
        </is>
      </c>
      <c r="G1061" t="n">
        <v>2</v>
      </c>
      <c r="H1061" t="inlineStr">
        <is>
          <t>Oficial</t>
        </is>
      </c>
      <c r="I1061" s="2" t="inlineStr">
        <is>
          <t>Compara explícitamente el costo entre la configuración propuesta y la actual, identificando los recursos más caros y el impacto neto del cambio, con límites de la comparación documentados (supuestos por patrón de infraestructura).</t>
        </is>
      </c>
      <c r="J1061" t="inlineStr">
        <is>
          <t>https://www.infracost.io/docs/</t>
        </is>
      </c>
      <c r="K1061" t="inlineStr">
        <is>
          <t>2026-09-16</t>
        </is>
      </c>
      <c r="L1061" s="2" t="inlineStr"/>
    </row>
    <row r="1062">
      <c r="A1062" t="inlineStr">
        <is>
          <t>E4</t>
        </is>
      </c>
      <c r="B1062" t="inlineStr">
        <is>
          <t>Estimacion temprana</t>
        </is>
      </c>
      <c r="C1062" t="inlineStr">
        <is>
          <t>Infracost</t>
        </is>
      </c>
      <c r="D1062" t="inlineStr">
        <is>
          <t>Dependencia</t>
        </is>
      </c>
      <c r="E1062" t="inlineStr">
        <is>
          <t>D1</t>
        </is>
      </c>
      <c r="F1062" s="2" t="inlineStr">
        <is>
          <t>¿Exporta datos/resultados en formato utilizable y documentado?</t>
        </is>
      </c>
      <c r="G1062" t="n">
        <v>2</v>
      </c>
      <c r="H1062" t="inlineStr">
        <is>
          <t>Oficial</t>
        </is>
      </c>
      <c r="I1062" s="2" t="inlineStr">
        <is>
          <t>El comando admite salida en JSON ("--json") y un formato compacto orientado a LLM ("--llm"), además de la tabla legible por humanos por defecto.</t>
        </is>
      </c>
      <c r="J1062" t="inlineStr">
        <is>
          <t>https://www.infracost.io/docs/features/cli_commands/</t>
        </is>
      </c>
      <c r="K1062" t="inlineStr">
        <is>
          <t>2026-09-16</t>
        </is>
      </c>
      <c r="L1062" s="2" t="inlineStr"/>
    </row>
    <row r="1063">
      <c r="A1063" t="inlineStr">
        <is>
          <t>E4</t>
        </is>
      </c>
      <c r="B1063" t="inlineStr">
        <is>
          <t>Estimacion temprana</t>
        </is>
      </c>
      <c r="C1063" t="inlineStr">
        <is>
          <t>Infracost</t>
        </is>
      </c>
      <c r="D1063" t="inlineStr">
        <is>
          <t>Dependencia</t>
        </is>
      </c>
      <c r="E1063" t="inlineStr">
        <is>
          <t>D2</t>
        </is>
      </c>
      <c r="F1063" s="2" t="inlineStr">
        <is>
          <t>¿Documenta dependencias propietarias y un camino de salida/configuración reversible?</t>
        </is>
      </c>
      <c r="G1063" t="inlineStr">
        <is>
          <t>NE</t>
        </is>
      </c>
      <c r="H1063" t="inlineStr">
        <is>
          <t>Pendiente</t>
        </is>
      </c>
      <c r="I1063" s="2" t="inlineStr">
        <is>
          <t>No se encontró documentación sobre un camino de salida o reversibilidad de la configuración (es una herramienta de estimación, no de gestión continua de una cuenta cloud).</t>
        </is>
      </c>
      <c r="K1063" t="inlineStr">
        <is>
          <t>2026-09-16</t>
        </is>
      </c>
      <c r="L1063" s="2" t="inlineStr"/>
    </row>
    <row r="1064">
      <c r="A1064" t="inlineStr">
        <is>
          <t>E4</t>
        </is>
      </c>
      <c r="B1064" t="inlineStr">
        <is>
          <t>Estimacion temprana</t>
        </is>
      </c>
      <c r="C1064" t="inlineStr">
        <is>
          <t>Cloud Custodian</t>
        </is>
      </c>
      <c r="D1064" t="inlineStr">
        <is>
          <t>Visibilidad</t>
        </is>
      </c>
      <c r="E1064" t="inlineStr">
        <is>
          <t>V1</t>
        </is>
      </c>
      <c r="F1064" s="2" t="inlineStr">
        <is>
          <t>¿Desagrega costo y uso por cuenta/proyecto, servicio y período?</t>
        </is>
      </c>
      <c r="G1064" t="n">
        <v>0</v>
      </c>
      <c r="H1064" t="inlineStr">
        <is>
          <t>Oficial (ausencia verificada)</t>
        </is>
      </c>
      <c r="I1064" s="2" t="inlineStr">
        <is>
          <t>Cloud Custodian es un motor de políticas para gobernanza y remediación de recursos ya desplegados (filtra y actúa vía las APIs del proveedor cloud); no expone un desglose de costo/uso por cuenta-servicio-período como los productos de visibilidad de costo.</t>
        </is>
      </c>
      <c r="J1064" t="inlineStr">
        <is>
          <t>https://cloudcustodian.io/docs/overview.html</t>
        </is>
      </c>
      <c r="K1064" t="inlineStr">
        <is>
          <t>2026-09-16</t>
        </is>
      </c>
      <c r="L1064"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5">
      <c r="A1065" t="inlineStr">
        <is>
          <t>E4</t>
        </is>
      </c>
      <c r="B1065" t="inlineStr">
        <is>
          <t>Estimacion temprana</t>
        </is>
      </c>
      <c r="C1065" t="inlineStr">
        <is>
          <t>Cloud Custodian</t>
        </is>
      </c>
      <c r="D1065" t="inlineStr">
        <is>
          <t>Visibilidad</t>
        </is>
      </c>
      <c r="E1065" t="inlineStr">
        <is>
          <t>V2</t>
        </is>
      </c>
      <c r="F1065" s="2" t="inlineStr">
        <is>
          <t>¿Permite rastrear un total hasta registros o fuente de facturación?</t>
        </is>
      </c>
      <c r="G1065" t="n">
        <v>0</v>
      </c>
      <c r="H1065" t="inlineStr">
        <is>
          <t>Oficial (ausencia verificada)</t>
        </is>
      </c>
      <c r="I1065" s="2" t="inlineStr">
        <is>
          <t>Mismo motivo que V1.</t>
        </is>
      </c>
      <c r="J1065" t="inlineStr">
        <is>
          <t>https://cloudcustodian.io/docs/overview.html</t>
        </is>
      </c>
      <c r="K1065" t="inlineStr">
        <is>
          <t>2026-09-16</t>
        </is>
      </c>
      <c r="L1065"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6">
      <c r="A1066" t="inlineStr">
        <is>
          <t>E4</t>
        </is>
      </c>
      <c r="B1066" t="inlineStr">
        <is>
          <t>Estimacion temprana</t>
        </is>
      </c>
      <c r="C1066" t="inlineStr">
        <is>
          <t>Cloud Custodian</t>
        </is>
      </c>
      <c r="D1066" t="inlineStr">
        <is>
          <t>Asignacion</t>
        </is>
      </c>
      <c r="E1066" t="inlineStr">
        <is>
          <t>A1</t>
        </is>
      </c>
      <c r="F1066" s="2" t="inlineStr">
        <is>
          <t>¿Calcula gasto asignado/no asignado por responsable, centro o entidad?</t>
        </is>
      </c>
      <c r="G1066" t="n">
        <v>0</v>
      </c>
      <c r="H1066" t="inlineStr">
        <is>
          <t>Oficial (ausencia verificada)</t>
        </is>
      </c>
      <c r="I1066" s="2" t="inlineStr">
        <is>
          <t>No calcula asignación de gasto por responsable/centro de costo; es un motor de políticas de recursos, no de asignación financiera.</t>
        </is>
      </c>
      <c r="J1066" t="inlineStr">
        <is>
          <t>https://cloudcustodian.io/docs/overview.html</t>
        </is>
      </c>
      <c r="K1066" t="inlineStr">
        <is>
          <t>2026-09-16</t>
        </is>
      </c>
      <c r="L1066"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7">
      <c r="A1067" t="inlineStr">
        <is>
          <t>E4</t>
        </is>
      </c>
      <c r="B1067" t="inlineStr">
        <is>
          <t>Estimacion temprana</t>
        </is>
      </c>
      <c r="C1067" t="inlineStr">
        <is>
          <t>Cloud Custodian</t>
        </is>
      </c>
      <c r="D1067" t="inlineStr">
        <is>
          <t>Asignacion</t>
        </is>
      </c>
      <c r="E1067" t="inlineStr">
        <is>
          <t>A2</t>
        </is>
      </c>
      <c r="F1067" s="2" t="inlineStr">
        <is>
          <t>¿Explicita y aplica reglas para costo compartido/multi-tenant?</t>
        </is>
      </c>
      <c r="G1067" t="n">
        <v>0</v>
      </c>
      <c r="H1067" t="inlineStr">
        <is>
          <t>Oficial (ausencia verificada)</t>
        </is>
      </c>
      <c r="I1067" s="2" t="inlineStr">
        <is>
          <t>Mismo motivo que A1.</t>
        </is>
      </c>
      <c r="J1067" t="inlineStr">
        <is>
          <t>https://cloudcustodian.io/docs/overview.html</t>
        </is>
      </c>
      <c r="K1067" t="inlineStr">
        <is>
          <t>2026-09-16</t>
        </is>
      </c>
      <c r="L1067"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68">
      <c r="A1068" t="inlineStr">
        <is>
          <t>E4</t>
        </is>
      </c>
      <c r="B1068" t="inlineStr">
        <is>
          <t>Estimacion temprana</t>
        </is>
      </c>
      <c r="C1068" t="inlineStr">
        <is>
          <t>Cloud Custodian</t>
        </is>
      </c>
      <c r="D1068" t="inlineStr">
        <is>
          <t>Optimizacion</t>
        </is>
      </c>
      <c r="E1068" t="inlineStr">
        <is>
          <t>O1</t>
        </is>
      </c>
      <c r="F1068" s="2" t="inlineStr">
        <is>
          <t>¿Detecta desperdicio, rightsizing o compromiso relevante al escenario?</t>
        </is>
      </c>
      <c r="G1068" t="n">
        <v>1</v>
      </c>
      <c r="H1068" t="inlineStr">
        <is>
          <t>Oficial</t>
        </is>
      </c>
      <c r="I1068" s="2" t="inlineStr">
        <is>
          <t>Las políticas pueden filtrar recursos ociosos, huérfanos o no conformes con reglas de costo (p. ej. volúmenes no adjuntos, instancias detenidas), pero es un motor de filtrado/gobernanza general, no un módulo dedicado de recomendaciones de optimización de costo.</t>
        </is>
      </c>
      <c r="J1068" t="inlineStr">
        <is>
          <t>https://cloudcustodian.io/docs/overview.html</t>
        </is>
      </c>
      <c r="K1068" t="inlineStr">
        <is>
          <t>2026-09-16</t>
        </is>
      </c>
      <c r="L1068" s="2" t="inlineStr"/>
    </row>
    <row r="1069">
      <c r="A1069" t="inlineStr">
        <is>
          <t>E4</t>
        </is>
      </c>
      <c r="B1069" t="inlineStr">
        <is>
          <t>Estimacion temprana</t>
        </is>
      </c>
      <c r="C1069" t="inlineStr">
        <is>
          <t>Cloud Custodian</t>
        </is>
      </c>
      <c r="D1069" t="inlineStr">
        <is>
          <t>Optimizacion</t>
        </is>
      </c>
      <c r="E1069" t="inlineStr">
        <is>
          <t>O2</t>
        </is>
      </c>
      <c r="F1069" s="2" t="inlineStr">
        <is>
          <t>¿Explica supuesto/impacto y permite seguir una recomendación?</t>
        </is>
      </c>
      <c r="G1069" t="n">
        <v>0</v>
      </c>
      <c r="H1069" t="inlineStr">
        <is>
          <t>Oficial (ausencia verificada)</t>
        </is>
      </c>
      <c r="I1069" s="2" t="inlineStr">
        <is>
          <t>No ofrece un ciclo dedicado de explicación de impacto/ahorro y seguimiento de una recomendación de optimización (es una acción de política de gobernanza, no una recomendación con seguimiento propio).</t>
        </is>
      </c>
      <c r="J1069" t="inlineStr">
        <is>
          <t>https://cloudcustodian.io/docs/overview.html</t>
        </is>
      </c>
      <c r="K1069" t="inlineStr">
        <is>
          <t>2026-09-16</t>
        </is>
      </c>
      <c r="L106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70">
      <c r="A1070" t="inlineStr">
        <is>
          <t>E4</t>
        </is>
      </c>
      <c r="B1070" t="inlineStr">
        <is>
          <t>Estimacion temprana</t>
        </is>
      </c>
      <c r="C1070" t="inlineStr">
        <is>
          <t>Cloud Custodian</t>
        </is>
      </c>
      <c r="D1070" t="inlineStr">
        <is>
          <t>Automatizacion</t>
        </is>
      </c>
      <c r="E1070" t="inlineStr">
        <is>
          <t>AU1</t>
        </is>
      </c>
      <c r="F1070" s="2" t="inlineStr">
        <is>
          <t>¿Ejecuta o bloquea acciones/políticas de costo con control verificable?</t>
        </is>
      </c>
      <c r="G1070" t="n">
        <v>2</v>
      </c>
      <c r="H1070" t="inlineStr">
        <is>
          <t>Oficial</t>
        </is>
      </c>
      <c r="I1070" s="2" t="inlineStr">
        <is>
          <t>Ejecuta acciones automáticas directamente sobre los recursos que cumplen los filtros de una política: detener/terminar/eliminar recursos, gestionar tags, modificar grupos de seguridad, invocar webhooks o funciones Lambda.</t>
        </is>
      </c>
      <c r="J1070" t="inlineStr">
        <is>
          <t>https://cloudcustodian.io/docs/overview.html</t>
        </is>
      </c>
      <c r="K1070" t="inlineStr">
        <is>
          <t>2026-09-16</t>
        </is>
      </c>
      <c r="L1070" s="2" t="inlineStr"/>
    </row>
    <row r="1071">
      <c r="A1071" t="inlineStr">
        <is>
          <t>E4</t>
        </is>
      </c>
      <c r="B1071" t="inlineStr">
        <is>
          <t>Estimacion temprana</t>
        </is>
      </c>
      <c r="C1071" t="inlineStr">
        <is>
          <t>Cloud Custodian</t>
        </is>
      </c>
      <c r="D1071" t="inlineStr">
        <is>
          <t>Automatizacion</t>
        </is>
      </c>
      <c r="E1071" t="inlineStr">
        <is>
          <t>AU2</t>
        </is>
      </c>
      <c r="F1071" s="2" t="inlineStr">
        <is>
          <t>¿Ofrece aprobación, reversión, registro o límites antes de actuar?</t>
        </is>
      </c>
      <c r="G1071" t="n">
        <v>2</v>
      </c>
      <c r="H1071" t="inlineStr">
        <is>
          <t>Oficial</t>
        </is>
      </c>
      <c r="I1071" s="2" t="inlineStr">
        <is>
          <t>Incluye el flag "--dryrun" para previsualizar qué recursos se verían afectados antes de ejecutar la política, además de métricas de CloudWatch por política, logging en tiempo real y archivo de registros/resultados estructurados en S3 para auditoría.</t>
        </is>
      </c>
      <c r="J1071" t="inlineStr">
        <is>
          <t>https://cloudcustodian.io/docs/quickstart/usage.html</t>
        </is>
      </c>
      <c r="K1071" t="inlineStr">
        <is>
          <t>2026-09-16</t>
        </is>
      </c>
      <c r="L1071" s="2" t="inlineStr"/>
    </row>
    <row r="1072">
      <c r="A1072" t="inlineStr">
        <is>
          <t>E4</t>
        </is>
      </c>
      <c r="B1072" t="inlineStr">
        <is>
          <t>Estimacion temprana</t>
        </is>
      </c>
      <c r="C1072" t="inlineStr">
        <is>
          <t>Cloud Custodian</t>
        </is>
      </c>
      <c r="D1072" t="inlineStr">
        <is>
          <t>Multicloud</t>
        </is>
      </c>
      <c r="E1072" t="inlineStr">
        <is>
          <t>M1</t>
        </is>
      </c>
      <c r="F1072" s="2" t="inlineStr">
        <is>
          <t>¿Consolida al menos dos proveedores bajo el mismo esquema declarado?</t>
        </is>
      </c>
      <c r="G1072" t="n">
        <v>0</v>
      </c>
      <c r="H1072" t="inlineStr">
        <is>
          <t>Oficial</t>
        </is>
      </c>
      <c r="I1072" s="2" t="inlineStr">
        <is>
          <t>La documentación revisada muestra soporte de AWS (el más extenso) y referencias a Azure y GCP, pero cada política/policy-set opera contra un proveedor a la vez; no se documentó una consolidación normalizada de costo entre proveedores.</t>
        </is>
      </c>
      <c r="J1072" t="inlineStr">
        <is>
          <t>https://cloudcustodian.io/docs/overview.html</t>
        </is>
      </c>
      <c r="K1072" t="inlineStr">
        <is>
          <t>2026-09-16</t>
        </is>
      </c>
      <c r="L1072" s="2" t="inlineStr"/>
    </row>
    <row r="1073">
      <c r="A1073" t="inlineStr">
        <is>
          <t>E4</t>
        </is>
      </c>
      <c r="B1073" t="inlineStr">
        <is>
          <t>Estimacion temprana</t>
        </is>
      </c>
      <c r="C1073" t="inlineStr">
        <is>
          <t>Cloud Custodian</t>
        </is>
      </c>
      <c r="D1073" t="inlineStr">
        <is>
          <t>Multicloud</t>
        </is>
      </c>
      <c r="E1073" t="inlineStr">
        <is>
          <t>M2</t>
        </is>
      </c>
      <c r="F1073" s="2" t="inlineStr">
        <is>
          <t>¿Hace visibles proveedor, cobertura y diferencias semánticas?</t>
        </is>
      </c>
      <c r="G1073" t="n">
        <v>0</v>
      </c>
      <c r="H1073" t="inlineStr">
        <is>
          <t>Oficial</t>
        </is>
      </c>
      <c r="I1073" s="2" t="inlineStr">
        <is>
          <t>Mismo motivo que M1.</t>
        </is>
      </c>
      <c r="J1073" t="inlineStr">
        <is>
          <t>https://cloudcustodian.io/docs/overview.html</t>
        </is>
      </c>
      <c r="K1073" t="inlineStr">
        <is>
          <t>2026-09-16</t>
        </is>
      </c>
      <c r="L1073" s="2" t="inlineStr"/>
    </row>
    <row r="1074">
      <c r="A1074" t="inlineStr">
        <is>
          <t>E4</t>
        </is>
      </c>
      <c r="B1074" t="inlineStr">
        <is>
          <t>Estimacion temprana</t>
        </is>
      </c>
      <c r="C1074" t="inlineStr">
        <is>
          <t>Cloud Custodian</t>
        </is>
      </c>
      <c r="D1074" t="inlineStr">
        <is>
          <t>Integracion</t>
        </is>
      </c>
      <c r="E1074" t="inlineStr">
        <is>
          <t>I1</t>
        </is>
      </c>
      <c r="F1074" s="2" t="inlineStr">
        <is>
          <t>¿Integra datos requeridos (facturación, uso, clúster o IaC) del escenario?</t>
        </is>
      </c>
      <c r="G1074" t="n">
        <v>1</v>
      </c>
      <c r="H1074" t="inlineStr">
        <is>
          <t>Oficial</t>
        </is>
      </c>
      <c r="I1074" s="2" t="inlineStr">
        <is>
          <t>Se integra con los recursos ya desplegados vía las APIs del proveedor cloud (principalmente AWS, con soporte de Azure/GCP); no ingiere datos de facturación/uso agregados como las herramientas de visibilidad de costo.</t>
        </is>
      </c>
      <c r="J1074" t="inlineStr">
        <is>
          <t>https://cloudcustodian.io/docs/overview.html</t>
        </is>
      </c>
      <c r="K1074" t="inlineStr">
        <is>
          <t>2026-09-16</t>
        </is>
      </c>
      <c r="L1074" s="2" t="inlineStr"/>
    </row>
    <row r="1075">
      <c r="A1075" t="inlineStr">
        <is>
          <t>E4</t>
        </is>
      </c>
      <c r="B1075" t="inlineStr">
        <is>
          <t>Estimacion temprana</t>
        </is>
      </c>
      <c r="C1075" t="inlineStr">
        <is>
          <t>Cloud Custodian</t>
        </is>
      </c>
      <c r="D1075" t="inlineStr">
        <is>
          <t>Integracion</t>
        </is>
      </c>
      <c r="E1075" t="inlineStr">
        <is>
          <t>I2</t>
        </is>
      </c>
      <c r="F1075" s="2" t="inlineStr">
        <is>
          <t>¿Se integra con el flujo de trabajo relevante (alerta, ticket, CI/CD o reporte)?</t>
        </is>
      </c>
      <c r="G1075" t="n">
        <v>2</v>
      </c>
      <c r="H1075" t="inlineStr">
        <is>
          <t>Oficial</t>
        </is>
      </c>
      <c r="I1075" s="2" t="inlineStr">
        <is>
          <t>La acción "notify" envía alertas (correo y otros canales) antes o durante la remediación, y los registros se pueden enviar a CloudWatch/S3 para integrarse a un flujo operativo de auditoría.</t>
        </is>
      </c>
      <c r="J1075" t="inlineStr">
        <is>
          <t>https://cloudcustodian.io/docs/quickstart/usage.html</t>
        </is>
      </c>
      <c r="K1075" t="inlineStr">
        <is>
          <t>2026-09-16</t>
        </is>
      </c>
      <c r="L1075" s="2" t="inlineStr"/>
    </row>
    <row r="1076">
      <c r="A1076" t="inlineStr">
        <is>
          <t>E4</t>
        </is>
      </c>
      <c r="B1076" t="inlineStr">
        <is>
          <t>Estimacion temprana</t>
        </is>
      </c>
      <c r="C1076" t="inlineStr">
        <is>
          <t>Cloud Custodian</t>
        </is>
      </c>
      <c r="D1076" t="inlineStr">
        <is>
          <t>Adopcion</t>
        </is>
      </c>
      <c r="E1076" t="inlineStr">
        <is>
          <t>AD1</t>
        </is>
      </c>
      <c r="F1076" s="2" t="inlineStr">
        <is>
          <t>¿Soporta acceso/entrega para los roles del escenario?</t>
        </is>
      </c>
      <c r="G1076" t="inlineStr">
        <is>
          <t>NE</t>
        </is>
      </c>
      <c r="H1076" t="inlineStr">
        <is>
          <t>Pendiente</t>
        </is>
      </c>
      <c r="I1076" s="2" t="inlineStr">
        <is>
          <t>No se encontró, en la documentación revisada, un modelo de roles/permisos propio del proyecto (el control de acceso depende de los permisos IAM/RBAC del proveedor cloud subyacente).</t>
        </is>
      </c>
      <c r="K1076" t="inlineStr">
        <is>
          <t>2026-09-16</t>
        </is>
      </c>
      <c r="L1076" s="2" t="inlineStr"/>
    </row>
    <row r="1077">
      <c r="A1077" t="inlineStr">
        <is>
          <t>E4</t>
        </is>
      </c>
      <c r="B1077" t="inlineStr">
        <is>
          <t>Estimacion temprana</t>
        </is>
      </c>
      <c r="C1077" t="inlineStr">
        <is>
          <t>Cloud Custodian</t>
        </is>
      </c>
      <c r="D1077" t="inlineStr">
        <is>
          <t>Adopcion</t>
        </is>
      </c>
      <c r="E1077" t="inlineStr">
        <is>
          <t>AD2</t>
        </is>
      </c>
      <c r="F1077" s="2" t="inlineStr">
        <is>
          <t>¿Ofrece guías, ownership o mecanismos de seguimiento para uso sostenido?</t>
        </is>
      </c>
      <c r="G1077" t="inlineStr">
        <is>
          <t>NE</t>
        </is>
      </c>
      <c r="H1077" t="inlineStr">
        <is>
          <t>Pendiente</t>
        </is>
      </c>
      <c r="I1077" s="2" t="inlineStr">
        <is>
          <t>No se encontró, en la documentación revisada, una guía de adopción/gobernanza dedicada más allá de la documentación general del proyecto.</t>
        </is>
      </c>
      <c r="K1077" t="inlineStr">
        <is>
          <t>2026-09-16</t>
        </is>
      </c>
      <c r="L1077" s="2" t="inlineStr"/>
    </row>
    <row r="1078">
      <c r="A1078" t="inlineStr">
        <is>
          <t>E4</t>
        </is>
      </c>
      <c r="B1078" t="inlineStr">
        <is>
          <t>Estimacion temprana</t>
        </is>
      </c>
      <c r="C1078" t="inlineStr">
        <is>
          <t>Cloud Custodian</t>
        </is>
      </c>
      <c r="D1078" t="inlineStr">
        <is>
          <t>Precio</t>
        </is>
      </c>
      <c r="E1078" t="inlineStr">
        <is>
          <t>P1</t>
        </is>
      </c>
      <c r="F1078" s="2" t="inlineStr">
        <is>
          <t>¿Expone precio, moneda, región, unidad, período y supuestos relevantes?</t>
        </is>
      </c>
      <c r="G1078" t="n">
        <v>0</v>
      </c>
      <c r="H1078" t="inlineStr">
        <is>
          <t>Oficial (ausencia verificada)</t>
        </is>
      </c>
      <c r="I1078" s="2" t="inlineStr">
        <is>
          <t>Cloud Custodian no expone transparencia de precio/supuestos de una estimación previa al despliegue; actúa como motor de políticas sobre recursos ya desplegados. Nota de alcance para el equipo: a diferencia de Infracost, no se encontró evidencia de que Cloud Custodian analice planes de IaC antes del despliegue, pese a estar incluido en la categoría "Estimación temprana" de la población de FP-51/FP-179; se recomienda que el equipo revise si corresponde reclasificarlo como herramienta de gobernanza/política en tiempo de ejecución.</t>
        </is>
      </c>
      <c r="J1078" t="inlineStr">
        <is>
          <t>https://cloudcustodian.io/docs/overview.html</t>
        </is>
      </c>
      <c r="K1078" t="inlineStr">
        <is>
          <t>2026-09-16</t>
        </is>
      </c>
      <c r="L1078"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79">
      <c r="A1079" t="inlineStr">
        <is>
          <t>E4</t>
        </is>
      </c>
      <c r="B1079" t="inlineStr">
        <is>
          <t>Estimacion temprana</t>
        </is>
      </c>
      <c r="C1079" t="inlineStr">
        <is>
          <t>Cloud Custodian</t>
        </is>
      </c>
      <c r="D1079" t="inlineStr">
        <is>
          <t>Precio</t>
        </is>
      </c>
      <c r="E1079" t="inlineStr">
        <is>
          <t>P2</t>
        </is>
      </c>
      <c r="F1079" s="2" t="inlineStr">
        <is>
          <t>¿Permite estimar o comparar componentes sin ocultar límites de equivalencia?</t>
        </is>
      </c>
      <c r="G1079" t="n">
        <v>0</v>
      </c>
      <c r="H1079" t="inlineStr">
        <is>
          <t>Oficial (ausencia verificada)</t>
        </is>
      </c>
      <c r="I1079" s="2" t="inlineStr">
        <is>
          <t>Mismo motivo que P1.</t>
        </is>
      </c>
      <c r="J1079" t="inlineStr">
        <is>
          <t>https://cloudcustodian.io/docs/overview.html</t>
        </is>
      </c>
      <c r="K1079" t="inlineStr">
        <is>
          <t>2026-09-16</t>
        </is>
      </c>
      <c r="L1079" s="2" t="inlineStr">
        <is>
          <t>Corrección de alcance FP-180 (2026-09-16): el valor pasa de NA a 0. La justificación registrada afirma una ausencia verificada contra documentación oficial, no una inaplicabilidad: en FP-177 eso corresponde al valor 0, no a NA. La evidencia y la fuente originales no se modifican.</t>
        </is>
      </c>
    </row>
    <row r="1080">
      <c r="A1080" t="inlineStr">
        <is>
          <t>E4</t>
        </is>
      </c>
      <c r="B1080" t="inlineStr">
        <is>
          <t>Estimacion temprana</t>
        </is>
      </c>
      <c r="C1080" t="inlineStr">
        <is>
          <t>Cloud Custodian</t>
        </is>
      </c>
      <c r="D1080" t="inlineStr">
        <is>
          <t>Dependencia</t>
        </is>
      </c>
      <c r="E1080" t="inlineStr">
        <is>
          <t>D1</t>
        </is>
      </c>
      <c r="F1080" s="2" t="inlineStr">
        <is>
          <t>¿Exporta datos/resultados en formato utilizable y documentado?</t>
        </is>
      </c>
      <c r="G1080" t="n">
        <v>1</v>
      </c>
      <c r="H1080" t="inlineStr">
        <is>
          <t>Oficial</t>
        </is>
      </c>
      <c r="I1080" s="2" t="inlineStr">
        <is>
          <t>Los resultados de cada política se pueden exportar como registros estructurados en formato JSON hacia S3, pero no se documentó una función de exportación de datos orientada al usuario final más allá de ese archivo técnico.</t>
        </is>
      </c>
      <c r="J1080" t="inlineStr">
        <is>
          <t>https://cloudcustodian.io/docs/quickstart/usage.html</t>
        </is>
      </c>
      <c r="K1080" t="inlineStr">
        <is>
          <t>2026-09-16</t>
        </is>
      </c>
      <c r="L1080" s="2" t="inlineStr"/>
    </row>
    <row r="1081">
      <c r="A1081" t="inlineStr">
        <is>
          <t>E4</t>
        </is>
      </c>
      <c r="B1081" t="inlineStr">
        <is>
          <t>Estimacion temprana</t>
        </is>
      </c>
      <c r="C1081" t="inlineStr">
        <is>
          <t>Cloud Custodian</t>
        </is>
      </c>
      <c r="D1081" t="inlineStr">
        <is>
          <t>Dependencia</t>
        </is>
      </c>
      <c r="E1081" t="inlineStr">
        <is>
          <t>D2</t>
        </is>
      </c>
      <c r="F1081" s="2" t="inlineStr">
        <is>
          <t>¿Documenta dependencias propietarias y un camino de salida/configuración reversible?</t>
        </is>
      </c>
      <c r="G1081" t="inlineStr">
        <is>
          <t>NE</t>
        </is>
      </c>
      <c r="H1081" t="inlineStr">
        <is>
          <t>Pendiente</t>
        </is>
      </c>
      <c r="I1081" s="2" t="inlineStr">
        <is>
          <t>No se encontró documentación sobre un camino de salida o reversibilidad de la configuración.</t>
        </is>
      </c>
      <c r="K1081" t="inlineStr">
        <is>
          <t>2026-09-16</t>
        </is>
      </c>
      <c r="L1081" s="2" t="inlineStr"/>
    </row>
    <row r="1082">
      <c r="A1082" t="inlineStr">
        <is>
          <t>VALIDACION</t>
        </is>
      </c>
      <c r="B1082" t="inlineStr">
        <is>
          <t>Ejemplo sintético FP-177</t>
        </is>
      </c>
      <c r="C1082" t="inlineStr">
        <is>
          <t>Herramienta Aurora (no es un producto real)</t>
        </is>
      </c>
      <c r="D1082" t="inlineStr">
        <is>
          <t>Visibilidad</t>
        </is>
      </c>
      <c r="E1082" t="inlineStr">
        <is>
          <t>V1</t>
        </is>
      </c>
      <c r="F1082" s="2" t="inlineStr">
        <is>
          <t>¿Desagrega costo y uso por cuenta/proyecto, servicio y período?</t>
        </is>
      </c>
      <c r="G1082" t="n">
        <v>3</v>
      </c>
      <c r="H1082" t="inlineStr">
        <is>
          <t>Sintético</t>
        </is>
      </c>
      <c r="I1082" s="2" t="inlineStr">
        <is>
          <t>Fixture de validación del motor de cálculo (sección 6 de metodologia-comparativa-borrador.md).</t>
        </is>
      </c>
      <c r="J1082" t="inlineStr">
        <is>
          <t>docs/fp-177/metodologia-comparativa-borrador.md</t>
        </is>
      </c>
      <c r="K1082" t="inlineStr">
        <is>
          <t>2026-09-16</t>
        </is>
      </c>
      <c r="L1082" s="2" t="inlineStr">
        <is>
          <t>Ambos indicadores del criterio se fijan al mismo valor de C_c del ejemplo; no representa evidencia real de ningún proveedor.</t>
        </is>
      </c>
    </row>
    <row r="1083">
      <c r="A1083" t="inlineStr">
        <is>
          <t>VALIDACION</t>
        </is>
      </c>
      <c r="B1083" t="inlineStr">
        <is>
          <t>Ejemplo sintético FP-177</t>
        </is>
      </c>
      <c r="C1083" t="inlineStr">
        <is>
          <t>Herramienta Aurora (no es un producto real)</t>
        </is>
      </c>
      <c r="D1083" t="inlineStr">
        <is>
          <t>Visibilidad</t>
        </is>
      </c>
      <c r="E1083" t="inlineStr">
        <is>
          <t>V2</t>
        </is>
      </c>
      <c r="F1083" s="2" t="inlineStr">
        <is>
          <t>¿Permite rastrear un total hasta registros o fuente de facturación?</t>
        </is>
      </c>
      <c r="G1083" t="n">
        <v>3</v>
      </c>
      <c r="H1083" t="inlineStr">
        <is>
          <t>Sintético</t>
        </is>
      </c>
      <c r="I1083" s="2" t="inlineStr">
        <is>
          <t>Fixture de validación del motor de cálculo (sección 6 de metodologia-comparativa-borrador.md).</t>
        </is>
      </c>
      <c r="J1083" t="inlineStr">
        <is>
          <t>docs/fp-177/metodologia-comparativa-borrador.md</t>
        </is>
      </c>
      <c r="K1083" t="inlineStr">
        <is>
          <t>2026-09-16</t>
        </is>
      </c>
      <c r="L1083" s="2" t="inlineStr">
        <is>
          <t>Ambos indicadores del criterio se fijan al mismo valor de C_c del ejemplo; no representa evidencia real de ningún proveedor.</t>
        </is>
      </c>
    </row>
    <row r="1084">
      <c r="A1084" t="inlineStr">
        <is>
          <t>VALIDACION</t>
        </is>
      </c>
      <c r="B1084" t="inlineStr">
        <is>
          <t>Ejemplo sintético FP-177</t>
        </is>
      </c>
      <c r="C1084" t="inlineStr">
        <is>
          <t>Herramienta Aurora (no es un producto real)</t>
        </is>
      </c>
      <c r="D1084" t="inlineStr">
        <is>
          <t>Asignacion</t>
        </is>
      </c>
      <c r="E1084" t="inlineStr">
        <is>
          <t>A1</t>
        </is>
      </c>
      <c r="F1084" s="2" t="inlineStr">
        <is>
          <t>¿Calcula gasto asignado/no asignado por responsable, centro o entidad?</t>
        </is>
      </c>
      <c r="G1084" t="n">
        <v>2</v>
      </c>
      <c r="H1084" t="inlineStr">
        <is>
          <t>Sintético</t>
        </is>
      </c>
      <c r="I1084" s="2" t="inlineStr">
        <is>
          <t>Fixture de validación del motor de cálculo (sección 6 de metodologia-comparativa-borrador.md).</t>
        </is>
      </c>
      <c r="J1084" t="inlineStr">
        <is>
          <t>docs/fp-177/metodologia-comparativa-borrador.md</t>
        </is>
      </c>
      <c r="K1084" t="inlineStr">
        <is>
          <t>2026-09-16</t>
        </is>
      </c>
      <c r="L1084" s="2" t="inlineStr">
        <is>
          <t>Ambos indicadores del criterio se fijan al mismo valor de C_c del ejemplo; no representa evidencia real de ningún proveedor.</t>
        </is>
      </c>
    </row>
    <row r="1085">
      <c r="A1085" t="inlineStr">
        <is>
          <t>VALIDACION</t>
        </is>
      </c>
      <c r="B1085" t="inlineStr">
        <is>
          <t>Ejemplo sintético FP-177</t>
        </is>
      </c>
      <c r="C1085" t="inlineStr">
        <is>
          <t>Herramienta Aurora (no es un producto real)</t>
        </is>
      </c>
      <c r="D1085" t="inlineStr">
        <is>
          <t>Asignacion</t>
        </is>
      </c>
      <c r="E1085" t="inlineStr">
        <is>
          <t>A2</t>
        </is>
      </c>
      <c r="F1085" s="2" t="inlineStr">
        <is>
          <t>¿Explicita y aplica reglas para costo compartido/multi-tenant?</t>
        </is>
      </c>
      <c r="G1085" t="n">
        <v>2</v>
      </c>
      <c r="H1085" t="inlineStr">
        <is>
          <t>Sintético</t>
        </is>
      </c>
      <c r="I1085" s="2" t="inlineStr">
        <is>
          <t>Fixture de validación del motor de cálculo (sección 6 de metodologia-comparativa-borrador.md).</t>
        </is>
      </c>
      <c r="J1085" t="inlineStr">
        <is>
          <t>docs/fp-177/metodologia-comparativa-borrador.md</t>
        </is>
      </c>
      <c r="K1085" t="inlineStr">
        <is>
          <t>2026-09-16</t>
        </is>
      </c>
      <c r="L1085" s="2" t="inlineStr">
        <is>
          <t>Ambos indicadores del criterio se fijan al mismo valor de C_c del ejemplo; no representa evidencia real de ningún proveedor.</t>
        </is>
      </c>
    </row>
    <row r="1086">
      <c r="A1086" t="inlineStr">
        <is>
          <t>VALIDACION</t>
        </is>
      </c>
      <c r="B1086" t="inlineStr">
        <is>
          <t>Ejemplo sintético FP-177</t>
        </is>
      </c>
      <c r="C1086" t="inlineStr">
        <is>
          <t>Herramienta Aurora (no es un producto real)</t>
        </is>
      </c>
      <c r="D1086" t="inlineStr">
        <is>
          <t>Optimizacion</t>
        </is>
      </c>
      <c r="E1086" t="inlineStr">
        <is>
          <t>O1</t>
        </is>
      </c>
      <c r="F1086" s="2" t="inlineStr">
        <is>
          <t>¿Detecta desperdicio, rightsizing o compromiso relevante al escenario?</t>
        </is>
      </c>
      <c r="G1086" t="n">
        <v>1</v>
      </c>
      <c r="H1086" t="inlineStr">
        <is>
          <t>Sintético</t>
        </is>
      </c>
      <c r="I1086" s="2" t="inlineStr">
        <is>
          <t>Fixture de validación del motor de cálculo (sección 6 de metodologia-comparativa-borrador.md).</t>
        </is>
      </c>
      <c r="J1086" t="inlineStr">
        <is>
          <t>docs/fp-177/metodologia-comparativa-borrador.md</t>
        </is>
      </c>
      <c r="K1086" t="inlineStr">
        <is>
          <t>2026-09-16</t>
        </is>
      </c>
      <c r="L1086" s="2" t="inlineStr">
        <is>
          <t>Ambos indicadores del criterio se fijan al mismo valor de C_c del ejemplo; no representa evidencia real de ningún proveedor.</t>
        </is>
      </c>
    </row>
    <row r="1087">
      <c r="A1087" t="inlineStr">
        <is>
          <t>VALIDACION</t>
        </is>
      </c>
      <c r="B1087" t="inlineStr">
        <is>
          <t>Ejemplo sintético FP-177</t>
        </is>
      </c>
      <c r="C1087" t="inlineStr">
        <is>
          <t>Herramienta Aurora (no es un producto real)</t>
        </is>
      </c>
      <c r="D1087" t="inlineStr">
        <is>
          <t>Optimizacion</t>
        </is>
      </c>
      <c r="E1087" t="inlineStr">
        <is>
          <t>O2</t>
        </is>
      </c>
      <c r="F1087" s="2" t="inlineStr">
        <is>
          <t>¿Explica supuesto/impacto y permite seguir una recomendación?</t>
        </is>
      </c>
      <c r="G1087" t="n">
        <v>1</v>
      </c>
      <c r="H1087" t="inlineStr">
        <is>
          <t>Sintético</t>
        </is>
      </c>
      <c r="I1087" s="2" t="inlineStr">
        <is>
          <t>Fixture de validación del motor de cálculo (sección 6 de metodologia-comparativa-borrador.md).</t>
        </is>
      </c>
      <c r="J1087" t="inlineStr">
        <is>
          <t>docs/fp-177/metodologia-comparativa-borrador.md</t>
        </is>
      </c>
      <c r="K1087" t="inlineStr">
        <is>
          <t>2026-09-16</t>
        </is>
      </c>
      <c r="L1087" s="2" t="inlineStr">
        <is>
          <t>Ambos indicadores del criterio se fijan al mismo valor de C_c del ejemplo; no representa evidencia real de ningún proveedor.</t>
        </is>
      </c>
    </row>
    <row r="1088">
      <c r="A1088" t="inlineStr">
        <is>
          <t>VALIDACION</t>
        </is>
      </c>
      <c r="B1088" t="inlineStr">
        <is>
          <t>Ejemplo sintético FP-177</t>
        </is>
      </c>
      <c r="C1088" t="inlineStr">
        <is>
          <t>Herramienta Aurora (no es un producto real)</t>
        </is>
      </c>
      <c r="D1088" t="inlineStr">
        <is>
          <t>Automatizacion</t>
        </is>
      </c>
      <c r="E1088" t="inlineStr">
        <is>
          <t>AU1</t>
        </is>
      </c>
      <c r="F1088" s="2" t="inlineStr">
        <is>
          <t>¿Ejecuta o bloquea acciones/políticas de costo con control verificable?</t>
        </is>
      </c>
      <c r="G1088" t="n">
        <v>1</v>
      </c>
      <c r="H1088" t="inlineStr">
        <is>
          <t>Sintético</t>
        </is>
      </c>
      <c r="I1088" s="2" t="inlineStr">
        <is>
          <t>Fixture de validación del motor de cálculo (sección 6 de metodologia-comparativa-borrador.md).</t>
        </is>
      </c>
      <c r="J1088" t="inlineStr">
        <is>
          <t>docs/fp-177/metodologia-comparativa-borrador.md</t>
        </is>
      </c>
      <c r="K1088" t="inlineStr">
        <is>
          <t>2026-09-16</t>
        </is>
      </c>
      <c r="L1088" s="2" t="inlineStr">
        <is>
          <t>Ambos indicadores del criterio se fijan al mismo valor de C_c del ejemplo; no representa evidencia real de ningún proveedor.</t>
        </is>
      </c>
    </row>
    <row r="1089">
      <c r="A1089" t="inlineStr">
        <is>
          <t>VALIDACION</t>
        </is>
      </c>
      <c r="B1089" t="inlineStr">
        <is>
          <t>Ejemplo sintético FP-177</t>
        </is>
      </c>
      <c r="C1089" t="inlineStr">
        <is>
          <t>Herramienta Aurora (no es un producto real)</t>
        </is>
      </c>
      <c r="D1089" t="inlineStr">
        <is>
          <t>Automatizacion</t>
        </is>
      </c>
      <c r="E1089" t="inlineStr">
        <is>
          <t>AU2</t>
        </is>
      </c>
      <c r="F1089" s="2" t="inlineStr">
        <is>
          <t>¿Ofrece aprobación, reversión, registro o límites antes de actuar?</t>
        </is>
      </c>
      <c r="G1089" t="n">
        <v>1</v>
      </c>
      <c r="H1089" t="inlineStr">
        <is>
          <t>Sintético</t>
        </is>
      </c>
      <c r="I1089" s="2" t="inlineStr">
        <is>
          <t>Fixture de validación del motor de cálculo (sección 6 de metodologia-comparativa-borrador.md).</t>
        </is>
      </c>
      <c r="J1089" t="inlineStr">
        <is>
          <t>docs/fp-177/metodologia-comparativa-borrador.md</t>
        </is>
      </c>
      <c r="K1089" t="inlineStr">
        <is>
          <t>2026-09-16</t>
        </is>
      </c>
      <c r="L1089" s="2" t="inlineStr">
        <is>
          <t>Ambos indicadores del criterio se fijan al mismo valor de C_c del ejemplo; no representa evidencia real de ningún proveedor.</t>
        </is>
      </c>
    </row>
    <row r="1090">
      <c r="A1090" t="inlineStr">
        <is>
          <t>VALIDACION</t>
        </is>
      </c>
      <c r="B1090" t="inlineStr">
        <is>
          <t>Ejemplo sintético FP-177</t>
        </is>
      </c>
      <c r="C1090" t="inlineStr">
        <is>
          <t>Herramienta Aurora (no es un producto real)</t>
        </is>
      </c>
      <c r="D1090" t="inlineStr">
        <is>
          <t>Multicloud</t>
        </is>
      </c>
      <c r="E1090" t="inlineStr">
        <is>
          <t>M1</t>
        </is>
      </c>
      <c r="F1090" s="2" t="inlineStr">
        <is>
          <t>¿Consolida al menos dos proveedores bajo el mismo esquema declarado?</t>
        </is>
      </c>
      <c r="G1090" t="n">
        <v>0</v>
      </c>
      <c r="H1090" t="inlineStr">
        <is>
          <t>Sintético</t>
        </is>
      </c>
      <c r="I1090" s="2" t="inlineStr">
        <is>
          <t>Fixture de validación del motor de cálculo (sección 6 de metodologia-comparativa-borrador.md).</t>
        </is>
      </c>
      <c r="J1090" t="inlineStr">
        <is>
          <t>docs/fp-177/metodologia-comparativa-borrador.md</t>
        </is>
      </c>
      <c r="K1090" t="inlineStr">
        <is>
          <t>2026-09-16</t>
        </is>
      </c>
      <c r="L1090" s="2" t="inlineStr">
        <is>
          <t>Ambos indicadores del criterio se fijan al mismo valor de C_c del ejemplo; no representa evidencia real de ningún proveedor.</t>
        </is>
      </c>
    </row>
    <row r="1091">
      <c r="A1091" t="inlineStr">
        <is>
          <t>VALIDACION</t>
        </is>
      </c>
      <c r="B1091" t="inlineStr">
        <is>
          <t>Ejemplo sintético FP-177</t>
        </is>
      </c>
      <c r="C1091" t="inlineStr">
        <is>
          <t>Herramienta Aurora (no es un producto real)</t>
        </is>
      </c>
      <c r="D1091" t="inlineStr">
        <is>
          <t>Multicloud</t>
        </is>
      </c>
      <c r="E1091" t="inlineStr">
        <is>
          <t>M2</t>
        </is>
      </c>
      <c r="F1091" s="2" t="inlineStr">
        <is>
          <t>¿Hace visibles proveedor, cobertura y diferencias semánticas?</t>
        </is>
      </c>
      <c r="G1091" t="n">
        <v>0</v>
      </c>
      <c r="H1091" t="inlineStr">
        <is>
          <t>Sintético</t>
        </is>
      </c>
      <c r="I1091" s="2" t="inlineStr">
        <is>
          <t>Fixture de validación del motor de cálculo (sección 6 de metodologia-comparativa-borrador.md).</t>
        </is>
      </c>
      <c r="J1091" t="inlineStr">
        <is>
          <t>docs/fp-177/metodologia-comparativa-borrador.md</t>
        </is>
      </c>
      <c r="K1091" t="inlineStr">
        <is>
          <t>2026-09-16</t>
        </is>
      </c>
      <c r="L1091" s="2" t="inlineStr">
        <is>
          <t>Ambos indicadores del criterio se fijan al mismo valor de C_c del ejemplo; no representa evidencia real de ningún proveedor.</t>
        </is>
      </c>
    </row>
    <row r="1092">
      <c r="A1092" t="inlineStr">
        <is>
          <t>VALIDACION</t>
        </is>
      </c>
      <c r="B1092" t="inlineStr">
        <is>
          <t>Ejemplo sintético FP-177</t>
        </is>
      </c>
      <c r="C1092" t="inlineStr">
        <is>
          <t>Herramienta Aurora (no es un producto real)</t>
        </is>
      </c>
      <c r="D1092" t="inlineStr">
        <is>
          <t>Integracion</t>
        </is>
      </c>
      <c r="E1092" t="inlineStr">
        <is>
          <t>I1</t>
        </is>
      </c>
      <c r="F1092" s="2" t="inlineStr">
        <is>
          <t>¿Integra datos requeridos (facturación, uso, clúster o IaC) del escenario?</t>
        </is>
      </c>
      <c r="G1092" t="n">
        <v>2</v>
      </c>
      <c r="H1092" t="inlineStr">
        <is>
          <t>Sintético</t>
        </is>
      </c>
      <c r="I1092" s="2" t="inlineStr">
        <is>
          <t>Fixture de validación del motor de cálculo (sección 6 de metodologia-comparativa-borrador.md).</t>
        </is>
      </c>
      <c r="J1092" t="inlineStr">
        <is>
          <t>docs/fp-177/metodologia-comparativa-borrador.md</t>
        </is>
      </c>
      <c r="K1092" t="inlineStr">
        <is>
          <t>2026-09-16</t>
        </is>
      </c>
      <c r="L1092" s="2" t="inlineStr">
        <is>
          <t>Ambos indicadores del criterio se fijan al mismo valor de C_c del ejemplo; no representa evidencia real de ningún proveedor.</t>
        </is>
      </c>
    </row>
    <row r="1093">
      <c r="A1093" t="inlineStr">
        <is>
          <t>VALIDACION</t>
        </is>
      </c>
      <c r="B1093" t="inlineStr">
        <is>
          <t>Ejemplo sintético FP-177</t>
        </is>
      </c>
      <c r="C1093" t="inlineStr">
        <is>
          <t>Herramienta Aurora (no es un producto real)</t>
        </is>
      </c>
      <c r="D1093" t="inlineStr">
        <is>
          <t>Integracion</t>
        </is>
      </c>
      <c r="E1093" t="inlineStr">
        <is>
          <t>I2</t>
        </is>
      </c>
      <c r="F1093" s="2" t="inlineStr">
        <is>
          <t>¿Se integra con el flujo de trabajo relevante (alerta, ticket, CI/CD o reporte)?</t>
        </is>
      </c>
      <c r="G1093" t="n">
        <v>2</v>
      </c>
      <c r="H1093" t="inlineStr">
        <is>
          <t>Sintético</t>
        </is>
      </c>
      <c r="I1093" s="2" t="inlineStr">
        <is>
          <t>Fixture de validación del motor de cálculo (sección 6 de metodologia-comparativa-borrador.md).</t>
        </is>
      </c>
      <c r="J1093" t="inlineStr">
        <is>
          <t>docs/fp-177/metodologia-comparativa-borrador.md</t>
        </is>
      </c>
      <c r="K1093" t="inlineStr">
        <is>
          <t>2026-09-16</t>
        </is>
      </c>
      <c r="L1093" s="2" t="inlineStr">
        <is>
          <t>Ambos indicadores del criterio se fijan al mismo valor de C_c del ejemplo; no representa evidencia real de ningún proveedor.</t>
        </is>
      </c>
    </row>
    <row r="1094">
      <c r="A1094" t="inlineStr">
        <is>
          <t>VALIDACION</t>
        </is>
      </c>
      <c r="B1094" t="inlineStr">
        <is>
          <t>Ejemplo sintético FP-177</t>
        </is>
      </c>
      <c r="C1094" t="inlineStr">
        <is>
          <t>Herramienta Aurora (no es un producto real)</t>
        </is>
      </c>
      <c r="D1094" t="inlineStr">
        <is>
          <t>Adopcion</t>
        </is>
      </c>
      <c r="E1094" t="inlineStr">
        <is>
          <t>AD1</t>
        </is>
      </c>
      <c r="F1094" s="2" t="inlineStr">
        <is>
          <t>¿Soporta acceso/entrega para los roles del escenario?</t>
        </is>
      </c>
      <c r="G1094" t="n">
        <v>2</v>
      </c>
      <c r="H1094" t="inlineStr">
        <is>
          <t>Sintético</t>
        </is>
      </c>
      <c r="I1094" s="2" t="inlineStr">
        <is>
          <t>Fixture de validación del motor de cálculo (sección 6 de metodologia-comparativa-borrador.md).</t>
        </is>
      </c>
      <c r="J1094" t="inlineStr">
        <is>
          <t>docs/fp-177/metodologia-comparativa-borrador.md</t>
        </is>
      </c>
      <c r="K1094" t="inlineStr">
        <is>
          <t>2026-09-16</t>
        </is>
      </c>
      <c r="L1094" s="2" t="inlineStr">
        <is>
          <t>Ambos indicadores del criterio se fijan al mismo valor de C_c del ejemplo; no representa evidencia real de ningún proveedor.</t>
        </is>
      </c>
    </row>
    <row r="1095">
      <c r="A1095" t="inlineStr">
        <is>
          <t>VALIDACION</t>
        </is>
      </c>
      <c r="B1095" t="inlineStr">
        <is>
          <t>Ejemplo sintético FP-177</t>
        </is>
      </c>
      <c r="C1095" t="inlineStr">
        <is>
          <t>Herramienta Aurora (no es un producto real)</t>
        </is>
      </c>
      <c r="D1095" t="inlineStr">
        <is>
          <t>Adopcion</t>
        </is>
      </c>
      <c r="E1095" t="inlineStr">
        <is>
          <t>AD2</t>
        </is>
      </c>
      <c r="F1095" s="2" t="inlineStr">
        <is>
          <t>¿Ofrece guías, ownership o mecanismos de seguimiento para uso sostenido?</t>
        </is>
      </c>
      <c r="G1095" t="n">
        <v>2</v>
      </c>
      <c r="H1095" t="inlineStr">
        <is>
          <t>Sintético</t>
        </is>
      </c>
      <c r="I1095" s="2" t="inlineStr">
        <is>
          <t>Fixture de validación del motor de cálculo (sección 6 de metodologia-comparativa-borrador.md).</t>
        </is>
      </c>
      <c r="J1095" t="inlineStr">
        <is>
          <t>docs/fp-177/metodologia-comparativa-borrador.md</t>
        </is>
      </c>
      <c r="K1095" t="inlineStr">
        <is>
          <t>2026-09-16</t>
        </is>
      </c>
      <c r="L1095" s="2" t="inlineStr">
        <is>
          <t>Ambos indicadores del criterio se fijan al mismo valor de C_c del ejemplo; no representa evidencia real de ningún proveedor.</t>
        </is>
      </c>
    </row>
    <row r="1096">
      <c r="A1096" t="inlineStr">
        <is>
          <t>VALIDACION</t>
        </is>
      </c>
      <c r="B1096" t="inlineStr">
        <is>
          <t>Ejemplo sintético FP-177</t>
        </is>
      </c>
      <c r="C1096" t="inlineStr">
        <is>
          <t>Herramienta Aurora (no es un producto real)</t>
        </is>
      </c>
      <c r="D1096" t="inlineStr">
        <is>
          <t>Precio</t>
        </is>
      </c>
      <c r="E1096" t="inlineStr">
        <is>
          <t>P1</t>
        </is>
      </c>
      <c r="F1096" s="2" t="inlineStr">
        <is>
          <t>¿Expone precio, moneda, región, unidad, período y supuestos relevantes?</t>
        </is>
      </c>
      <c r="G1096" t="n">
        <v>1</v>
      </c>
      <c r="H1096" t="inlineStr">
        <is>
          <t>Sintético</t>
        </is>
      </c>
      <c r="I1096" s="2" t="inlineStr">
        <is>
          <t>Fixture de validación del motor de cálculo (sección 6 de metodologia-comparativa-borrador.md).</t>
        </is>
      </c>
      <c r="J1096" t="inlineStr">
        <is>
          <t>docs/fp-177/metodologia-comparativa-borrador.md</t>
        </is>
      </c>
      <c r="K1096" t="inlineStr">
        <is>
          <t>2026-09-16</t>
        </is>
      </c>
      <c r="L1096" s="2" t="inlineStr">
        <is>
          <t>Ambos indicadores del criterio se fijan al mismo valor de C_c del ejemplo; no representa evidencia real de ningún proveedor.</t>
        </is>
      </c>
    </row>
    <row r="1097">
      <c r="A1097" t="inlineStr">
        <is>
          <t>VALIDACION</t>
        </is>
      </c>
      <c r="B1097" t="inlineStr">
        <is>
          <t>Ejemplo sintético FP-177</t>
        </is>
      </c>
      <c r="C1097" t="inlineStr">
        <is>
          <t>Herramienta Aurora (no es un producto real)</t>
        </is>
      </c>
      <c r="D1097" t="inlineStr">
        <is>
          <t>Precio</t>
        </is>
      </c>
      <c r="E1097" t="inlineStr">
        <is>
          <t>P2</t>
        </is>
      </c>
      <c r="F1097" s="2" t="inlineStr">
        <is>
          <t>¿Permite estimar o comparar componentes sin ocultar límites de equivalencia?</t>
        </is>
      </c>
      <c r="G1097" t="n">
        <v>1</v>
      </c>
      <c r="H1097" t="inlineStr">
        <is>
          <t>Sintético</t>
        </is>
      </c>
      <c r="I1097" s="2" t="inlineStr">
        <is>
          <t>Fixture de validación del motor de cálculo (sección 6 de metodologia-comparativa-borrador.md).</t>
        </is>
      </c>
      <c r="J1097" t="inlineStr">
        <is>
          <t>docs/fp-177/metodologia-comparativa-borrador.md</t>
        </is>
      </c>
      <c r="K1097" t="inlineStr">
        <is>
          <t>2026-09-16</t>
        </is>
      </c>
      <c r="L1097" s="2" t="inlineStr">
        <is>
          <t>Ambos indicadores del criterio se fijan al mismo valor de C_c del ejemplo; no representa evidencia real de ningún proveedor.</t>
        </is>
      </c>
    </row>
    <row r="1098">
      <c r="A1098" t="inlineStr">
        <is>
          <t>VALIDACION</t>
        </is>
      </c>
      <c r="B1098" t="inlineStr">
        <is>
          <t>Ejemplo sintético FP-177</t>
        </is>
      </c>
      <c r="C1098" t="inlineStr">
        <is>
          <t>Herramienta Aurora (no es un producto real)</t>
        </is>
      </c>
      <c r="D1098" t="inlineStr">
        <is>
          <t>Dependencia</t>
        </is>
      </c>
      <c r="E1098" t="inlineStr">
        <is>
          <t>D1</t>
        </is>
      </c>
      <c r="F1098" s="2" t="inlineStr">
        <is>
          <t>¿Exporta datos/resultados en formato utilizable y documentado?</t>
        </is>
      </c>
      <c r="G1098" t="n">
        <v>2</v>
      </c>
      <c r="H1098" t="inlineStr">
        <is>
          <t>Sintético</t>
        </is>
      </c>
      <c r="I1098" s="2" t="inlineStr">
        <is>
          <t>Fixture de validación del motor de cálculo (sección 6 de metodologia-comparativa-borrador.md).</t>
        </is>
      </c>
      <c r="J1098" t="inlineStr">
        <is>
          <t>docs/fp-177/metodologia-comparativa-borrador.md</t>
        </is>
      </c>
      <c r="K1098" t="inlineStr">
        <is>
          <t>2026-09-16</t>
        </is>
      </c>
      <c r="L1098" s="2" t="inlineStr">
        <is>
          <t>Ambos indicadores del criterio se fijan al mismo valor de C_c del ejemplo; no representa evidencia real de ningún proveedor.</t>
        </is>
      </c>
    </row>
    <row r="1099">
      <c r="A1099" t="inlineStr">
        <is>
          <t>VALIDACION</t>
        </is>
      </c>
      <c r="B1099" t="inlineStr">
        <is>
          <t>Ejemplo sintético FP-177</t>
        </is>
      </c>
      <c r="C1099" t="inlineStr">
        <is>
          <t>Herramienta Aurora (no es un producto real)</t>
        </is>
      </c>
      <c r="D1099" t="inlineStr">
        <is>
          <t>Dependencia</t>
        </is>
      </c>
      <c r="E1099" t="inlineStr">
        <is>
          <t>D2</t>
        </is>
      </c>
      <c r="F1099" s="2" t="inlineStr">
        <is>
          <t>¿Documenta dependencias propietarias y un camino de salida/configuración reversible?</t>
        </is>
      </c>
      <c r="G1099" t="n">
        <v>2</v>
      </c>
      <c r="H1099" t="inlineStr">
        <is>
          <t>Sintético</t>
        </is>
      </c>
      <c r="I1099" s="2" t="inlineStr">
        <is>
          <t>Fixture de validación del motor de cálculo (sección 6 de metodologia-comparativa-borrador.md).</t>
        </is>
      </c>
      <c r="J1099" t="inlineStr">
        <is>
          <t>docs/fp-177/metodologia-comparativa-borrador.md</t>
        </is>
      </c>
      <c r="K1099" t="inlineStr">
        <is>
          <t>2026-09-16</t>
        </is>
      </c>
      <c r="L1099" s="2" t="inlineStr">
        <is>
          <t>Ambos indicadores del criterio se fijan al mismo valor de C_c del ejemplo; no representa evidencia real de ningún proveedor.</t>
        </is>
      </c>
    </row>
    <row r="1100">
      <c r="A1100" t="inlineStr">
        <is>
          <t>E1</t>
        </is>
      </c>
      <c r="B1100" t="inlineStr">
        <is>
          <t>Cloud nativa</t>
        </is>
      </c>
      <c r="C1100" t="inlineStr">
        <is>
          <t>OCI Cost Analysis</t>
        </is>
      </c>
      <c r="D1100" t="inlineStr">
        <is>
          <t>Visibilidad</t>
        </is>
      </c>
      <c r="E1100" t="inlineStr">
        <is>
          <t>V1</t>
        </is>
      </c>
      <c r="F1100" t="inlineStr">
        <is>
          <t>¿Desagrega costo y uso por cuenta/proyecto, servicio y período?</t>
        </is>
      </c>
      <c r="G1100" t="n">
        <v>2</v>
      </c>
      <c r="H1100" t="inlineStr">
        <is>
          <t>Oficial</t>
        </is>
      </c>
      <c r="I1100" t="inlineStr">
        <is>
          <t>Cost Analysis es «an easy-to-use visualization tool to help you track and optimize your Oracle Cloud Infrastructure spending», que permite generar graficos y descargar «tabular reports of aggregated cost data», filtrando y agrupando por servicio, etiqueta y periodo.</t>
        </is>
      </c>
      <c r="J1100" t="inlineStr">
        <is>
          <t>https://docs.oracle.com/en-us/iaas/Content/Billing/Concepts/costanalysisoverview.htm</t>
        </is>
      </c>
      <c r="K1100" t="inlineStr">
        <is>
          <t>2026-09-16</t>
        </is>
      </c>
      <c r="L1100" t="inlineStr">
        <is>
          <t>Alternativa adicional incorporada en FP-180 (2026-09-16) desde el registro de FP-126 y la auditoria de FP-179.</t>
        </is>
      </c>
    </row>
    <row r="1101">
      <c r="A1101" t="inlineStr">
        <is>
          <t>E1</t>
        </is>
      </c>
      <c r="B1101" t="inlineStr">
        <is>
          <t>Cloud nativa</t>
        </is>
      </c>
      <c r="C1101" t="inlineStr">
        <is>
          <t>OCI Cost Analysis</t>
        </is>
      </c>
      <c r="D1101" t="inlineStr">
        <is>
          <t>Visibilidad</t>
        </is>
      </c>
      <c r="E1101" t="inlineStr">
        <is>
          <t>V2</t>
        </is>
      </c>
      <c r="F1101" t="inlineStr">
        <is>
          <t>¿Permite rastrear un total hasta registros o fuente de facturación?</t>
        </is>
      </c>
      <c r="G1101" t="n">
        <v>2</v>
      </c>
      <c r="H1101" t="inlineStr">
        <is>
          <t>Oficial</t>
        </is>
      </c>
      <c r="I1101" t="inlineStr">
        <is>
          <t>Los Cost Reports «contain one row per each Oracle Cloud Infrastructure resource per hour along with consumption information (usage, price, cost), metadata, and tags», lo que permite rastrear un total hasta el registro por recurso y hora.</t>
        </is>
      </c>
      <c r="J1101" t="inlineStr">
        <is>
          <t>https://docs.oracle.com/en-us/iaas/Content/Billing/Concepts/costusagereportsoverview.htm</t>
        </is>
      </c>
      <c r="K1101" t="inlineStr">
        <is>
          <t>2026-09-16</t>
        </is>
      </c>
      <c r="L1101" t="inlineStr">
        <is>
          <t>Alternativa adicional incorporada en FP-180 (2026-09-16) desde el registro de FP-126 y la auditoria de FP-179.</t>
        </is>
      </c>
    </row>
    <row r="1102">
      <c r="A1102" t="inlineStr">
        <is>
          <t>E1</t>
        </is>
      </c>
      <c r="B1102" t="inlineStr">
        <is>
          <t>Cloud nativa</t>
        </is>
      </c>
      <c r="C1102" t="inlineStr">
        <is>
          <t>OCI Cost Analysis</t>
        </is>
      </c>
      <c r="D1102" t="inlineStr">
        <is>
          <t>Asignacion</t>
        </is>
      </c>
      <c r="E1102" t="inlineStr">
        <is>
          <t>A1</t>
        </is>
      </c>
      <c r="F1102" t="inlineStr">
        <is>
          <t>¿Calcula gasto asignado/no asignado por responsable, centro o entidad?</t>
        </is>
      </c>
      <c r="G1102" t="n">
        <v>1</v>
      </c>
      <c r="H1102" t="inlineStr">
        <is>
          <t>Oficial</t>
        </is>
      </c>
      <c r="I1102" t="inlineStr">
        <is>
          <t>Las cost-tracking tags y los compartimentos permiten atribuir gasto: «By attaching cost-tracking tags to different resources, you can query cost data by filtering with tags rather than compartments». No se encontro documentacion de calculo de gasto no asignado, que el ancla 2 exige, por lo que queda en practica basica.</t>
        </is>
      </c>
      <c r="J1102" t="inlineStr">
        <is>
          <t>https://docs.oracle.com/en-us/iaas/Content/Tagging/Tasks/usingcosttrackingtags.htm</t>
        </is>
      </c>
      <c r="K1102" t="inlineStr">
        <is>
          <t>2026-09-16</t>
        </is>
      </c>
      <c r="L1102" t="inlineStr">
        <is>
          <t>Alternativa adicional incorporada en FP-180 (2026-09-16) desde el registro de FP-126 y la auditoria de FP-179.</t>
        </is>
      </c>
    </row>
    <row r="1103">
      <c r="A1103" t="inlineStr">
        <is>
          <t>E1</t>
        </is>
      </c>
      <c r="B1103" t="inlineStr">
        <is>
          <t>Cloud nativa</t>
        </is>
      </c>
      <c r="C1103" t="inlineStr">
        <is>
          <t>OCI Cost Analysis</t>
        </is>
      </c>
      <c r="D1103" t="inlineStr">
        <is>
          <t>Asignacion</t>
        </is>
      </c>
      <c r="E1103" t="inlineStr">
        <is>
          <t>A2</t>
        </is>
      </c>
      <c r="F1103" t="inlineStr">
        <is>
          <t>¿Explicita y aplica reglas para costo compartido/multi-tenant?</t>
        </is>
      </c>
      <c r="G1103" t="inlineStr">
        <is>
          <t>NE</t>
        </is>
      </c>
      <c r="H1103" t="inlineStr">
        <is>
          <t>Pendiente</t>
        </is>
      </c>
      <c r="I1103" t="inlineStr">
        <is>
          <t>No se encontro documentacion oficial de reglas de reparto de costo compartido o multi-tenant en OCI Cost Analysis.</t>
        </is>
      </c>
      <c r="L1103" t="inlineStr">
        <is>
          <t>Alternativa adicional incorporada en FP-180 (2026-09-16) desde el registro de FP-126 y la auditoria de FP-179.</t>
        </is>
      </c>
    </row>
    <row r="1104">
      <c r="A1104" t="inlineStr">
        <is>
          <t>E1</t>
        </is>
      </c>
      <c r="B1104" t="inlineStr">
        <is>
          <t>Cloud nativa</t>
        </is>
      </c>
      <c r="C1104" t="inlineStr">
        <is>
          <t>OCI Cost Analysis</t>
        </is>
      </c>
      <c r="D1104" t="inlineStr">
        <is>
          <t>Optimizacion</t>
        </is>
      </c>
      <c r="E1104" t="inlineStr">
        <is>
          <t>O1</t>
        </is>
      </c>
      <c r="F1104" t="inlineStr">
        <is>
          <t>¿Detecta desperdicio, rightsizing o compromiso relevante al escenario?</t>
        </is>
      </c>
      <c r="G1104" t="n">
        <v>2</v>
      </c>
      <c r="H1104" t="inlineStr">
        <is>
          <t>Oficial</t>
        </is>
      </c>
      <c r="I1104" t="inlineStr">
        <is>
          <t>Cloud Advisor «analyzes the OCI cloud resources of every tenancy, and provides recommendations to maximize cost savings»; las recomendaciones de gestion de costos identifican recursos infrautilizados y proponen rightsizing.</t>
        </is>
      </c>
      <c r="J1104" t="inlineStr">
        <is>
          <t>https://docs.oracle.com/en-us/iaas/Content/CloudAdvisor/Concepts/recommendations-costmanagement.htm</t>
        </is>
      </c>
      <c r="K1104" t="inlineStr">
        <is>
          <t>2026-09-16</t>
        </is>
      </c>
      <c r="L1104" t="inlineStr">
        <is>
          <t>Alternativa adicional incorporada en FP-180 (2026-09-16) desde el registro de FP-126 y la auditoria de FP-179.</t>
        </is>
      </c>
    </row>
    <row r="1105">
      <c r="A1105" t="inlineStr">
        <is>
          <t>E1</t>
        </is>
      </c>
      <c r="B1105" t="inlineStr">
        <is>
          <t>Cloud nativa</t>
        </is>
      </c>
      <c r="C1105" t="inlineStr">
        <is>
          <t>OCI Cost Analysis</t>
        </is>
      </c>
      <c r="D1105" t="inlineStr">
        <is>
          <t>Optimizacion</t>
        </is>
      </c>
      <c r="E1105" t="inlineStr">
        <is>
          <t>O2</t>
        </is>
      </c>
      <c r="F1105" t="inlineStr">
        <is>
          <t>¿Explica supuesto/impacto y permite seguir una recomendación?</t>
        </is>
      </c>
      <c r="G1105" t="n">
        <v>1</v>
      </c>
      <c r="H1105" t="inlineStr">
        <is>
          <t>Oficial</t>
        </is>
      </c>
      <c r="I1105" t="inlineStr">
        <is>
          <t>Existe documentacion para implementar las recomendaciones de Cloud Advisor, pero no se encontro evidencia de un ciclo documentado de medicion o seguimiento del ahorro realizado.</t>
        </is>
      </c>
      <c r="J1105" t="inlineStr">
        <is>
          <t>https://docs.oracle.com/en-us/iaas/Content/CloudAdvisor/Tasks/cloudadvisor-implementing_cloud_advisor_recommendations.htm</t>
        </is>
      </c>
      <c r="K1105" t="inlineStr">
        <is>
          <t>2026-09-16</t>
        </is>
      </c>
      <c r="L1105" t="inlineStr">
        <is>
          <t>Alternativa adicional incorporada en FP-180 (2026-09-16) desde el registro de FP-126 y la auditoria de FP-179.</t>
        </is>
      </c>
    </row>
    <row r="1106">
      <c r="A1106" t="inlineStr">
        <is>
          <t>E1</t>
        </is>
      </c>
      <c r="B1106" t="inlineStr">
        <is>
          <t>Cloud nativa</t>
        </is>
      </c>
      <c r="C1106" t="inlineStr">
        <is>
          <t>OCI Cost Analysis</t>
        </is>
      </c>
      <c r="D1106" t="inlineStr">
        <is>
          <t>Automatizacion</t>
        </is>
      </c>
      <c r="E1106" t="inlineStr">
        <is>
          <t>AU1</t>
        </is>
      </c>
      <c r="F1106" t="inlineStr">
        <is>
          <t>¿Ejecuta o bloquea acciones/políticas de costo con control verificable?</t>
        </is>
      </c>
      <c r="G1106" t="n">
        <v>1</v>
      </c>
      <c r="H1106" t="inlineStr">
        <is>
          <t>Oficial</t>
        </is>
      </c>
      <c r="I1106" t="inlineStr">
        <is>
          <t>Los budgets permiten «set soft limits on your Oracle Cloud Infrastructure spending» con alertas al acercarse al limite. Segun la prevencion de doble conteo de FP-177, una alerta no es una accion ejecutada, y la implementacion de recomendaciones es manual asistida.</t>
        </is>
      </c>
      <c r="J1106" t="inlineStr">
        <is>
          <t>https://docs.oracle.com/en-us/iaas/Content/Billing/Concepts/budgetsoverview.htm</t>
        </is>
      </c>
      <c r="K1106" t="inlineStr">
        <is>
          <t>2026-09-16</t>
        </is>
      </c>
      <c r="L1106" t="inlineStr">
        <is>
          <t>Alternativa adicional incorporada en FP-180 (2026-09-16) desde el registro de FP-126 y la auditoria de FP-179.</t>
        </is>
      </c>
    </row>
    <row r="1107">
      <c r="A1107" t="inlineStr">
        <is>
          <t>E1</t>
        </is>
      </c>
      <c r="B1107" t="inlineStr">
        <is>
          <t>Cloud nativa</t>
        </is>
      </c>
      <c r="C1107" t="inlineStr">
        <is>
          <t>OCI Cost Analysis</t>
        </is>
      </c>
      <c r="D1107" t="inlineStr">
        <is>
          <t>Automatizacion</t>
        </is>
      </c>
      <c r="E1107" t="inlineStr">
        <is>
          <t>AU2</t>
        </is>
      </c>
      <c r="F1107" t="inlineStr">
        <is>
          <t>¿Ofrece aprobación, reversión, registro o límites antes de actuar?</t>
        </is>
      </c>
      <c r="G1107" t="inlineStr">
        <is>
          <t>NE</t>
        </is>
      </c>
      <c r="H1107" t="inlineStr">
        <is>
          <t>Pendiente</t>
        </is>
      </c>
      <c r="I1107" t="inlineStr">
        <is>
          <t>No se encontro documentacion oficial de salvaguardas de ejecucion (aprobacion, reversion o limites previos a actuar) para acciones de costo.</t>
        </is>
      </c>
      <c r="L1107" t="inlineStr">
        <is>
          <t>Alternativa adicional incorporada en FP-180 (2026-09-16) desde el registro de FP-126 y la auditoria de FP-179.</t>
        </is>
      </c>
    </row>
    <row r="1108">
      <c r="A1108" t="inlineStr">
        <is>
          <t>E1</t>
        </is>
      </c>
      <c r="B1108" t="inlineStr">
        <is>
          <t>Cloud nativa</t>
        </is>
      </c>
      <c r="C1108" t="inlineStr">
        <is>
          <t>OCI Cost Analysis</t>
        </is>
      </c>
      <c r="D1108" t="inlineStr">
        <is>
          <t>Multicloud</t>
        </is>
      </c>
      <c r="E1108" t="inlineStr">
        <is>
          <t>M1</t>
        </is>
      </c>
      <c r="F1108" t="inlineStr">
        <is>
          <t>¿Consolida al menos dos proveedores bajo el mismo esquema declarado?</t>
        </is>
      </c>
      <c r="G1108" t="n">
        <v>0</v>
      </c>
      <c r="H1108" t="inlineStr">
        <is>
          <t>Oficial (ausencia verificada)</t>
        </is>
      </c>
      <c r="I1108" t="inlineStr">
        <is>
          <t>Cost Analysis opera sobre la tenancy de Oracle Cloud Infrastructure; la documentacion de facturacion no describe consolidacion de cuentas de otros proveedores. Criterio aplicado igual que a los demas productos nativos.</t>
        </is>
      </c>
      <c r="J1108" t="inlineStr">
        <is>
          <t>https://docs.oracle.com/en-us/iaas/Content/Billing/Concepts/billingoverview.htm</t>
        </is>
      </c>
      <c r="K1108" t="inlineStr">
        <is>
          <t>2026-09-16</t>
        </is>
      </c>
      <c r="L1108" t="inlineStr">
        <is>
          <t>Alternativa adicional incorporada en FP-180 (2026-09-16) desde el registro de FP-126 y la auditoria de FP-179.</t>
        </is>
      </c>
    </row>
    <row r="1109">
      <c r="A1109" t="inlineStr">
        <is>
          <t>E1</t>
        </is>
      </c>
      <c r="B1109" t="inlineStr">
        <is>
          <t>Cloud nativa</t>
        </is>
      </c>
      <c r="C1109" t="inlineStr">
        <is>
          <t>OCI Cost Analysis</t>
        </is>
      </c>
      <c r="D1109" t="inlineStr">
        <is>
          <t>Multicloud</t>
        </is>
      </c>
      <c r="E1109" t="inlineStr">
        <is>
          <t>M2</t>
        </is>
      </c>
      <c r="F1109" t="inlineStr">
        <is>
          <t>¿Hace visibles proveedor, cobertura y diferencias semánticas?</t>
        </is>
      </c>
      <c r="G1109" t="n">
        <v>0</v>
      </c>
      <c r="H1109" t="inlineStr">
        <is>
          <t>Oficial (ausencia verificada)</t>
        </is>
      </c>
      <c r="I1109" t="inlineStr">
        <is>
          <t>Mismo alcance de diseno que M1: al no consolidar otros proveedores, no expone diferencias semanticas entre ellos.</t>
        </is>
      </c>
      <c r="J1109" t="inlineStr">
        <is>
          <t>https://docs.oracle.com/en-us/iaas/Content/Billing/Concepts/billingoverview.htm</t>
        </is>
      </c>
      <c r="K1109" t="inlineStr">
        <is>
          <t>2026-09-16</t>
        </is>
      </c>
      <c r="L1109" t="inlineStr">
        <is>
          <t>Alternativa adicional incorporada en FP-180 (2026-09-16) desde el registro de FP-126 y la auditoria de FP-179.</t>
        </is>
      </c>
    </row>
    <row r="1110">
      <c r="A1110" t="inlineStr">
        <is>
          <t>E1</t>
        </is>
      </c>
      <c r="B1110" t="inlineStr">
        <is>
          <t>Cloud nativa</t>
        </is>
      </c>
      <c r="C1110" t="inlineStr">
        <is>
          <t>OCI Cost Analysis</t>
        </is>
      </c>
      <c r="D1110" t="inlineStr">
        <is>
          <t>Integracion</t>
        </is>
      </c>
      <c r="E1110" t="inlineStr">
        <is>
          <t>I1</t>
        </is>
      </c>
      <c r="F1110" t="inlineStr">
        <is>
          <t>¿Integra datos requeridos (facturación, uso, clúster o IaC) del escenario?</t>
        </is>
      </c>
      <c r="G1110" t="n">
        <v>2</v>
      </c>
      <c r="H1110" t="inlineStr">
        <is>
          <t>Oficial</t>
        </is>
      </c>
      <c r="I1110" t="inlineStr">
        <is>
          <t>El acceso a los datos esta documentado por multiples interfaces: «You can access Oracle Cloud Infrastructure using the Oracle Cloud Infrastructure Console (a browser-based interface), the Command Line Interpreter (CLI), the REST API, or the OCI Terraform Provider».</t>
        </is>
      </c>
      <c r="J1110" t="inlineStr">
        <is>
          <t>https://docs.oracle.com/en-us/iaas/Content/CloudAdvisor/Concepts/cloudadvisoroverview.htm</t>
        </is>
      </c>
      <c r="K1110" t="inlineStr">
        <is>
          <t>2026-09-16</t>
        </is>
      </c>
      <c r="L1110" t="inlineStr">
        <is>
          <t>Alternativa adicional incorporada en FP-180 (2026-09-16) desde el registro de FP-126 y la auditoria de FP-179.</t>
        </is>
      </c>
    </row>
    <row r="1111">
      <c r="A1111" t="inlineStr">
        <is>
          <t>E1</t>
        </is>
      </c>
      <c r="B1111" t="inlineStr">
        <is>
          <t>Cloud nativa</t>
        </is>
      </c>
      <c r="C1111" t="inlineStr">
        <is>
          <t>OCI Cost Analysis</t>
        </is>
      </c>
      <c r="D1111" t="inlineStr">
        <is>
          <t>Integracion</t>
        </is>
      </c>
      <c r="E1111" t="inlineStr">
        <is>
          <t>I2</t>
        </is>
      </c>
      <c r="F1111" t="inlineStr">
        <is>
          <t>¿Se integra con el flujo de trabajo relevante (alerta, ticket, CI/CD o reporte)?</t>
        </is>
      </c>
      <c r="G1111" t="n">
        <v>2</v>
      </c>
      <c r="H1111" t="inlineStr">
        <is>
          <t>Oficial</t>
        </is>
      </c>
      <c r="I1111" t="inlineStr">
        <is>
          <t>La documentacion describe reportes programados: «Use the Scheduled reports page to generate scheduled reports based on saved reports from Cost Analysis», lo que integra la salida al flujo de reporte periodico.</t>
        </is>
      </c>
      <c r="J1111" t="inlineStr">
        <is>
          <t>https://docs.oracle.com/en-us/iaas/Content/Billing/Concepts/costanalysisoverview.htm</t>
        </is>
      </c>
      <c r="K1111" t="inlineStr">
        <is>
          <t>2026-09-16</t>
        </is>
      </c>
      <c r="L1111" t="inlineStr">
        <is>
          <t>Alternativa adicional incorporada en FP-180 (2026-09-16) desde el registro de FP-126 y la auditoria de FP-179.</t>
        </is>
      </c>
    </row>
    <row r="1112">
      <c r="A1112" t="inlineStr">
        <is>
          <t>E1</t>
        </is>
      </c>
      <c r="B1112" t="inlineStr">
        <is>
          <t>Cloud nativa</t>
        </is>
      </c>
      <c r="C1112" t="inlineStr">
        <is>
          <t>OCI Cost Analysis</t>
        </is>
      </c>
      <c r="D1112" t="inlineStr">
        <is>
          <t>Adopcion</t>
        </is>
      </c>
      <c r="E1112" t="inlineStr">
        <is>
          <t>AD1</t>
        </is>
      </c>
      <c r="F1112" t="inlineStr">
        <is>
          <t>¿Soporta acceso/entrega para los roles del escenario?</t>
        </is>
      </c>
      <c r="G1112" t="n">
        <v>2</v>
      </c>
      <c r="H1112" t="inlineStr">
        <is>
          <t>Oficial</t>
        </is>
      </c>
      <c r="I1112" t="inlineStr">
        <is>
          <t>El acceso se controla por politicas IAM por servicio e interfaz: «Each service in Oracle Cloud Infrastructure integrates with IAM for authentication and authorization, for all interfaces», con permisos granulares a nivel de compartimento.</t>
        </is>
      </c>
      <c r="J1112" t="inlineStr">
        <is>
          <t>https://docs.oracle.com/en-us/iaas/Content/CloudAdvisor/Tasks/customizing-policies.htm</t>
        </is>
      </c>
      <c r="K1112" t="inlineStr">
        <is>
          <t>2026-09-16</t>
        </is>
      </c>
      <c r="L1112" t="inlineStr">
        <is>
          <t>Alternativa adicional incorporada en FP-180 (2026-09-16) desde el registro de FP-126 y la auditoria de FP-179.</t>
        </is>
      </c>
    </row>
    <row r="1113">
      <c r="A1113" t="inlineStr">
        <is>
          <t>E1</t>
        </is>
      </c>
      <c r="B1113" t="inlineStr">
        <is>
          <t>Cloud nativa</t>
        </is>
      </c>
      <c r="C1113" t="inlineStr">
        <is>
          <t>OCI Cost Analysis</t>
        </is>
      </c>
      <c r="D1113" t="inlineStr">
        <is>
          <t>Adopcion</t>
        </is>
      </c>
      <c r="E1113" t="inlineStr">
        <is>
          <t>AD2</t>
        </is>
      </c>
      <c r="F1113" t="inlineStr">
        <is>
          <t>¿Ofrece guías, ownership o mecanismos de seguimiento para uso sostenido?</t>
        </is>
      </c>
      <c r="G1113" t="n">
        <v>2</v>
      </c>
      <c r="H1113" t="inlineStr">
        <is>
          <t>Oficial</t>
        </is>
      </c>
      <c r="I1113" t="inlineStr">
        <is>
          <t>Oracle publica guia de adopcion y gobernanza de costos en su Cloud Adoption Framework y en el Well-Architected Framework, con practicas de seguimiento y gestion de uso y costo.</t>
        </is>
      </c>
      <c r="J1113" t="inlineStr">
        <is>
          <t>https://docs.oracle.com/en-us/iaas/Content/cloud-adoption-framework/era-cost-management.htm</t>
        </is>
      </c>
      <c r="K1113" t="inlineStr">
        <is>
          <t>2026-09-16</t>
        </is>
      </c>
      <c r="L1113" t="inlineStr">
        <is>
          <t>Alternativa adicional incorporada en FP-180 (2026-09-16) desde el registro de FP-126 y la auditoria de FP-179.</t>
        </is>
      </c>
    </row>
    <row r="1114">
      <c r="A1114" t="inlineStr">
        <is>
          <t>E1</t>
        </is>
      </c>
      <c r="B1114" t="inlineStr">
        <is>
          <t>Cloud nativa</t>
        </is>
      </c>
      <c r="C1114" t="inlineStr">
        <is>
          <t>OCI Cost Analysis</t>
        </is>
      </c>
      <c r="D1114" t="inlineStr">
        <is>
          <t>Precio</t>
        </is>
      </c>
      <c r="E1114" t="inlineStr">
        <is>
          <t>P1</t>
        </is>
      </c>
      <c r="F1114" t="inlineStr">
        <is>
          <t>¿Expone precio, moneda, región, unidad, período y supuestos relevantes?</t>
        </is>
      </c>
      <c r="G1114" t="n">
        <v>2</v>
      </c>
      <c r="H1114" t="inlineStr">
        <is>
          <t>Oficial</t>
        </is>
      </c>
      <c r="I1114" t="inlineStr">
        <is>
          <t>Los cost reports exponen «usage, price, cost» por recurso y hora junto con metadatos y etiquetas, de modo que precio, unidad y periodo quedan visibles y reproducibles.</t>
        </is>
      </c>
      <c r="J1114" t="inlineStr">
        <is>
          <t>https://docs.oracle.com/en-us/iaas/Content/Billing/Concepts/costusagereportsoverview.htm</t>
        </is>
      </c>
      <c r="K1114" t="inlineStr">
        <is>
          <t>2026-09-16</t>
        </is>
      </c>
      <c r="L1114" t="inlineStr">
        <is>
          <t>Alternativa adicional incorporada en FP-180 (2026-09-16) desde el registro de FP-126 y la auditoria de FP-179.</t>
        </is>
      </c>
    </row>
    <row r="1115">
      <c r="A1115" t="inlineStr">
        <is>
          <t>E1</t>
        </is>
      </c>
      <c r="B1115" t="inlineStr">
        <is>
          <t>Cloud nativa</t>
        </is>
      </c>
      <c r="C1115" t="inlineStr">
        <is>
          <t>OCI Cost Analysis</t>
        </is>
      </c>
      <c r="D1115" t="inlineStr">
        <is>
          <t>Precio</t>
        </is>
      </c>
      <c r="E1115" t="inlineStr">
        <is>
          <t>P2</t>
        </is>
      </c>
      <c r="F1115" t="inlineStr">
        <is>
          <t>¿Permite estimar o comparar componentes sin ocultar límites de equivalencia?</t>
        </is>
      </c>
      <c r="G1115" t="inlineStr">
        <is>
          <t>NE</t>
        </is>
      </c>
      <c r="H1115" t="inlineStr">
        <is>
          <t>Pendiente</t>
        </is>
      </c>
      <c r="I1115" t="inlineStr">
        <is>
          <t>No se encontro en Cost Analysis una funcion documentada de estimacion o comparacion de componentes de precio; Oracle ofrece un estimador de costos como producto aparte, no incluido en la poblacion.</t>
        </is>
      </c>
      <c r="L1115" t="inlineStr">
        <is>
          <t>Alternativa adicional incorporada en FP-180 (2026-09-16) desde el registro de FP-126 y la auditoria de FP-179.</t>
        </is>
      </c>
    </row>
    <row r="1116">
      <c r="A1116" t="inlineStr">
        <is>
          <t>E1</t>
        </is>
      </c>
      <c r="B1116" t="inlineStr">
        <is>
          <t>Cloud nativa</t>
        </is>
      </c>
      <c r="C1116" t="inlineStr">
        <is>
          <t>OCI Cost Analysis</t>
        </is>
      </c>
      <c r="D1116" t="inlineStr">
        <is>
          <t>Dependencia</t>
        </is>
      </c>
      <c r="E1116" t="inlineStr">
        <is>
          <t>D1</t>
        </is>
      </c>
      <c r="F1116" t="inlineStr">
        <is>
          <t>¿Exporta datos/resultados en formato utilizable y documentado?</t>
        </is>
      </c>
      <c r="G1116" t="n">
        <v>2</v>
      </c>
      <c r="H1116" t="inlineStr">
        <is>
          <t>Oficial</t>
        </is>
      </c>
      <c r="I1116" t="inlineStr">
        <is>
          <t>Cost Analysis permite «download accurate, reliable tabular reports» y los cost reports se entregan como archivos por recurso y hora, disponibles para descarga.</t>
        </is>
      </c>
      <c r="J1116" t="inlineStr">
        <is>
          <t>https://docs.oracle.com/en-us/iaas/Content/Billing/Tasks/download-cost-csv.htm</t>
        </is>
      </c>
      <c r="K1116" t="inlineStr">
        <is>
          <t>2026-09-16</t>
        </is>
      </c>
      <c r="L1116" t="inlineStr">
        <is>
          <t>Alternativa adicional incorporada en FP-180 (2026-09-16) desde el registro de FP-126 y la auditoria de FP-179.</t>
        </is>
      </c>
    </row>
    <row r="1117">
      <c r="A1117" t="inlineStr">
        <is>
          <t>E1</t>
        </is>
      </c>
      <c r="B1117" t="inlineStr">
        <is>
          <t>Cloud nativa</t>
        </is>
      </c>
      <c r="C1117" t="inlineStr">
        <is>
          <t>OCI Cost Analysis</t>
        </is>
      </c>
      <c r="D1117" t="inlineStr">
        <is>
          <t>Dependencia</t>
        </is>
      </c>
      <c r="E1117" t="inlineStr">
        <is>
          <t>D2</t>
        </is>
      </c>
      <c r="F1117" t="inlineStr">
        <is>
          <t>¿Documenta dependencias propietarias y un camino de salida/configuración reversible?</t>
        </is>
      </c>
      <c r="G1117" t="inlineStr">
        <is>
          <t>NE</t>
        </is>
      </c>
      <c r="H1117" t="inlineStr">
        <is>
          <t>Pendiente</t>
        </is>
      </c>
      <c r="I1117" t="inlineStr">
        <is>
          <t>No se encontro documentacion oficial sobre dependencias propietarias ni camino de salida o configuracion reversible.</t>
        </is>
      </c>
      <c r="L1117" t="inlineStr">
        <is>
          <t>Alternativa adicional incorporada en FP-180 (2026-09-16) desde el registro de FP-126 y la auditoria de FP-179.</t>
        </is>
      </c>
    </row>
    <row r="1118">
      <c r="A1118" t="inlineStr">
        <is>
          <t>E2</t>
        </is>
      </c>
      <c r="B1118" t="inlineStr">
        <is>
          <t>Cloud nativa</t>
        </is>
      </c>
      <c r="C1118" t="inlineStr">
        <is>
          <t>OCI Cost Analysis</t>
        </is>
      </c>
      <c r="D1118" t="inlineStr">
        <is>
          <t>Visibilidad</t>
        </is>
      </c>
      <c r="E1118" t="inlineStr">
        <is>
          <t>V1</t>
        </is>
      </c>
      <c r="F1118" t="inlineStr">
        <is>
          <t>¿Desagrega costo y uso por cuenta/proyecto, servicio y período?</t>
        </is>
      </c>
      <c r="G1118" t="inlineStr">
        <is>
          <t>NE</t>
        </is>
      </c>
      <c r="H1118" t="inlineStr">
        <is>
          <t>Pendiente</t>
        </is>
      </c>
      <c r="I1118" t="inlineStr">
        <is>
          <t>Pendiente de investigacion propia del escenario: el indicador depende del escenario y la evidencia recogida corresponde al escenario ancla del producto.</t>
        </is>
      </c>
      <c r="L1118" t="inlineStr">
        <is>
          <t>Alternativa adicional incorporada en FP-180 (2026-09-16) desde el registro de FP-126 y la auditoria de FP-179. | Escenario ancla del producto: E1.</t>
        </is>
      </c>
    </row>
    <row r="1119">
      <c r="A1119" t="inlineStr">
        <is>
          <t>E2</t>
        </is>
      </c>
      <c r="B1119" t="inlineStr">
        <is>
          <t>Cloud nativa</t>
        </is>
      </c>
      <c r="C1119" t="inlineStr">
        <is>
          <t>OCI Cost Analysis</t>
        </is>
      </c>
      <c r="D1119" t="inlineStr">
        <is>
          <t>Visibilidad</t>
        </is>
      </c>
      <c r="E1119" t="inlineStr">
        <is>
          <t>V2</t>
        </is>
      </c>
      <c r="F1119" t="inlineStr">
        <is>
          <t>¿Permite rastrear un total hasta registros o fuente de facturación?</t>
        </is>
      </c>
      <c r="G1119" t="n">
        <v>2</v>
      </c>
      <c r="H1119" t="inlineStr">
        <is>
          <t>Oficial</t>
        </is>
      </c>
      <c r="I1119" t="inlineStr">
        <is>
          <t>Los Cost Reports «contain one row per each Oracle Cloud Infrastructure resource per hour along with consumption information (usage, price, cost), metadata, and tags», lo que permite rastrear un total hasta el registro por recurso y hora.</t>
        </is>
      </c>
      <c r="J1119" t="inlineStr">
        <is>
          <t>https://docs.oracle.com/en-us/iaas/Content/Billing/Concepts/costusagereportsoverview.htm</t>
        </is>
      </c>
      <c r="K1119" t="inlineStr">
        <is>
          <t>2026-09-16</t>
        </is>
      </c>
      <c r="L1119" t="inlineStr">
        <is>
          <t>Alternativa adicional incorporada en FP-180 (2026-09-16) desde el registro de FP-126 y la auditoria de FP-179.</t>
        </is>
      </c>
    </row>
    <row r="1120">
      <c r="A1120" t="inlineStr">
        <is>
          <t>E2</t>
        </is>
      </c>
      <c r="B1120" t="inlineStr">
        <is>
          <t>Cloud nativa</t>
        </is>
      </c>
      <c r="C1120" t="inlineStr">
        <is>
          <t>OCI Cost Analysis</t>
        </is>
      </c>
      <c r="D1120" t="inlineStr">
        <is>
          <t>Asignacion</t>
        </is>
      </c>
      <c r="E1120" t="inlineStr">
        <is>
          <t>A1</t>
        </is>
      </c>
      <c r="F1120" t="inlineStr">
        <is>
          <t>¿Calcula gasto asignado/no asignado por responsable, centro o entidad?</t>
        </is>
      </c>
      <c r="G1120" t="inlineStr">
        <is>
          <t>NE</t>
        </is>
      </c>
      <c r="H1120" t="inlineStr">
        <is>
          <t>Pendiente</t>
        </is>
      </c>
      <c r="I1120" t="inlineStr">
        <is>
          <t>Pendiente de investigacion propia del escenario: el indicador depende del escenario y la evidencia recogida corresponde al escenario ancla del producto.</t>
        </is>
      </c>
      <c r="L1120" t="inlineStr">
        <is>
          <t>Alternativa adicional incorporada en FP-180 (2026-09-16) desde el registro de FP-126 y la auditoria de FP-179. | Escenario ancla del producto: E1.</t>
        </is>
      </c>
    </row>
    <row r="1121">
      <c r="A1121" t="inlineStr">
        <is>
          <t>E2</t>
        </is>
      </c>
      <c r="B1121" t="inlineStr">
        <is>
          <t>Cloud nativa</t>
        </is>
      </c>
      <c r="C1121" t="inlineStr">
        <is>
          <t>OCI Cost Analysis</t>
        </is>
      </c>
      <c r="D1121" t="inlineStr">
        <is>
          <t>Asignacion</t>
        </is>
      </c>
      <c r="E1121" t="inlineStr">
        <is>
          <t>A2</t>
        </is>
      </c>
      <c r="F1121" t="inlineStr">
        <is>
          <t>¿Explicita y aplica reglas para costo compartido/multi-tenant?</t>
        </is>
      </c>
      <c r="G1121" t="inlineStr">
        <is>
          <t>NE</t>
        </is>
      </c>
      <c r="H1121" t="inlineStr">
        <is>
          <t>Pendiente</t>
        </is>
      </c>
      <c r="I1121" t="inlineStr">
        <is>
          <t>Pendiente de investigacion propia del escenario: el indicador depende del escenario y la evidencia recogida corresponde al escenario ancla del producto.</t>
        </is>
      </c>
      <c r="L1121" t="inlineStr">
        <is>
          <t>Alternativa adicional incorporada en FP-180 (2026-09-16) desde el registro de FP-126 y la auditoria de FP-179. | Escenario ancla del producto: E1.</t>
        </is>
      </c>
    </row>
    <row r="1122">
      <c r="A1122" t="inlineStr">
        <is>
          <t>E2</t>
        </is>
      </c>
      <c r="B1122" t="inlineStr">
        <is>
          <t>Cloud nativa</t>
        </is>
      </c>
      <c r="C1122" t="inlineStr">
        <is>
          <t>OCI Cost Analysis</t>
        </is>
      </c>
      <c r="D1122" t="inlineStr">
        <is>
          <t>Optimizacion</t>
        </is>
      </c>
      <c r="E1122" t="inlineStr">
        <is>
          <t>O1</t>
        </is>
      </c>
      <c r="F1122" t="inlineStr">
        <is>
          <t>¿Detecta desperdicio, rightsizing o compromiso relevante al escenario?</t>
        </is>
      </c>
      <c r="G1122" t="inlineStr">
        <is>
          <t>NE</t>
        </is>
      </c>
      <c r="H1122" t="inlineStr">
        <is>
          <t>Pendiente</t>
        </is>
      </c>
      <c r="I1122" t="inlineStr">
        <is>
          <t>Pendiente de investigacion propia del escenario: el indicador depende del escenario y la evidencia recogida corresponde al escenario ancla del producto.</t>
        </is>
      </c>
      <c r="L1122" t="inlineStr">
        <is>
          <t>Alternativa adicional incorporada en FP-180 (2026-09-16) desde el registro de FP-126 y la auditoria de FP-179. | Escenario ancla del producto: E1.</t>
        </is>
      </c>
    </row>
    <row r="1123">
      <c r="A1123" t="inlineStr">
        <is>
          <t>E2</t>
        </is>
      </c>
      <c r="B1123" t="inlineStr">
        <is>
          <t>Cloud nativa</t>
        </is>
      </c>
      <c r="C1123" t="inlineStr">
        <is>
          <t>OCI Cost Analysis</t>
        </is>
      </c>
      <c r="D1123" t="inlineStr">
        <is>
          <t>Optimizacion</t>
        </is>
      </c>
      <c r="E1123" t="inlineStr">
        <is>
          <t>O2</t>
        </is>
      </c>
      <c r="F1123" t="inlineStr">
        <is>
          <t>¿Explica supuesto/impacto y permite seguir una recomendación?</t>
        </is>
      </c>
      <c r="G1123" t="n">
        <v>1</v>
      </c>
      <c r="H1123" t="inlineStr">
        <is>
          <t>Oficial</t>
        </is>
      </c>
      <c r="I1123" t="inlineStr">
        <is>
          <t>Existe documentacion para implementar las recomendaciones de Cloud Advisor, pero no se encontro evidencia de un ciclo documentado de medicion o seguimiento del ahorro realizado.</t>
        </is>
      </c>
      <c r="J1123" t="inlineStr">
        <is>
          <t>https://docs.oracle.com/en-us/iaas/Content/CloudAdvisor/Tasks/cloudadvisor-implementing_cloud_advisor_recommendations.htm</t>
        </is>
      </c>
      <c r="K1123" t="inlineStr">
        <is>
          <t>2026-09-16</t>
        </is>
      </c>
      <c r="L1123" t="inlineStr">
        <is>
          <t>Alternativa adicional incorporada en FP-180 (2026-09-16) desde el registro de FP-126 y la auditoria de FP-179.</t>
        </is>
      </c>
    </row>
    <row r="1124">
      <c r="A1124" t="inlineStr">
        <is>
          <t>E2</t>
        </is>
      </c>
      <c r="B1124" t="inlineStr">
        <is>
          <t>Cloud nativa</t>
        </is>
      </c>
      <c r="C1124" t="inlineStr">
        <is>
          <t>OCI Cost Analysis</t>
        </is>
      </c>
      <c r="D1124" t="inlineStr">
        <is>
          <t>Automatizacion</t>
        </is>
      </c>
      <c r="E1124" t="inlineStr">
        <is>
          <t>AU1</t>
        </is>
      </c>
      <c r="F1124" t="inlineStr">
        <is>
          <t>¿Ejecuta o bloquea acciones/políticas de costo con control verificable?</t>
        </is>
      </c>
      <c r="G1124" t="inlineStr">
        <is>
          <t>NE</t>
        </is>
      </c>
      <c r="H1124" t="inlineStr">
        <is>
          <t>Pendiente</t>
        </is>
      </c>
      <c r="I1124" t="inlineStr">
        <is>
          <t>Pendiente de investigacion propia del escenario: el indicador depende del escenario y la evidencia recogida corresponde al escenario ancla del producto.</t>
        </is>
      </c>
      <c r="L1124" t="inlineStr">
        <is>
          <t>Alternativa adicional incorporada en FP-180 (2026-09-16) desde el registro de FP-126 y la auditoria de FP-179. | Escenario ancla del producto: E1.</t>
        </is>
      </c>
    </row>
    <row r="1125">
      <c r="A1125" t="inlineStr">
        <is>
          <t>E2</t>
        </is>
      </c>
      <c r="B1125" t="inlineStr">
        <is>
          <t>Cloud nativa</t>
        </is>
      </c>
      <c r="C1125" t="inlineStr">
        <is>
          <t>OCI Cost Analysis</t>
        </is>
      </c>
      <c r="D1125" t="inlineStr">
        <is>
          <t>Automatizacion</t>
        </is>
      </c>
      <c r="E1125" t="inlineStr">
        <is>
          <t>AU2</t>
        </is>
      </c>
      <c r="F1125" t="inlineStr">
        <is>
          <t>¿Ofrece aprobación, reversión, registro o límites antes de actuar?</t>
        </is>
      </c>
      <c r="G1125" t="inlineStr">
        <is>
          <t>NE</t>
        </is>
      </c>
      <c r="H1125" t="inlineStr">
        <is>
          <t>Pendiente</t>
        </is>
      </c>
      <c r="I1125" t="inlineStr">
        <is>
          <t>No se encontro documentacion oficial de salvaguardas de ejecucion (aprobacion, reversion o limites previos a actuar) para acciones de costo.</t>
        </is>
      </c>
      <c r="L1125" t="inlineStr">
        <is>
          <t>Alternativa adicional incorporada en FP-180 (2026-09-16) desde el registro de FP-126 y la auditoria de FP-179.</t>
        </is>
      </c>
    </row>
    <row r="1126">
      <c r="A1126" t="inlineStr">
        <is>
          <t>E2</t>
        </is>
      </c>
      <c r="B1126" t="inlineStr">
        <is>
          <t>Cloud nativa</t>
        </is>
      </c>
      <c r="C1126" t="inlineStr">
        <is>
          <t>OCI Cost Analysis</t>
        </is>
      </c>
      <c r="D1126" t="inlineStr">
        <is>
          <t>Multicloud</t>
        </is>
      </c>
      <c r="E1126" t="inlineStr">
        <is>
          <t>M1</t>
        </is>
      </c>
      <c r="F1126" t="inlineStr">
        <is>
          <t>¿Consolida al menos dos proveedores bajo el mismo esquema declarado?</t>
        </is>
      </c>
      <c r="G1126" t="inlineStr">
        <is>
          <t>NA</t>
        </is>
      </c>
      <c r="H1126" t="inlineStr">
        <is>
          <t>Justificacion de alcance</t>
        </is>
      </c>
      <c r="I1126"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1126" t="inlineStr">
        <is>
          <t>https://docs.oracle.com/en-us/iaas/Content/Billing/Concepts/billingoverview.htm</t>
        </is>
      </c>
      <c r="K1126" t="inlineStr">
        <is>
          <t>2026-09-16</t>
        </is>
      </c>
      <c r="L1126" t="inlineStr">
        <is>
          <t>Alternativa adicional incorporada en FP-180 (2026-09-16) desde el registro de FP-126 y la auditoria de FP-179. | 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1127">
      <c r="A1127" t="inlineStr">
        <is>
          <t>E2</t>
        </is>
      </c>
      <c r="B1127" t="inlineStr">
        <is>
          <t>Cloud nativa</t>
        </is>
      </c>
      <c r="C1127" t="inlineStr">
        <is>
          <t>OCI Cost Analysis</t>
        </is>
      </c>
      <c r="D1127" t="inlineStr">
        <is>
          <t>Multicloud</t>
        </is>
      </c>
      <c r="E1127" t="inlineStr">
        <is>
          <t>M2</t>
        </is>
      </c>
      <c r="F1127" t="inlineStr">
        <is>
          <t>¿Hace visibles proveedor, cobertura y diferencias semánticas?</t>
        </is>
      </c>
      <c r="G1127" t="inlineStr">
        <is>
          <t>NA</t>
        </is>
      </c>
      <c r="H1127" t="inlineStr">
        <is>
          <t>Justificacion de alcance</t>
        </is>
      </c>
      <c r="I1127"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1127" t="inlineStr">
        <is>
          <t>https://docs.oracle.com/en-us/iaas/Content/Billing/Concepts/billingoverview.htm</t>
        </is>
      </c>
      <c r="K1127" t="inlineStr">
        <is>
          <t>2026-09-16</t>
        </is>
      </c>
      <c r="L1127" t="inlineStr">
        <is>
          <t>Alternativa adicional incorporada en FP-180 (2026-09-16) desde el registro de FP-126 y la auditoria de FP-179. | 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1128">
      <c r="A1128" t="inlineStr">
        <is>
          <t>E2</t>
        </is>
      </c>
      <c r="B1128" t="inlineStr">
        <is>
          <t>Cloud nativa</t>
        </is>
      </c>
      <c r="C1128" t="inlineStr">
        <is>
          <t>OCI Cost Analysis</t>
        </is>
      </c>
      <c r="D1128" t="inlineStr">
        <is>
          <t>Integracion</t>
        </is>
      </c>
      <c r="E1128" t="inlineStr">
        <is>
          <t>I1</t>
        </is>
      </c>
      <c r="F1128" t="inlineStr">
        <is>
          <t>¿Integra datos requeridos (facturación, uso, clúster o IaC) del escenario?</t>
        </is>
      </c>
      <c r="G1128" t="inlineStr">
        <is>
          <t>NE</t>
        </is>
      </c>
      <c r="H1128" t="inlineStr">
        <is>
          <t>Pendiente</t>
        </is>
      </c>
      <c r="I1128" t="inlineStr">
        <is>
          <t>Pendiente de investigacion propia del escenario: el indicador depende del escenario y la evidencia recogida corresponde al escenario ancla del producto.</t>
        </is>
      </c>
      <c r="L1128" t="inlineStr">
        <is>
          <t>Alternativa adicional incorporada en FP-180 (2026-09-16) desde el registro de FP-126 y la auditoria de FP-179. | Escenario ancla del producto: E1.</t>
        </is>
      </c>
    </row>
    <row r="1129">
      <c r="A1129" t="inlineStr">
        <is>
          <t>E2</t>
        </is>
      </c>
      <c r="B1129" t="inlineStr">
        <is>
          <t>Cloud nativa</t>
        </is>
      </c>
      <c r="C1129" t="inlineStr">
        <is>
          <t>OCI Cost Analysis</t>
        </is>
      </c>
      <c r="D1129" t="inlineStr">
        <is>
          <t>Integracion</t>
        </is>
      </c>
      <c r="E1129" t="inlineStr">
        <is>
          <t>I2</t>
        </is>
      </c>
      <c r="F1129" t="inlineStr">
        <is>
          <t>¿Se integra con el flujo de trabajo relevante (alerta, ticket, CI/CD o reporte)?</t>
        </is>
      </c>
      <c r="G1129" t="inlineStr">
        <is>
          <t>NE</t>
        </is>
      </c>
      <c r="H1129" t="inlineStr">
        <is>
          <t>Pendiente</t>
        </is>
      </c>
      <c r="I1129" t="inlineStr">
        <is>
          <t>Pendiente de investigacion propia del escenario: el indicador depende del escenario y la evidencia recogida corresponde al escenario ancla del producto.</t>
        </is>
      </c>
      <c r="L1129" t="inlineStr">
        <is>
          <t>Alternativa adicional incorporada en FP-180 (2026-09-16) desde el registro de FP-126 y la auditoria de FP-179. | Escenario ancla del producto: E1.</t>
        </is>
      </c>
    </row>
    <row r="1130">
      <c r="A1130" t="inlineStr">
        <is>
          <t>E2</t>
        </is>
      </c>
      <c r="B1130" t="inlineStr">
        <is>
          <t>Cloud nativa</t>
        </is>
      </c>
      <c r="C1130" t="inlineStr">
        <is>
          <t>OCI Cost Analysis</t>
        </is>
      </c>
      <c r="D1130" t="inlineStr">
        <is>
          <t>Adopcion</t>
        </is>
      </c>
      <c r="E1130" t="inlineStr">
        <is>
          <t>AD1</t>
        </is>
      </c>
      <c r="F1130" t="inlineStr">
        <is>
          <t>¿Soporta acceso/entrega para los roles del escenario?</t>
        </is>
      </c>
      <c r="G1130" t="inlineStr">
        <is>
          <t>NE</t>
        </is>
      </c>
      <c r="H1130" t="inlineStr">
        <is>
          <t>Pendiente</t>
        </is>
      </c>
      <c r="I1130" t="inlineStr">
        <is>
          <t>Pendiente de investigacion propia del escenario: el indicador depende del escenario y la evidencia recogida corresponde al escenario ancla del producto.</t>
        </is>
      </c>
      <c r="L1130" t="inlineStr">
        <is>
          <t>Alternativa adicional incorporada en FP-180 (2026-09-16) desde el registro de FP-126 y la auditoria de FP-179. | Escenario ancla del producto: E1.</t>
        </is>
      </c>
    </row>
    <row r="1131">
      <c r="A1131" t="inlineStr">
        <is>
          <t>E2</t>
        </is>
      </c>
      <c r="B1131" t="inlineStr">
        <is>
          <t>Cloud nativa</t>
        </is>
      </c>
      <c r="C1131" t="inlineStr">
        <is>
          <t>OCI Cost Analysis</t>
        </is>
      </c>
      <c r="D1131" t="inlineStr">
        <is>
          <t>Adopcion</t>
        </is>
      </c>
      <c r="E1131" t="inlineStr">
        <is>
          <t>AD2</t>
        </is>
      </c>
      <c r="F1131" t="inlineStr">
        <is>
          <t>¿Ofrece guías, ownership o mecanismos de seguimiento para uso sostenido?</t>
        </is>
      </c>
      <c r="G1131" t="n">
        <v>2</v>
      </c>
      <c r="H1131" t="inlineStr">
        <is>
          <t>Oficial</t>
        </is>
      </c>
      <c r="I1131" t="inlineStr">
        <is>
          <t>Oracle publica guia de adopcion y gobernanza de costos en su Cloud Adoption Framework y en el Well-Architected Framework, con practicas de seguimiento y gestion de uso y costo.</t>
        </is>
      </c>
      <c r="J1131" t="inlineStr">
        <is>
          <t>https://docs.oracle.com/en-us/iaas/Content/cloud-adoption-framework/era-cost-management.htm</t>
        </is>
      </c>
      <c r="K1131" t="inlineStr">
        <is>
          <t>2026-09-16</t>
        </is>
      </c>
      <c r="L1131" t="inlineStr">
        <is>
          <t>Alternativa adicional incorporada en FP-180 (2026-09-16) desde el registro de FP-126 y la auditoria de FP-179.</t>
        </is>
      </c>
    </row>
    <row r="1132">
      <c r="A1132" t="inlineStr">
        <is>
          <t>E2</t>
        </is>
      </c>
      <c r="B1132" t="inlineStr">
        <is>
          <t>Cloud nativa</t>
        </is>
      </c>
      <c r="C1132" t="inlineStr">
        <is>
          <t>OCI Cost Analysis</t>
        </is>
      </c>
      <c r="D1132" t="inlineStr">
        <is>
          <t>Precio</t>
        </is>
      </c>
      <c r="E1132" t="inlineStr">
        <is>
          <t>P1</t>
        </is>
      </c>
      <c r="F1132" t="inlineStr">
        <is>
          <t>¿Expone precio, moneda, región, unidad, período y supuestos relevantes?</t>
        </is>
      </c>
      <c r="G1132" t="n">
        <v>2</v>
      </c>
      <c r="H1132" t="inlineStr">
        <is>
          <t>Oficial</t>
        </is>
      </c>
      <c r="I1132" t="inlineStr">
        <is>
          <t>Los cost reports exponen «usage, price, cost» por recurso y hora junto con metadatos y etiquetas, de modo que precio, unidad y periodo quedan visibles y reproducibles.</t>
        </is>
      </c>
      <c r="J1132" t="inlineStr">
        <is>
          <t>https://docs.oracle.com/en-us/iaas/Content/Billing/Concepts/costusagereportsoverview.htm</t>
        </is>
      </c>
      <c r="K1132" t="inlineStr">
        <is>
          <t>2026-09-16</t>
        </is>
      </c>
      <c r="L1132" t="inlineStr">
        <is>
          <t>Alternativa adicional incorporada en FP-180 (2026-09-16) desde el registro de FP-126 y la auditoria de FP-179.</t>
        </is>
      </c>
    </row>
    <row r="1133">
      <c r="A1133" t="inlineStr">
        <is>
          <t>E2</t>
        </is>
      </c>
      <c r="B1133" t="inlineStr">
        <is>
          <t>Cloud nativa</t>
        </is>
      </c>
      <c r="C1133" t="inlineStr">
        <is>
          <t>OCI Cost Analysis</t>
        </is>
      </c>
      <c r="D1133" t="inlineStr">
        <is>
          <t>Precio</t>
        </is>
      </c>
      <c r="E1133" t="inlineStr">
        <is>
          <t>P2</t>
        </is>
      </c>
      <c r="F1133" t="inlineStr">
        <is>
          <t>¿Permite estimar o comparar componentes sin ocultar límites de equivalencia?</t>
        </is>
      </c>
      <c r="G1133" t="inlineStr">
        <is>
          <t>NE</t>
        </is>
      </c>
      <c r="H1133" t="inlineStr">
        <is>
          <t>Pendiente</t>
        </is>
      </c>
      <c r="I1133" t="inlineStr">
        <is>
          <t>Pendiente de investigacion propia del escenario: el indicador depende del escenario y la evidencia recogida corresponde al escenario ancla del producto.</t>
        </is>
      </c>
      <c r="L1133" t="inlineStr">
        <is>
          <t>Alternativa adicional incorporada en FP-180 (2026-09-16) desde el registro de FP-126 y la auditoria de FP-179. | Escenario ancla del producto: E1.</t>
        </is>
      </c>
    </row>
    <row r="1134">
      <c r="A1134" t="inlineStr">
        <is>
          <t>E2</t>
        </is>
      </c>
      <c r="B1134" t="inlineStr">
        <is>
          <t>Cloud nativa</t>
        </is>
      </c>
      <c r="C1134" t="inlineStr">
        <is>
          <t>OCI Cost Analysis</t>
        </is>
      </c>
      <c r="D1134" t="inlineStr">
        <is>
          <t>Dependencia</t>
        </is>
      </c>
      <c r="E1134" t="inlineStr">
        <is>
          <t>D1</t>
        </is>
      </c>
      <c r="F1134" t="inlineStr">
        <is>
          <t>¿Exporta datos/resultados en formato utilizable y documentado?</t>
        </is>
      </c>
      <c r="G1134" t="n">
        <v>2</v>
      </c>
      <c r="H1134" t="inlineStr">
        <is>
          <t>Oficial</t>
        </is>
      </c>
      <c r="I1134" t="inlineStr">
        <is>
          <t>Cost Analysis permite «download accurate, reliable tabular reports» y los cost reports se entregan como archivos por recurso y hora, disponibles para descarga.</t>
        </is>
      </c>
      <c r="J1134" t="inlineStr">
        <is>
          <t>https://docs.oracle.com/en-us/iaas/Content/Billing/Tasks/download-cost-csv.htm</t>
        </is>
      </c>
      <c r="K1134" t="inlineStr">
        <is>
          <t>2026-09-16</t>
        </is>
      </c>
      <c r="L1134" t="inlineStr">
        <is>
          <t>Alternativa adicional incorporada en FP-180 (2026-09-16) desde el registro de FP-126 y la auditoria de FP-179.</t>
        </is>
      </c>
    </row>
    <row r="1135">
      <c r="A1135" t="inlineStr">
        <is>
          <t>E2</t>
        </is>
      </c>
      <c r="B1135" t="inlineStr">
        <is>
          <t>Cloud nativa</t>
        </is>
      </c>
      <c r="C1135" t="inlineStr">
        <is>
          <t>OCI Cost Analysis</t>
        </is>
      </c>
      <c r="D1135" t="inlineStr">
        <is>
          <t>Dependencia</t>
        </is>
      </c>
      <c r="E1135" t="inlineStr">
        <is>
          <t>D2</t>
        </is>
      </c>
      <c r="F1135" t="inlineStr">
        <is>
          <t>¿Documenta dependencias propietarias y un camino de salida/configuración reversible?</t>
        </is>
      </c>
      <c r="G1135" t="inlineStr">
        <is>
          <t>NE</t>
        </is>
      </c>
      <c r="H1135" t="inlineStr">
        <is>
          <t>Pendiente</t>
        </is>
      </c>
      <c r="I1135" t="inlineStr">
        <is>
          <t>No se encontro documentacion oficial sobre dependencias propietarias ni camino de salida o configuracion reversible.</t>
        </is>
      </c>
      <c r="L1135" t="inlineStr">
        <is>
          <t>Alternativa adicional incorporada en FP-180 (2026-09-16) desde el registro de FP-126 y la auditoria de FP-179.</t>
        </is>
      </c>
    </row>
    <row r="1136">
      <c r="A1136" t="inlineStr">
        <is>
          <t>E3</t>
        </is>
      </c>
      <c r="B1136" t="inlineStr">
        <is>
          <t>Cloud nativa</t>
        </is>
      </c>
      <c r="C1136" t="inlineStr">
        <is>
          <t>OCI Cost Analysis</t>
        </is>
      </c>
      <c r="D1136" t="inlineStr">
        <is>
          <t>Visibilidad</t>
        </is>
      </c>
      <c r="E1136" t="inlineStr">
        <is>
          <t>V1</t>
        </is>
      </c>
      <c r="F1136" t="inlineStr">
        <is>
          <t>¿Desagrega costo y uso por cuenta/proyecto, servicio y período?</t>
        </is>
      </c>
      <c r="G1136" t="inlineStr">
        <is>
          <t>NE</t>
        </is>
      </c>
      <c r="H1136" t="inlineStr">
        <is>
          <t>Pendiente</t>
        </is>
      </c>
      <c r="I1136" t="inlineStr">
        <is>
          <t>Pendiente de investigacion propia del escenario: el indicador depende del escenario y la evidencia recogida corresponde al escenario ancla del producto.</t>
        </is>
      </c>
      <c r="L1136" t="inlineStr">
        <is>
          <t>Alternativa adicional incorporada en FP-180 (2026-09-16) desde el registro de FP-126 y la auditoria de FP-179. | Escenario ancla del producto: E1.</t>
        </is>
      </c>
    </row>
    <row r="1137">
      <c r="A1137" t="inlineStr">
        <is>
          <t>E3</t>
        </is>
      </c>
      <c r="B1137" t="inlineStr">
        <is>
          <t>Cloud nativa</t>
        </is>
      </c>
      <c r="C1137" t="inlineStr">
        <is>
          <t>OCI Cost Analysis</t>
        </is>
      </c>
      <c r="D1137" t="inlineStr">
        <is>
          <t>Visibilidad</t>
        </is>
      </c>
      <c r="E1137" t="inlineStr">
        <is>
          <t>V2</t>
        </is>
      </c>
      <c r="F1137" t="inlineStr">
        <is>
          <t>¿Permite rastrear un total hasta registros o fuente de facturación?</t>
        </is>
      </c>
      <c r="G1137" t="n">
        <v>2</v>
      </c>
      <c r="H1137" t="inlineStr">
        <is>
          <t>Oficial</t>
        </is>
      </c>
      <c r="I1137" t="inlineStr">
        <is>
          <t>Los Cost Reports «contain one row per each Oracle Cloud Infrastructure resource per hour along with consumption information (usage, price, cost), metadata, and tags», lo que permite rastrear un total hasta el registro por recurso y hora.</t>
        </is>
      </c>
      <c r="J1137" t="inlineStr">
        <is>
          <t>https://docs.oracle.com/en-us/iaas/Content/Billing/Concepts/costusagereportsoverview.htm</t>
        </is>
      </c>
      <c r="K1137" t="inlineStr">
        <is>
          <t>2026-09-16</t>
        </is>
      </c>
      <c r="L1137" t="inlineStr">
        <is>
          <t>Alternativa adicional incorporada en FP-180 (2026-09-16) desde el registro de FP-126 y la auditoria de FP-179.</t>
        </is>
      </c>
    </row>
    <row r="1138">
      <c r="A1138" t="inlineStr">
        <is>
          <t>E3</t>
        </is>
      </c>
      <c r="B1138" t="inlineStr">
        <is>
          <t>Cloud nativa</t>
        </is>
      </c>
      <c r="C1138" t="inlineStr">
        <is>
          <t>OCI Cost Analysis</t>
        </is>
      </c>
      <c r="D1138" t="inlineStr">
        <is>
          <t>Asignacion</t>
        </is>
      </c>
      <c r="E1138" t="inlineStr">
        <is>
          <t>A1</t>
        </is>
      </c>
      <c r="F1138" t="inlineStr">
        <is>
          <t>¿Calcula gasto asignado/no asignado por responsable, centro o entidad?</t>
        </is>
      </c>
      <c r="G1138" t="inlineStr">
        <is>
          <t>NE</t>
        </is>
      </c>
      <c r="H1138" t="inlineStr">
        <is>
          <t>Pendiente</t>
        </is>
      </c>
      <c r="I1138" t="inlineStr">
        <is>
          <t>Pendiente de investigacion propia del escenario: el indicador depende del escenario y la evidencia recogida corresponde al escenario ancla del producto.</t>
        </is>
      </c>
      <c r="L1138" t="inlineStr">
        <is>
          <t>Alternativa adicional incorporada en FP-180 (2026-09-16) desde el registro de FP-126 y la auditoria de FP-179. | Escenario ancla del producto: E1.</t>
        </is>
      </c>
    </row>
    <row r="1139">
      <c r="A1139" t="inlineStr">
        <is>
          <t>E3</t>
        </is>
      </c>
      <c r="B1139" t="inlineStr">
        <is>
          <t>Cloud nativa</t>
        </is>
      </c>
      <c r="C1139" t="inlineStr">
        <is>
          <t>OCI Cost Analysis</t>
        </is>
      </c>
      <c r="D1139" t="inlineStr">
        <is>
          <t>Asignacion</t>
        </is>
      </c>
      <c r="E1139" t="inlineStr">
        <is>
          <t>A2</t>
        </is>
      </c>
      <c r="F1139" t="inlineStr">
        <is>
          <t>¿Explicita y aplica reglas para costo compartido/multi-tenant?</t>
        </is>
      </c>
      <c r="G1139" t="inlineStr">
        <is>
          <t>NE</t>
        </is>
      </c>
      <c r="H1139" t="inlineStr">
        <is>
          <t>Pendiente</t>
        </is>
      </c>
      <c r="I1139" t="inlineStr">
        <is>
          <t>Pendiente de investigacion propia del escenario: el indicador depende del escenario y la evidencia recogida corresponde al escenario ancla del producto.</t>
        </is>
      </c>
      <c r="L1139" t="inlineStr">
        <is>
          <t>Alternativa adicional incorporada en FP-180 (2026-09-16) desde el registro de FP-126 y la auditoria de FP-179. | Escenario ancla del producto: E1.</t>
        </is>
      </c>
    </row>
    <row r="1140">
      <c r="A1140" t="inlineStr">
        <is>
          <t>E3</t>
        </is>
      </c>
      <c r="B1140" t="inlineStr">
        <is>
          <t>Cloud nativa</t>
        </is>
      </c>
      <c r="C1140" t="inlineStr">
        <is>
          <t>OCI Cost Analysis</t>
        </is>
      </c>
      <c r="D1140" t="inlineStr">
        <is>
          <t>Optimizacion</t>
        </is>
      </c>
      <c r="E1140" t="inlineStr">
        <is>
          <t>O1</t>
        </is>
      </c>
      <c r="F1140" t="inlineStr">
        <is>
          <t>¿Detecta desperdicio, rightsizing o compromiso relevante al escenario?</t>
        </is>
      </c>
      <c r="G1140" t="inlineStr">
        <is>
          <t>NE</t>
        </is>
      </c>
      <c r="H1140" t="inlineStr">
        <is>
          <t>Pendiente</t>
        </is>
      </c>
      <c r="I1140" t="inlineStr">
        <is>
          <t>Pendiente de investigacion propia del escenario: el indicador depende del escenario y la evidencia recogida corresponde al escenario ancla del producto.</t>
        </is>
      </c>
      <c r="L1140" t="inlineStr">
        <is>
          <t>Alternativa adicional incorporada en FP-180 (2026-09-16) desde el registro de FP-126 y la auditoria de FP-179. | Escenario ancla del producto: E1.</t>
        </is>
      </c>
    </row>
    <row r="1141">
      <c r="A1141" t="inlineStr">
        <is>
          <t>E3</t>
        </is>
      </c>
      <c r="B1141" t="inlineStr">
        <is>
          <t>Cloud nativa</t>
        </is>
      </c>
      <c r="C1141" t="inlineStr">
        <is>
          <t>OCI Cost Analysis</t>
        </is>
      </c>
      <c r="D1141" t="inlineStr">
        <is>
          <t>Optimizacion</t>
        </is>
      </c>
      <c r="E1141" t="inlineStr">
        <is>
          <t>O2</t>
        </is>
      </c>
      <c r="F1141" t="inlineStr">
        <is>
          <t>¿Explica supuesto/impacto y permite seguir una recomendación?</t>
        </is>
      </c>
      <c r="G1141" t="n">
        <v>1</v>
      </c>
      <c r="H1141" t="inlineStr">
        <is>
          <t>Oficial</t>
        </is>
      </c>
      <c r="I1141" t="inlineStr">
        <is>
          <t>Existe documentacion para implementar las recomendaciones de Cloud Advisor, pero no se encontro evidencia de un ciclo documentado de medicion o seguimiento del ahorro realizado.</t>
        </is>
      </c>
      <c r="J1141" t="inlineStr">
        <is>
          <t>https://docs.oracle.com/en-us/iaas/Content/CloudAdvisor/Tasks/cloudadvisor-implementing_cloud_advisor_recommendations.htm</t>
        </is>
      </c>
      <c r="K1141" t="inlineStr">
        <is>
          <t>2026-09-16</t>
        </is>
      </c>
      <c r="L1141" t="inlineStr">
        <is>
          <t>Alternativa adicional incorporada en FP-180 (2026-09-16) desde el registro de FP-126 y la auditoria de FP-179.</t>
        </is>
      </c>
    </row>
    <row r="1142">
      <c r="A1142" t="inlineStr">
        <is>
          <t>E3</t>
        </is>
      </c>
      <c r="B1142" t="inlineStr">
        <is>
          <t>Cloud nativa</t>
        </is>
      </c>
      <c r="C1142" t="inlineStr">
        <is>
          <t>OCI Cost Analysis</t>
        </is>
      </c>
      <c r="D1142" t="inlineStr">
        <is>
          <t>Automatizacion</t>
        </is>
      </c>
      <c r="E1142" t="inlineStr">
        <is>
          <t>AU1</t>
        </is>
      </c>
      <c r="F1142" t="inlineStr">
        <is>
          <t>¿Ejecuta o bloquea acciones/políticas de costo con control verificable?</t>
        </is>
      </c>
      <c r="G1142" t="inlineStr">
        <is>
          <t>NE</t>
        </is>
      </c>
      <c r="H1142" t="inlineStr">
        <is>
          <t>Pendiente</t>
        </is>
      </c>
      <c r="I1142" t="inlineStr">
        <is>
          <t>Pendiente de investigacion propia del escenario: el indicador depende del escenario y la evidencia recogida corresponde al escenario ancla del producto.</t>
        </is>
      </c>
      <c r="L1142" t="inlineStr">
        <is>
          <t>Alternativa adicional incorporada en FP-180 (2026-09-16) desde el registro de FP-126 y la auditoria de FP-179. | Escenario ancla del producto: E1.</t>
        </is>
      </c>
    </row>
    <row r="1143">
      <c r="A1143" t="inlineStr">
        <is>
          <t>E3</t>
        </is>
      </c>
      <c r="B1143" t="inlineStr">
        <is>
          <t>Cloud nativa</t>
        </is>
      </c>
      <c r="C1143" t="inlineStr">
        <is>
          <t>OCI Cost Analysis</t>
        </is>
      </c>
      <c r="D1143" t="inlineStr">
        <is>
          <t>Automatizacion</t>
        </is>
      </c>
      <c r="E1143" t="inlineStr">
        <is>
          <t>AU2</t>
        </is>
      </c>
      <c r="F1143" t="inlineStr">
        <is>
          <t>¿Ofrece aprobación, reversión, registro o límites antes de actuar?</t>
        </is>
      </c>
      <c r="G1143" t="inlineStr">
        <is>
          <t>NE</t>
        </is>
      </c>
      <c r="H1143" t="inlineStr">
        <is>
          <t>Pendiente</t>
        </is>
      </c>
      <c r="I1143" t="inlineStr">
        <is>
          <t>No se encontro documentacion oficial de salvaguardas de ejecucion (aprobacion, reversion o limites previos a actuar) para acciones de costo.</t>
        </is>
      </c>
      <c r="L1143" t="inlineStr">
        <is>
          <t>Alternativa adicional incorporada en FP-180 (2026-09-16) desde el registro de FP-126 y la auditoria de FP-179.</t>
        </is>
      </c>
    </row>
    <row r="1144">
      <c r="A1144" t="inlineStr">
        <is>
          <t>E3</t>
        </is>
      </c>
      <c r="B1144" t="inlineStr">
        <is>
          <t>Cloud nativa</t>
        </is>
      </c>
      <c r="C1144" t="inlineStr">
        <is>
          <t>OCI Cost Analysis</t>
        </is>
      </c>
      <c r="D1144" t="inlineStr">
        <is>
          <t>Multicloud</t>
        </is>
      </c>
      <c r="E1144" t="inlineStr">
        <is>
          <t>M1</t>
        </is>
      </c>
      <c r="F1144" t="inlineStr">
        <is>
          <t>¿Consolida al menos dos proveedores bajo el mismo esquema declarado?</t>
        </is>
      </c>
      <c r="G1144" t="n">
        <v>0</v>
      </c>
      <c r="H1144" t="inlineStr">
        <is>
          <t>Oficial (ausencia verificada)</t>
        </is>
      </c>
      <c r="I1144" t="inlineStr">
        <is>
          <t>Cost Analysis opera sobre la tenancy de Oracle Cloud Infrastructure; la documentacion de facturacion no describe consolidacion de cuentas de otros proveedores. Criterio aplicado igual que a los demas productos nativos.</t>
        </is>
      </c>
      <c r="J1144" t="inlineStr">
        <is>
          <t>https://docs.oracle.com/en-us/iaas/Content/Billing/Concepts/billingoverview.htm</t>
        </is>
      </c>
      <c r="K1144" t="inlineStr">
        <is>
          <t>2026-09-16</t>
        </is>
      </c>
      <c r="L1144" t="inlineStr">
        <is>
          <t>Alternativa adicional incorporada en FP-180 (2026-09-16) desde el registro de FP-126 y la auditoria de FP-179.</t>
        </is>
      </c>
    </row>
    <row r="1145">
      <c r="A1145" t="inlineStr">
        <is>
          <t>E3</t>
        </is>
      </c>
      <c r="B1145" t="inlineStr">
        <is>
          <t>Cloud nativa</t>
        </is>
      </c>
      <c r="C1145" t="inlineStr">
        <is>
          <t>OCI Cost Analysis</t>
        </is>
      </c>
      <c r="D1145" t="inlineStr">
        <is>
          <t>Multicloud</t>
        </is>
      </c>
      <c r="E1145" t="inlineStr">
        <is>
          <t>M2</t>
        </is>
      </c>
      <c r="F1145" t="inlineStr">
        <is>
          <t>¿Hace visibles proveedor, cobertura y diferencias semánticas?</t>
        </is>
      </c>
      <c r="G1145" t="n">
        <v>0</v>
      </c>
      <c r="H1145" t="inlineStr">
        <is>
          <t>Oficial (ausencia verificada)</t>
        </is>
      </c>
      <c r="I1145" t="inlineStr">
        <is>
          <t>Mismo alcance de diseno que M1: al no consolidar otros proveedores, no expone diferencias semanticas entre ellos.</t>
        </is>
      </c>
      <c r="J1145" t="inlineStr">
        <is>
          <t>https://docs.oracle.com/en-us/iaas/Content/Billing/Concepts/billingoverview.htm</t>
        </is>
      </c>
      <c r="K1145" t="inlineStr">
        <is>
          <t>2026-09-16</t>
        </is>
      </c>
      <c r="L1145" t="inlineStr">
        <is>
          <t>Alternativa adicional incorporada en FP-180 (2026-09-16) desde el registro de FP-126 y la auditoria de FP-179.</t>
        </is>
      </c>
    </row>
    <row r="1146">
      <c r="A1146" t="inlineStr">
        <is>
          <t>E3</t>
        </is>
      </c>
      <c r="B1146" t="inlineStr">
        <is>
          <t>Cloud nativa</t>
        </is>
      </c>
      <c r="C1146" t="inlineStr">
        <is>
          <t>OCI Cost Analysis</t>
        </is>
      </c>
      <c r="D1146" t="inlineStr">
        <is>
          <t>Integracion</t>
        </is>
      </c>
      <c r="E1146" t="inlineStr">
        <is>
          <t>I1</t>
        </is>
      </c>
      <c r="F1146" t="inlineStr">
        <is>
          <t>¿Integra datos requeridos (facturación, uso, clúster o IaC) del escenario?</t>
        </is>
      </c>
      <c r="G1146" t="inlineStr">
        <is>
          <t>NE</t>
        </is>
      </c>
      <c r="H1146" t="inlineStr">
        <is>
          <t>Pendiente</t>
        </is>
      </c>
      <c r="I1146" t="inlineStr">
        <is>
          <t>Pendiente de investigacion propia del escenario: el indicador depende del escenario y la evidencia recogida corresponde al escenario ancla del producto.</t>
        </is>
      </c>
      <c r="L1146" t="inlineStr">
        <is>
          <t>Alternativa adicional incorporada en FP-180 (2026-09-16) desde el registro de FP-126 y la auditoria de FP-179. | Escenario ancla del producto: E1.</t>
        </is>
      </c>
    </row>
    <row r="1147">
      <c r="A1147" t="inlineStr">
        <is>
          <t>E3</t>
        </is>
      </c>
      <c r="B1147" t="inlineStr">
        <is>
          <t>Cloud nativa</t>
        </is>
      </c>
      <c r="C1147" t="inlineStr">
        <is>
          <t>OCI Cost Analysis</t>
        </is>
      </c>
      <c r="D1147" t="inlineStr">
        <is>
          <t>Integracion</t>
        </is>
      </c>
      <c r="E1147" t="inlineStr">
        <is>
          <t>I2</t>
        </is>
      </c>
      <c r="F1147" t="inlineStr">
        <is>
          <t>¿Se integra con el flujo de trabajo relevante (alerta, ticket, CI/CD o reporte)?</t>
        </is>
      </c>
      <c r="G1147" t="inlineStr">
        <is>
          <t>NE</t>
        </is>
      </c>
      <c r="H1147" t="inlineStr">
        <is>
          <t>Pendiente</t>
        </is>
      </c>
      <c r="I1147" t="inlineStr">
        <is>
          <t>Pendiente de investigacion propia del escenario: el indicador depende del escenario y la evidencia recogida corresponde al escenario ancla del producto.</t>
        </is>
      </c>
      <c r="L1147" t="inlineStr">
        <is>
          <t>Alternativa adicional incorporada en FP-180 (2026-09-16) desde el registro de FP-126 y la auditoria de FP-179. | Escenario ancla del producto: E1.</t>
        </is>
      </c>
    </row>
    <row r="1148">
      <c r="A1148" t="inlineStr">
        <is>
          <t>E3</t>
        </is>
      </c>
      <c r="B1148" t="inlineStr">
        <is>
          <t>Cloud nativa</t>
        </is>
      </c>
      <c r="C1148" t="inlineStr">
        <is>
          <t>OCI Cost Analysis</t>
        </is>
      </c>
      <c r="D1148" t="inlineStr">
        <is>
          <t>Adopcion</t>
        </is>
      </c>
      <c r="E1148" t="inlineStr">
        <is>
          <t>AD1</t>
        </is>
      </c>
      <c r="F1148" t="inlineStr">
        <is>
          <t>¿Soporta acceso/entrega para los roles del escenario?</t>
        </is>
      </c>
      <c r="G1148" t="inlineStr">
        <is>
          <t>NE</t>
        </is>
      </c>
      <c r="H1148" t="inlineStr">
        <is>
          <t>Pendiente</t>
        </is>
      </c>
      <c r="I1148" t="inlineStr">
        <is>
          <t>Pendiente de investigacion propia del escenario: el indicador depende del escenario y la evidencia recogida corresponde al escenario ancla del producto.</t>
        </is>
      </c>
      <c r="L1148" t="inlineStr">
        <is>
          <t>Alternativa adicional incorporada en FP-180 (2026-09-16) desde el registro de FP-126 y la auditoria de FP-179. | Escenario ancla del producto: E1.</t>
        </is>
      </c>
    </row>
    <row r="1149">
      <c r="A1149" t="inlineStr">
        <is>
          <t>E3</t>
        </is>
      </c>
      <c r="B1149" t="inlineStr">
        <is>
          <t>Cloud nativa</t>
        </is>
      </c>
      <c r="C1149" t="inlineStr">
        <is>
          <t>OCI Cost Analysis</t>
        </is>
      </c>
      <c r="D1149" t="inlineStr">
        <is>
          <t>Adopcion</t>
        </is>
      </c>
      <c r="E1149" t="inlineStr">
        <is>
          <t>AD2</t>
        </is>
      </c>
      <c r="F1149" t="inlineStr">
        <is>
          <t>¿Ofrece guías, ownership o mecanismos de seguimiento para uso sostenido?</t>
        </is>
      </c>
      <c r="G1149" t="n">
        <v>2</v>
      </c>
      <c r="H1149" t="inlineStr">
        <is>
          <t>Oficial</t>
        </is>
      </c>
      <c r="I1149" t="inlineStr">
        <is>
          <t>Oracle publica guia de adopcion y gobernanza de costos en su Cloud Adoption Framework y en el Well-Architected Framework, con practicas de seguimiento y gestion de uso y costo.</t>
        </is>
      </c>
      <c r="J1149" t="inlineStr">
        <is>
          <t>https://docs.oracle.com/en-us/iaas/Content/cloud-adoption-framework/era-cost-management.htm</t>
        </is>
      </c>
      <c r="K1149" t="inlineStr">
        <is>
          <t>2026-09-16</t>
        </is>
      </c>
      <c r="L1149" t="inlineStr">
        <is>
          <t>Alternativa adicional incorporada en FP-180 (2026-09-16) desde el registro de FP-126 y la auditoria de FP-179.</t>
        </is>
      </c>
    </row>
    <row r="1150">
      <c r="A1150" t="inlineStr">
        <is>
          <t>E3</t>
        </is>
      </c>
      <c r="B1150" t="inlineStr">
        <is>
          <t>Cloud nativa</t>
        </is>
      </c>
      <c r="C1150" t="inlineStr">
        <is>
          <t>OCI Cost Analysis</t>
        </is>
      </c>
      <c r="D1150" t="inlineStr">
        <is>
          <t>Precio</t>
        </is>
      </c>
      <c r="E1150" t="inlineStr">
        <is>
          <t>P1</t>
        </is>
      </c>
      <c r="F1150" t="inlineStr">
        <is>
          <t>¿Expone precio, moneda, región, unidad, período y supuestos relevantes?</t>
        </is>
      </c>
      <c r="G1150" t="n">
        <v>2</v>
      </c>
      <c r="H1150" t="inlineStr">
        <is>
          <t>Oficial</t>
        </is>
      </c>
      <c r="I1150" t="inlineStr">
        <is>
          <t>Los cost reports exponen «usage, price, cost» por recurso y hora junto con metadatos y etiquetas, de modo que precio, unidad y periodo quedan visibles y reproducibles.</t>
        </is>
      </c>
      <c r="J1150" t="inlineStr">
        <is>
          <t>https://docs.oracle.com/en-us/iaas/Content/Billing/Concepts/costusagereportsoverview.htm</t>
        </is>
      </c>
      <c r="K1150" t="inlineStr">
        <is>
          <t>2026-09-16</t>
        </is>
      </c>
      <c r="L1150" t="inlineStr">
        <is>
          <t>Alternativa adicional incorporada en FP-180 (2026-09-16) desde el registro de FP-126 y la auditoria de FP-179.</t>
        </is>
      </c>
    </row>
    <row r="1151">
      <c r="A1151" t="inlineStr">
        <is>
          <t>E3</t>
        </is>
      </c>
      <c r="B1151" t="inlineStr">
        <is>
          <t>Cloud nativa</t>
        </is>
      </c>
      <c r="C1151" t="inlineStr">
        <is>
          <t>OCI Cost Analysis</t>
        </is>
      </c>
      <c r="D1151" t="inlineStr">
        <is>
          <t>Precio</t>
        </is>
      </c>
      <c r="E1151" t="inlineStr">
        <is>
          <t>P2</t>
        </is>
      </c>
      <c r="F1151" t="inlineStr">
        <is>
          <t>¿Permite estimar o comparar componentes sin ocultar límites de equivalencia?</t>
        </is>
      </c>
      <c r="G1151" t="inlineStr">
        <is>
          <t>NE</t>
        </is>
      </c>
      <c r="H1151" t="inlineStr">
        <is>
          <t>Pendiente</t>
        </is>
      </c>
      <c r="I1151" t="inlineStr">
        <is>
          <t>Pendiente de investigacion propia del escenario: el indicador depende del escenario y la evidencia recogida corresponde al escenario ancla del producto.</t>
        </is>
      </c>
      <c r="L1151" t="inlineStr">
        <is>
          <t>Alternativa adicional incorporada en FP-180 (2026-09-16) desde el registro de FP-126 y la auditoria de FP-179. | Escenario ancla del producto: E1.</t>
        </is>
      </c>
    </row>
    <row r="1152">
      <c r="A1152" t="inlineStr">
        <is>
          <t>E3</t>
        </is>
      </c>
      <c r="B1152" t="inlineStr">
        <is>
          <t>Cloud nativa</t>
        </is>
      </c>
      <c r="C1152" t="inlineStr">
        <is>
          <t>OCI Cost Analysis</t>
        </is>
      </c>
      <c r="D1152" t="inlineStr">
        <is>
          <t>Dependencia</t>
        </is>
      </c>
      <c r="E1152" t="inlineStr">
        <is>
          <t>D1</t>
        </is>
      </c>
      <c r="F1152" t="inlineStr">
        <is>
          <t>¿Exporta datos/resultados en formato utilizable y documentado?</t>
        </is>
      </c>
      <c r="G1152" t="n">
        <v>2</v>
      </c>
      <c r="H1152" t="inlineStr">
        <is>
          <t>Oficial</t>
        </is>
      </c>
      <c r="I1152" t="inlineStr">
        <is>
          <t>Cost Analysis permite «download accurate, reliable tabular reports» y los cost reports se entregan como archivos por recurso y hora, disponibles para descarga.</t>
        </is>
      </c>
      <c r="J1152" t="inlineStr">
        <is>
          <t>https://docs.oracle.com/en-us/iaas/Content/Billing/Tasks/download-cost-csv.htm</t>
        </is>
      </c>
      <c r="K1152" t="inlineStr">
        <is>
          <t>2026-09-16</t>
        </is>
      </c>
      <c r="L1152" t="inlineStr">
        <is>
          <t>Alternativa adicional incorporada en FP-180 (2026-09-16) desde el registro de FP-126 y la auditoria de FP-179.</t>
        </is>
      </c>
    </row>
    <row r="1153">
      <c r="A1153" t="inlineStr">
        <is>
          <t>E3</t>
        </is>
      </c>
      <c r="B1153" t="inlineStr">
        <is>
          <t>Cloud nativa</t>
        </is>
      </c>
      <c r="C1153" t="inlineStr">
        <is>
          <t>OCI Cost Analysis</t>
        </is>
      </c>
      <c r="D1153" t="inlineStr">
        <is>
          <t>Dependencia</t>
        </is>
      </c>
      <c r="E1153" t="inlineStr">
        <is>
          <t>D2</t>
        </is>
      </c>
      <c r="F1153" t="inlineStr">
        <is>
          <t>¿Documenta dependencias propietarias y un camino de salida/configuración reversible?</t>
        </is>
      </c>
      <c r="G1153" t="inlineStr">
        <is>
          <t>NE</t>
        </is>
      </c>
      <c r="H1153" t="inlineStr">
        <is>
          <t>Pendiente</t>
        </is>
      </c>
      <c r="I1153" t="inlineStr">
        <is>
          <t>No se encontro documentacion oficial sobre dependencias propietarias ni camino de salida o configuracion reversible.</t>
        </is>
      </c>
      <c r="L1153" t="inlineStr">
        <is>
          <t>Alternativa adicional incorporada en FP-180 (2026-09-16) desde el registro de FP-126 y la auditoria de FP-179.</t>
        </is>
      </c>
    </row>
    <row r="1154">
      <c r="A1154" t="inlineStr">
        <is>
          <t>E5</t>
        </is>
      </c>
      <c r="B1154" t="inlineStr">
        <is>
          <t>Cloud nativa</t>
        </is>
      </c>
      <c r="C1154" t="inlineStr">
        <is>
          <t>OCI Cost Analysis</t>
        </is>
      </c>
      <c r="D1154" t="inlineStr">
        <is>
          <t>Visibilidad</t>
        </is>
      </c>
      <c r="E1154" t="inlineStr">
        <is>
          <t>V1</t>
        </is>
      </c>
      <c r="F1154" t="inlineStr">
        <is>
          <t>¿Desagrega costo y uso por cuenta/proyecto, servicio y período?</t>
        </is>
      </c>
      <c r="G1154" t="n">
        <v>2</v>
      </c>
      <c r="H1154" t="inlineStr">
        <is>
          <t>Oficial</t>
        </is>
      </c>
      <c r="I1154" t="inlineStr">
        <is>
          <t>Cost Analysis es «an easy-to-use visualization tool to help you track and optimize your Oracle Cloud Infrastructure spending», que permite generar graficos y descargar «tabular reports of aggregated cost data», filtrando y agrupando por servicio, etiqueta y periodo.</t>
        </is>
      </c>
      <c r="J1154" t="inlineStr">
        <is>
          <t>https://docs.oracle.com/en-us/iaas/Content/Billing/Concepts/costanalysisoverview.htm</t>
        </is>
      </c>
      <c r="K1154" t="inlineStr">
        <is>
          <t>2026-09-16</t>
        </is>
      </c>
      <c r="L1154" t="inlineStr">
        <is>
          <t>Alternativa adicional incorporada en FP-180 (2026-09-16) desde el registro de FP-126 y la auditoria de FP-179.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155">
      <c r="A1155" t="inlineStr">
        <is>
          <t>E5</t>
        </is>
      </c>
      <c r="B1155" t="inlineStr">
        <is>
          <t>Cloud nativa</t>
        </is>
      </c>
      <c r="C1155" t="inlineStr">
        <is>
          <t>OCI Cost Analysis</t>
        </is>
      </c>
      <c r="D1155" t="inlineStr">
        <is>
          <t>Visibilidad</t>
        </is>
      </c>
      <c r="E1155" t="inlineStr">
        <is>
          <t>V2</t>
        </is>
      </c>
      <c r="F1155" t="inlineStr">
        <is>
          <t>¿Permite rastrear un total hasta registros o fuente de facturación?</t>
        </is>
      </c>
      <c r="G1155" t="n">
        <v>2</v>
      </c>
      <c r="H1155" t="inlineStr">
        <is>
          <t>Oficial</t>
        </is>
      </c>
      <c r="I1155" t="inlineStr">
        <is>
          <t>Los Cost Reports «contain one row per each Oracle Cloud Infrastructure resource per hour along with consumption information (usage, price, cost), metadata, and tags», lo que permite rastrear un total hasta el registro por recurso y hora.</t>
        </is>
      </c>
      <c r="J1155" t="inlineStr">
        <is>
          <t>https://docs.oracle.com/en-us/iaas/Content/Billing/Concepts/costusagereportsoverview.htm</t>
        </is>
      </c>
      <c r="K1155" t="inlineStr">
        <is>
          <t>2026-09-16</t>
        </is>
      </c>
      <c r="L1155" t="inlineStr">
        <is>
          <t>Alternativa adicional incorporada en FP-180 (2026-09-16) desde el registro de FP-126 y la auditoria de FP-179.</t>
        </is>
      </c>
    </row>
    <row r="1156">
      <c r="A1156" t="inlineStr">
        <is>
          <t>E5</t>
        </is>
      </c>
      <c r="B1156" t="inlineStr">
        <is>
          <t>Cloud nativa</t>
        </is>
      </c>
      <c r="C1156" t="inlineStr">
        <is>
          <t>OCI Cost Analysis</t>
        </is>
      </c>
      <c r="D1156" t="inlineStr">
        <is>
          <t>Asignacion</t>
        </is>
      </c>
      <c r="E1156" t="inlineStr">
        <is>
          <t>A1</t>
        </is>
      </c>
      <c r="F1156" t="inlineStr">
        <is>
          <t>¿Calcula gasto asignado/no asignado por responsable, centro o entidad?</t>
        </is>
      </c>
      <c r="G1156" t="n">
        <v>1</v>
      </c>
      <c r="H1156" t="inlineStr">
        <is>
          <t>Oficial</t>
        </is>
      </c>
      <c r="I1156" t="inlineStr">
        <is>
          <t>Las cost-tracking tags y los compartimentos permiten atribuir gasto: «By attaching cost-tracking tags to different resources, you can query cost data by filtering with tags rather than compartments». No se encontro documentacion de calculo de gasto no asignado, que el ancla 2 exige, por lo que queda en practica basica.</t>
        </is>
      </c>
      <c r="J1156" t="inlineStr">
        <is>
          <t>https://docs.oracle.com/en-us/iaas/Content/Tagging/Tasks/usingcosttrackingtags.htm</t>
        </is>
      </c>
      <c r="K1156" t="inlineStr">
        <is>
          <t>2026-09-16</t>
        </is>
      </c>
      <c r="L1156" t="inlineStr">
        <is>
          <t>Alternativa adicional incorporada en FP-180 (2026-09-16) desde el registro de FP-126 y la auditoria de FP-179.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157">
      <c r="A1157" t="inlineStr">
        <is>
          <t>E5</t>
        </is>
      </c>
      <c r="B1157" t="inlineStr">
        <is>
          <t>Cloud nativa</t>
        </is>
      </c>
      <c r="C1157" t="inlineStr">
        <is>
          <t>OCI Cost Analysis</t>
        </is>
      </c>
      <c r="D1157" t="inlineStr">
        <is>
          <t>Asignacion</t>
        </is>
      </c>
      <c r="E1157" t="inlineStr">
        <is>
          <t>A2</t>
        </is>
      </c>
      <c r="F1157" t="inlineStr">
        <is>
          <t>¿Explicita y aplica reglas para costo compartido/multi-tenant?</t>
        </is>
      </c>
      <c r="G1157" t="inlineStr">
        <is>
          <t>NE</t>
        </is>
      </c>
      <c r="H1157" t="inlineStr">
        <is>
          <t>Pendiente</t>
        </is>
      </c>
      <c r="I1157" t="inlineStr">
        <is>
          <t>Pendiente de investigacion propia del escenario: el indicador depende del escenario y la evidencia recogida corresponde al escenario ancla del producto.</t>
        </is>
      </c>
      <c r="L1157" t="inlineStr">
        <is>
          <t>Alternativa adicional incorporada en FP-180 (2026-09-16) desde el registro de FP-126 y la auditoria de FP-179. | Escenario ancla del producto: E1.</t>
        </is>
      </c>
    </row>
    <row r="1158">
      <c r="A1158" t="inlineStr">
        <is>
          <t>E5</t>
        </is>
      </c>
      <c r="B1158" t="inlineStr">
        <is>
          <t>Cloud nativa</t>
        </is>
      </c>
      <c r="C1158" t="inlineStr">
        <is>
          <t>OCI Cost Analysis</t>
        </is>
      </c>
      <c r="D1158" t="inlineStr">
        <is>
          <t>Optimizacion</t>
        </is>
      </c>
      <c r="E1158" t="inlineStr">
        <is>
          <t>O1</t>
        </is>
      </c>
      <c r="F1158" t="inlineStr">
        <is>
          <t>¿Detecta desperdicio, rightsizing o compromiso relevante al escenario?</t>
        </is>
      </c>
      <c r="G1158" t="n">
        <v>2</v>
      </c>
      <c r="H1158" t="inlineStr">
        <is>
          <t>Oficial</t>
        </is>
      </c>
      <c r="I1158" t="inlineStr">
        <is>
          <t>Cloud Advisor «analyzes the OCI cloud resources of every tenancy, and provides recommendations to maximize cost savings»; las recomendaciones de gestion de costos identifican recursos infrautilizados y proponen rightsizing.</t>
        </is>
      </c>
      <c r="J1158" t="inlineStr">
        <is>
          <t>https://docs.oracle.com/en-us/iaas/Content/CloudAdvisor/Concepts/recommendations-costmanagement.htm</t>
        </is>
      </c>
      <c r="K1158" t="inlineStr">
        <is>
          <t>2026-09-16</t>
        </is>
      </c>
      <c r="L1158" t="inlineStr">
        <is>
          <t>Alternativa adicional incorporada en FP-180 (2026-09-16) desde el registro de FP-126 y la auditoria de FP-179.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159">
      <c r="A1159" t="inlineStr">
        <is>
          <t>E5</t>
        </is>
      </c>
      <c r="B1159" t="inlineStr">
        <is>
          <t>Cloud nativa</t>
        </is>
      </c>
      <c r="C1159" t="inlineStr">
        <is>
          <t>OCI Cost Analysis</t>
        </is>
      </c>
      <c r="D1159" t="inlineStr">
        <is>
          <t>Optimizacion</t>
        </is>
      </c>
      <c r="E1159" t="inlineStr">
        <is>
          <t>O2</t>
        </is>
      </c>
      <c r="F1159" t="inlineStr">
        <is>
          <t>¿Explica supuesto/impacto y permite seguir una recomendación?</t>
        </is>
      </c>
      <c r="G1159" t="n">
        <v>1</v>
      </c>
      <c r="H1159" t="inlineStr">
        <is>
          <t>Oficial</t>
        </is>
      </c>
      <c r="I1159" t="inlineStr">
        <is>
          <t>Existe documentacion para implementar las recomendaciones de Cloud Advisor, pero no se encontro evidencia de un ciclo documentado de medicion o seguimiento del ahorro realizado.</t>
        </is>
      </c>
      <c r="J1159" t="inlineStr">
        <is>
          <t>https://docs.oracle.com/en-us/iaas/Content/CloudAdvisor/Tasks/cloudadvisor-implementing_cloud_advisor_recommendations.htm</t>
        </is>
      </c>
      <c r="K1159" t="inlineStr">
        <is>
          <t>2026-09-16</t>
        </is>
      </c>
      <c r="L1159" t="inlineStr">
        <is>
          <t>Alternativa adicional incorporada en FP-180 (2026-09-16) desde el registro de FP-126 y la auditoria de FP-179.</t>
        </is>
      </c>
    </row>
    <row r="1160">
      <c r="A1160" t="inlineStr">
        <is>
          <t>E5</t>
        </is>
      </c>
      <c r="B1160" t="inlineStr">
        <is>
          <t>Cloud nativa</t>
        </is>
      </c>
      <c r="C1160" t="inlineStr">
        <is>
          <t>OCI Cost Analysis</t>
        </is>
      </c>
      <c r="D1160" t="inlineStr">
        <is>
          <t>Automatizacion</t>
        </is>
      </c>
      <c r="E1160" t="inlineStr">
        <is>
          <t>AU1</t>
        </is>
      </c>
      <c r="F1160" t="inlineStr">
        <is>
          <t>¿Ejecuta o bloquea acciones/políticas de costo con control verificable?</t>
        </is>
      </c>
      <c r="G1160" t="n">
        <v>1</v>
      </c>
      <c r="H1160" t="inlineStr">
        <is>
          <t>Oficial</t>
        </is>
      </c>
      <c r="I1160" t="inlineStr">
        <is>
          <t>Los budgets permiten «set soft limits on your Oracle Cloud Infrastructure spending» con alertas al acercarse al limite. Segun la prevencion de doble conteo de FP-177, una alerta no es una accion ejecutada, y la implementacion de recomendaciones es manual asistida.</t>
        </is>
      </c>
      <c r="J1160" t="inlineStr">
        <is>
          <t>https://docs.oracle.com/en-us/iaas/Content/Billing/Concepts/budgetsoverview.htm</t>
        </is>
      </c>
      <c r="K1160" t="inlineStr">
        <is>
          <t>2026-09-16</t>
        </is>
      </c>
      <c r="L1160" t="inlineStr">
        <is>
          <t>Alternativa adicional incorporada en FP-180 (2026-09-16) desde el registro de FP-126 y la auditoria de FP-179.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161">
      <c r="A1161" t="inlineStr">
        <is>
          <t>E5</t>
        </is>
      </c>
      <c r="B1161" t="inlineStr">
        <is>
          <t>Cloud nativa</t>
        </is>
      </c>
      <c r="C1161" t="inlineStr">
        <is>
          <t>OCI Cost Analysis</t>
        </is>
      </c>
      <c r="D1161" t="inlineStr">
        <is>
          <t>Automatizacion</t>
        </is>
      </c>
      <c r="E1161" t="inlineStr">
        <is>
          <t>AU2</t>
        </is>
      </c>
      <c r="F1161" t="inlineStr">
        <is>
          <t>¿Ofrece aprobación, reversión, registro o límites antes de actuar?</t>
        </is>
      </c>
      <c r="G1161" t="inlineStr">
        <is>
          <t>NE</t>
        </is>
      </c>
      <c r="H1161" t="inlineStr">
        <is>
          <t>Pendiente</t>
        </is>
      </c>
      <c r="I1161" t="inlineStr">
        <is>
          <t>No se encontro documentacion oficial de salvaguardas de ejecucion (aprobacion, reversion o limites previos a actuar) para acciones de costo.</t>
        </is>
      </c>
      <c r="L1161" t="inlineStr">
        <is>
          <t>Alternativa adicional incorporada en FP-180 (2026-09-16) desde el registro de FP-126 y la auditoria de FP-179.</t>
        </is>
      </c>
    </row>
    <row r="1162">
      <c r="A1162" t="inlineStr">
        <is>
          <t>E5</t>
        </is>
      </c>
      <c r="B1162" t="inlineStr">
        <is>
          <t>Cloud nativa</t>
        </is>
      </c>
      <c r="C1162" t="inlineStr">
        <is>
          <t>OCI Cost Analysis</t>
        </is>
      </c>
      <c r="D1162" t="inlineStr">
        <is>
          <t>Multicloud</t>
        </is>
      </c>
      <c r="E1162" t="inlineStr">
        <is>
          <t>M1</t>
        </is>
      </c>
      <c r="F1162" t="inlineStr">
        <is>
          <t>¿Consolida al menos dos proveedores bajo el mismo esquema declarado?</t>
        </is>
      </c>
      <c r="G1162" t="n">
        <v>0</v>
      </c>
      <c r="H1162" t="inlineStr">
        <is>
          <t>Oficial (ausencia verificada)</t>
        </is>
      </c>
      <c r="I1162" t="inlineStr">
        <is>
          <t>Cost Analysis opera sobre la tenancy de Oracle Cloud Infrastructure; la documentacion de facturacion no describe consolidacion de cuentas de otros proveedores. Criterio aplicado igual que a los demas productos nativos.</t>
        </is>
      </c>
      <c r="J1162" t="inlineStr">
        <is>
          <t>https://docs.oracle.com/en-us/iaas/Content/Billing/Concepts/billingoverview.htm</t>
        </is>
      </c>
      <c r="K1162" t="inlineStr">
        <is>
          <t>2026-09-16</t>
        </is>
      </c>
      <c r="L1162" t="inlineStr">
        <is>
          <t>Alternativa adicional incorporada en FP-180 (2026-09-16) desde el registro de FP-126 y la auditoria de FP-179.</t>
        </is>
      </c>
    </row>
    <row r="1163">
      <c r="A1163" t="inlineStr">
        <is>
          <t>E5</t>
        </is>
      </c>
      <c r="B1163" t="inlineStr">
        <is>
          <t>Cloud nativa</t>
        </is>
      </c>
      <c r="C1163" t="inlineStr">
        <is>
          <t>OCI Cost Analysis</t>
        </is>
      </c>
      <c r="D1163" t="inlineStr">
        <is>
          <t>Multicloud</t>
        </is>
      </c>
      <c r="E1163" t="inlineStr">
        <is>
          <t>M2</t>
        </is>
      </c>
      <c r="F1163" t="inlineStr">
        <is>
          <t>¿Hace visibles proveedor, cobertura y diferencias semánticas?</t>
        </is>
      </c>
      <c r="G1163" t="n">
        <v>0</v>
      </c>
      <c r="H1163" t="inlineStr">
        <is>
          <t>Oficial (ausencia verificada)</t>
        </is>
      </c>
      <c r="I1163" t="inlineStr">
        <is>
          <t>Mismo alcance de diseno que M1: al no consolidar otros proveedores, no expone diferencias semanticas entre ellos.</t>
        </is>
      </c>
      <c r="J1163" t="inlineStr">
        <is>
          <t>https://docs.oracle.com/en-us/iaas/Content/Billing/Concepts/billingoverview.htm</t>
        </is>
      </c>
      <c r="K1163" t="inlineStr">
        <is>
          <t>2026-09-16</t>
        </is>
      </c>
      <c r="L1163" t="inlineStr">
        <is>
          <t>Alternativa adicional incorporada en FP-180 (2026-09-16) desde el registro de FP-126 y la auditoria de FP-179.</t>
        </is>
      </c>
    </row>
    <row r="1164">
      <c r="A1164" t="inlineStr">
        <is>
          <t>E5</t>
        </is>
      </c>
      <c r="B1164" t="inlineStr">
        <is>
          <t>Cloud nativa</t>
        </is>
      </c>
      <c r="C1164" t="inlineStr">
        <is>
          <t>OCI Cost Analysis</t>
        </is>
      </c>
      <c r="D1164" t="inlineStr">
        <is>
          <t>Integracion</t>
        </is>
      </c>
      <c r="E1164" t="inlineStr">
        <is>
          <t>I1</t>
        </is>
      </c>
      <c r="F1164" t="inlineStr">
        <is>
          <t>¿Integra datos requeridos (facturación, uso, clúster o IaC) del escenario?</t>
        </is>
      </c>
      <c r="G1164" t="n">
        <v>2</v>
      </c>
      <c r="H1164" t="inlineStr">
        <is>
          <t>Oficial</t>
        </is>
      </c>
      <c r="I1164" t="inlineStr">
        <is>
          <t>El acceso a los datos esta documentado por multiples interfaces: «You can access Oracle Cloud Infrastructure using the Oracle Cloud Infrastructure Console (a browser-based interface), the Command Line Interpreter (CLI), the REST API, or the OCI Terraform Provider».</t>
        </is>
      </c>
      <c r="J1164" t="inlineStr">
        <is>
          <t>https://docs.oracle.com/en-us/iaas/Content/CloudAdvisor/Concepts/cloudadvisoroverview.htm</t>
        </is>
      </c>
      <c r="K1164" t="inlineStr">
        <is>
          <t>2026-09-16</t>
        </is>
      </c>
      <c r="L1164" t="inlineStr">
        <is>
          <t>Alternativa adicional incorporada en FP-180 (2026-09-16) desde el registro de FP-126 y la auditoria de FP-179.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165">
      <c r="A1165" t="inlineStr">
        <is>
          <t>E5</t>
        </is>
      </c>
      <c r="B1165" t="inlineStr">
        <is>
          <t>Cloud nativa</t>
        </is>
      </c>
      <c r="C1165" t="inlineStr">
        <is>
          <t>OCI Cost Analysis</t>
        </is>
      </c>
      <c r="D1165" t="inlineStr">
        <is>
          <t>Integracion</t>
        </is>
      </c>
      <c r="E1165" t="inlineStr">
        <is>
          <t>I2</t>
        </is>
      </c>
      <c r="F1165" t="inlineStr">
        <is>
          <t>¿Se integra con el flujo de trabajo relevante (alerta, ticket, CI/CD o reporte)?</t>
        </is>
      </c>
      <c r="G1165" t="n">
        <v>2</v>
      </c>
      <c r="H1165" t="inlineStr">
        <is>
          <t>Oficial</t>
        </is>
      </c>
      <c r="I1165" t="inlineStr">
        <is>
          <t>La documentacion describe reportes programados: «Use the Scheduled reports page to generate scheduled reports based on saved reports from Cost Analysis», lo que integra la salida al flujo de reporte periodico.</t>
        </is>
      </c>
      <c r="J1165" t="inlineStr">
        <is>
          <t>https://docs.oracle.com/en-us/iaas/Content/Billing/Concepts/costanalysisoverview.htm</t>
        </is>
      </c>
      <c r="K1165" t="inlineStr">
        <is>
          <t>2026-09-16</t>
        </is>
      </c>
      <c r="L1165" t="inlineStr">
        <is>
          <t>Alternativa adicional incorporada en FP-180 (2026-09-16) desde el registro de FP-126 y la auditoria de FP-179.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166">
      <c r="A1166" t="inlineStr">
        <is>
          <t>E5</t>
        </is>
      </c>
      <c r="B1166" t="inlineStr">
        <is>
          <t>Cloud nativa</t>
        </is>
      </c>
      <c r="C1166" t="inlineStr">
        <is>
          <t>OCI Cost Analysis</t>
        </is>
      </c>
      <c r="D1166" t="inlineStr">
        <is>
          <t>Adopcion</t>
        </is>
      </c>
      <c r="E1166" t="inlineStr">
        <is>
          <t>AD1</t>
        </is>
      </c>
      <c r="F1166" t="inlineStr">
        <is>
          <t>¿Soporta acceso/entrega para los roles del escenario?</t>
        </is>
      </c>
      <c r="G1166" t="n">
        <v>2</v>
      </c>
      <c r="H1166" t="inlineStr">
        <is>
          <t>Oficial</t>
        </is>
      </c>
      <c r="I1166" t="inlineStr">
        <is>
          <t>El acceso se controla por politicas IAM por servicio e interfaz: «Each service in Oracle Cloud Infrastructure integrates with IAM for authentication and authorization, for all interfaces», con permisos granulares a nivel de compartimento.</t>
        </is>
      </c>
      <c r="J1166" t="inlineStr">
        <is>
          <t>https://docs.oracle.com/en-us/iaas/Content/CloudAdvisor/Tasks/customizing-policies.htm</t>
        </is>
      </c>
      <c r="K1166" t="inlineStr">
        <is>
          <t>2026-09-16</t>
        </is>
      </c>
      <c r="L1166" t="inlineStr">
        <is>
          <t>Alternativa adicional incorporada en FP-180 (2026-09-16) desde el registro de FP-126 y la auditoria de FP-179.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167">
      <c r="A1167" t="inlineStr">
        <is>
          <t>E5</t>
        </is>
      </c>
      <c r="B1167" t="inlineStr">
        <is>
          <t>Cloud nativa</t>
        </is>
      </c>
      <c r="C1167" t="inlineStr">
        <is>
          <t>OCI Cost Analysis</t>
        </is>
      </c>
      <c r="D1167" t="inlineStr">
        <is>
          <t>Adopcion</t>
        </is>
      </c>
      <c r="E1167" t="inlineStr">
        <is>
          <t>AD2</t>
        </is>
      </c>
      <c r="F1167" t="inlineStr">
        <is>
          <t>¿Ofrece guías, ownership o mecanismos de seguimiento para uso sostenido?</t>
        </is>
      </c>
      <c r="G1167" t="n">
        <v>2</v>
      </c>
      <c r="H1167" t="inlineStr">
        <is>
          <t>Oficial</t>
        </is>
      </c>
      <c r="I1167" t="inlineStr">
        <is>
          <t>Oracle publica guia de adopcion y gobernanza de costos en su Cloud Adoption Framework y en el Well-Architected Framework, con practicas de seguimiento y gestion de uso y costo.</t>
        </is>
      </c>
      <c r="J1167" t="inlineStr">
        <is>
          <t>https://docs.oracle.com/en-us/iaas/Content/cloud-adoption-framework/era-cost-management.htm</t>
        </is>
      </c>
      <c r="K1167" t="inlineStr">
        <is>
          <t>2026-09-16</t>
        </is>
      </c>
      <c r="L1167" t="inlineStr">
        <is>
          <t>Alternativa adicional incorporada en FP-180 (2026-09-16) desde el registro de FP-126 y la auditoria de FP-179.</t>
        </is>
      </c>
    </row>
    <row r="1168">
      <c r="A1168" t="inlineStr">
        <is>
          <t>E5</t>
        </is>
      </c>
      <c r="B1168" t="inlineStr">
        <is>
          <t>Cloud nativa</t>
        </is>
      </c>
      <c r="C1168" t="inlineStr">
        <is>
          <t>OCI Cost Analysis</t>
        </is>
      </c>
      <c r="D1168" t="inlineStr">
        <is>
          <t>Precio</t>
        </is>
      </c>
      <c r="E1168" t="inlineStr">
        <is>
          <t>P1</t>
        </is>
      </c>
      <c r="F1168" t="inlineStr">
        <is>
          <t>¿Expone precio, moneda, región, unidad, período y supuestos relevantes?</t>
        </is>
      </c>
      <c r="G1168" t="n">
        <v>2</v>
      </c>
      <c r="H1168" t="inlineStr">
        <is>
          <t>Oficial</t>
        </is>
      </c>
      <c r="I1168" t="inlineStr">
        <is>
          <t>Los cost reports exponen «usage, price, cost» por recurso y hora junto con metadatos y etiquetas, de modo que precio, unidad y periodo quedan visibles y reproducibles.</t>
        </is>
      </c>
      <c r="J1168" t="inlineStr">
        <is>
          <t>https://docs.oracle.com/en-us/iaas/Content/Billing/Concepts/costusagereportsoverview.htm</t>
        </is>
      </c>
      <c r="K1168" t="inlineStr">
        <is>
          <t>2026-09-16</t>
        </is>
      </c>
      <c r="L1168" t="inlineStr">
        <is>
          <t>Alternativa adicional incorporada en FP-180 (2026-09-16) desde el registro de FP-126 y la auditoria de FP-179.</t>
        </is>
      </c>
    </row>
    <row r="1169">
      <c r="A1169" t="inlineStr">
        <is>
          <t>E5</t>
        </is>
      </c>
      <c r="B1169" t="inlineStr">
        <is>
          <t>Cloud nativa</t>
        </is>
      </c>
      <c r="C1169" t="inlineStr">
        <is>
          <t>OCI Cost Analysis</t>
        </is>
      </c>
      <c r="D1169" t="inlineStr">
        <is>
          <t>Precio</t>
        </is>
      </c>
      <c r="E1169" t="inlineStr">
        <is>
          <t>P2</t>
        </is>
      </c>
      <c r="F1169" t="inlineStr">
        <is>
          <t>¿Permite estimar o comparar componentes sin ocultar límites de equivalencia?</t>
        </is>
      </c>
      <c r="G1169" t="inlineStr">
        <is>
          <t>NE</t>
        </is>
      </c>
      <c r="H1169" t="inlineStr">
        <is>
          <t>Pendiente</t>
        </is>
      </c>
      <c r="I1169" t="inlineStr">
        <is>
          <t>Pendiente de investigacion propia del escenario: el indicador depende del escenario y la evidencia recogida corresponde al escenario ancla del producto.</t>
        </is>
      </c>
      <c r="L1169" t="inlineStr">
        <is>
          <t>Alternativa adicional incorporada en FP-180 (2026-09-16) desde el registro de FP-126 y la auditoria de FP-179. | Escenario ancla del producto: E1.</t>
        </is>
      </c>
    </row>
    <row r="1170">
      <c r="A1170" t="inlineStr">
        <is>
          <t>E5</t>
        </is>
      </c>
      <c r="B1170" t="inlineStr">
        <is>
          <t>Cloud nativa</t>
        </is>
      </c>
      <c r="C1170" t="inlineStr">
        <is>
          <t>OCI Cost Analysis</t>
        </is>
      </c>
      <c r="D1170" t="inlineStr">
        <is>
          <t>Dependencia</t>
        </is>
      </c>
      <c r="E1170" t="inlineStr">
        <is>
          <t>D1</t>
        </is>
      </c>
      <c r="F1170" t="inlineStr">
        <is>
          <t>¿Exporta datos/resultados en formato utilizable y documentado?</t>
        </is>
      </c>
      <c r="G1170" t="n">
        <v>2</v>
      </c>
      <c r="H1170" t="inlineStr">
        <is>
          <t>Oficial</t>
        </is>
      </c>
      <c r="I1170" t="inlineStr">
        <is>
          <t>Cost Analysis permite «download accurate, reliable tabular reports» y los cost reports se entregan como archivos por recurso y hora, disponibles para descarga.</t>
        </is>
      </c>
      <c r="J1170" t="inlineStr">
        <is>
          <t>https://docs.oracle.com/en-us/iaas/Content/Billing/Tasks/download-cost-csv.htm</t>
        </is>
      </c>
      <c r="K1170" t="inlineStr">
        <is>
          <t>2026-09-16</t>
        </is>
      </c>
      <c r="L1170" t="inlineStr">
        <is>
          <t>Alternativa adicional incorporada en FP-180 (2026-09-16) desde el registro de FP-126 y la auditoria de FP-179.</t>
        </is>
      </c>
    </row>
    <row r="1171">
      <c r="A1171" t="inlineStr">
        <is>
          <t>E5</t>
        </is>
      </c>
      <c r="B1171" t="inlineStr">
        <is>
          <t>Cloud nativa</t>
        </is>
      </c>
      <c r="C1171" t="inlineStr">
        <is>
          <t>OCI Cost Analysis</t>
        </is>
      </c>
      <c r="D1171" t="inlineStr">
        <is>
          <t>Dependencia</t>
        </is>
      </c>
      <c r="E1171" t="inlineStr">
        <is>
          <t>D2</t>
        </is>
      </c>
      <c r="F1171" t="inlineStr">
        <is>
          <t>¿Documenta dependencias propietarias y un camino de salida/configuración reversible?</t>
        </is>
      </c>
      <c r="G1171" t="inlineStr">
        <is>
          <t>NE</t>
        </is>
      </c>
      <c r="H1171" t="inlineStr">
        <is>
          <t>Pendiente</t>
        </is>
      </c>
      <c r="I1171" t="inlineStr">
        <is>
          <t>No se encontro documentacion oficial sobre dependencias propietarias ni camino de salida o configuracion reversible.</t>
        </is>
      </c>
      <c r="L1171" t="inlineStr">
        <is>
          <t>Alternativa adicional incorporada en FP-180 (2026-09-16) desde el registro de FP-126 y la auditoria de FP-179.</t>
        </is>
      </c>
    </row>
    <row r="1172">
      <c r="A1172" t="inlineStr">
        <is>
          <t>E6</t>
        </is>
      </c>
      <c r="B1172" t="inlineStr">
        <is>
          <t>Cloud nativa</t>
        </is>
      </c>
      <c r="C1172" t="inlineStr">
        <is>
          <t>OCI Cost Analysis</t>
        </is>
      </c>
      <c r="D1172" t="inlineStr">
        <is>
          <t>Visibilidad</t>
        </is>
      </c>
      <c r="E1172" t="inlineStr">
        <is>
          <t>V1</t>
        </is>
      </c>
      <c r="F1172" t="inlineStr">
        <is>
          <t>¿Desagrega costo y uso por cuenta/proyecto, servicio y período?</t>
        </is>
      </c>
      <c r="G1172" t="inlineStr">
        <is>
          <t>NE</t>
        </is>
      </c>
      <c r="H1172" t="inlineStr">
        <is>
          <t>Pendiente</t>
        </is>
      </c>
      <c r="I1172" t="inlineStr">
        <is>
          <t>Pendiente de investigacion propia del escenario: el indicador depende del escenario y la evidencia recogida corresponde al escenario ancla del producto.</t>
        </is>
      </c>
      <c r="L1172" t="inlineStr">
        <is>
          <t>Alternativa adicional incorporada en FP-180 (2026-09-16) desde el registro de FP-126 y la auditoria de FP-179. | Escenario ancla del producto: E1.</t>
        </is>
      </c>
    </row>
    <row r="1173">
      <c r="A1173" t="inlineStr">
        <is>
          <t>E6</t>
        </is>
      </c>
      <c r="B1173" t="inlineStr">
        <is>
          <t>Cloud nativa</t>
        </is>
      </c>
      <c r="C1173" t="inlineStr">
        <is>
          <t>OCI Cost Analysis</t>
        </is>
      </c>
      <c r="D1173" t="inlineStr">
        <is>
          <t>Visibilidad</t>
        </is>
      </c>
      <c r="E1173" t="inlineStr">
        <is>
          <t>V2</t>
        </is>
      </c>
      <c r="F1173" t="inlineStr">
        <is>
          <t>¿Permite rastrear un total hasta registros o fuente de facturación?</t>
        </is>
      </c>
      <c r="G1173" t="n">
        <v>2</v>
      </c>
      <c r="H1173" t="inlineStr">
        <is>
          <t>Oficial</t>
        </is>
      </c>
      <c r="I1173" t="inlineStr">
        <is>
          <t>Los Cost Reports «contain one row per each Oracle Cloud Infrastructure resource per hour along with consumption information (usage, price, cost), metadata, and tags», lo que permite rastrear un total hasta el registro por recurso y hora.</t>
        </is>
      </c>
      <c r="J1173" t="inlineStr">
        <is>
          <t>https://docs.oracle.com/en-us/iaas/Content/Billing/Concepts/costusagereportsoverview.htm</t>
        </is>
      </c>
      <c r="K1173" t="inlineStr">
        <is>
          <t>2026-09-16</t>
        </is>
      </c>
      <c r="L1173" t="inlineStr">
        <is>
          <t>Alternativa adicional incorporada en FP-180 (2026-09-16) desde el registro de FP-126 y la auditoria de FP-179.</t>
        </is>
      </c>
    </row>
    <row r="1174">
      <c r="A1174" t="inlineStr">
        <is>
          <t>E6</t>
        </is>
      </c>
      <c r="B1174" t="inlineStr">
        <is>
          <t>Cloud nativa</t>
        </is>
      </c>
      <c r="C1174" t="inlineStr">
        <is>
          <t>OCI Cost Analysis</t>
        </is>
      </c>
      <c r="D1174" t="inlineStr">
        <is>
          <t>Asignacion</t>
        </is>
      </c>
      <c r="E1174" t="inlineStr">
        <is>
          <t>A1</t>
        </is>
      </c>
      <c r="F1174" t="inlineStr">
        <is>
          <t>¿Calcula gasto asignado/no asignado por responsable, centro o entidad?</t>
        </is>
      </c>
      <c r="G1174" t="n">
        <v>1</v>
      </c>
      <c r="H1174" t="inlineStr">
        <is>
          <t>Oficial</t>
        </is>
      </c>
      <c r="I1174" t="inlineStr">
        <is>
          <t>Las cost-tracking tags y los compartimentos permiten atribuir gasto: «By attaching cost-tracking tags to different resources, you can query cost data by filtering with tags rather than compartments». No se encontro documentacion de calculo de gasto no asignado, que el ancla 2 exige, por lo que queda en practica basica.</t>
        </is>
      </c>
      <c r="J1174" t="inlineStr">
        <is>
          <t>https://docs.oracle.com/en-us/iaas/Content/Tagging/Tasks/usingcosttrackingtags.htm</t>
        </is>
      </c>
      <c r="K1174" t="inlineStr">
        <is>
          <t>2026-09-16</t>
        </is>
      </c>
      <c r="L1174" t="inlineStr">
        <is>
          <t>Alternativa adicional incorporada en FP-180 (2026-09-16) desde el registro de FP-126 y la auditoria de FP-179. | Escenario ancla del producto: E1.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175">
      <c r="A1175" t="inlineStr">
        <is>
          <t>E6</t>
        </is>
      </c>
      <c r="B1175" t="inlineStr">
        <is>
          <t>Cloud nativa</t>
        </is>
      </c>
      <c r="C1175" t="inlineStr">
        <is>
          <t>OCI Cost Analysis</t>
        </is>
      </c>
      <c r="D1175" t="inlineStr">
        <is>
          <t>Asignacion</t>
        </is>
      </c>
      <c r="E1175" t="inlineStr">
        <is>
          <t>A2</t>
        </is>
      </c>
      <c r="F1175" t="inlineStr">
        <is>
          <t>¿Explicita y aplica reglas para costo compartido/multi-tenant?</t>
        </is>
      </c>
      <c r="G1175" t="inlineStr">
        <is>
          <t>NE</t>
        </is>
      </c>
      <c r="H1175" t="inlineStr">
        <is>
          <t>Pendiente</t>
        </is>
      </c>
      <c r="I1175" t="inlineStr">
        <is>
          <t>Pendiente de investigacion propia del escenario: el indicador depende del escenario y la evidencia recogida corresponde al escenario ancla del producto.</t>
        </is>
      </c>
      <c r="L1175" t="inlineStr">
        <is>
          <t>Alternativa adicional incorporada en FP-180 (2026-09-16) desde el registro de FP-126 y la auditoria de FP-179. | Escenario ancla del producto: E1.</t>
        </is>
      </c>
    </row>
    <row r="1176">
      <c r="A1176" t="inlineStr">
        <is>
          <t>E6</t>
        </is>
      </c>
      <c r="B1176" t="inlineStr">
        <is>
          <t>Cloud nativa</t>
        </is>
      </c>
      <c r="C1176" t="inlineStr">
        <is>
          <t>OCI Cost Analysis</t>
        </is>
      </c>
      <c r="D1176" t="inlineStr">
        <is>
          <t>Optimizacion</t>
        </is>
      </c>
      <c r="E1176" t="inlineStr">
        <is>
          <t>O1</t>
        </is>
      </c>
      <c r="F1176" t="inlineStr">
        <is>
          <t>¿Detecta desperdicio, rightsizing o compromiso relevante al escenario?</t>
        </is>
      </c>
      <c r="G1176" t="n">
        <v>2</v>
      </c>
      <c r="H1176" t="inlineStr">
        <is>
          <t>Oficial</t>
        </is>
      </c>
      <c r="I1176" t="inlineStr">
        <is>
          <t>Cloud Advisor «analyzes the OCI cloud resources of every tenancy, and provides recommendations to maximize cost savings»; las recomendaciones de gestion de costos identifican recursos infrautilizados y proponen rightsizing.</t>
        </is>
      </c>
      <c r="J1176" t="inlineStr">
        <is>
          <t>https://docs.oracle.com/en-us/iaas/Content/CloudAdvisor/Concepts/recommendations-costmanagement.htm</t>
        </is>
      </c>
      <c r="K1176" t="inlineStr">
        <is>
          <t>2026-09-16</t>
        </is>
      </c>
      <c r="L1176" t="inlineStr">
        <is>
          <t>Alternativa adicional incorporada en FP-180 (2026-09-16) desde el registro de FP-126 y la auditoria de FP-179. | Escenario ancla del producto: E1.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177">
      <c r="A1177" t="inlineStr">
        <is>
          <t>E6</t>
        </is>
      </c>
      <c r="B1177" t="inlineStr">
        <is>
          <t>Cloud nativa</t>
        </is>
      </c>
      <c r="C1177" t="inlineStr">
        <is>
          <t>OCI Cost Analysis</t>
        </is>
      </c>
      <c r="D1177" t="inlineStr">
        <is>
          <t>Optimizacion</t>
        </is>
      </c>
      <c r="E1177" t="inlineStr">
        <is>
          <t>O2</t>
        </is>
      </c>
      <c r="F1177" t="inlineStr">
        <is>
          <t>¿Explica supuesto/impacto y permite seguir una recomendación?</t>
        </is>
      </c>
      <c r="G1177" t="n">
        <v>1</v>
      </c>
      <c r="H1177" t="inlineStr">
        <is>
          <t>Oficial</t>
        </is>
      </c>
      <c r="I1177" t="inlineStr">
        <is>
          <t>Existe documentacion para implementar las recomendaciones de Cloud Advisor, pero no se encontro evidencia de un ciclo documentado de medicion o seguimiento del ahorro realizado.</t>
        </is>
      </c>
      <c r="J1177" t="inlineStr">
        <is>
          <t>https://docs.oracle.com/en-us/iaas/Content/CloudAdvisor/Tasks/cloudadvisor-implementing_cloud_advisor_recommendations.htm</t>
        </is>
      </c>
      <c r="K1177" t="inlineStr">
        <is>
          <t>2026-09-16</t>
        </is>
      </c>
      <c r="L1177" t="inlineStr">
        <is>
          <t>Alternativa adicional incorporada en FP-180 (2026-09-16) desde el registro de FP-126 y la auditoria de FP-179.</t>
        </is>
      </c>
    </row>
    <row r="1178">
      <c r="A1178" t="inlineStr">
        <is>
          <t>E6</t>
        </is>
      </c>
      <c r="B1178" t="inlineStr">
        <is>
          <t>Cloud nativa</t>
        </is>
      </c>
      <c r="C1178" t="inlineStr">
        <is>
          <t>OCI Cost Analysis</t>
        </is>
      </c>
      <c r="D1178" t="inlineStr">
        <is>
          <t>Automatizacion</t>
        </is>
      </c>
      <c r="E1178" t="inlineStr">
        <is>
          <t>AU1</t>
        </is>
      </c>
      <c r="F1178" t="inlineStr">
        <is>
          <t>¿Ejecuta o bloquea acciones/políticas de costo con control verificable?</t>
        </is>
      </c>
      <c r="G1178" t="n">
        <v>1</v>
      </c>
      <c r="H1178" t="inlineStr">
        <is>
          <t>Oficial</t>
        </is>
      </c>
      <c r="I1178" t="inlineStr">
        <is>
          <t>Los budgets permiten «set soft limits on your Oracle Cloud Infrastructure spending» con alertas al acercarse al limite. Segun la prevencion de doble conteo de FP-177, una alerta no es una accion ejecutada, y la implementacion de recomendaciones es manual asistida.</t>
        </is>
      </c>
      <c r="J1178" t="inlineStr">
        <is>
          <t>https://docs.oracle.com/en-us/iaas/Content/Billing/Concepts/budgetsoverview.htm</t>
        </is>
      </c>
      <c r="K1178" t="inlineStr">
        <is>
          <t>2026-09-16</t>
        </is>
      </c>
      <c r="L1178" t="inlineStr">
        <is>
          <t>Alternativa adicional incorporada en FP-180 (2026-09-16) desde el registro de FP-126 y la auditoria de FP-179. | Escenario ancla del producto: E1.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179">
      <c r="A1179" t="inlineStr">
        <is>
          <t>E6</t>
        </is>
      </c>
      <c r="B1179" t="inlineStr">
        <is>
          <t>Cloud nativa</t>
        </is>
      </c>
      <c r="C1179" t="inlineStr">
        <is>
          <t>OCI Cost Analysis</t>
        </is>
      </c>
      <c r="D1179" t="inlineStr">
        <is>
          <t>Automatizacion</t>
        </is>
      </c>
      <c r="E1179" t="inlineStr">
        <is>
          <t>AU2</t>
        </is>
      </c>
      <c r="F1179" t="inlineStr">
        <is>
          <t>¿Ofrece aprobación, reversión, registro o límites antes de actuar?</t>
        </is>
      </c>
      <c r="G1179" t="inlineStr">
        <is>
          <t>NE</t>
        </is>
      </c>
      <c r="H1179" t="inlineStr">
        <is>
          <t>Pendiente</t>
        </is>
      </c>
      <c r="I1179" t="inlineStr">
        <is>
          <t>No se encontro documentacion oficial de salvaguardas de ejecucion (aprobacion, reversion o limites previos a actuar) para acciones de costo.</t>
        </is>
      </c>
      <c r="L1179" t="inlineStr">
        <is>
          <t>Alternativa adicional incorporada en FP-180 (2026-09-16) desde el registro de FP-126 y la auditoria de FP-179.</t>
        </is>
      </c>
    </row>
    <row r="1180">
      <c r="A1180" t="inlineStr">
        <is>
          <t>E6</t>
        </is>
      </c>
      <c r="B1180" t="inlineStr">
        <is>
          <t>Cloud nativa</t>
        </is>
      </c>
      <c r="C1180" t="inlineStr">
        <is>
          <t>OCI Cost Analysis</t>
        </is>
      </c>
      <c r="D1180" t="inlineStr">
        <is>
          <t>Multicloud</t>
        </is>
      </c>
      <c r="E1180" t="inlineStr">
        <is>
          <t>M1</t>
        </is>
      </c>
      <c r="F1180" t="inlineStr">
        <is>
          <t>¿Consolida al menos dos proveedores bajo el mismo esquema declarado?</t>
        </is>
      </c>
      <c r="G1180" t="n">
        <v>0</v>
      </c>
      <c r="H1180" t="inlineStr">
        <is>
          <t>Oficial (ausencia verificada)</t>
        </is>
      </c>
      <c r="I1180" t="inlineStr">
        <is>
          <t>Cost Analysis opera sobre la tenancy de Oracle Cloud Infrastructure; la documentacion de facturacion no describe consolidacion de cuentas de otros proveedores. Criterio aplicado igual que a los demas productos nativos.</t>
        </is>
      </c>
      <c r="J1180" t="inlineStr">
        <is>
          <t>https://docs.oracle.com/en-us/iaas/Content/Billing/Concepts/billingoverview.htm</t>
        </is>
      </c>
      <c r="K1180" t="inlineStr">
        <is>
          <t>2026-09-16</t>
        </is>
      </c>
      <c r="L1180" t="inlineStr">
        <is>
          <t>Alternativa adicional incorporada en FP-180 (2026-09-16) desde el registro de FP-126 y la auditoria de FP-179.</t>
        </is>
      </c>
    </row>
    <row r="1181">
      <c r="A1181" t="inlineStr">
        <is>
          <t>E6</t>
        </is>
      </c>
      <c r="B1181" t="inlineStr">
        <is>
          <t>Cloud nativa</t>
        </is>
      </c>
      <c r="C1181" t="inlineStr">
        <is>
          <t>OCI Cost Analysis</t>
        </is>
      </c>
      <c r="D1181" t="inlineStr">
        <is>
          <t>Multicloud</t>
        </is>
      </c>
      <c r="E1181" t="inlineStr">
        <is>
          <t>M2</t>
        </is>
      </c>
      <c r="F1181" t="inlineStr">
        <is>
          <t>¿Hace visibles proveedor, cobertura y diferencias semánticas?</t>
        </is>
      </c>
      <c r="G1181" t="n">
        <v>0</v>
      </c>
      <c r="H1181" t="inlineStr">
        <is>
          <t>Oficial (ausencia verificada)</t>
        </is>
      </c>
      <c r="I1181" t="inlineStr">
        <is>
          <t>Mismo alcance de diseno que M1: al no consolidar otros proveedores, no expone diferencias semanticas entre ellos.</t>
        </is>
      </c>
      <c r="J1181" t="inlineStr">
        <is>
          <t>https://docs.oracle.com/en-us/iaas/Content/Billing/Concepts/billingoverview.htm</t>
        </is>
      </c>
      <c r="K1181" t="inlineStr">
        <is>
          <t>2026-09-16</t>
        </is>
      </c>
      <c r="L1181" t="inlineStr">
        <is>
          <t>Alternativa adicional incorporada en FP-180 (2026-09-16) desde el registro de FP-126 y la auditoria de FP-179.</t>
        </is>
      </c>
    </row>
    <row r="1182">
      <c r="A1182" t="inlineStr">
        <is>
          <t>E6</t>
        </is>
      </c>
      <c r="B1182" t="inlineStr">
        <is>
          <t>Cloud nativa</t>
        </is>
      </c>
      <c r="C1182" t="inlineStr">
        <is>
          <t>OCI Cost Analysis</t>
        </is>
      </c>
      <c r="D1182" t="inlineStr">
        <is>
          <t>Integracion</t>
        </is>
      </c>
      <c r="E1182" t="inlineStr">
        <is>
          <t>I1</t>
        </is>
      </c>
      <c r="F1182" t="inlineStr">
        <is>
          <t>¿Integra datos requeridos (facturación, uso, clúster o IaC) del escenario?</t>
        </is>
      </c>
      <c r="G1182" t="inlineStr">
        <is>
          <t>NE</t>
        </is>
      </c>
      <c r="H1182" t="inlineStr">
        <is>
          <t>Pendiente</t>
        </is>
      </c>
      <c r="I1182" t="inlineStr">
        <is>
          <t>Pendiente de investigacion propia del escenario: el indicador depende del escenario y la evidencia recogida corresponde al escenario ancla del producto.</t>
        </is>
      </c>
      <c r="L1182" t="inlineStr">
        <is>
          <t>Alternativa adicional incorporada en FP-180 (2026-09-16) desde el registro de FP-126 y la auditoria de FP-179. | Escenario ancla del producto: E1.</t>
        </is>
      </c>
    </row>
    <row r="1183">
      <c r="A1183" t="inlineStr">
        <is>
          <t>E6</t>
        </is>
      </c>
      <c r="B1183" t="inlineStr">
        <is>
          <t>Cloud nativa</t>
        </is>
      </c>
      <c r="C1183" t="inlineStr">
        <is>
          <t>OCI Cost Analysis</t>
        </is>
      </c>
      <c r="D1183" t="inlineStr">
        <is>
          <t>Integracion</t>
        </is>
      </c>
      <c r="E1183" t="inlineStr">
        <is>
          <t>I2</t>
        </is>
      </c>
      <c r="F1183" t="inlineStr">
        <is>
          <t>¿Se integra con el flujo de trabajo relevante (alerta, ticket, CI/CD o reporte)?</t>
        </is>
      </c>
      <c r="G1183" t="n">
        <v>2</v>
      </c>
      <c r="H1183" t="inlineStr">
        <is>
          <t>Oficial</t>
        </is>
      </c>
      <c r="I1183" t="inlineStr">
        <is>
          <t>La documentacion describe reportes programados: «Use the Scheduled reports page to generate scheduled reports based on saved reports from Cost Analysis», lo que integra la salida al flujo de reporte periodico.</t>
        </is>
      </c>
      <c r="J1183" t="inlineStr">
        <is>
          <t>https://docs.oracle.com/en-us/iaas/Content/Billing/Concepts/costanalysisoverview.htm</t>
        </is>
      </c>
      <c r="K1183" t="inlineStr">
        <is>
          <t>2026-09-16</t>
        </is>
      </c>
      <c r="L1183" t="inlineStr">
        <is>
          <t>Alternativa adicional incorporada en FP-180 (2026-09-16) desde el registro de FP-126 y la auditoria de FP-179. | Escenario ancla del producto: E1.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184">
      <c r="A1184" t="inlineStr">
        <is>
          <t>E6</t>
        </is>
      </c>
      <c r="B1184" t="inlineStr">
        <is>
          <t>Cloud nativa</t>
        </is>
      </c>
      <c r="C1184" t="inlineStr">
        <is>
          <t>OCI Cost Analysis</t>
        </is>
      </c>
      <c r="D1184" t="inlineStr">
        <is>
          <t>Adopcion</t>
        </is>
      </c>
      <c r="E1184" t="inlineStr">
        <is>
          <t>AD1</t>
        </is>
      </c>
      <c r="F1184" t="inlineStr">
        <is>
          <t>¿Soporta acceso/entrega para los roles del escenario?</t>
        </is>
      </c>
      <c r="G1184" t="n">
        <v>2</v>
      </c>
      <c r="H1184" t="inlineStr">
        <is>
          <t>Oficial</t>
        </is>
      </c>
      <c r="I1184" t="inlineStr">
        <is>
          <t>El acceso se controla por politicas IAM por servicio e interfaz: «Each service in Oracle Cloud Infrastructure integrates with IAM for authentication and authorization, for all interfaces», con permisos granulares a nivel de compartimento.</t>
        </is>
      </c>
      <c r="J1184" t="inlineStr">
        <is>
          <t>https://docs.oracle.com/en-us/iaas/Content/CloudAdvisor/Tasks/customizing-policies.htm</t>
        </is>
      </c>
      <c r="K1184" t="inlineStr">
        <is>
          <t>2026-09-16</t>
        </is>
      </c>
      <c r="L1184" t="inlineStr">
        <is>
          <t>Alternativa adicional incorporada en FP-180 (2026-09-16) desde el registro de FP-126 y la auditoria de FP-179. | Escenario ancla del producto: E1.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185">
      <c r="A1185" t="inlineStr">
        <is>
          <t>E6</t>
        </is>
      </c>
      <c r="B1185" t="inlineStr">
        <is>
          <t>Cloud nativa</t>
        </is>
      </c>
      <c r="C1185" t="inlineStr">
        <is>
          <t>OCI Cost Analysis</t>
        </is>
      </c>
      <c r="D1185" t="inlineStr">
        <is>
          <t>Adopcion</t>
        </is>
      </c>
      <c r="E1185" t="inlineStr">
        <is>
          <t>AD2</t>
        </is>
      </c>
      <c r="F1185" t="inlineStr">
        <is>
          <t>¿Ofrece guías, ownership o mecanismos de seguimiento para uso sostenido?</t>
        </is>
      </c>
      <c r="G1185" t="n">
        <v>2</v>
      </c>
      <c r="H1185" t="inlineStr">
        <is>
          <t>Oficial</t>
        </is>
      </c>
      <c r="I1185" t="inlineStr">
        <is>
          <t>Oracle publica guia de adopcion y gobernanza de costos en su Cloud Adoption Framework y en el Well-Architected Framework, con practicas de seguimiento y gestion de uso y costo.</t>
        </is>
      </c>
      <c r="J1185" t="inlineStr">
        <is>
          <t>https://docs.oracle.com/en-us/iaas/Content/cloud-adoption-framework/era-cost-management.htm</t>
        </is>
      </c>
      <c r="K1185" t="inlineStr">
        <is>
          <t>2026-09-16</t>
        </is>
      </c>
      <c r="L1185" t="inlineStr">
        <is>
          <t>Alternativa adicional incorporada en FP-180 (2026-09-16) desde el registro de FP-126 y la auditoria de FP-179.</t>
        </is>
      </c>
    </row>
    <row r="1186">
      <c r="A1186" t="inlineStr">
        <is>
          <t>E6</t>
        </is>
      </c>
      <c r="B1186" t="inlineStr">
        <is>
          <t>Cloud nativa</t>
        </is>
      </c>
      <c r="C1186" t="inlineStr">
        <is>
          <t>OCI Cost Analysis</t>
        </is>
      </c>
      <c r="D1186" t="inlineStr">
        <is>
          <t>Precio</t>
        </is>
      </c>
      <c r="E1186" t="inlineStr">
        <is>
          <t>P1</t>
        </is>
      </c>
      <c r="F1186" t="inlineStr">
        <is>
          <t>¿Expone precio, moneda, región, unidad, período y supuestos relevantes?</t>
        </is>
      </c>
      <c r="G1186" t="n">
        <v>2</v>
      </c>
      <c r="H1186" t="inlineStr">
        <is>
          <t>Oficial</t>
        </is>
      </c>
      <c r="I1186" t="inlineStr">
        <is>
          <t>Los cost reports exponen «usage, price, cost» por recurso y hora junto con metadatos y etiquetas, de modo que precio, unidad y periodo quedan visibles y reproducibles.</t>
        </is>
      </c>
      <c r="J1186" t="inlineStr">
        <is>
          <t>https://docs.oracle.com/en-us/iaas/Content/Billing/Concepts/costusagereportsoverview.htm</t>
        </is>
      </c>
      <c r="K1186" t="inlineStr">
        <is>
          <t>2026-09-16</t>
        </is>
      </c>
      <c r="L1186" t="inlineStr">
        <is>
          <t>Alternativa adicional incorporada en FP-180 (2026-09-16) desde el registro de FP-126 y la auditoria de FP-179.</t>
        </is>
      </c>
    </row>
    <row r="1187">
      <c r="A1187" t="inlineStr">
        <is>
          <t>E6</t>
        </is>
      </c>
      <c r="B1187" t="inlineStr">
        <is>
          <t>Cloud nativa</t>
        </is>
      </c>
      <c r="C1187" t="inlineStr">
        <is>
          <t>OCI Cost Analysis</t>
        </is>
      </c>
      <c r="D1187" t="inlineStr">
        <is>
          <t>Precio</t>
        </is>
      </c>
      <c r="E1187" t="inlineStr">
        <is>
          <t>P2</t>
        </is>
      </c>
      <c r="F1187" t="inlineStr">
        <is>
          <t>¿Permite estimar o comparar componentes sin ocultar límites de equivalencia?</t>
        </is>
      </c>
      <c r="G1187" t="inlineStr">
        <is>
          <t>NE</t>
        </is>
      </c>
      <c r="H1187" t="inlineStr">
        <is>
          <t>Pendiente</t>
        </is>
      </c>
      <c r="I1187" t="inlineStr">
        <is>
          <t>Pendiente de investigacion propia del escenario: el indicador depende del escenario y la evidencia recogida corresponde al escenario ancla del producto.</t>
        </is>
      </c>
      <c r="L1187" t="inlineStr">
        <is>
          <t>Alternativa adicional incorporada en FP-180 (2026-09-16) desde el registro de FP-126 y la auditoria de FP-179. | Escenario ancla del producto: E1.</t>
        </is>
      </c>
    </row>
    <row r="1188">
      <c r="A1188" t="inlineStr">
        <is>
          <t>E6</t>
        </is>
      </c>
      <c r="B1188" t="inlineStr">
        <is>
          <t>Cloud nativa</t>
        </is>
      </c>
      <c r="C1188" t="inlineStr">
        <is>
          <t>OCI Cost Analysis</t>
        </is>
      </c>
      <c r="D1188" t="inlineStr">
        <is>
          <t>Dependencia</t>
        </is>
      </c>
      <c r="E1188" t="inlineStr">
        <is>
          <t>D1</t>
        </is>
      </c>
      <c r="F1188" t="inlineStr">
        <is>
          <t>¿Exporta datos/resultados en formato utilizable y documentado?</t>
        </is>
      </c>
      <c r="G1188" t="n">
        <v>2</v>
      </c>
      <c r="H1188" t="inlineStr">
        <is>
          <t>Oficial</t>
        </is>
      </c>
      <c r="I1188" t="inlineStr">
        <is>
          <t>Cost Analysis permite «download accurate, reliable tabular reports» y los cost reports se entregan como archivos por recurso y hora, disponibles para descarga.</t>
        </is>
      </c>
      <c r="J1188" t="inlineStr">
        <is>
          <t>https://docs.oracle.com/en-us/iaas/Content/Billing/Tasks/download-cost-csv.htm</t>
        </is>
      </c>
      <c r="K1188" t="inlineStr">
        <is>
          <t>2026-09-16</t>
        </is>
      </c>
      <c r="L1188" t="inlineStr">
        <is>
          <t>Alternativa adicional incorporada en FP-180 (2026-09-16) desde el registro de FP-126 y la auditoria de FP-179.</t>
        </is>
      </c>
    </row>
    <row r="1189">
      <c r="A1189" t="inlineStr">
        <is>
          <t>E6</t>
        </is>
      </c>
      <c r="B1189" t="inlineStr">
        <is>
          <t>Cloud nativa</t>
        </is>
      </c>
      <c r="C1189" t="inlineStr">
        <is>
          <t>OCI Cost Analysis</t>
        </is>
      </c>
      <c r="D1189" t="inlineStr">
        <is>
          <t>Dependencia</t>
        </is>
      </c>
      <c r="E1189" t="inlineStr">
        <is>
          <t>D2</t>
        </is>
      </c>
      <c r="F1189" t="inlineStr">
        <is>
          <t>¿Documenta dependencias propietarias y un camino de salida/configuración reversible?</t>
        </is>
      </c>
      <c r="G1189" t="inlineStr">
        <is>
          <t>NE</t>
        </is>
      </c>
      <c r="H1189" t="inlineStr">
        <is>
          <t>Pendiente</t>
        </is>
      </c>
      <c r="I1189" t="inlineStr">
        <is>
          <t>No se encontro documentacion oficial sobre dependencias propietarias ni camino de salida o configuracion reversible.</t>
        </is>
      </c>
      <c r="L1189" t="inlineStr">
        <is>
          <t>Alternativa adicional incorporada en FP-180 (2026-09-16) desde el registro de FP-126 y la auditoria de FP-179.</t>
        </is>
      </c>
    </row>
    <row r="1190">
      <c r="A1190" t="inlineStr">
        <is>
          <t>E1</t>
        </is>
      </c>
      <c r="B1190" t="inlineStr">
        <is>
          <t>Cloud nativa</t>
        </is>
      </c>
      <c r="C1190" t="inlineStr">
        <is>
          <t>IBM Cloud Cost Estimator</t>
        </is>
      </c>
      <c r="D1190" t="inlineStr">
        <is>
          <t>Visibilidad</t>
        </is>
      </c>
      <c r="E1190" t="inlineStr">
        <is>
          <t>V1</t>
        </is>
      </c>
      <c r="F1190" t="inlineStr">
        <is>
          <t>¿Desagrega costo y uso por cuenta/proyecto, servicio y período?</t>
        </is>
      </c>
      <c r="G1190" t="n">
        <v>0</v>
      </c>
      <c r="H1190" t="inlineStr">
        <is>
          <t>Oficial (ausencia verificada)</t>
        </is>
      </c>
      <c r="I1190" t="inlineStr">
        <is>
          <t>Es un calculador de precios para «configure IBM Cloud products and generate reliable cost estimates»; no desglosa costo y uso reales por cuenta, servicio y periodo.</t>
        </is>
      </c>
      <c r="J1190" t="inlineStr">
        <is>
          <t>https://cloud.ibm.com/docs/account?topic=account-cost</t>
        </is>
      </c>
      <c r="K1190" t="inlineStr">
        <is>
          <t>2026-09-16</t>
        </is>
      </c>
      <c r="L1190"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191">
      <c r="A1191" t="inlineStr">
        <is>
          <t>E1</t>
        </is>
      </c>
      <c r="B1191" t="inlineStr">
        <is>
          <t>Cloud nativa</t>
        </is>
      </c>
      <c r="C1191" t="inlineStr">
        <is>
          <t>IBM Cloud Cost Estimator</t>
        </is>
      </c>
      <c r="D1191" t="inlineStr">
        <is>
          <t>Visibilidad</t>
        </is>
      </c>
      <c r="E1191" t="inlineStr">
        <is>
          <t>V2</t>
        </is>
      </c>
      <c r="F1191" t="inlineStr">
        <is>
          <t>¿Permite rastrear un total hasta registros o fuente de facturación?</t>
        </is>
      </c>
      <c r="G1191" t="n">
        <v>0</v>
      </c>
      <c r="H1191" t="inlineStr">
        <is>
          <t>Oficial (ausencia verificada)</t>
        </is>
      </c>
      <c r="I1191" t="inlineStr">
        <is>
          <t>Al operar sobre estimaciones previas al despliegue, no rastrea ni reconcilia contra la facturacion real de una cuenta.</t>
        </is>
      </c>
      <c r="J1191" t="inlineStr">
        <is>
          <t>https://cloud.ibm.com/docs/account?topic=account-cost</t>
        </is>
      </c>
      <c r="K1191" t="inlineStr">
        <is>
          <t>2026-09-16</t>
        </is>
      </c>
      <c r="L1191"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192">
      <c r="A1192" t="inlineStr">
        <is>
          <t>E1</t>
        </is>
      </c>
      <c r="B1192" t="inlineStr">
        <is>
          <t>Cloud nativa</t>
        </is>
      </c>
      <c r="C1192" t="inlineStr">
        <is>
          <t>IBM Cloud Cost Estimator</t>
        </is>
      </c>
      <c r="D1192" t="inlineStr">
        <is>
          <t>Asignacion</t>
        </is>
      </c>
      <c r="E1192" t="inlineStr">
        <is>
          <t>A1</t>
        </is>
      </c>
      <c r="F1192" t="inlineStr">
        <is>
          <t>¿Calcula gasto asignado/no asignado por responsable, centro o entidad?</t>
        </is>
      </c>
      <c r="G1192" t="n">
        <v>0</v>
      </c>
      <c r="H1192" t="inlineStr">
        <is>
          <t>Oficial (ausencia verificada)</t>
        </is>
      </c>
      <c r="I1192" t="inlineStr">
        <is>
          <t>No calcula asignacion de gasto por responsable o centro de costo; entrega una estimacion por configuracion de producto.</t>
        </is>
      </c>
      <c r="J1192" t="inlineStr">
        <is>
          <t>https://cloud.ibm.com/docs/account?topic=account-cost</t>
        </is>
      </c>
      <c r="K1192" t="inlineStr">
        <is>
          <t>2026-09-16</t>
        </is>
      </c>
      <c r="L1192"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193">
      <c r="A1193" t="inlineStr">
        <is>
          <t>E1</t>
        </is>
      </c>
      <c r="B1193" t="inlineStr">
        <is>
          <t>Cloud nativa</t>
        </is>
      </c>
      <c r="C1193" t="inlineStr">
        <is>
          <t>IBM Cloud Cost Estimator</t>
        </is>
      </c>
      <c r="D1193" t="inlineStr">
        <is>
          <t>Asignacion</t>
        </is>
      </c>
      <c r="E1193" t="inlineStr">
        <is>
          <t>A2</t>
        </is>
      </c>
      <c r="F1193" t="inlineStr">
        <is>
          <t>¿Explicita y aplica reglas para costo compartido/multi-tenant?</t>
        </is>
      </c>
      <c r="G1193" t="n">
        <v>0</v>
      </c>
      <c r="H1193" t="inlineStr">
        <is>
          <t>Oficial (ausencia verificada)</t>
        </is>
      </c>
      <c r="I1193" t="inlineStr">
        <is>
          <t>Mismo alcance que A1: no define reglas de reparto de costo compartido.</t>
        </is>
      </c>
      <c r="J1193" t="inlineStr">
        <is>
          <t>https://cloud.ibm.com/docs/account?topic=account-cost</t>
        </is>
      </c>
      <c r="K1193" t="inlineStr">
        <is>
          <t>2026-09-16</t>
        </is>
      </c>
      <c r="L1193"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194">
      <c r="A1194" t="inlineStr">
        <is>
          <t>E1</t>
        </is>
      </c>
      <c r="B1194" t="inlineStr">
        <is>
          <t>Cloud nativa</t>
        </is>
      </c>
      <c r="C1194" t="inlineStr">
        <is>
          <t>IBM Cloud Cost Estimator</t>
        </is>
      </c>
      <c r="D1194" t="inlineStr">
        <is>
          <t>Optimizacion</t>
        </is>
      </c>
      <c r="E1194" t="inlineStr">
        <is>
          <t>O1</t>
        </is>
      </c>
      <c r="F1194" t="inlineStr">
        <is>
          <t>¿Detecta desperdicio, rightsizing o compromiso relevante al escenario?</t>
        </is>
      </c>
      <c r="G1194" t="n">
        <v>1</v>
      </c>
      <c r="H1194" t="inlineStr">
        <is>
          <t>Comercial</t>
        </is>
      </c>
      <c r="I1194" t="inlineStr">
        <is>
          <t>La pagina de producto declara que la herramienta permite «get tips on how to save money». Es evidencia comercial del proveedor, por lo que FP-177 limita el indicador a 1.</t>
        </is>
      </c>
      <c r="J1194" t="inlineStr">
        <is>
          <t>https://www.ibm.com/products/cloud/cloud-calculator</t>
        </is>
      </c>
      <c r="K1194" t="inlineStr">
        <is>
          <t>2026-09-16</t>
        </is>
      </c>
      <c r="L1194"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195">
      <c r="A1195" t="inlineStr">
        <is>
          <t>E1</t>
        </is>
      </c>
      <c r="B1195" t="inlineStr">
        <is>
          <t>Cloud nativa</t>
        </is>
      </c>
      <c r="C1195" t="inlineStr">
        <is>
          <t>IBM Cloud Cost Estimator</t>
        </is>
      </c>
      <c r="D1195" t="inlineStr">
        <is>
          <t>Optimizacion</t>
        </is>
      </c>
      <c r="E1195" t="inlineStr">
        <is>
          <t>O2</t>
        </is>
      </c>
      <c r="F1195" t="inlineStr">
        <is>
          <t>¿Explica supuesto/impacto y permite seguir una recomendación?</t>
        </is>
      </c>
      <c r="G1195" t="inlineStr">
        <is>
          <t>NE</t>
        </is>
      </c>
      <c r="H1195" t="inlineStr">
        <is>
          <t>Pendiente</t>
        </is>
      </c>
      <c r="I1195" t="inlineStr">
        <is>
          <t>No se encontro documentacion de explicacion de impacto ni seguimiento de una recomendacion de optimizacion.</t>
        </is>
      </c>
      <c r="L1195"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196">
      <c r="A1196" t="inlineStr">
        <is>
          <t>E1</t>
        </is>
      </c>
      <c r="B1196" t="inlineStr">
        <is>
          <t>Cloud nativa</t>
        </is>
      </c>
      <c r="C1196" t="inlineStr">
        <is>
          <t>IBM Cloud Cost Estimator</t>
        </is>
      </c>
      <c r="D1196" t="inlineStr">
        <is>
          <t>Automatizacion</t>
        </is>
      </c>
      <c r="E1196" t="inlineStr">
        <is>
          <t>AU1</t>
        </is>
      </c>
      <c r="F1196" t="inlineStr">
        <is>
          <t>¿Ejecuta o bloquea acciones/políticas de costo con control verificable?</t>
        </is>
      </c>
      <c r="G1196" t="n">
        <v>0</v>
      </c>
      <c r="H1196" t="inlineStr">
        <is>
          <t>Oficial (ausencia verificada)</t>
        </is>
      </c>
      <c r="I1196" t="inlineStr">
        <is>
          <t>Es una calculadora de estimacion: no ejecuta ni bloquea acciones o politicas de costo.</t>
        </is>
      </c>
      <c r="J1196" t="inlineStr">
        <is>
          <t>https://cloud.ibm.com/docs/account?topic=account-cost</t>
        </is>
      </c>
      <c r="K1196" t="inlineStr">
        <is>
          <t>2026-09-16</t>
        </is>
      </c>
      <c r="L1196"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197">
      <c r="A1197" t="inlineStr">
        <is>
          <t>E1</t>
        </is>
      </c>
      <c r="B1197" t="inlineStr">
        <is>
          <t>Cloud nativa</t>
        </is>
      </c>
      <c r="C1197" t="inlineStr">
        <is>
          <t>IBM Cloud Cost Estimator</t>
        </is>
      </c>
      <c r="D1197" t="inlineStr">
        <is>
          <t>Automatizacion</t>
        </is>
      </c>
      <c r="E1197" t="inlineStr">
        <is>
          <t>AU2</t>
        </is>
      </c>
      <c r="F1197" t="inlineStr">
        <is>
          <t>¿Ofrece aprobación, reversión, registro o límites antes de actuar?</t>
        </is>
      </c>
      <c r="G1197" t="inlineStr">
        <is>
          <t>NA</t>
        </is>
      </c>
      <c r="H1197" t="inlineStr">
        <is>
          <t>Justificacion de alcance</t>
        </is>
      </c>
      <c r="I1197" t="inlineStr">
        <is>
          <t>Al no ejecutar acciones (ver AU1), no aplica evaluar salvaguardas de una ejecucion automatizada.</t>
        </is>
      </c>
      <c r="L1197"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198">
      <c r="A1198" t="inlineStr">
        <is>
          <t>E1</t>
        </is>
      </c>
      <c r="B1198" t="inlineStr">
        <is>
          <t>Cloud nativa</t>
        </is>
      </c>
      <c r="C1198" t="inlineStr">
        <is>
          <t>IBM Cloud Cost Estimator</t>
        </is>
      </c>
      <c r="D1198" t="inlineStr">
        <is>
          <t>Multicloud</t>
        </is>
      </c>
      <c r="E1198" t="inlineStr">
        <is>
          <t>M1</t>
        </is>
      </c>
      <c r="F1198" t="inlineStr">
        <is>
          <t>¿Consolida al menos dos proveedores bajo el mismo esquema declarado?</t>
        </is>
      </c>
      <c r="G1198" t="n">
        <v>0</v>
      </c>
      <c r="H1198" t="inlineStr">
        <is>
          <t>Oficial (ausencia verificada)</t>
        </is>
      </c>
      <c r="I1198" t="inlineStr">
        <is>
          <t>Estima exclusivamente productos del catalogo de IBM Cloud; no consolida costos de otros proveedores.</t>
        </is>
      </c>
      <c r="J1198" t="inlineStr">
        <is>
          <t>https://cloud.ibm.com/docs/account?topic=account-cost</t>
        </is>
      </c>
      <c r="K1198" t="inlineStr">
        <is>
          <t>2026-09-16</t>
        </is>
      </c>
      <c r="L1198"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199">
      <c r="A1199" t="inlineStr">
        <is>
          <t>E1</t>
        </is>
      </c>
      <c r="B1199" t="inlineStr">
        <is>
          <t>Cloud nativa</t>
        </is>
      </c>
      <c r="C1199" t="inlineStr">
        <is>
          <t>IBM Cloud Cost Estimator</t>
        </is>
      </c>
      <c r="D1199" t="inlineStr">
        <is>
          <t>Multicloud</t>
        </is>
      </c>
      <c r="E1199" t="inlineStr">
        <is>
          <t>M2</t>
        </is>
      </c>
      <c r="F1199" t="inlineStr">
        <is>
          <t>¿Hace visibles proveedor, cobertura y diferencias semánticas?</t>
        </is>
      </c>
      <c r="G1199" t="n">
        <v>0</v>
      </c>
      <c r="H1199" t="inlineStr">
        <is>
          <t>Oficial (ausencia verificada)</t>
        </is>
      </c>
      <c r="I1199" t="inlineStr">
        <is>
          <t>Mismo alcance de diseno que M1.</t>
        </is>
      </c>
      <c r="J1199" t="inlineStr">
        <is>
          <t>https://cloud.ibm.com/docs/account?topic=account-cost</t>
        </is>
      </c>
      <c r="K1199" t="inlineStr">
        <is>
          <t>2026-09-16</t>
        </is>
      </c>
      <c r="L1199"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00">
      <c r="A1200" t="inlineStr">
        <is>
          <t>E1</t>
        </is>
      </c>
      <c r="B1200" t="inlineStr">
        <is>
          <t>Cloud nativa</t>
        </is>
      </c>
      <c r="C1200" t="inlineStr">
        <is>
          <t>IBM Cloud Cost Estimator</t>
        </is>
      </c>
      <c r="D1200" t="inlineStr">
        <is>
          <t>Integracion</t>
        </is>
      </c>
      <c r="E1200" t="inlineStr">
        <is>
          <t>I1</t>
        </is>
      </c>
      <c r="F1200" t="inlineStr">
        <is>
          <t>¿Integra datos requeridos (facturación, uso, clúster o IaC) del escenario?</t>
        </is>
      </c>
      <c r="G1200" t="n">
        <v>2</v>
      </c>
      <c r="H1200" t="inlineStr">
        <is>
          <t>Oficial</t>
        </is>
      </c>
      <c r="I1200" t="inlineStr">
        <is>
          <t>La estimacion se integra al flujo de proyectos y arquitecturas desplegables: «After saving, the validation checks are run and a new cost estimate is computed», tomando los parametros configurados del proyecto.</t>
        </is>
      </c>
      <c r="J1200" t="inlineStr">
        <is>
          <t>https://cloud.ibm.com/docs/secure-enterprise?topic=secure-enterprise-cost-estimate-project</t>
        </is>
      </c>
      <c r="K1200" t="inlineStr">
        <is>
          <t>2026-09-16</t>
        </is>
      </c>
      <c r="L1200"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01">
      <c r="A1201" t="inlineStr">
        <is>
          <t>E1</t>
        </is>
      </c>
      <c r="B1201" t="inlineStr">
        <is>
          <t>Cloud nativa</t>
        </is>
      </c>
      <c r="C1201" t="inlineStr">
        <is>
          <t>IBM Cloud Cost Estimator</t>
        </is>
      </c>
      <c r="D1201" t="inlineStr">
        <is>
          <t>Integracion</t>
        </is>
      </c>
      <c r="E1201" t="inlineStr">
        <is>
          <t>I2</t>
        </is>
      </c>
      <c r="F1201" t="inlineStr">
        <is>
          <t>¿Se integra con el flujo de trabajo relevante (alerta, ticket, CI/CD o reporte)?</t>
        </is>
      </c>
      <c r="G1201" t="n">
        <v>2</v>
      </c>
      <c r="H1201" t="inlineStr">
        <is>
          <t>Oficial</t>
        </is>
      </c>
      <c r="I1201" t="inlineStr">
        <is>
          <t>El costo estimado forma parte del paso de validacion previo al despliegue, presentado en el «validation modal» bajo la seccion «Cost estimate successful», de modo que queda incorporado al flujo de revision del proyecto.</t>
        </is>
      </c>
      <c r="J1201" t="inlineStr">
        <is>
          <t>https://cloud.ibm.com/docs/secure-enterprise?topic=secure-enterprise-cost-estimate-project</t>
        </is>
      </c>
      <c r="K1201" t="inlineStr">
        <is>
          <t>2026-09-16</t>
        </is>
      </c>
      <c r="L1201"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02">
      <c r="A1202" t="inlineStr">
        <is>
          <t>E1</t>
        </is>
      </c>
      <c r="B1202" t="inlineStr">
        <is>
          <t>Cloud nativa</t>
        </is>
      </c>
      <c r="C1202" t="inlineStr">
        <is>
          <t>IBM Cloud Cost Estimator</t>
        </is>
      </c>
      <c r="D1202" t="inlineStr">
        <is>
          <t>Adopcion</t>
        </is>
      </c>
      <c r="E1202" t="inlineStr">
        <is>
          <t>AD1</t>
        </is>
      </c>
      <c r="F1202" t="inlineStr">
        <is>
          <t>¿Soporta acceso/entrega para los roles del escenario?</t>
        </is>
      </c>
      <c r="G1202" t="inlineStr">
        <is>
          <t>NE</t>
        </is>
      </c>
      <c r="H1202" t="inlineStr">
        <is>
          <t>Pendiente</t>
        </is>
      </c>
      <c r="I1202" t="inlineStr">
        <is>
          <t>No se encontro documentacion oficial sobre roles y accesos diferenciados para los perfiles del escenario.</t>
        </is>
      </c>
      <c r="L1202"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03">
      <c r="A1203" t="inlineStr">
        <is>
          <t>E1</t>
        </is>
      </c>
      <c r="B1203" t="inlineStr">
        <is>
          <t>Cloud nativa</t>
        </is>
      </c>
      <c r="C1203" t="inlineStr">
        <is>
          <t>IBM Cloud Cost Estimator</t>
        </is>
      </c>
      <c r="D1203" t="inlineStr">
        <is>
          <t>Adopcion</t>
        </is>
      </c>
      <c r="E1203" t="inlineStr">
        <is>
          <t>AD2</t>
        </is>
      </c>
      <c r="F1203" t="inlineStr">
        <is>
          <t>¿Ofrece guías, ownership o mecanismos de seguimiento para uso sostenido?</t>
        </is>
      </c>
      <c r="G1203" t="inlineStr">
        <is>
          <t>NE</t>
        </is>
      </c>
      <c r="H1203" t="inlineStr">
        <is>
          <t>Pendiente</t>
        </is>
      </c>
      <c r="I1203" t="inlineStr">
        <is>
          <t>No se encontro guia oficial de habilitacion, ownership o seguimiento de uso sostenido asociada a la herramienta.</t>
        </is>
      </c>
      <c r="L1203"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04">
      <c r="A1204" t="inlineStr">
        <is>
          <t>E1</t>
        </is>
      </c>
      <c r="B1204" t="inlineStr">
        <is>
          <t>Cloud nativa</t>
        </is>
      </c>
      <c r="C1204" t="inlineStr">
        <is>
          <t>IBM Cloud Cost Estimator</t>
        </is>
      </c>
      <c r="D1204" t="inlineStr">
        <is>
          <t>Precio</t>
        </is>
      </c>
      <c r="E1204" t="inlineStr">
        <is>
          <t>P1</t>
        </is>
      </c>
      <c r="F1204" t="inlineStr">
        <is>
          <t>¿Expone precio, moneda, región, unidad, período y supuestos relevantes?</t>
        </is>
      </c>
      <c r="G1204" t="n">
        <v>2</v>
      </c>
      <c r="H1204" t="inlineStr">
        <is>
          <t>Oficial</t>
        </is>
      </c>
      <c r="I1204" t="inlineStr">
        <is>
          <t>Permite configurar plan de precios, uso, moneda y region, y «see how your pricing is determined». Los supuestos estan declarados: la estimacion «does not include all resources, usage, licenses, fees, discounts, or taxes» y esta «subject to change as the architecture is customized».</t>
        </is>
      </c>
      <c r="J1204" t="inlineStr">
        <is>
          <t>https://cloud.ibm.com/docs/secure-enterprise?topic=secure-enterprise-cost-estimate-project</t>
        </is>
      </c>
      <c r="K1204" t="inlineStr">
        <is>
          <t>2026-09-16</t>
        </is>
      </c>
      <c r="L1204"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05">
      <c r="A1205" t="inlineStr">
        <is>
          <t>E1</t>
        </is>
      </c>
      <c r="B1205" t="inlineStr">
        <is>
          <t>Cloud nativa</t>
        </is>
      </c>
      <c r="C1205" t="inlineStr">
        <is>
          <t>IBM Cloud Cost Estimator</t>
        </is>
      </c>
      <c r="D1205" t="inlineStr">
        <is>
          <t>Precio</t>
        </is>
      </c>
      <c r="E1205" t="inlineStr">
        <is>
          <t>P2</t>
        </is>
      </c>
      <c r="F1205" t="inlineStr">
        <is>
          <t>¿Permite estimar o comparar componentes sin ocultar límites de equivalencia?</t>
        </is>
      </c>
      <c r="G1205" t="n">
        <v>2</v>
      </c>
      <c r="H1205" t="inlineStr">
        <is>
          <t>Oficial</t>
        </is>
      </c>
      <c r="I1205" t="inlineStr">
        <is>
          <t>La documentacion describe la comparacion de configuraciones alternativas antes de decidir, con el detalle de como se determina cada precio.</t>
        </is>
      </c>
      <c r="J1205" t="inlineStr">
        <is>
          <t>https://cloud.ibm.com/docs/account?topic=account-cost</t>
        </is>
      </c>
      <c r="K1205" t="inlineStr">
        <is>
          <t>2026-09-16</t>
        </is>
      </c>
      <c r="L1205"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06">
      <c r="A1206" t="inlineStr">
        <is>
          <t>E1</t>
        </is>
      </c>
      <c r="B1206" t="inlineStr">
        <is>
          <t>Cloud nativa</t>
        </is>
      </c>
      <c r="C1206" t="inlineStr">
        <is>
          <t>IBM Cloud Cost Estimator</t>
        </is>
      </c>
      <c r="D1206" t="inlineStr">
        <is>
          <t>Dependencia</t>
        </is>
      </c>
      <c r="E1206" t="inlineStr">
        <is>
          <t>D1</t>
        </is>
      </c>
      <c r="F1206" t="inlineStr">
        <is>
          <t>¿Exporta datos/resultados en formato utilizable y documentado?</t>
        </is>
      </c>
      <c r="G1206" t="n">
        <v>2</v>
      </c>
      <c r="H1206" t="inlineStr">
        <is>
          <t>Oficial</t>
        </is>
      </c>
      <c r="I1206" t="inlineStr">
        <is>
          <t>Las estimaciones se pueden exportar y descargar como cotizacion desde la herramienta.</t>
        </is>
      </c>
      <c r="J1206" t="inlineStr">
        <is>
          <t>https://cloud.ibm.com/docs/account?topic=account-cost</t>
        </is>
      </c>
      <c r="K1206" t="inlineStr">
        <is>
          <t>2026-09-16</t>
        </is>
      </c>
      <c r="L1206"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07">
      <c r="A1207" t="inlineStr">
        <is>
          <t>E1</t>
        </is>
      </c>
      <c r="B1207" t="inlineStr">
        <is>
          <t>Cloud nativa</t>
        </is>
      </c>
      <c r="C1207" t="inlineStr">
        <is>
          <t>IBM Cloud Cost Estimator</t>
        </is>
      </c>
      <c r="D1207" t="inlineStr">
        <is>
          <t>Dependencia</t>
        </is>
      </c>
      <c r="E1207" t="inlineStr">
        <is>
          <t>D2</t>
        </is>
      </c>
      <c r="F1207" t="inlineStr">
        <is>
          <t>¿Documenta dependencias propietarias y un camino de salida/configuración reversible?</t>
        </is>
      </c>
      <c r="G1207" t="inlineStr">
        <is>
          <t>NE</t>
        </is>
      </c>
      <c r="H1207" t="inlineStr">
        <is>
          <t>Pendiente</t>
        </is>
      </c>
      <c r="I1207" t="inlineStr">
        <is>
          <t>No se encontro documentacion sobre dependencias propietarias ni camino de salida.</t>
        </is>
      </c>
      <c r="L1207"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08">
      <c r="A1208" t="inlineStr">
        <is>
          <t>E2</t>
        </is>
      </c>
      <c r="B1208" t="inlineStr">
        <is>
          <t>Cloud nativa</t>
        </is>
      </c>
      <c r="C1208" t="inlineStr">
        <is>
          <t>IBM Cloud Cost Estimator</t>
        </is>
      </c>
      <c r="D1208" t="inlineStr">
        <is>
          <t>Visibilidad</t>
        </is>
      </c>
      <c r="E1208" t="inlineStr">
        <is>
          <t>V1</t>
        </is>
      </c>
      <c r="F1208" t="inlineStr">
        <is>
          <t>¿Desagrega costo y uso por cuenta/proyecto, servicio y período?</t>
        </is>
      </c>
      <c r="G1208" t="inlineStr">
        <is>
          <t>NE</t>
        </is>
      </c>
      <c r="H1208" t="inlineStr">
        <is>
          <t>Pendiente</t>
        </is>
      </c>
      <c r="I1208" t="inlineStr">
        <is>
          <t>Pendiente de investigacion propia del escenario: el indicador depende del escenario y la evidencia recogida corresponde al escenario ancla del producto.</t>
        </is>
      </c>
      <c r="L1208"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09">
      <c r="A1209" t="inlineStr">
        <is>
          <t>E2</t>
        </is>
      </c>
      <c r="B1209" t="inlineStr">
        <is>
          <t>Cloud nativa</t>
        </is>
      </c>
      <c r="C1209" t="inlineStr">
        <is>
          <t>IBM Cloud Cost Estimator</t>
        </is>
      </c>
      <c r="D1209" t="inlineStr">
        <is>
          <t>Visibilidad</t>
        </is>
      </c>
      <c r="E1209" t="inlineStr">
        <is>
          <t>V2</t>
        </is>
      </c>
      <c r="F1209" t="inlineStr">
        <is>
          <t>¿Permite rastrear un total hasta registros o fuente de facturación?</t>
        </is>
      </c>
      <c r="G1209" t="n">
        <v>0</v>
      </c>
      <c r="H1209" t="inlineStr">
        <is>
          <t>Oficial (ausencia verificada)</t>
        </is>
      </c>
      <c r="I1209" t="inlineStr">
        <is>
          <t>Al operar sobre estimaciones previas al despliegue, no rastrea ni reconcilia contra la facturacion real de una cuenta.</t>
        </is>
      </c>
      <c r="J1209" t="inlineStr">
        <is>
          <t>https://cloud.ibm.com/docs/account?topic=account-cost</t>
        </is>
      </c>
      <c r="K1209" t="inlineStr">
        <is>
          <t>2026-09-16</t>
        </is>
      </c>
      <c r="L1209"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10">
      <c r="A1210" t="inlineStr">
        <is>
          <t>E2</t>
        </is>
      </c>
      <c r="B1210" t="inlineStr">
        <is>
          <t>Cloud nativa</t>
        </is>
      </c>
      <c r="C1210" t="inlineStr">
        <is>
          <t>IBM Cloud Cost Estimator</t>
        </is>
      </c>
      <c r="D1210" t="inlineStr">
        <is>
          <t>Asignacion</t>
        </is>
      </c>
      <c r="E1210" t="inlineStr">
        <is>
          <t>A1</t>
        </is>
      </c>
      <c r="F1210" t="inlineStr">
        <is>
          <t>¿Calcula gasto asignado/no asignado por responsable, centro o entidad?</t>
        </is>
      </c>
      <c r="G1210" t="inlineStr">
        <is>
          <t>NE</t>
        </is>
      </c>
      <c r="H1210" t="inlineStr">
        <is>
          <t>Pendiente</t>
        </is>
      </c>
      <c r="I1210" t="inlineStr">
        <is>
          <t>Pendiente de investigacion propia del escenario: el indicador depende del escenario y la evidencia recogida corresponde al escenario ancla del producto.</t>
        </is>
      </c>
      <c r="L1210"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11">
      <c r="A1211" t="inlineStr">
        <is>
          <t>E2</t>
        </is>
      </c>
      <c r="B1211" t="inlineStr">
        <is>
          <t>Cloud nativa</t>
        </is>
      </c>
      <c r="C1211" t="inlineStr">
        <is>
          <t>IBM Cloud Cost Estimator</t>
        </is>
      </c>
      <c r="D1211" t="inlineStr">
        <is>
          <t>Asignacion</t>
        </is>
      </c>
      <c r="E1211" t="inlineStr">
        <is>
          <t>A2</t>
        </is>
      </c>
      <c r="F1211" t="inlineStr">
        <is>
          <t>¿Explicita y aplica reglas para costo compartido/multi-tenant?</t>
        </is>
      </c>
      <c r="G1211" t="inlineStr">
        <is>
          <t>NE</t>
        </is>
      </c>
      <c r="H1211" t="inlineStr">
        <is>
          <t>Pendiente</t>
        </is>
      </c>
      <c r="I1211" t="inlineStr">
        <is>
          <t>Pendiente de investigacion propia del escenario: el indicador depende del escenario y la evidencia recogida corresponde al escenario ancla del producto.</t>
        </is>
      </c>
      <c r="L1211"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12">
      <c r="A1212" t="inlineStr">
        <is>
          <t>E2</t>
        </is>
      </c>
      <c r="B1212" t="inlineStr">
        <is>
          <t>Cloud nativa</t>
        </is>
      </c>
      <c r="C1212" t="inlineStr">
        <is>
          <t>IBM Cloud Cost Estimator</t>
        </is>
      </c>
      <c r="D1212" t="inlineStr">
        <is>
          <t>Optimizacion</t>
        </is>
      </c>
      <c r="E1212" t="inlineStr">
        <is>
          <t>O1</t>
        </is>
      </c>
      <c r="F1212" t="inlineStr">
        <is>
          <t>¿Detecta desperdicio, rightsizing o compromiso relevante al escenario?</t>
        </is>
      </c>
      <c r="G1212" t="inlineStr">
        <is>
          <t>NE</t>
        </is>
      </c>
      <c r="H1212" t="inlineStr">
        <is>
          <t>Pendiente</t>
        </is>
      </c>
      <c r="I1212" t="inlineStr">
        <is>
          <t>Pendiente de investigacion propia del escenario: el indicador depende del escenario y la evidencia recogida corresponde al escenario ancla del producto.</t>
        </is>
      </c>
      <c r="L1212"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13">
      <c r="A1213" t="inlineStr">
        <is>
          <t>E2</t>
        </is>
      </c>
      <c r="B1213" t="inlineStr">
        <is>
          <t>Cloud nativa</t>
        </is>
      </c>
      <c r="C1213" t="inlineStr">
        <is>
          <t>IBM Cloud Cost Estimator</t>
        </is>
      </c>
      <c r="D1213" t="inlineStr">
        <is>
          <t>Optimizacion</t>
        </is>
      </c>
      <c r="E1213" t="inlineStr">
        <is>
          <t>O2</t>
        </is>
      </c>
      <c r="F1213" t="inlineStr">
        <is>
          <t>¿Explica supuesto/impacto y permite seguir una recomendación?</t>
        </is>
      </c>
      <c r="G1213" t="inlineStr">
        <is>
          <t>NE</t>
        </is>
      </c>
      <c r="H1213" t="inlineStr">
        <is>
          <t>Pendiente</t>
        </is>
      </c>
      <c r="I1213" t="inlineStr">
        <is>
          <t>No se encontro documentacion de explicacion de impacto ni seguimiento de una recomendacion de optimizacion.</t>
        </is>
      </c>
      <c r="L1213"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14">
      <c r="A1214" t="inlineStr">
        <is>
          <t>E2</t>
        </is>
      </c>
      <c r="B1214" t="inlineStr">
        <is>
          <t>Cloud nativa</t>
        </is>
      </c>
      <c r="C1214" t="inlineStr">
        <is>
          <t>IBM Cloud Cost Estimator</t>
        </is>
      </c>
      <c r="D1214" t="inlineStr">
        <is>
          <t>Automatizacion</t>
        </is>
      </c>
      <c r="E1214" t="inlineStr">
        <is>
          <t>AU1</t>
        </is>
      </c>
      <c r="F1214" t="inlineStr">
        <is>
          <t>¿Ejecuta o bloquea acciones/políticas de costo con control verificable?</t>
        </is>
      </c>
      <c r="G1214" t="inlineStr">
        <is>
          <t>NE</t>
        </is>
      </c>
      <c r="H1214" t="inlineStr">
        <is>
          <t>Pendiente</t>
        </is>
      </c>
      <c r="I1214" t="inlineStr">
        <is>
          <t>Pendiente de investigacion propia del escenario: el indicador depende del escenario y la evidencia recogida corresponde al escenario ancla del producto.</t>
        </is>
      </c>
      <c r="L1214"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15">
      <c r="A1215" t="inlineStr">
        <is>
          <t>E2</t>
        </is>
      </c>
      <c r="B1215" t="inlineStr">
        <is>
          <t>Cloud nativa</t>
        </is>
      </c>
      <c r="C1215" t="inlineStr">
        <is>
          <t>IBM Cloud Cost Estimator</t>
        </is>
      </c>
      <c r="D1215" t="inlineStr">
        <is>
          <t>Automatizacion</t>
        </is>
      </c>
      <c r="E1215" t="inlineStr">
        <is>
          <t>AU2</t>
        </is>
      </c>
      <c r="F1215" t="inlineStr">
        <is>
          <t>¿Ofrece aprobación, reversión, registro o límites antes de actuar?</t>
        </is>
      </c>
      <c r="G1215" t="inlineStr">
        <is>
          <t>NA</t>
        </is>
      </c>
      <c r="H1215" t="inlineStr">
        <is>
          <t>Justificacion de alcance</t>
        </is>
      </c>
      <c r="I1215" t="inlineStr">
        <is>
          <t>Al no ejecutar acciones (ver AU1), no aplica evaluar salvaguardas de una ejecucion automatizada.</t>
        </is>
      </c>
      <c r="L1215"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16">
      <c r="A1216" t="inlineStr">
        <is>
          <t>E2</t>
        </is>
      </c>
      <c r="B1216" t="inlineStr">
        <is>
          <t>Cloud nativa</t>
        </is>
      </c>
      <c r="C1216" t="inlineStr">
        <is>
          <t>IBM Cloud Cost Estimator</t>
        </is>
      </c>
      <c r="D1216" t="inlineStr">
        <is>
          <t>Multicloud</t>
        </is>
      </c>
      <c r="E1216" t="inlineStr">
        <is>
          <t>M1</t>
        </is>
      </c>
      <c r="F1216" t="inlineStr">
        <is>
          <t>¿Consolida al menos dos proveedores bajo el mismo esquema declarado?</t>
        </is>
      </c>
      <c r="G1216" t="inlineStr">
        <is>
          <t>NA</t>
        </is>
      </c>
      <c r="H1216" t="inlineStr">
        <is>
          <t>Justificacion de alcance</t>
        </is>
      </c>
      <c r="I1216"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1216" t="inlineStr">
        <is>
          <t>https://cloud.ibm.com/docs/account?topic=account-cost</t>
        </is>
      </c>
      <c r="K1216" t="inlineStr">
        <is>
          <t>2026-09-16</t>
        </is>
      </c>
      <c r="L1216"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1217">
      <c r="A1217" t="inlineStr">
        <is>
          <t>E2</t>
        </is>
      </c>
      <c r="B1217" t="inlineStr">
        <is>
          <t>Cloud nativa</t>
        </is>
      </c>
      <c r="C1217" t="inlineStr">
        <is>
          <t>IBM Cloud Cost Estimator</t>
        </is>
      </c>
      <c r="D1217" t="inlineStr">
        <is>
          <t>Multicloud</t>
        </is>
      </c>
      <c r="E1217" t="inlineStr">
        <is>
          <t>M2</t>
        </is>
      </c>
      <c r="F1217" t="inlineStr">
        <is>
          <t>¿Hace visibles proveedor, cobertura y diferencias semánticas?</t>
        </is>
      </c>
      <c r="G1217" t="inlineStr">
        <is>
          <t>NA</t>
        </is>
      </c>
      <c r="H1217" t="inlineStr">
        <is>
          <t>Justificacion de alcance</t>
        </is>
      </c>
      <c r="I1217" t="inlineStr">
        <is>
          <t>Alcance declarado por el escenario: FP-177 §4 admite a las herramientas cloud nativas en E2 «para la parte de su proveedor», de modo que el escenario no les exige consolidar costos de otros proveedores. El indicador no tiene objeto para esta categoría bajo la unidad de análisis de E2, por lo que corresponde NA y no un 0 de ausencia verificada.</t>
        </is>
      </c>
      <c r="J1217" t="inlineStr">
        <is>
          <t>https://cloud.ibm.com/docs/account?topic=account-cost</t>
        </is>
      </c>
      <c r="K1217" t="inlineStr">
        <is>
          <t>2026-09-16</t>
        </is>
      </c>
      <c r="L1217"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Condición de elegibilidad FP-177 §4 aplicada (2026-09-17): el valor pasa de 0 a NA. Este NA lo declara el escenario, no el evaluador: E2 admite a las nativas solo para la parte de su proveedor. Antes de esta corrección, las siete herramientas nativas figuraban incumpliendo Multicloud, que es criterio crítico de E2, por no hacer algo que el escenario no les pide.</t>
        </is>
      </c>
    </row>
    <row r="1218">
      <c r="A1218" t="inlineStr">
        <is>
          <t>E2</t>
        </is>
      </c>
      <c r="B1218" t="inlineStr">
        <is>
          <t>Cloud nativa</t>
        </is>
      </c>
      <c r="C1218" t="inlineStr">
        <is>
          <t>IBM Cloud Cost Estimator</t>
        </is>
      </c>
      <c r="D1218" t="inlineStr">
        <is>
          <t>Integracion</t>
        </is>
      </c>
      <c r="E1218" t="inlineStr">
        <is>
          <t>I1</t>
        </is>
      </c>
      <c r="F1218" t="inlineStr">
        <is>
          <t>¿Integra datos requeridos (facturación, uso, clúster o IaC) del escenario?</t>
        </is>
      </c>
      <c r="G1218" t="inlineStr">
        <is>
          <t>NE</t>
        </is>
      </c>
      <c r="H1218" t="inlineStr">
        <is>
          <t>Pendiente</t>
        </is>
      </c>
      <c r="I1218" t="inlineStr">
        <is>
          <t>Pendiente de investigacion propia del escenario: el indicador depende del escenario y la evidencia recogida corresponde al escenario ancla del producto.</t>
        </is>
      </c>
      <c r="L1218"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19">
      <c r="A1219" t="inlineStr">
        <is>
          <t>E2</t>
        </is>
      </c>
      <c r="B1219" t="inlineStr">
        <is>
          <t>Cloud nativa</t>
        </is>
      </c>
      <c r="C1219" t="inlineStr">
        <is>
          <t>IBM Cloud Cost Estimator</t>
        </is>
      </c>
      <c r="D1219" t="inlineStr">
        <is>
          <t>Integracion</t>
        </is>
      </c>
      <c r="E1219" t="inlineStr">
        <is>
          <t>I2</t>
        </is>
      </c>
      <c r="F1219" t="inlineStr">
        <is>
          <t>¿Se integra con el flujo de trabajo relevante (alerta, ticket, CI/CD o reporte)?</t>
        </is>
      </c>
      <c r="G1219" t="inlineStr">
        <is>
          <t>NE</t>
        </is>
      </c>
      <c r="H1219" t="inlineStr">
        <is>
          <t>Pendiente</t>
        </is>
      </c>
      <c r="I1219" t="inlineStr">
        <is>
          <t>Pendiente de investigacion propia del escenario: el indicador depende del escenario y la evidencia recogida corresponde al escenario ancla del producto.</t>
        </is>
      </c>
      <c r="L1219"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20">
      <c r="A1220" t="inlineStr">
        <is>
          <t>E2</t>
        </is>
      </c>
      <c r="B1220" t="inlineStr">
        <is>
          <t>Cloud nativa</t>
        </is>
      </c>
      <c r="C1220" t="inlineStr">
        <is>
          <t>IBM Cloud Cost Estimator</t>
        </is>
      </c>
      <c r="D1220" t="inlineStr">
        <is>
          <t>Adopcion</t>
        </is>
      </c>
      <c r="E1220" t="inlineStr">
        <is>
          <t>AD1</t>
        </is>
      </c>
      <c r="F1220" t="inlineStr">
        <is>
          <t>¿Soporta acceso/entrega para los roles del escenario?</t>
        </is>
      </c>
      <c r="G1220" t="inlineStr">
        <is>
          <t>NE</t>
        </is>
      </c>
      <c r="H1220" t="inlineStr">
        <is>
          <t>Pendiente</t>
        </is>
      </c>
      <c r="I1220" t="inlineStr">
        <is>
          <t>Pendiente de investigacion propia del escenario: el indicador depende del escenario y la evidencia recogida corresponde al escenario ancla del producto.</t>
        </is>
      </c>
      <c r="L1220"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21">
      <c r="A1221" t="inlineStr">
        <is>
          <t>E2</t>
        </is>
      </c>
      <c r="B1221" t="inlineStr">
        <is>
          <t>Cloud nativa</t>
        </is>
      </c>
      <c r="C1221" t="inlineStr">
        <is>
          <t>IBM Cloud Cost Estimator</t>
        </is>
      </c>
      <c r="D1221" t="inlineStr">
        <is>
          <t>Adopcion</t>
        </is>
      </c>
      <c r="E1221" t="inlineStr">
        <is>
          <t>AD2</t>
        </is>
      </c>
      <c r="F1221" t="inlineStr">
        <is>
          <t>¿Ofrece guías, ownership o mecanismos de seguimiento para uso sostenido?</t>
        </is>
      </c>
      <c r="G1221" t="inlineStr">
        <is>
          <t>NE</t>
        </is>
      </c>
      <c r="H1221" t="inlineStr">
        <is>
          <t>Pendiente</t>
        </is>
      </c>
      <c r="I1221" t="inlineStr">
        <is>
          <t>No se encontro guia oficial de habilitacion, ownership o seguimiento de uso sostenido asociada a la herramienta.</t>
        </is>
      </c>
      <c r="L1221"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22">
      <c r="A1222" t="inlineStr">
        <is>
          <t>E2</t>
        </is>
      </c>
      <c r="B1222" t="inlineStr">
        <is>
          <t>Cloud nativa</t>
        </is>
      </c>
      <c r="C1222" t="inlineStr">
        <is>
          <t>IBM Cloud Cost Estimator</t>
        </is>
      </c>
      <c r="D1222" t="inlineStr">
        <is>
          <t>Precio</t>
        </is>
      </c>
      <c r="E1222" t="inlineStr">
        <is>
          <t>P1</t>
        </is>
      </c>
      <c r="F1222" t="inlineStr">
        <is>
          <t>¿Expone precio, moneda, región, unidad, período y supuestos relevantes?</t>
        </is>
      </c>
      <c r="G1222" t="n">
        <v>2</v>
      </c>
      <c r="H1222" t="inlineStr">
        <is>
          <t>Oficial</t>
        </is>
      </c>
      <c r="I1222" t="inlineStr">
        <is>
          <t>Permite configurar plan de precios, uso, moneda y region, y «see how your pricing is determined». Los supuestos estan declarados: la estimacion «does not include all resources, usage, licenses, fees, discounts, or taxes» y esta «subject to change as the architecture is customized».</t>
        </is>
      </c>
      <c r="J1222" t="inlineStr">
        <is>
          <t>https://cloud.ibm.com/docs/secure-enterprise?topic=secure-enterprise-cost-estimate-project</t>
        </is>
      </c>
      <c r="K1222" t="inlineStr">
        <is>
          <t>2026-09-16</t>
        </is>
      </c>
      <c r="L1222"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23">
      <c r="A1223" t="inlineStr">
        <is>
          <t>E2</t>
        </is>
      </c>
      <c r="B1223" t="inlineStr">
        <is>
          <t>Cloud nativa</t>
        </is>
      </c>
      <c r="C1223" t="inlineStr">
        <is>
          <t>IBM Cloud Cost Estimator</t>
        </is>
      </c>
      <c r="D1223" t="inlineStr">
        <is>
          <t>Precio</t>
        </is>
      </c>
      <c r="E1223" t="inlineStr">
        <is>
          <t>P2</t>
        </is>
      </c>
      <c r="F1223" t="inlineStr">
        <is>
          <t>¿Permite estimar o comparar componentes sin ocultar límites de equivalencia?</t>
        </is>
      </c>
      <c r="G1223" t="inlineStr">
        <is>
          <t>NE</t>
        </is>
      </c>
      <c r="H1223" t="inlineStr">
        <is>
          <t>Pendiente</t>
        </is>
      </c>
      <c r="I1223" t="inlineStr">
        <is>
          <t>Pendiente de investigacion propia del escenario: el indicador depende del escenario y la evidencia recogida corresponde al escenario ancla del producto.</t>
        </is>
      </c>
      <c r="L1223"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24">
      <c r="A1224" t="inlineStr">
        <is>
          <t>E2</t>
        </is>
      </c>
      <c r="B1224" t="inlineStr">
        <is>
          <t>Cloud nativa</t>
        </is>
      </c>
      <c r="C1224" t="inlineStr">
        <is>
          <t>IBM Cloud Cost Estimator</t>
        </is>
      </c>
      <c r="D1224" t="inlineStr">
        <is>
          <t>Dependencia</t>
        </is>
      </c>
      <c r="E1224" t="inlineStr">
        <is>
          <t>D1</t>
        </is>
      </c>
      <c r="F1224" t="inlineStr">
        <is>
          <t>¿Exporta datos/resultados en formato utilizable y documentado?</t>
        </is>
      </c>
      <c r="G1224" t="n">
        <v>2</v>
      </c>
      <c r="H1224" t="inlineStr">
        <is>
          <t>Oficial</t>
        </is>
      </c>
      <c r="I1224" t="inlineStr">
        <is>
          <t>Las estimaciones se pueden exportar y descargar como cotizacion desde la herramienta.</t>
        </is>
      </c>
      <c r="J1224" t="inlineStr">
        <is>
          <t>https://cloud.ibm.com/docs/account?topic=account-cost</t>
        </is>
      </c>
      <c r="K1224" t="inlineStr">
        <is>
          <t>2026-09-16</t>
        </is>
      </c>
      <c r="L1224"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25">
      <c r="A1225" t="inlineStr">
        <is>
          <t>E2</t>
        </is>
      </c>
      <c r="B1225" t="inlineStr">
        <is>
          <t>Cloud nativa</t>
        </is>
      </c>
      <c r="C1225" t="inlineStr">
        <is>
          <t>IBM Cloud Cost Estimator</t>
        </is>
      </c>
      <c r="D1225" t="inlineStr">
        <is>
          <t>Dependencia</t>
        </is>
      </c>
      <c r="E1225" t="inlineStr">
        <is>
          <t>D2</t>
        </is>
      </c>
      <c r="F1225" t="inlineStr">
        <is>
          <t>¿Documenta dependencias propietarias y un camino de salida/configuración reversible?</t>
        </is>
      </c>
      <c r="G1225" t="inlineStr">
        <is>
          <t>NE</t>
        </is>
      </c>
      <c r="H1225" t="inlineStr">
        <is>
          <t>Pendiente</t>
        </is>
      </c>
      <c r="I1225" t="inlineStr">
        <is>
          <t>No se encontro documentacion sobre dependencias propietarias ni camino de salida.</t>
        </is>
      </c>
      <c r="L1225"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26">
      <c r="A1226" t="inlineStr">
        <is>
          <t>E3</t>
        </is>
      </c>
      <c r="B1226" t="inlineStr">
        <is>
          <t>Cloud nativa</t>
        </is>
      </c>
      <c r="C1226" t="inlineStr">
        <is>
          <t>IBM Cloud Cost Estimator</t>
        </is>
      </c>
      <c r="D1226" t="inlineStr">
        <is>
          <t>Visibilidad</t>
        </is>
      </c>
      <c r="E1226" t="inlineStr">
        <is>
          <t>V1</t>
        </is>
      </c>
      <c r="F1226" t="inlineStr">
        <is>
          <t>¿Desagrega costo y uso por cuenta/proyecto, servicio y período?</t>
        </is>
      </c>
      <c r="G1226" t="inlineStr">
        <is>
          <t>NE</t>
        </is>
      </c>
      <c r="H1226" t="inlineStr">
        <is>
          <t>Pendiente</t>
        </is>
      </c>
      <c r="I1226" t="inlineStr">
        <is>
          <t>Pendiente de investigacion propia del escenario: el indicador depende del escenario y la evidencia recogida corresponde al escenario ancla del producto.</t>
        </is>
      </c>
      <c r="L1226"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27">
      <c r="A1227" t="inlineStr">
        <is>
          <t>E3</t>
        </is>
      </c>
      <c r="B1227" t="inlineStr">
        <is>
          <t>Cloud nativa</t>
        </is>
      </c>
      <c r="C1227" t="inlineStr">
        <is>
          <t>IBM Cloud Cost Estimator</t>
        </is>
      </c>
      <c r="D1227" t="inlineStr">
        <is>
          <t>Visibilidad</t>
        </is>
      </c>
      <c r="E1227" t="inlineStr">
        <is>
          <t>V2</t>
        </is>
      </c>
      <c r="F1227" t="inlineStr">
        <is>
          <t>¿Permite rastrear un total hasta registros o fuente de facturación?</t>
        </is>
      </c>
      <c r="G1227" t="n">
        <v>0</v>
      </c>
      <c r="H1227" t="inlineStr">
        <is>
          <t>Oficial (ausencia verificada)</t>
        </is>
      </c>
      <c r="I1227" t="inlineStr">
        <is>
          <t>Al operar sobre estimaciones previas al despliegue, no rastrea ni reconcilia contra la facturacion real de una cuenta.</t>
        </is>
      </c>
      <c r="J1227" t="inlineStr">
        <is>
          <t>https://cloud.ibm.com/docs/account?topic=account-cost</t>
        </is>
      </c>
      <c r="K1227" t="inlineStr">
        <is>
          <t>2026-09-16</t>
        </is>
      </c>
      <c r="L1227"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28">
      <c r="A1228" t="inlineStr">
        <is>
          <t>E3</t>
        </is>
      </c>
      <c r="B1228" t="inlineStr">
        <is>
          <t>Cloud nativa</t>
        </is>
      </c>
      <c r="C1228" t="inlineStr">
        <is>
          <t>IBM Cloud Cost Estimator</t>
        </is>
      </c>
      <c r="D1228" t="inlineStr">
        <is>
          <t>Asignacion</t>
        </is>
      </c>
      <c r="E1228" t="inlineStr">
        <is>
          <t>A1</t>
        </is>
      </c>
      <c r="F1228" t="inlineStr">
        <is>
          <t>¿Calcula gasto asignado/no asignado por responsable, centro o entidad?</t>
        </is>
      </c>
      <c r="G1228" t="inlineStr">
        <is>
          <t>NE</t>
        </is>
      </c>
      <c r="H1228" t="inlineStr">
        <is>
          <t>Pendiente</t>
        </is>
      </c>
      <c r="I1228" t="inlineStr">
        <is>
          <t>Pendiente de investigacion propia del escenario: el indicador depende del escenario y la evidencia recogida corresponde al escenario ancla del producto.</t>
        </is>
      </c>
      <c r="L1228"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29">
      <c r="A1229" t="inlineStr">
        <is>
          <t>E3</t>
        </is>
      </c>
      <c r="B1229" t="inlineStr">
        <is>
          <t>Cloud nativa</t>
        </is>
      </c>
      <c r="C1229" t="inlineStr">
        <is>
          <t>IBM Cloud Cost Estimator</t>
        </is>
      </c>
      <c r="D1229" t="inlineStr">
        <is>
          <t>Asignacion</t>
        </is>
      </c>
      <c r="E1229" t="inlineStr">
        <is>
          <t>A2</t>
        </is>
      </c>
      <c r="F1229" t="inlineStr">
        <is>
          <t>¿Explicita y aplica reglas para costo compartido/multi-tenant?</t>
        </is>
      </c>
      <c r="G1229" t="inlineStr">
        <is>
          <t>NE</t>
        </is>
      </c>
      <c r="H1229" t="inlineStr">
        <is>
          <t>Pendiente</t>
        </is>
      </c>
      <c r="I1229" t="inlineStr">
        <is>
          <t>Pendiente de investigacion propia del escenario: el indicador depende del escenario y la evidencia recogida corresponde al escenario ancla del producto.</t>
        </is>
      </c>
      <c r="L1229"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30">
      <c r="A1230" t="inlineStr">
        <is>
          <t>E3</t>
        </is>
      </c>
      <c r="B1230" t="inlineStr">
        <is>
          <t>Cloud nativa</t>
        </is>
      </c>
      <c r="C1230" t="inlineStr">
        <is>
          <t>IBM Cloud Cost Estimator</t>
        </is>
      </c>
      <c r="D1230" t="inlineStr">
        <is>
          <t>Optimizacion</t>
        </is>
      </c>
      <c r="E1230" t="inlineStr">
        <is>
          <t>O1</t>
        </is>
      </c>
      <c r="F1230" t="inlineStr">
        <is>
          <t>¿Detecta desperdicio, rightsizing o compromiso relevante al escenario?</t>
        </is>
      </c>
      <c r="G1230" t="inlineStr">
        <is>
          <t>NE</t>
        </is>
      </c>
      <c r="H1230" t="inlineStr">
        <is>
          <t>Pendiente</t>
        </is>
      </c>
      <c r="I1230" t="inlineStr">
        <is>
          <t>Pendiente de investigacion propia del escenario: el indicador depende del escenario y la evidencia recogida corresponde al escenario ancla del producto.</t>
        </is>
      </c>
      <c r="L1230"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31">
      <c r="A1231" t="inlineStr">
        <is>
          <t>E3</t>
        </is>
      </c>
      <c r="B1231" t="inlineStr">
        <is>
          <t>Cloud nativa</t>
        </is>
      </c>
      <c r="C1231" t="inlineStr">
        <is>
          <t>IBM Cloud Cost Estimator</t>
        </is>
      </c>
      <c r="D1231" t="inlineStr">
        <is>
          <t>Optimizacion</t>
        </is>
      </c>
      <c r="E1231" t="inlineStr">
        <is>
          <t>O2</t>
        </is>
      </c>
      <c r="F1231" t="inlineStr">
        <is>
          <t>¿Explica supuesto/impacto y permite seguir una recomendación?</t>
        </is>
      </c>
      <c r="G1231" t="inlineStr">
        <is>
          <t>NE</t>
        </is>
      </c>
      <c r="H1231" t="inlineStr">
        <is>
          <t>Pendiente</t>
        </is>
      </c>
      <c r="I1231" t="inlineStr">
        <is>
          <t>No se encontro documentacion de explicacion de impacto ni seguimiento de una recomendacion de optimizacion.</t>
        </is>
      </c>
      <c r="L1231"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32">
      <c r="A1232" t="inlineStr">
        <is>
          <t>E3</t>
        </is>
      </c>
      <c r="B1232" t="inlineStr">
        <is>
          <t>Cloud nativa</t>
        </is>
      </c>
      <c r="C1232" t="inlineStr">
        <is>
          <t>IBM Cloud Cost Estimator</t>
        </is>
      </c>
      <c r="D1232" t="inlineStr">
        <is>
          <t>Automatizacion</t>
        </is>
      </c>
      <c r="E1232" t="inlineStr">
        <is>
          <t>AU1</t>
        </is>
      </c>
      <c r="F1232" t="inlineStr">
        <is>
          <t>¿Ejecuta o bloquea acciones/políticas de costo con control verificable?</t>
        </is>
      </c>
      <c r="G1232" t="inlineStr">
        <is>
          <t>NE</t>
        </is>
      </c>
      <c r="H1232" t="inlineStr">
        <is>
          <t>Pendiente</t>
        </is>
      </c>
      <c r="I1232" t="inlineStr">
        <is>
          <t>Pendiente de investigacion propia del escenario: el indicador depende del escenario y la evidencia recogida corresponde al escenario ancla del producto.</t>
        </is>
      </c>
      <c r="L1232"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33">
      <c r="A1233" t="inlineStr">
        <is>
          <t>E3</t>
        </is>
      </c>
      <c r="B1233" t="inlineStr">
        <is>
          <t>Cloud nativa</t>
        </is>
      </c>
      <c r="C1233" t="inlineStr">
        <is>
          <t>IBM Cloud Cost Estimator</t>
        </is>
      </c>
      <c r="D1233" t="inlineStr">
        <is>
          <t>Automatizacion</t>
        </is>
      </c>
      <c r="E1233" t="inlineStr">
        <is>
          <t>AU2</t>
        </is>
      </c>
      <c r="F1233" t="inlineStr">
        <is>
          <t>¿Ofrece aprobación, reversión, registro o límites antes de actuar?</t>
        </is>
      </c>
      <c r="G1233" t="inlineStr">
        <is>
          <t>NA</t>
        </is>
      </c>
      <c r="H1233" t="inlineStr">
        <is>
          <t>Justificacion de alcance</t>
        </is>
      </c>
      <c r="I1233" t="inlineStr">
        <is>
          <t>Al no ejecutar acciones (ver AU1), no aplica evaluar salvaguardas de una ejecucion automatizada.</t>
        </is>
      </c>
      <c r="L1233"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34">
      <c r="A1234" t="inlineStr">
        <is>
          <t>E3</t>
        </is>
      </c>
      <c r="B1234" t="inlineStr">
        <is>
          <t>Cloud nativa</t>
        </is>
      </c>
      <c r="C1234" t="inlineStr">
        <is>
          <t>IBM Cloud Cost Estimator</t>
        </is>
      </c>
      <c r="D1234" t="inlineStr">
        <is>
          <t>Multicloud</t>
        </is>
      </c>
      <c r="E1234" t="inlineStr">
        <is>
          <t>M1</t>
        </is>
      </c>
      <c r="F1234" t="inlineStr">
        <is>
          <t>¿Consolida al menos dos proveedores bajo el mismo esquema declarado?</t>
        </is>
      </c>
      <c r="G1234" t="n">
        <v>0</v>
      </c>
      <c r="H1234" t="inlineStr">
        <is>
          <t>Oficial (ausencia verificada)</t>
        </is>
      </c>
      <c r="I1234" t="inlineStr">
        <is>
          <t>Estima exclusivamente productos del catalogo de IBM Cloud; no consolida costos de otros proveedores.</t>
        </is>
      </c>
      <c r="J1234" t="inlineStr">
        <is>
          <t>https://cloud.ibm.com/docs/account?topic=account-cost</t>
        </is>
      </c>
      <c r="K1234" t="inlineStr">
        <is>
          <t>2026-09-16</t>
        </is>
      </c>
      <c r="L1234"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35">
      <c r="A1235" t="inlineStr">
        <is>
          <t>E3</t>
        </is>
      </c>
      <c r="B1235" t="inlineStr">
        <is>
          <t>Cloud nativa</t>
        </is>
      </c>
      <c r="C1235" t="inlineStr">
        <is>
          <t>IBM Cloud Cost Estimator</t>
        </is>
      </c>
      <c r="D1235" t="inlineStr">
        <is>
          <t>Multicloud</t>
        </is>
      </c>
      <c r="E1235" t="inlineStr">
        <is>
          <t>M2</t>
        </is>
      </c>
      <c r="F1235" t="inlineStr">
        <is>
          <t>¿Hace visibles proveedor, cobertura y diferencias semánticas?</t>
        </is>
      </c>
      <c r="G1235" t="n">
        <v>0</v>
      </c>
      <c r="H1235" t="inlineStr">
        <is>
          <t>Oficial (ausencia verificada)</t>
        </is>
      </c>
      <c r="I1235" t="inlineStr">
        <is>
          <t>Mismo alcance de diseno que M1.</t>
        </is>
      </c>
      <c r="J1235" t="inlineStr">
        <is>
          <t>https://cloud.ibm.com/docs/account?topic=account-cost</t>
        </is>
      </c>
      <c r="K1235" t="inlineStr">
        <is>
          <t>2026-09-16</t>
        </is>
      </c>
      <c r="L1235"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36">
      <c r="A1236" t="inlineStr">
        <is>
          <t>E3</t>
        </is>
      </c>
      <c r="B1236" t="inlineStr">
        <is>
          <t>Cloud nativa</t>
        </is>
      </c>
      <c r="C1236" t="inlineStr">
        <is>
          <t>IBM Cloud Cost Estimator</t>
        </is>
      </c>
      <c r="D1236" t="inlineStr">
        <is>
          <t>Integracion</t>
        </is>
      </c>
      <c r="E1236" t="inlineStr">
        <is>
          <t>I1</t>
        </is>
      </c>
      <c r="F1236" t="inlineStr">
        <is>
          <t>¿Integra datos requeridos (facturación, uso, clúster o IaC) del escenario?</t>
        </is>
      </c>
      <c r="G1236" t="inlineStr">
        <is>
          <t>NE</t>
        </is>
      </c>
      <c r="H1236" t="inlineStr">
        <is>
          <t>Pendiente</t>
        </is>
      </c>
      <c r="I1236" t="inlineStr">
        <is>
          <t>Pendiente de investigacion propia del escenario: el indicador depende del escenario y la evidencia recogida corresponde al escenario ancla del producto.</t>
        </is>
      </c>
      <c r="L1236"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37">
      <c r="A1237" t="inlineStr">
        <is>
          <t>E3</t>
        </is>
      </c>
      <c r="B1237" t="inlineStr">
        <is>
          <t>Cloud nativa</t>
        </is>
      </c>
      <c r="C1237" t="inlineStr">
        <is>
          <t>IBM Cloud Cost Estimator</t>
        </is>
      </c>
      <c r="D1237" t="inlineStr">
        <is>
          <t>Integracion</t>
        </is>
      </c>
      <c r="E1237" t="inlineStr">
        <is>
          <t>I2</t>
        </is>
      </c>
      <c r="F1237" t="inlineStr">
        <is>
          <t>¿Se integra con el flujo de trabajo relevante (alerta, ticket, CI/CD o reporte)?</t>
        </is>
      </c>
      <c r="G1237" t="inlineStr">
        <is>
          <t>NE</t>
        </is>
      </c>
      <c r="H1237" t="inlineStr">
        <is>
          <t>Pendiente</t>
        </is>
      </c>
      <c r="I1237" t="inlineStr">
        <is>
          <t>Pendiente de investigacion propia del escenario: el indicador depende del escenario y la evidencia recogida corresponde al escenario ancla del producto.</t>
        </is>
      </c>
      <c r="L1237"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38">
      <c r="A1238" t="inlineStr">
        <is>
          <t>E3</t>
        </is>
      </c>
      <c r="B1238" t="inlineStr">
        <is>
          <t>Cloud nativa</t>
        </is>
      </c>
      <c r="C1238" t="inlineStr">
        <is>
          <t>IBM Cloud Cost Estimator</t>
        </is>
      </c>
      <c r="D1238" t="inlineStr">
        <is>
          <t>Adopcion</t>
        </is>
      </c>
      <c r="E1238" t="inlineStr">
        <is>
          <t>AD1</t>
        </is>
      </c>
      <c r="F1238" t="inlineStr">
        <is>
          <t>¿Soporta acceso/entrega para los roles del escenario?</t>
        </is>
      </c>
      <c r="G1238" t="inlineStr">
        <is>
          <t>NE</t>
        </is>
      </c>
      <c r="H1238" t="inlineStr">
        <is>
          <t>Pendiente</t>
        </is>
      </c>
      <c r="I1238" t="inlineStr">
        <is>
          <t>Pendiente de investigacion propia del escenario: el indicador depende del escenario y la evidencia recogida corresponde al escenario ancla del producto.</t>
        </is>
      </c>
      <c r="L1238"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39">
      <c r="A1239" t="inlineStr">
        <is>
          <t>E3</t>
        </is>
      </c>
      <c r="B1239" t="inlineStr">
        <is>
          <t>Cloud nativa</t>
        </is>
      </c>
      <c r="C1239" t="inlineStr">
        <is>
          <t>IBM Cloud Cost Estimator</t>
        </is>
      </c>
      <c r="D1239" t="inlineStr">
        <is>
          <t>Adopcion</t>
        </is>
      </c>
      <c r="E1239" t="inlineStr">
        <is>
          <t>AD2</t>
        </is>
      </c>
      <c r="F1239" t="inlineStr">
        <is>
          <t>¿Ofrece guías, ownership o mecanismos de seguimiento para uso sostenido?</t>
        </is>
      </c>
      <c r="G1239" t="inlineStr">
        <is>
          <t>NE</t>
        </is>
      </c>
      <c r="H1239" t="inlineStr">
        <is>
          <t>Pendiente</t>
        </is>
      </c>
      <c r="I1239" t="inlineStr">
        <is>
          <t>No se encontro guia oficial de habilitacion, ownership o seguimiento de uso sostenido asociada a la herramienta.</t>
        </is>
      </c>
      <c r="L1239"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40">
      <c r="A1240" t="inlineStr">
        <is>
          <t>E3</t>
        </is>
      </c>
      <c r="B1240" t="inlineStr">
        <is>
          <t>Cloud nativa</t>
        </is>
      </c>
      <c r="C1240" t="inlineStr">
        <is>
          <t>IBM Cloud Cost Estimator</t>
        </is>
      </c>
      <c r="D1240" t="inlineStr">
        <is>
          <t>Precio</t>
        </is>
      </c>
      <c r="E1240" t="inlineStr">
        <is>
          <t>P1</t>
        </is>
      </c>
      <c r="F1240" t="inlineStr">
        <is>
          <t>¿Expone precio, moneda, región, unidad, período y supuestos relevantes?</t>
        </is>
      </c>
      <c r="G1240" t="n">
        <v>2</v>
      </c>
      <c r="H1240" t="inlineStr">
        <is>
          <t>Oficial</t>
        </is>
      </c>
      <c r="I1240" t="inlineStr">
        <is>
          <t>Permite configurar plan de precios, uso, moneda y region, y «see how your pricing is determined». Los supuestos estan declarados: la estimacion «does not include all resources, usage, licenses, fees, discounts, or taxes» y esta «subject to change as the architecture is customized».</t>
        </is>
      </c>
      <c r="J1240" t="inlineStr">
        <is>
          <t>https://cloud.ibm.com/docs/secure-enterprise?topic=secure-enterprise-cost-estimate-project</t>
        </is>
      </c>
      <c r="K1240" t="inlineStr">
        <is>
          <t>2026-09-16</t>
        </is>
      </c>
      <c r="L1240"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41">
      <c r="A1241" t="inlineStr">
        <is>
          <t>E3</t>
        </is>
      </c>
      <c r="B1241" t="inlineStr">
        <is>
          <t>Cloud nativa</t>
        </is>
      </c>
      <c r="C1241" t="inlineStr">
        <is>
          <t>IBM Cloud Cost Estimator</t>
        </is>
      </c>
      <c r="D1241" t="inlineStr">
        <is>
          <t>Precio</t>
        </is>
      </c>
      <c r="E1241" t="inlineStr">
        <is>
          <t>P2</t>
        </is>
      </c>
      <c r="F1241" t="inlineStr">
        <is>
          <t>¿Permite estimar o comparar componentes sin ocultar límites de equivalencia?</t>
        </is>
      </c>
      <c r="G1241" t="inlineStr">
        <is>
          <t>NE</t>
        </is>
      </c>
      <c r="H1241" t="inlineStr">
        <is>
          <t>Pendiente</t>
        </is>
      </c>
      <c r="I1241" t="inlineStr">
        <is>
          <t>Pendiente de investigacion propia del escenario: el indicador depende del escenario y la evidencia recogida corresponde al escenario ancla del producto.</t>
        </is>
      </c>
      <c r="L1241"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42">
      <c r="A1242" t="inlineStr">
        <is>
          <t>E3</t>
        </is>
      </c>
      <c r="B1242" t="inlineStr">
        <is>
          <t>Cloud nativa</t>
        </is>
      </c>
      <c r="C1242" t="inlineStr">
        <is>
          <t>IBM Cloud Cost Estimator</t>
        </is>
      </c>
      <c r="D1242" t="inlineStr">
        <is>
          <t>Dependencia</t>
        </is>
      </c>
      <c r="E1242" t="inlineStr">
        <is>
          <t>D1</t>
        </is>
      </c>
      <c r="F1242" t="inlineStr">
        <is>
          <t>¿Exporta datos/resultados en formato utilizable y documentado?</t>
        </is>
      </c>
      <c r="G1242" t="n">
        <v>2</v>
      </c>
      <c r="H1242" t="inlineStr">
        <is>
          <t>Oficial</t>
        </is>
      </c>
      <c r="I1242" t="inlineStr">
        <is>
          <t>Las estimaciones se pueden exportar y descargar como cotizacion desde la herramienta.</t>
        </is>
      </c>
      <c r="J1242" t="inlineStr">
        <is>
          <t>https://cloud.ibm.com/docs/account?topic=account-cost</t>
        </is>
      </c>
      <c r="K1242" t="inlineStr">
        <is>
          <t>2026-09-16</t>
        </is>
      </c>
      <c r="L1242"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43">
      <c r="A1243" t="inlineStr">
        <is>
          <t>E3</t>
        </is>
      </c>
      <c r="B1243" t="inlineStr">
        <is>
          <t>Cloud nativa</t>
        </is>
      </c>
      <c r="C1243" t="inlineStr">
        <is>
          <t>IBM Cloud Cost Estimator</t>
        </is>
      </c>
      <c r="D1243" t="inlineStr">
        <is>
          <t>Dependencia</t>
        </is>
      </c>
      <c r="E1243" t="inlineStr">
        <is>
          <t>D2</t>
        </is>
      </c>
      <c r="F1243" t="inlineStr">
        <is>
          <t>¿Documenta dependencias propietarias y un camino de salida/configuración reversible?</t>
        </is>
      </c>
      <c r="G1243" t="inlineStr">
        <is>
          <t>NE</t>
        </is>
      </c>
      <c r="H1243" t="inlineStr">
        <is>
          <t>Pendiente</t>
        </is>
      </c>
      <c r="I1243" t="inlineStr">
        <is>
          <t>No se encontro documentacion sobre dependencias propietarias ni camino de salida.</t>
        </is>
      </c>
      <c r="L1243"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44">
      <c r="A1244" t="inlineStr">
        <is>
          <t>E5</t>
        </is>
      </c>
      <c r="B1244" t="inlineStr">
        <is>
          <t>Cloud nativa</t>
        </is>
      </c>
      <c r="C1244" t="inlineStr">
        <is>
          <t>IBM Cloud Cost Estimator</t>
        </is>
      </c>
      <c r="D1244" t="inlineStr">
        <is>
          <t>Visibilidad</t>
        </is>
      </c>
      <c r="E1244" t="inlineStr">
        <is>
          <t>V1</t>
        </is>
      </c>
      <c r="F1244" t="inlineStr">
        <is>
          <t>¿Desagrega costo y uso por cuenta/proyecto, servicio y período?</t>
        </is>
      </c>
      <c r="G1244" t="n">
        <v>0</v>
      </c>
      <c r="H1244" t="inlineStr">
        <is>
          <t>Oficial (ausencia verificada)</t>
        </is>
      </c>
      <c r="I1244" t="inlineStr">
        <is>
          <t>Es un calculador de precios para «configure IBM Cloud products and generate reliable cost estimates»; no desglosa costo y uso reales por cuenta, servicio y periodo.</t>
        </is>
      </c>
      <c r="J1244" t="inlineStr">
        <is>
          <t>https://cloud.ibm.com/docs/account?topic=account-cost</t>
        </is>
      </c>
      <c r="K1244" t="inlineStr">
        <is>
          <t>2026-09-16</t>
        </is>
      </c>
      <c r="L1244"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245">
      <c r="A1245" t="inlineStr">
        <is>
          <t>E5</t>
        </is>
      </c>
      <c r="B1245" t="inlineStr">
        <is>
          <t>Cloud nativa</t>
        </is>
      </c>
      <c r="C1245" t="inlineStr">
        <is>
          <t>IBM Cloud Cost Estimator</t>
        </is>
      </c>
      <c r="D1245" t="inlineStr">
        <is>
          <t>Visibilidad</t>
        </is>
      </c>
      <c r="E1245" t="inlineStr">
        <is>
          <t>V2</t>
        </is>
      </c>
      <c r="F1245" t="inlineStr">
        <is>
          <t>¿Permite rastrear un total hasta registros o fuente de facturación?</t>
        </is>
      </c>
      <c r="G1245" t="n">
        <v>0</v>
      </c>
      <c r="H1245" t="inlineStr">
        <is>
          <t>Oficial (ausencia verificada)</t>
        </is>
      </c>
      <c r="I1245" t="inlineStr">
        <is>
          <t>Al operar sobre estimaciones previas al despliegue, no rastrea ni reconcilia contra la facturacion real de una cuenta.</t>
        </is>
      </c>
      <c r="J1245" t="inlineStr">
        <is>
          <t>https://cloud.ibm.com/docs/account?topic=account-cost</t>
        </is>
      </c>
      <c r="K1245" t="inlineStr">
        <is>
          <t>2026-09-16</t>
        </is>
      </c>
      <c r="L1245"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46">
      <c r="A1246" t="inlineStr">
        <is>
          <t>E5</t>
        </is>
      </c>
      <c r="B1246" t="inlineStr">
        <is>
          <t>Cloud nativa</t>
        </is>
      </c>
      <c r="C1246" t="inlineStr">
        <is>
          <t>IBM Cloud Cost Estimator</t>
        </is>
      </c>
      <c r="D1246" t="inlineStr">
        <is>
          <t>Asignacion</t>
        </is>
      </c>
      <c r="E1246" t="inlineStr">
        <is>
          <t>A1</t>
        </is>
      </c>
      <c r="F1246" t="inlineStr">
        <is>
          <t>¿Calcula gasto asignado/no asignado por responsable, centro o entidad?</t>
        </is>
      </c>
      <c r="G1246" t="n">
        <v>0</v>
      </c>
      <c r="H1246" t="inlineStr">
        <is>
          <t>Oficial (ausencia verificada)</t>
        </is>
      </c>
      <c r="I1246" t="inlineStr">
        <is>
          <t>No calcula asignacion de gasto por responsable o centro de costo; entrega una estimacion por configuracion de producto.</t>
        </is>
      </c>
      <c r="J1246" t="inlineStr">
        <is>
          <t>https://cloud.ibm.com/docs/account?topic=account-cost</t>
        </is>
      </c>
      <c r="K1246" t="inlineStr">
        <is>
          <t>2026-09-16</t>
        </is>
      </c>
      <c r="L1246"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247">
      <c r="A1247" t="inlineStr">
        <is>
          <t>E5</t>
        </is>
      </c>
      <c r="B1247" t="inlineStr">
        <is>
          <t>Cloud nativa</t>
        </is>
      </c>
      <c r="C1247" t="inlineStr">
        <is>
          <t>IBM Cloud Cost Estimator</t>
        </is>
      </c>
      <c r="D1247" t="inlineStr">
        <is>
          <t>Asignacion</t>
        </is>
      </c>
      <c r="E1247" t="inlineStr">
        <is>
          <t>A2</t>
        </is>
      </c>
      <c r="F1247" t="inlineStr">
        <is>
          <t>¿Explicita y aplica reglas para costo compartido/multi-tenant?</t>
        </is>
      </c>
      <c r="G1247" t="inlineStr">
        <is>
          <t>NE</t>
        </is>
      </c>
      <c r="H1247" t="inlineStr">
        <is>
          <t>Pendiente</t>
        </is>
      </c>
      <c r="I1247" t="inlineStr">
        <is>
          <t>Pendiente de investigacion propia del escenario: el indicador depende del escenario y la evidencia recogida corresponde al escenario ancla del producto.</t>
        </is>
      </c>
      <c r="L1247"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48">
      <c r="A1248" t="inlineStr">
        <is>
          <t>E5</t>
        </is>
      </c>
      <c r="B1248" t="inlineStr">
        <is>
          <t>Cloud nativa</t>
        </is>
      </c>
      <c r="C1248" t="inlineStr">
        <is>
          <t>IBM Cloud Cost Estimator</t>
        </is>
      </c>
      <c r="D1248" t="inlineStr">
        <is>
          <t>Optimizacion</t>
        </is>
      </c>
      <c r="E1248" t="inlineStr">
        <is>
          <t>O1</t>
        </is>
      </c>
      <c r="F1248" t="inlineStr">
        <is>
          <t>¿Detecta desperdicio, rightsizing o compromiso relevante al escenario?</t>
        </is>
      </c>
      <c r="G1248" t="n">
        <v>1</v>
      </c>
      <c r="H1248" t="inlineStr">
        <is>
          <t>Comercial</t>
        </is>
      </c>
      <c r="I1248" t="inlineStr">
        <is>
          <t>La pagina de producto declara que la herramienta permite «get tips on how to save money». Es evidencia comercial del proveedor, por lo que FP-177 limita el indicador a 1.</t>
        </is>
      </c>
      <c r="J1248" t="inlineStr">
        <is>
          <t>https://www.ibm.com/products/cloud/cloud-calculator</t>
        </is>
      </c>
      <c r="K1248" t="inlineStr">
        <is>
          <t>2026-09-16</t>
        </is>
      </c>
      <c r="L1248"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249">
      <c r="A1249" t="inlineStr">
        <is>
          <t>E5</t>
        </is>
      </c>
      <c r="B1249" t="inlineStr">
        <is>
          <t>Cloud nativa</t>
        </is>
      </c>
      <c r="C1249" t="inlineStr">
        <is>
          <t>IBM Cloud Cost Estimator</t>
        </is>
      </c>
      <c r="D1249" t="inlineStr">
        <is>
          <t>Optimizacion</t>
        </is>
      </c>
      <c r="E1249" t="inlineStr">
        <is>
          <t>O2</t>
        </is>
      </c>
      <c r="F1249" t="inlineStr">
        <is>
          <t>¿Explica supuesto/impacto y permite seguir una recomendación?</t>
        </is>
      </c>
      <c r="G1249" t="inlineStr">
        <is>
          <t>NE</t>
        </is>
      </c>
      <c r="H1249" t="inlineStr">
        <is>
          <t>Pendiente</t>
        </is>
      </c>
      <c r="I1249" t="inlineStr">
        <is>
          <t>No se encontro documentacion de explicacion de impacto ni seguimiento de una recomendacion de optimizacion.</t>
        </is>
      </c>
      <c r="L1249"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50">
      <c r="A1250" t="inlineStr">
        <is>
          <t>E5</t>
        </is>
      </c>
      <c r="B1250" t="inlineStr">
        <is>
          <t>Cloud nativa</t>
        </is>
      </c>
      <c r="C1250" t="inlineStr">
        <is>
          <t>IBM Cloud Cost Estimator</t>
        </is>
      </c>
      <c r="D1250" t="inlineStr">
        <is>
          <t>Automatizacion</t>
        </is>
      </c>
      <c r="E1250" t="inlineStr">
        <is>
          <t>AU1</t>
        </is>
      </c>
      <c r="F1250" t="inlineStr">
        <is>
          <t>¿Ejecuta o bloquea acciones/políticas de costo con control verificable?</t>
        </is>
      </c>
      <c r="G1250" t="n">
        <v>0</v>
      </c>
      <c r="H1250" t="inlineStr">
        <is>
          <t>Oficial (ausencia verificada)</t>
        </is>
      </c>
      <c r="I1250" t="inlineStr">
        <is>
          <t>Es una calculadora de estimacion: no ejecuta ni bloquea acciones o politicas de costo.</t>
        </is>
      </c>
      <c r="J1250" t="inlineStr">
        <is>
          <t>https://cloud.ibm.com/docs/account?topic=account-cost</t>
        </is>
      </c>
      <c r="K1250" t="inlineStr">
        <is>
          <t>2026-09-16</t>
        </is>
      </c>
      <c r="L1250"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251">
      <c r="A1251" t="inlineStr">
        <is>
          <t>E5</t>
        </is>
      </c>
      <c r="B1251" t="inlineStr">
        <is>
          <t>Cloud nativa</t>
        </is>
      </c>
      <c r="C1251" t="inlineStr">
        <is>
          <t>IBM Cloud Cost Estimator</t>
        </is>
      </c>
      <c r="D1251" t="inlineStr">
        <is>
          <t>Automatizacion</t>
        </is>
      </c>
      <c r="E1251" t="inlineStr">
        <is>
          <t>AU2</t>
        </is>
      </c>
      <c r="F1251" t="inlineStr">
        <is>
          <t>¿Ofrece aprobación, reversión, registro o límites antes de actuar?</t>
        </is>
      </c>
      <c r="G1251" t="inlineStr">
        <is>
          <t>NA</t>
        </is>
      </c>
      <c r="H1251" t="inlineStr">
        <is>
          <t>Justificacion de alcance</t>
        </is>
      </c>
      <c r="I1251" t="inlineStr">
        <is>
          <t>Al no ejecutar acciones (ver AU1), no aplica evaluar salvaguardas de una ejecucion automatizada.</t>
        </is>
      </c>
      <c r="L1251"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52">
      <c r="A1252" t="inlineStr">
        <is>
          <t>E5</t>
        </is>
      </c>
      <c r="B1252" t="inlineStr">
        <is>
          <t>Cloud nativa</t>
        </is>
      </c>
      <c r="C1252" t="inlineStr">
        <is>
          <t>IBM Cloud Cost Estimator</t>
        </is>
      </c>
      <c r="D1252" t="inlineStr">
        <is>
          <t>Multicloud</t>
        </is>
      </c>
      <c r="E1252" t="inlineStr">
        <is>
          <t>M1</t>
        </is>
      </c>
      <c r="F1252" t="inlineStr">
        <is>
          <t>¿Consolida al menos dos proveedores bajo el mismo esquema declarado?</t>
        </is>
      </c>
      <c r="G1252" t="n">
        <v>0</v>
      </c>
      <c r="H1252" t="inlineStr">
        <is>
          <t>Oficial (ausencia verificada)</t>
        </is>
      </c>
      <c r="I1252" t="inlineStr">
        <is>
          <t>Estima exclusivamente productos del catalogo de IBM Cloud; no consolida costos de otros proveedores.</t>
        </is>
      </c>
      <c r="J1252" t="inlineStr">
        <is>
          <t>https://cloud.ibm.com/docs/account?topic=account-cost</t>
        </is>
      </c>
      <c r="K1252" t="inlineStr">
        <is>
          <t>2026-09-16</t>
        </is>
      </c>
      <c r="L1252"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53">
      <c r="A1253" t="inlineStr">
        <is>
          <t>E5</t>
        </is>
      </c>
      <c r="B1253" t="inlineStr">
        <is>
          <t>Cloud nativa</t>
        </is>
      </c>
      <c r="C1253" t="inlineStr">
        <is>
          <t>IBM Cloud Cost Estimator</t>
        </is>
      </c>
      <c r="D1253" t="inlineStr">
        <is>
          <t>Multicloud</t>
        </is>
      </c>
      <c r="E1253" t="inlineStr">
        <is>
          <t>M2</t>
        </is>
      </c>
      <c r="F1253" t="inlineStr">
        <is>
          <t>¿Hace visibles proveedor, cobertura y diferencias semánticas?</t>
        </is>
      </c>
      <c r="G1253" t="n">
        <v>0</v>
      </c>
      <c r="H1253" t="inlineStr">
        <is>
          <t>Oficial (ausencia verificada)</t>
        </is>
      </c>
      <c r="I1253" t="inlineStr">
        <is>
          <t>Mismo alcance de diseno que M1.</t>
        </is>
      </c>
      <c r="J1253" t="inlineStr">
        <is>
          <t>https://cloud.ibm.com/docs/account?topic=account-cost</t>
        </is>
      </c>
      <c r="K1253" t="inlineStr">
        <is>
          <t>2026-09-16</t>
        </is>
      </c>
      <c r="L1253"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54">
      <c r="A1254" t="inlineStr">
        <is>
          <t>E5</t>
        </is>
      </c>
      <c r="B1254" t="inlineStr">
        <is>
          <t>Cloud nativa</t>
        </is>
      </c>
      <c r="C1254" t="inlineStr">
        <is>
          <t>IBM Cloud Cost Estimator</t>
        </is>
      </c>
      <c r="D1254" t="inlineStr">
        <is>
          <t>Integracion</t>
        </is>
      </c>
      <c r="E1254" t="inlineStr">
        <is>
          <t>I1</t>
        </is>
      </c>
      <c r="F1254" t="inlineStr">
        <is>
          <t>¿Integra datos requeridos (facturación, uso, clúster o IaC) del escenario?</t>
        </is>
      </c>
      <c r="G1254" t="n">
        <v>2</v>
      </c>
      <c r="H1254" t="inlineStr">
        <is>
          <t>Oficial</t>
        </is>
      </c>
      <c r="I1254" t="inlineStr">
        <is>
          <t>La estimacion se integra al flujo de proyectos y arquitecturas desplegables: «After saving, the validation checks are run and a new cost estimate is computed», tomando los parametros configurados del proyecto.</t>
        </is>
      </c>
      <c r="J1254" t="inlineStr">
        <is>
          <t>https://cloud.ibm.com/docs/secure-enterprise?topic=secure-enterprise-cost-estimate-project</t>
        </is>
      </c>
      <c r="K1254" t="inlineStr">
        <is>
          <t>2026-09-16</t>
        </is>
      </c>
      <c r="L1254"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255">
      <c r="A1255" t="inlineStr">
        <is>
          <t>E5</t>
        </is>
      </c>
      <c r="B1255" t="inlineStr">
        <is>
          <t>Cloud nativa</t>
        </is>
      </c>
      <c r="C1255" t="inlineStr">
        <is>
          <t>IBM Cloud Cost Estimator</t>
        </is>
      </c>
      <c r="D1255" t="inlineStr">
        <is>
          <t>Integracion</t>
        </is>
      </c>
      <c r="E1255" t="inlineStr">
        <is>
          <t>I2</t>
        </is>
      </c>
      <c r="F1255" t="inlineStr">
        <is>
          <t>¿Se integra con el flujo de trabajo relevante (alerta, ticket, CI/CD o reporte)?</t>
        </is>
      </c>
      <c r="G1255" t="n">
        <v>2</v>
      </c>
      <c r="H1255" t="inlineStr">
        <is>
          <t>Oficial</t>
        </is>
      </c>
      <c r="I1255" t="inlineStr">
        <is>
          <t>El costo estimado forma parte del paso de validacion previo al despliegue, presentado en el «validation modal» bajo la seccion «Cost estimate successful», de modo que queda incorporado al flujo de revision del proyecto.</t>
        </is>
      </c>
      <c r="J1255" t="inlineStr">
        <is>
          <t>https://cloud.ibm.com/docs/secure-enterprise?topic=secure-enterprise-cost-estimate-project</t>
        </is>
      </c>
      <c r="K1255" t="inlineStr">
        <is>
          <t>2026-09-16</t>
        </is>
      </c>
      <c r="L1255"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256">
      <c r="A1256" t="inlineStr">
        <is>
          <t>E5</t>
        </is>
      </c>
      <c r="B1256" t="inlineStr">
        <is>
          <t>Cloud nativa</t>
        </is>
      </c>
      <c r="C1256" t="inlineStr">
        <is>
          <t>IBM Cloud Cost Estimator</t>
        </is>
      </c>
      <c r="D1256" t="inlineStr">
        <is>
          <t>Adopcion</t>
        </is>
      </c>
      <c r="E1256" t="inlineStr">
        <is>
          <t>AD1</t>
        </is>
      </c>
      <c r="F1256" t="inlineStr">
        <is>
          <t>¿Soporta acceso/entrega para los roles del escenario?</t>
        </is>
      </c>
      <c r="G1256" t="inlineStr">
        <is>
          <t>NE</t>
        </is>
      </c>
      <c r="H1256" t="inlineStr">
        <is>
          <t>Pendiente</t>
        </is>
      </c>
      <c r="I1256" t="inlineStr">
        <is>
          <t>Pendiente de investigacion propia del escenario: el indicador depende del escenario y la evidencia recogida corresponde al escenario ancla del producto.</t>
        </is>
      </c>
      <c r="L1256"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57">
      <c r="A1257" t="inlineStr">
        <is>
          <t>E5</t>
        </is>
      </c>
      <c r="B1257" t="inlineStr">
        <is>
          <t>Cloud nativa</t>
        </is>
      </c>
      <c r="C1257" t="inlineStr">
        <is>
          <t>IBM Cloud Cost Estimator</t>
        </is>
      </c>
      <c r="D1257" t="inlineStr">
        <is>
          <t>Adopcion</t>
        </is>
      </c>
      <c r="E1257" t="inlineStr">
        <is>
          <t>AD2</t>
        </is>
      </c>
      <c r="F1257" t="inlineStr">
        <is>
          <t>¿Ofrece guías, ownership o mecanismos de seguimiento para uso sostenido?</t>
        </is>
      </c>
      <c r="G1257" t="inlineStr">
        <is>
          <t>NE</t>
        </is>
      </c>
      <c r="H1257" t="inlineStr">
        <is>
          <t>Pendiente</t>
        </is>
      </c>
      <c r="I1257" t="inlineStr">
        <is>
          <t>No se encontro guia oficial de habilitacion, ownership o seguimiento de uso sostenido asociada a la herramienta.</t>
        </is>
      </c>
      <c r="L1257"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58">
      <c r="A1258" t="inlineStr">
        <is>
          <t>E5</t>
        </is>
      </c>
      <c r="B1258" t="inlineStr">
        <is>
          <t>Cloud nativa</t>
        </is>
      </c>
      <c r="C1258" t="inlineStr">
        <is>
          <t>IBM Cloud Cost Estimator</t>
        </is>
      </c>
      <c r="D1258" t="inlineStr">
        <is>
          <t>Precio</t>
        </is>
      </c>
      <c r="E1258" t="inlineStr">
        <is>
          <t>P1</t>
        </is>
      </c>
      <c r="F1258" t="inlineStr">
        <is>
          <t>¿Expone precio, moneda, región, unidad, período y supuestos relevantes?</t>
        </is>
      </c>
      <c r="G1258" t="n">
        <v>2</v>
      </c>
      <c r="H1258" t="inlineStr">
        <is>
          <t>Oficial</t>
        </is>
      </c>
      <c r="I1258" t="inlineStr">
        <is>
          <t>Permite configurar plan de precios, uso, moneda y region, y «see how your pricing is determined». Los supuestos estan declarados: la estimacion «does not include all resources, usage, licenses, fees, discounts, or taxes» y esta «subject to change as the architecture is customized».</t>
        </is>
      </c>
      <c r="J1258" t="inlineStr">
        <is>
          <t>https://cloud.ibm.com/docs/secure-enterprise?topic=secure-enterprise-cost-estimate-project</t>
        </is>
      </c>
      <c r="K1258" t="inlineStr">
        <is>
          <t>2026-09-16</t>
        </is>
      </c>
      <c r="L1258"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59">
      <c r="A1259" t="inlineStr">
        <is>
          <t>E5</t>
        </is>
      </c>
      <c r="B1259" t="inlineStr">
        <is>
          <t>Cloud nativa</t>
        </is>
      </c>
      <c r="C1259" t="inlineStr">
        <is>
          <t>IBM Cloud Cost Estimator</t>
        </is>
      </c>
      <c r="D1259" t="inlineStr">
        <is>
          <t>Precio</t>
        </is>
      </c>
      <c r="E1259" t="inlineStr">
        <is>
          <t>P2</t>
        </is>
      </c>
      <c r="F1259" t="inlineStr">
        <is>
          <t>¿Permite estimar o comparar componentes sin ocultar límites de equivalencia?</t>
        </is>
      </c>
      <c r="G1259" t="n">
        <v>2</v>
      </c>
      <c r="H1259" t="inlineStr">
        <is>
          <t>Oficial</t>
        </is>
      </c>
      <c r="I1259" t="inlineStr">
        <is>
          <t>La documentacion describe la comparacion de configuraciones alternativas antes de decidir, con el detalle de como se determina cada precio.</t>
        </is>
      </c>
      <c r="J1259" t="inlineStr">
        <is>
          <t>https://cloud.ibm.com/docs/account?topic=account-cost</t>
        </is>
      </c>
      <c r="K1259" t="inlineStr">
        <is>
          <t>2026-09-16</t>
        </is>
      </c>
      <c r="L1259"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260">
      <c r="A1260" t="inlineStr">
        <is>
          <t>E5</t>
        </is>
      </c>
      <c r="B1260" t="inlineStr">
        <is>
          <t>Cloud nativa</t>
        </is>
      </c>
      <c r="C1260" t="inlineStr">
        <is>
          <t>IBM Cloud Cost Estimator</t>
        </is>
      </c>
      <c r="D1260" t="inlineStr">
        <is>
          <t>Dependencia</t>
        </is>
      </c>
      <c r="E1260" t="inlineStr">
        <is>
          <t>D1</t>
        </is>
      </c>
      <c r="F1260" t="inlineStr">
        <is>
          <t>¿Exporta datos/resultados en formato utilizable y documentado?</t>
        </is>
      </c>
      <c r="G1260" t="n">
        <v>2</v>
      </c>
      <c r="H1260" t="inlineStr">
        <is>
          <t>Oficial</t>
        </is>
      </c>
      <c r="I1260" t="inlineStr">
        <is>
          <t>Las estimaciones se pueden exportar y descargar como cotizacion desde la herramienta.</t>
        </is>
      </c>
      <c r="J1260" t="inlineStr">
        <is>
          <t>https://cloud.ibm.com/docs/account?topic=account-cost</t>
        </is>
      </c>
      <c r="K1260" t="inlineStr">
        <is>
          <t>2026-09-16</t>
        </is>
      </c>
      <c r="L1260"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61">
      <c r="A1261" t="inlineStr">
        <is>
          <t>E5</t>
        </is>
      </c>
      <c r="B1261" t="inlineStr">
        <is>
          <t>Cloud nativa</t>
        </is>
      </c>
      <c r="C1261" t="inlineStr">
        <is>
          <t>IBM Cloud Cost Estimator</t>
        </is>
      </c>
      <c r="D1261" t="inlineStr">
        <is>
          <t>Dependencia</t>
        </is>
      </c>
      <c r="E1261" t="inlineStr">
        <is>
          <t>D2</t>
        </is>
      </c>
      <c r="F1261" t="inlineStr">
        <is>
          <t>¿Documenta dependencias propietarias y un camino de salida/configuración reversible?</t>
        </is>
      </c>
      <c r="G1261" t="inlineStr">
        <is>
          <t>NE</t>
        </is>
      </c>
      <c r="H1261" t="inlineStr">
        <is>
          <t>Pendiente</t>
        </is>
      </c>
      <c r="I1261" t="inlineStr">
        <is>
          <t>No se encontro documentacion sobre dependencias propietarias ni camino de salida.</t>
        </is>
      </c>
      <c r="L1261"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62">
      <c r="A1262" t="inlineStr">
        <is>
          <t>E6</t>
        </is>
      </c>
      <c r="B1262" t="inlineStr">
        <is>
          <t>Cloud nativa</t>
        </is>
      </c>
      <c r="C1262" t="inlineStr">
        <is>
          <t>IBM Cloud Cost Estimator</t>
        </is>
      </c>
      <c r="D1262" t="inlineStr">
        <is>
          <t>Visibilidad</t>
        </is>
      </c>
      <c r="E1262" t="inlineStr">
        <is>
          <t>V1</t>
        </is>
      </c>
      <c r="F1262" t="inlineStr">
        <is>
          <t>¿Desagrega costo y uso por cuenta/proyecto, servicio y período?</t>
        </is>
      </c>
      <c r="G1262" t="inlineStr">
        <is>
          <t>NE</t>
        </is>
      </c>
      <c r="H1262" t="inlineStr">
        <is>
          <t>Pendiente</t>
        </is>
      </c>
      <c r="I1262" t="inlineStr">
        <is>
          <t>Pendiente de investigacion propia del escenario: el indicador depende del escenario y la evidencia recogida corresponde al escenario ancla del producto.</t>
        </is>
      </c>
      <c r="L1262"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63">
      <c r="A1263" t="inlineStr">
        <is>
          <t>E6</t>
        </is>
      </c>
      <c r="B1263" t="inlineStr">
        <is>
          <t>Cloud nativa</t>
        </is>
      </c>
      <c r="C1263" t="inlineStr">
        <is>
          <t>IBM Cloud Cost Estimator</t>
        </is>
      </c>
      <c r="D1263" t="inlineStr">
        <is>
          <t>Visibilidad</t>
        </is>
      </c>
      <c r="E1263" t="inlineStr">
        <is>
          <t>V2</t>
        </is>
      </c>
      <c r="F1263" t="inlineStr">
        <is>
          <t>¿Permite rastrear un total hasta registros o fuente de facturación?</t>
        </is>
      </c>
      <c r="G1263" t="n">
        <v>0</v>
      </c>
      <c r="H1263" t="inlineStr">
        <is>
          <t>Oficial (ausencia verificada)</t>
        </is>
      </c>
      <c r="I1263" t="inlineStr">
        <is>
          <t>Al operar sobre estimaciones previas al despliegue, no rastrea ni reconcilia contra la facturacion real de una cuenta.</t>
        </is>
      </c>
      <c r="J1263" t="inlineStr">
        <is>
          <t>https://cloud.ibm.com/docs/account?topic=account-cost</t>
        </is>
      </c>
      <c r="K1263" t="inlineStr">
        <is>
          <t>2026-09-16</t>
        </is>
      </c>
      <c r="L1263"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64">
      <c r="A1264" t="inlineStr">
        <is>
          <t>E6</t>
        </is>
      </c>
      <c r="B1264" t="inlineStr">
        <is>
          <t>Cloud nativa</t>
        </is>
      </c>
      <c r="C1264" t="inlineStr">
        <is>
          <t>IBM Cloud Cost Estimator</t>
        </is>
      </c>
      <c r="D1264" t="inlineStr">
        <is>
          <t>Asignacion</t>
        </is>
      </c>
      <c r="E1264" t="inlineStr">
        <is>
          <t>A1</t>
        </is>
      </c>
      <c r="F1264" t="inlineStr">
        <is>
          <t>¿Calcula gasto asignado/no asignado por responsable, centro o entidad?</t>
        </is>
      </c>
      <c r="G1264" t="n">
        <v>0</v>
      </c>
      <c r="H1264" t="inlineStr">
        <is>
          <t>Oficial (ausencia verificada)</t>
        </is>
      </c>
      <c r="I1264" t="inlineStr">
        <is>
          <t>No calcula asignacion de gasto por responsable o centro de costo; entrega una estimacion por configuracion de producto.</t>
        </is>
      </c>
      <c r="J1264" t="inlineStr">
        <is>
          <t>https://cloud.ibm.com/docs/account?topic=account-cost</t>
        </is>
      </c>
      <c r="K1264" t="inlineStr">
        <is>
          <t>2026-09-16</t>
        </is>
      </c>
      <c r="L1264"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265">
      <c r="A1265" t="inlineStr">
        <is>
          <t>E6</t>
        </is>
      </c>
      <c r="B1265" t="inlineStr">
        <is>
          <t>Cloud nativa</t>
        </is>
      </c>
      <c r="C1265" t="inlineStr">
        <is>
          <t>IBM Cloud Cost Estimator</t>
        </is>
      </c>
      <c r="D1265" t="inlineStr">
        <is>
          <t>Asignacion</t>
        </is>
      </c>
      <c r="E1265" t="inlineStr">
        <is>
          <t>A2</t>
        </is>
      </c>
      <c r="F1265" t="inlineStr">
        <is>
          <t>¿Explicita y aplica reglas para costo compartido/multi-tenant?</t>
        </is>
      </c>
      <c r="G1265" t="n">
        <v>0</v>
      </c>
      <c r="H1265" t="inlineStr">
        <is>
          <t>Oficial (ausencia verificada)</t>
        </is>
      </c>
      <c r="I1265" t="inlineStr">
        <is>
          <t>Mismo alcance que A1: no define reglas de reparto de costo compartido.</t>
        </is>
      </c>
      <c r="J1265" t="inlineStr">
        <is>
          <t>https://cloud.ibm.com/docs/account?topic=account-cost</t>
        </is>
      </c>
      <c r="K1265" t="inlineStr">
        <is>
          <t>2026-09-16</t>
        </is>
      </c>
      <c r="L1265"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266">
      <c r="A1266" t="inlineStr">
        <is>
          <t>E6</t>
        </is>
      </c>
      <c r="B1266" t="inlineStr">
        <is>
          <t>Cloud nativa</t>
        </is>
      </c>
      <c r="C1266" t="inlineStr">
        <is>
          <t>IBM Cloud Cost Estimator</t>
        </is>
      </c>
      <c r="D1266" t="inlineStr">
        <is>
          <t>Optimizacion</t>
        </is>
      </c>
      <c r="E1266" t="inlineStr">
        <is>
          <t>O1</t>
        </is>
      </c>
      <c r="F1266" t="inlineStr">
        <is>
          <t>¿Detecta desperdicio, rightsizing o compromiso relevante al escenario?</t>
        </is>
      </c>
      <c r="G1266" t="n">
        <v>1</v>
      </c>
      <c r="H1266" t="inlineStr">
        <is>
          <t>Comercial</t>
        </is>
      </c>
      <c r="I1266" t="inlineStr">
        <is>
          <t>La pagina de producto declara que la herramienta permite «get tips on how to save money». Es evidencia comercial del proveedor, por lo que FP-177 limita el indicador a 1.</t>
        </is>
      </c>
      <c r="J1266" t="inlineStr">
        <is>
          <t>https://www.ibm.com/products/cloud/cloud-calculator</t>
        </is>
      </c>
      <c r="K1266" t="inlineStr">
        <is>
          <t>2026-09-16</t>
        </is>
      </c>
      <c r="L1266"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267">
      <c r="A1267" t="inlineStr">
        <is>
          <t>E6</t>
        </is>
      </c>
      <c r="B1267" t="inlineStr">
        <is>
          <t>Cloud nativa</t>
        </is>
      </c>
      <c r="C1267" t="inlineStr">
        <is>
          <t>IBM Cloud Cost Estimator</t>
        </is>
      </c>
      <c r="D1267" t="inlineStr">
        <is>
          <t>Optimizacion</t>
        </is>
      </c>
      <c r="E1267" t="inlineStr">
        <is>
          <t>O2</t>
        </is>
      </c>
      <c r="F1267" t="inlineStr">
        <is>
          <t>¿Explica supuesto/impacto y permite seguir una recomendación?</t>
        </is>
      </c>
      <c r="G1267" t="inlineStr">
        <is>
          <t>NE</t>
        </is>
      </c>
      <c r="H1267" t="inlineStr">
        <is>
          <t>Pendiente</t>
        </is>
      </c>
      <c r="I1267" t="inlineStr">
        <is>
          <t>No se encontro documentacion de explicacion de impacto ni seguimiento de una recomendacion de optimizacion.</t>
        </is>
      </c>
      <c r="L1267"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68">
      <c r="A1268" t="inlineStr">
        <is>
          <t>E6</t>
        </is>
      </c>
      <c r="B1268" t="inlineStr">
        <is>
          <t>Cloud nativa</t>
        </is>
      </c>
      <c r="C1268" t="inlineStr">
        <is>
          <t>IBM Cloud Cost Estimator</t>
        </is>
      </c>
      <c r="D1268" t="inlineStr">
        <is>
          <t>Automatizacion</t>
        </is>
      </c>
      <c r="E1268" t="inlineStr">
        <is>
          <t>AU1</t>
        </is>
      </c>
      <c r="F1268" t="inlineStr">
        <is>
          <t>¿Ejecuta o bloquea acciones/políticas de costo con control verificable?</t>
        </is>
      </c>
      <c r="G1268" t="n">
        <v>0</v>
      </c>
      <c r="H1268" t="inlineStr">
        <is>
          <t>Oficial (ausencia verificada)</t>
        </is>
      </c>
      <c r="I1268" t="inlineStr">
        <is>
          <t>Es una calculadora de estimacion: no ejecuta ni bloquea acciones o politicas de costo.</t>
        </is>
      </c>
      <c r="J1268" t="inlineStr">
        <is>
          <t>https://cloud.ibm.com/docs/account?topic=account-cost</t>
        </is>
      </c>
      <c r="K1268" t="inlineStr">
        <is>
          <t>2026-09-16</t>
        </is>
      </c>
      <c r="L1268"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269">
      <c r="A1269" t="inlineStr">
        <is>
          <t>E6</t>
        </is>
      </c>
      <c r="B1269" t="inlineStr">
        <is>
          <t>Cloud nativa</t>
        </is>
      </c>
      <c r="C1269" t="inlineStr">
        <is>
          <t>IBM Cloud Cost Estimator</t>
        </is>
      </c>
      <c r="D1269" t="inlineStr">
        <is>
          <t>Automatizacion</t>
        </is>
      </c>
      <c r="E1269" t="inlineStr">
        <is>
          <t>AU2</t>
        </is>
      </c>
      <c r="F1269" t="inlineStr">
        <is>
          <t>¿Ofrece aprobación, reversión, registro o límites antes de actuar?</t>
        </is>
      </c>
      <c r="G1269" t="inlineStr">
        <is>
          <t>NA</t>
        </is>
      </c>
      <c r="H1269" t="inlineStr">
        <is>
          <t>Justificacion de alcance</t>
        </is>
      </c>
      <c r="I1269" t="inlineStr">
        <is>
          <t>Al no ejecutar acciones (ver AU1), no aplica evaluar salvaguardas de una ejecucion automatizada.</t>
        </is>
      </c>
      <c r="L1269"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70">
      <c r="A1270" t="inlineStr">
        <is>
          <t>E6</t>
        </is>
      </c>
      <c r="B1270" t="inlineStr">
        <is>
          <t>Cloud nativa</t>
        </is>
      </c>
      <c r="C1270" t="inlineStr">
        <is>
          <t>IBM Cloud Cost Estimator</t>
        </is>
      </c>
      <c r="D1270" t="inlineStr">
        <is>
          <t>Multicloud</t>
        </is>
      </c>
      <c r="E1270" t="inlineStr">
        <is>
          <t>M1</t>
        </is>
      </c>
      <c r="F1270" t="inlineStr">
        <is>
          <t>¿Consolida al menos dos proveedores bajo el mismo esquema declarado?</t>
        </is>
      </c>
      <c r="G1270" t="n">
        <v>0</v>
      </c>
      <c r="H1270" t="inlineStr">
        <is>
          <t>Oficial (ausencia verificada)</t>
        </is>
      </c>
      <c r="I1270" t="inlineStr">
        <is>
          <t>Estima exclusivamente productos del catalogo de IBM Cloud; no consolida costos de otros proveedores.</t>
        </is>
      </c>
      <c r="J1270" t="inlineStr">
        <is>
          <t>https://cloud.ibm.com/docs/account?topic=account-cost</t>
        </is>
      </c>
      <c r="K1270" t="inlineStr">
        <is>
          <t>2026-09-16</t>
        </is>
      </c>
      <c r="L1270"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71">
      <c r="A1271" t="inlineStr">
        <is>
          <t>E6</t>
        </is>
      </c>
      <c r="B1271" t="inlineStr">
        <is>
          <t>Cloud nativa</t>
        </is>
      </c>
      <c r="C1271" t="inlineStr">
        <is>
          <t>IBM Cloud Cost Estimator</t>
        </is>
      </c>
      <c r="D1271" t="inlineStr">
        <is>
          <t>Multicloud</t>
        </is>
      </c>
      <c r="E1271" t="inlineStr">
        <is>
          <t>M2</t>
        </is>
      </c>
      <c r="F1271" t="inlineStr">
        <is>
          <t>¿Hace visibles proveedor, cobertura y diferencias semánticas?</t>
        </is>
      </c>
      <c r="G1271" t="n">
        <v>0</v>
      </c>
      <c r="H1271" t="inlineStr">
        <is>
          <t>Oficial (ausencia verificada)</t>
        </is>
      </c>
      <c r="I1271" t="inlineStr">
        <is>
          <t>Mismo alcance de diseno que M1.</t>
        </is>
      </c>
      <c r="J1271" t="inlineStr">
        <is>
          <t>https://cloud.ibm.com/docs/account?topic=account-cost</t>
        </is>
      </c>
      <c r="K1271" t="inlineStr">
        <is>
          <t>2026-09-16</t>
        </is>
      </c>
      <c r="L1271"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72">
      <c r="A1272" t="inlineStr">
        <is>
          <t>E6</t>
        </is>
      </c>
      <c r="B1272" t="inlineStr">
        <is>
          <t>Cloud nativa</t>
        </is>
      </c>
      <c r="C1272" t="inlineStr">
        <is>
          <t>IBM Cloud Cost Estimator</t>
        </is>
      </c>
      <c r="D1272" t="inlineStr">
        <is>
          <t>Integracion</t>
        </is>
      </c>
      <c r="E1272" t="inlineStr">
        <is>
          <t>I1</t>
        </is>
      </c>
      <c r="F1272" t="inlineStr">
        <is>
          <t>¿Integra datos requeridos (facturación, uso, clúster o IaC) del escenario?</t>
        </is>
      </c>
      <c r="G1272" t="inlineStr">
        <is>
          <t>NE</t>
        </is>
      </c>
      <c r="H1272" t="inlineStr">
        <is>
          <t>Pendiente</t>
        </is>
      </c>
      <c r="I1272" t="inlineStr">
        <is>
          <t>Pendiente de investigacion propia del escenario: el indicador depende del escenario y la evidencia recogida corresponde al escenario ancla del producto.</t>
        </is>
      </c>
      <c r="L1272"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73">
      <c r="A1273" t="inlineStr">
        <is>
          <t>E6</t>
        </is>
      </c>
      <c r="B1273" t="inlineStr">
        <is>
          <t>Cloud nativa</t>
        </is>
      </c>
      <c r="C1273" t="inlineStr">
        <is>
          <t>IBM Cloud Cost Estimator</t>
        </is>
      </c>
      <c r="D1273" t="inlineStr">
        <is>
          <t>Integracion</t>
        </is>
      </c>
      <c r="E1273" t="inlineStr">
        <is>
          <t>I2</t>
        </is>
      </c>
      <c r="F1273" t="inlineStr">
        <is>
          <t>¿Se integra con el flujo de trabajo relevante (alerta, ticket, CI/CD o reporte)?</t>
        </is>
      </c>
      <c r="G1273" t="n">
        <v>2</v>
      </c>
      <c r="H1273" t="inlineStr">
        <is>
          <t>Oficial</t>
        </is>
      </c>
      <c r="I1273" t="inlineStr">
        <is>
          <t>El costo estimado forma parte del paso de validacion previo al despliegue, presentado en el «validation modal» bajo la seccion «Cost estimate successful», de modo que queda incorporado al flujo de revision del proyecto.</t>
        </is>
      </c>
      <c r="J1273" t="inlineStr">
        <is>
          <t>https://cloud.ibm.com/docs/secure-enterprise?topic=secure-enterprise-cost-estimate-project</t>
        </is>
      </c>
      <c r="K1273" t="inlineStr">
        <is>
          <t>2026-09-16</t>
        </is>
      </c>
      <c r="L1273"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274">
      <c r="A1274" t="inlineStr">
        <is>
          <t>E6</t>
        </is>
      </c>
      <c r="B1274" t="inlineStr">
        <is>
          <t>Cloud nativa</t>
        </is>
      </c>
      <c r="C1274" t="inlineStr">
        <is>
          <t>IBM Cloud Cost Estimator</t>
        </is>
      </c>
      <c r="D1274" t="inlineStr">
        <is>
          <t>Adopcion</t>
        </is>
      </c>
      <c r="E1274" t="inlineStr">
        <is>
          <t>AD1</t>
        </is>
      </c>
      <c r="F1274" t="inlineStr">
        <is>
          <t>¿Soporta acceso/entrega para los roles del escenario?</t>
        </is>
      </c>
      <c r="G1274" t="inlineStr">
        <is>
          <t>NE</t>
        </is>
      </c>
      <c r="H1274" t="inlineStr">
        <is>
          <t>Pendiente</t>
        </is>
      </c>
      <c r="I1274" t="inlineStr">
        <is>
          <t>Pendiente de investigacion propia del escenario: el indicador depende del escenario y la evidencia recogida corresponde al escenario ancla del producto.</t>
        </is>
      </c>
      <c r="L1274"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t>
        </is>
      </c>
    </row>
    <row r="1275">
      <c r="A1275" t="inlineStr">
        <is>
          <t>E6</t>
        </is>
      </c>
      <c r="B1275" t="inlineStr">
        <is>
          <t>Cloud nativa</t>
        </is>
      </c>
      <c r="C1275" t="inlineStr">
        <is>
          <t>IBM Cloud Cost Estimator</t>
        </is>
      </c>
      <c r="D1275" t="inlineStr">
        <is>
          <t>Adopcion</t>
        </is>
      </c>
      <c r="E1275" t="inlineStr">
        <is>
          <t>AD2</t>
        </is>
      </c>
      <c r="F1275" t="inlineStr">
        <is>
          <t>¿Ofrece guías, ownership o mecanismos de seguimiento para uso sostenido?</t>
        </is>
      </c>
      <c r="G1275" t="inlineStr">
        <is>
          <t>NE</t>
        </is>
      </c>
      <c r="H1275" t="inlineStr">
        <is>
          <t>Pendiente</t>
        </is>
      </c>
      <c r="I1275" t="inlineStr">
        <is>
          <t>No se encontro guia oficial de habilitacion, ownership o seguimiento de uso sostenido asociada a la herramienta.</t>
        </is>
      </c>
      <c r="L1275"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76">
      <c r="A1276" t="inlineStr">
        <is>
          <t>E6</t>
        </is>
      </c>
      <c r="B1276" t="inlineStr">
        <is>
          <t>Cloud nativa</t>
        </is>
      </c>
      <c r="C1276" t="inlineStr">
        <is>
          <t>IBM Cloud Cost Estimator</t>
        </is>
      </c>
      <c r="D1276" t="inlineStr">
        <is>
          <t>Precio</t>
        </is>
      </c>
      <c r="E1276" t="inlineStr">
        <is>
          <t>P1</t>
        </is>
      </c>
      <c r="F1276" t="inlineStr">
        <is>
          <t>¿Expone precio, moneda, región, unidad, período y supuestos relevantes?</t>
        </is>
      </c>
      <c r="G1276" t="n">
        <v>2</v>
      </c>
      <c r="H1276" t="inlineStr">
        <is>
          <t>Oficial</t>
        </is>
      </c>
      <c r="I1276" t="inlineStr">
        <is>
          <t>Permite configurar plan de precios, uso, moneda y region, y «see how your pricing is determined». Los supuestos estan declarados: la estimacion «does not include all resources, usage, licenses, fees, discounts, or taxes» y esta «subject to change as the architecture is customized».</t>
        </is>
      </c>
      <c r="J1276" t="inlineStr">
        <is>
          <t>https://cloud.ibm.com/docs/secure-enterprise?topic=secure-enterprise-cost-estimate-project</t>
        </is>
      </c>
      <c r="K1276" t="inlineStr">
        <is>
          <t>2026-09-16</t>
        </is>
      </c>
      <c r="L1276"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77">
      <c r="A1277" t="inlineStr">
        <is>
          <t>E6</t>
        </is>
      </c>
      <c r="B1277" t="inlineStr">
        <is>
          <t>Cloud nativa</t>
        </is>
      </c>
      <c r="C1277" t="inlineStr">
        <is>
          <t>IBM Cloud Cost Estimator</t>
        </is>
      </c>
      <c r="D1277" t="inlineStr">
        <is>
          <t>Precio</t>
        </is>
      </c>
      <c r="E1277" t="inlineStr">
        <is>
          <t>P2</t>
        </is>
      </c>
      <c r="F1277" t="inlineStr">
        <is>
          <t>¿Permite estimar o comparar componentes sin ocultar límites de equivalencia?</t>
        </is>
      </c>
      <c r="G1277" t="n">
        <v>2</v>
      </c>
      <c r="H1277" t="inlineStr">
        <is>
          <t>Oficial</t>
        </is>
      </c>
      <c r="I1277" t="inlineStr">
        <is>
          <t>La documentacion describe la comparacion de configuraciones alternativas antes de decidir, con el detalle de como se determina cada precio.</t>
        </is>
      </c>
      <c r="J1277" t="inlineStr">
        <is>
          <t>https://cloud.ibm.com/docs/account?topic=account-cost</t>
        </is>
      </c>
      <c r="K1277" t="inlineStr">
        <is>
          <t>2026-09-16</t>
        </is>
      </c>
      <c r="L1277"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 | Escenario ancla del producto: E1. | Evidencia subsumida desde E1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278">
      <c r="A1278" t="inlineStr">
        <is>
          <t>E6</t>
        </is>
      </c>
      <c r="B1278" t="inlineStr">
        <is>
          <t>Cloud nativa</t>
        </is>
      </c>
      <c r="C1278" t="inlineStr">
        <is>
          <t>IBM Cloud Cost Estimator</t>
        </is>
      </c>
      <c r="D1278" t="inlineStr">
        <is>
          <t>Dependencia</t>
        </is>
      </c>
      <c r="E1278" t="inlineStr">
        <is>
          <t>D1</t>
        </is>
      </c>
      <c r="F1278" t="inlineStr">
        <is>
          <t>¿Exporta datos/resultados en formato utilizable y documentado?</t>
        </is>
      </c>
      <c r="G1278" t="n">
        <v>2</v>
      </c>
      <c r="H1278" t="inlineStr">
        <is>
          <t>Oficial</t>
        </is>
      </c>
      <c r="I1278" t="inlineStr">
        <is>
          <t>Las estimaciones se pueden exportar y descargar como cotizacion desde la herramienta.</t>
        </is>
      </c>
      <c r="J1278" t="inlineStr">
        <is>
          <t>https://cloud.ibm.com/docs/account?topic=account-cost</t>
        </is>
      </c>
      <c r="K1278" t="inlineStr">
        <is>
          <t>2026-09-16</t>
        </is>
      </c>
      <c r="L1278"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79">
      <c r="A1279" t="inlineStr">
        <is>
          <t>E6</t>
        </is>
      </c>
      <c r="B1279" t="inlineStr">
        <is>
          <t>Cloud nativa</t>
        </is>
      </c>
      <c r="C1279" t="inlineStr">
        <is>
          <t>IBM Cloud Cost Estimator</t>
        </is>
      </c>
      <c r="D1279" t="inlineStr">
        <is>
          <t>Dependencia</t>
        </is>
      </c>
      <c r="E1279" t="inlineStr">
        <is>
          <t>D2</t>
        </is>
      </c>
      <c r="F1279" t="inlineStr">
        <is>
          <t>¿Documenta dependencias propietarias y un camino de salida/configuración reversible?</t>
        </is>
      </c>
      <c r="G1279" t="inlineStr">
        <is>
          <t>NE</t>
        </is>
      </c>
      <c r="H1279" t="inlineStr">
        <is>
          <t>Pendiente</t>
        </is>
      </c>
      <c r="I1279" t="inlineStr">
        <is>
          <t>No se encontro documentacion sobre dependencias propietarias ni camino de salida.</t>
        </is>
      </c>
      <c r="L1279" t="inlineStr">
        <is>
          <t>Alternativa adicional incorporada en FP-180 (2026-09-16) desde el registro de FP-126 y la auditoria de FP-179. | Tension de clasificacion registrada para el equipo: FP-126 y FP-179 lo situan entre las herramientas nativas, cuya categoria ancla en E1 (visibilidad y asignacion en nube unica), pero su funcion documentada es la estimacion previa al despliegue. Sus indicadores de visibilidad y asignacion se puntuan 0 por ausencia verificada, no por deficiencia del producto. Se sugiere revisar si corresponde reubicarlo en estimacion temprana, igual que la tension ya registrada para Cloud Custodian.</t>
        </is>
      </c>
    </row>
    <row r="1280">
      <c r="A1280" t="inlineStr">
        <is>
          <t>E1</t>
        </is>
      </c>
      <c r="B1280" t="inlineStr">
        <is>
          <t>Multicloud</t>
        </is>
      </c>
      <c r="C1280" t="inlineStr">
        <is>
          <t>Harness Cloud Cost Management</t>
        </is>
      </c>
      <c r="D1280" t="inlineStr">
        <is>
          <t>Visibilidad</t>
        </is>
      </c>
      <c r="E1280" t="inlineStr">
        <is>
          <t>V1</t>
        </is>
      </c>
      <c r="F1280" t="inlineStr">
        <is>
          <t>¿Desagrega costo y uso por cuenta/proyecto, servicio y período?</t>
        </is>
      </c>
      <c r="G1280" t="n">
        <v>2</v>
      </c>
      <c r="H1280" t="inlineStr">
        <is>
          <t>Oficial</t>
        </is>
      </c>
      <c r="I1280" t="inlineStr">
        <is>
          <t>Las Perspectives permiten «group resources by what matters most to your business and create tailored views for engineering, finance, or leadership, all in one powerful, shareable dashboard».</t>
        </is>
      </c>
      <c r="J1280" t="inlineStr">
        <is>
          <t>https://developer.harness.io/docs/cloud-cost-management/get-started/overview/</t>
        </is>
      </c>
      <c r="K1280" t="inlineStr">
        <is>
          <t>2026-09-16</t>
        </is>
      </c>
      <c r="L1280" t="inlineStr">
        <is>
          <t>Alternativa adicional incorporada en FP-180 (2026-09-16) desde el registro de FP-126 y la auditoria de FP-179. | Escenario ancla del producto: E2.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1281">
      <c r="A1281" t="inlineStr">
        <is>
          <t>E1</t>
        </is>
      </c>
      <c r="B1281" t="inlineStr">
        <is>
          <t>Multicloud</t>
        </is>
      </c>
      <c r="C1281" t="inlineStr">
        <is>
          <t>Harness Cloud Cost Management</t>
        </is>
      </c>
      <c r="D1281" t="inlineStr">
        <is>
          <t>Visibilidad</t>
        </is>
      </c>
      <c r="E1281" t="inlineStr">
        <is>
          <t>V2</t>
        </is>
      </c>
      <c r="F1281" t="inlineStr">
        <is>
          <t>¿Permite rastrear un total hasta registros o fuente de facturación?</t>
        </is>
      </c>
      <c r="G1281" t="inlineStr">
        <is>
          <t>NE</t>
        </is>
      </c>
      <c r="H1281" t="inlineStr">
        <is>
          <t>Pendiente</t>
        </is>
      </c>
      <c r="I1281" t="inlineStr">
        <is>
          <t>No se encontro documentacion oficial sobre trazabilidad o reconciliacion de un total hasta los registros de facturacion del proveedor.</t>
        </is>
      </c>
      <c r="L1281" t="inlineStr">
        <is>
          <t>Alternativa adicional incorporada en FP-180 (2026-09-16) desde el registro de FP-126 y la auditoria de FP-179.</t>
        </is>
      </c>
    </row>
    <row r="1282">
      <c r="A1282" t="inlineStr">
        <is>
          <t>E1</t>
        </is>
      </c>
      <c r="B1282" t="inlineStr">
        <is>
          <t>Multicloud</t>
        </is>
      </c>
      <c r="C1282" t="inlineStr">
        <is>
          <t>Harness Cloud Cost Management</t>
        </is>
      </c>
      <c r="D1282" t="inlineStr">
        <is>
          <t>Asignacion</t>
        </is>
      </c>
      <c r="E1282" t="inlineStr">
        <is>
          <t>A1</t>
        </is>
      </c>
      <c r="F1282" t="inlineStr">
        <is>
          <t>¿Calcula gasto asignado/no asignado por responsable, centro o entidad?</t>
        </is>
      </c>
      <c r="G1282" t="n">
        <v>2</v>
      </c>
      <c r="H1282" t="inlineStr">
        <is>
          <t>Oficial</t>
        </is>
      </c>
      <c r="I1282" t="inlineStr">
        <is>
          <t>Las Cost Categories «enable you to use cost data across multiple sources and attribute it to business contexts», que es atribucion por entidad organizacional con reglas definidas.</t>
        </is>
      </c>
      <c r="J1282" t="inlineStr">
        <is>
          <t>https://developer.harness.io/docs/cloud-cost-management/get-started/overview/</t>
        </is>
      </c>
      <c r="K1282" t="inlineStr">
        <is>
          <t>2026-09-16</t>
        </is>
      </c>
      <c r="L1282" t="inlineStr">
        <is>
          <t>Alternativa adicional incorporada en FP-180 (2026-09-16) desde el registro de FP-126 y la auditoria de FP-179. | Escenario ancla del producto: E2.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1283">
      <c r="A1283" t="inlineStr">
        <is>
          <t>E1</t>
        </is>
      </c>
      <c r="B1283" t="inlineStr">
        <is>
          <t>Multicloud</t>
        </is>
      </c>
      <c r="C1283" t="inlineStr">
        <is>
          <t>Harness Cloud Cost Management</t>
        </is>
      </c>
      <c r="D1283" t="inlineStr">
        <is>
          <t>Asignacion</t>
        </is>
      </c>
      <c r="E1283" t="inlineStr">
        <is>
          <t>A2</t>
        </is>
      </c>
      <c r="F1283" t="inlineStr">
        <is>
          <t>¿Explicita y aplica reglas para costo compartido/multi-tenant?</t>
        </is>
      </c>
      <c r="G1283" t="inlineStr">
        <is>
          <t>NE</t>
        </is>
      </c>
      <c r="H1283" t="inlineStr">
        <is>
          <t>Pendiente</t>
        </is>
      </c>
      <c r="I1283" t="inlineStr">
        <is>
          <t>Pendiente de investigacion propia del escenario: el indicador depende del escenario y la evidencia recogida corresponde al escenario ancla del producto.</t>
        </is>
      </c>
      <c r="L1283" t="inlineStr">
        <is>
          <t>Alternativa adicional incorporada en FP-180 (2026-09-16) desde el registro de FP-126 y la auditoria de FP-179. | Escenario ancla del producto: E2.</t>
        </is>
      </c>
    </row>
    <row r="1284">
      <c r="A1284" t="inlineStr">
        <is>
          <t>E1</t>
        </is>
      </c>
      <c r="B1284" t="inlineStr">
        <is>
          <t>Multicloud</t>
        </is>
      </c>
      <c r="C1284" t="inlineStr">
        <is>
          <t>Harness Cloud Cost Management</t>
        </is>
      </c>
      <c r="D1284" t="inlineStr">
        <is>
          <t>Optimizacion</t>
        </is>
      </c>
      <c r="E1284" t="inlineStr">
        <is>
          <t>O1</t>
        </is>
      </c>
      <c r="F1284" t="inlineStr">
        <is>
          <t>¿Detecta desperdicio, rightsizing o compromiso relevante al escenario?</t>
        </is>
      </c>
      <c r="G1284" t="n">
        <v>2</v>
      </c>
      <c r="H1284" t="inlineStr">
        <is>
          <t>Oficial</t>
        </is>
      </c>
      <c r="I1284" t="inlineStr">
        <is>
          <t>La deteccion de anomalias es «ML-powered detection of unusual spending patterns with configurable sensitivity», con modelo de series de tiempo sobre 42 dias de historico, y AutoStopping identifica recursos ociosos.</t>
        </is>
      </c>
      <c r="J1284" t="inlineStr">
        <is>
          <t>https://developer.harness.io/docs/cloud-cost-management/cost-governance/anomalies/getting-started-with-ccm-anomaly-detection</t>
        </is>
      </c>
      <c r="K1284" t="inlineStr">
        <is>
          <t>2026-09-16</t>
        </is>
      </c>
      <c r="L1284" t="inlineStr">
        <is>
          <t>Alternativa adicional incorporada en FP-180 (2026-09-16) desde el registro de FP-126 y la auditoria de FP-179. | Escenario ancla del producto: E2.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1285">
      <c r="A1285" t="inlineStr">
        <is>
          <t>E1</t>
        </is>
      </c>
      <c r="B1285" t="inlineStr">
        <is>
          <t>Multicloud</t>
        </is>
      </c>
      <c r="C1285" t="inlineStr">
        <is>
          <t>Harness Cloud Cost Management</t>
        </is>
      </c>
      <c r="D1285" t="inlineStr">
        <is>
          <t>Optimizacion</t>
        </is>
      </c>
      <c r="E1285" t="inlineStr">
        <is>
          <t>O2</t>
        </is>
      </c>
      <c r="F1285" t="inlineStr">
        <is>
          <t>¿Explica supuesto/impacto y permite seguir una recomendación?</t>
        </is>
      </c>
      <c r="G1285" t="inlineStr">
        <is>
          <t>NE</t>
        </is>
      </c>
      <c r="H1285" t="inlineStr">
        <is>
          <t>Pendiente</t>
        </is>
      </c>
      <c r="I1285" t="inlineStr">
        <is>
          <t>No se encontro documentacion del ciclo de explicacion de impacto y seguimiento del ahorro realizado por recomendacion.</t>
        </is>
      </c>
      <c r="L1285" t="inlineStr">
        <is>
          <t>Alternativa adicional incorporada en FP-180 (2026-09-16) desde el registro de FP-126 y la auditoria de FP-179.</t>
        </is>
      </c>
    </row>
    <row r="1286">
      <c r="A1286" t="inlineStr">
        <is>
          <t>E1</t>
        </is>
      </c>
      <c r="B1286" t="inlineStr">
        <is>
          <t>Multicloud</t>
        </is>
      </c>
      <c r="C1286" t="inlineStr">
        <is>
          <t>Harness Cloud Cost Management</t>
        </is>
      </c>
      <c r="D1286" t="inlineStr">
        <is>
          <t>Automatizacion</t>
        </is>
      </c>
      <c r="E1286" t="inlineStr">
        <is>
          <t>AU1</t>
        </is>
      </c>
      <c r="F1286" t="inlineStr">
        <is>
          <t>¿Ejecuta o bloquea acciones/políticas de costo con control verificable?</t>
        </is>
      </c>
      <c r="G1286" t="n">
        <v>2</v>
      </c>
      <c r="H1286" t="inlineStr">
        <is>
          <t>Oficial</t>
        </is>
      </c>
      <c r="I1286" t="inlineStr">
        <is>
          <t>AutoStopping «automatically stops idle non-production resources based on traffic or schedules» y soporta EC2, ECS, RDS, maquinas virtuales de Azure y clusteres GKE: es ejecucion automatizada, no solo recomendacion.</t>
        </is>
      </c>
      <c r="J1286" t="inlineStr">
        <is>
          <t>https://developer.harness.io/docs/cloud-cost-management/get-started/overview/</t>
        </is>
      </c>
      <c r="K1286" t="inlineStr">
        <is>
          <t>2026-09-16</t>
        </is>
      </c>
      <c r="L1286" t="inlineStr">
        <is>
          <t>Alternativa adicional incorporada en FP-180 (2026-09-16) desde el registro de FP-126 y la auditoria de FP-179. | Escenario ancla del producto: E2.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1287">
      <c r="A1287" t="inlineStr">
        <is>
          <t>E1</t>
        </is>
      </c>
      <c r="B1287" t="inlineStr">
        <is>
          <t>Multicloud</t>
        </is>
      </c>
      <c r="C1287" t="inlineStr">
        <is>
          <t>Harness Cloud Cost Management</t>
        </is>
      </c>
      <c r="D1287" t="inlineStr">
        <is>
          <t>Automatizacion</t>
        </is>
      </c>
      <c r="E1287" t="inlineStr">
        <is>
          <t>AU2</t>
        </is>
      </c>
      <c r="F1287" t="inlineStr">
        <is>
          <t>¿Ofrece aprobación, reversión, registro o límites antes de actuar?</t>
        </is>
      </c>
      <c r="G1287" t="inlineStr">
        <is>
          <t>NE</t>
        </is>
      </c>
      <c r="H1287" t="inlineStr">
        <is>
          <t>Pendiente</t>
        </is>
      </c>
      <c r="I1287" t="inlineStr">
        <is>
          <t>No se encontro documentacion oficial de aprobacion, reversion o limites previos a la ejecucion automatica.</t>
        </is>
      </c>
      <c r="L1287" t="inlineStr">
        <is>
          <t>Alternativa adicional incorporada en FP-180 (2026-09-16) desde el registro de FP-126 y la auditoria de FP-179.</t>
        </is>
      </c>
    </row>
    <row r="1288">
      <c r="A1288" t="inlineStr">
        <is>
          <t>E1</t>
        </is>
      </c>
      <c r="B1288" t="inlineStr">
        <is>
          <t>Multicloud</t>
        </is>
      </c>
      <c r="C1288" t="inlineStr">
        <is>
          <t>Harness Cloud Cost Management</t>
        </is>
      </c>
      <c r="D1288" t="inlineStr">
        <is>
          <t>Multicloud</t>
        </is>
      </c>
      <c r="E1288" t="inlineStr">
        <is>
          <t>M1</t>
        </is>
      </c>
      <c r="F1288" t="inlineStr">
        <is>
          <t>¿Consolida al menos dos proveedores bajo el mismo esquema declarado?</t>
        </is>
      </c>
      <c r="G1288" t="n">
        <v>2</v>
      </c>
      <c r="H1288" t="inlineStr">
        <is>
          <t>Oficial</t>
        </is>
      </c>
      <c r="I1288" t="inlineStr">
        <is>
          <t>La documentacion tecnica declara cobertura simultanea de varios proveedores: AutoStopping «supports EC2, ECS, RDS, Azure VMs, and GKE clusters», y las Cost Categories operan «across multiple sources».</t>
        </is>
      </c>
      <c r="J1288" t="inlineStr">
        <is>
          <t>https://developer.harness.io/docs/cloud-cost-management/get-started/overview/</t>
        </is>
      </c>
      <c r="K1288" t="inlineStr">
        <is>
          <t>2026-09-16</t>
        </is>
      </c>
      <c r="L1288" t="inlineStr">
        <is>
          <t>Alternativa adicional incorporada en FP-180 (2026-09-16) desde el registro de FP-126 y la auditoria de FP-179.</t>
        </is>
      </c>
    </row>
    <row r="1289">
      <c r="A1289" t="inlineStr">
        <is>
          <t>E1</t>
        </is>
      </c>
      <c r="B1289" t="inlineStr">
        <is>
          <t>Multicloud</t>
        </is>
      </c>
      <c r="C1289" t="inlineStr">
        <is>
          <t>Harness Cloud Cost Management</t>
        </is>
      </c>
      <c r="D1289" t="inlineStr">
        <is>
          <t>Multicloud</t>
        </is>
      </c>
      <c r="E1289" t="inlineStr">
        <is>
          <t>M2</t>
        </is>
      </c>
      <c r="F1289" t="inlineStr">
        <is>
          <t>¿Hace visibles proveedor, cobertura y diferencias semánticas?</t>
        </is>
      </c>
      <c r="G1289" t="inlineStr">
        <is>
          <t>NE</t>
        </is>
      </c>
      <c r="H1289" t="inlineStr">
        <is>
          <t>Pendiente</t>
        </is>
      </c>
      <c r="I1289" t="inlineStr">
        <is>
          <t>No se encontro documentacion de normalizacion ni de diferencias semanticas declaradas entre proveedores.</t>
        </is>
      </c>
      <c r="L1289" t="inlineStr">
        <is>
          <t>Alternativa adicional incorporada en FP-180 (2026-09-16) desde el registro de FP-126 y la auditoria de FP-179.</t>
        </is>
      </c>
    </row>
    <row r="1290">
      <c r="A1290" t="inlineStr">
        <is>
          <t>E1</t>
        </is>
      </c>
      <c r="B1290" t="inlineStr">
        <is>
          <t>Multicloud</t>
        </is>
      </c>
      <c r="C1290" t="inlineStr">
        <is>
          <t>Harness Cloud Cost Management</t>
        </is>
      </c>
      <c r="D1290" t="inlineStr">
        <is>
          <t>Integracion</t>
        </is>
      </c>
      <c r="E1290" t="inlineStr">
        <is>
          <t>I1</t>
        </is>
      </c>
      <c r="F1290" t="inlineStr">
        <is>
          <t>¿Integra datos requeridos (facturación, uso, clúster o IaC) del escenario?</t>
        </is>
      </c>
      <c r="G1290" t="n">
        <v>2</v>
      </c>
      <c r="H1290" t="inlineStr">
        <is>
          <t>Oficial</t>
        </is>
      </c>
      <c r="I1290" t="inlineStr">
        <is>
          <t>La plataforma ingiere datos de costo de multiples proveedores para construir Perspectives y Cost Categories, y opera sobre recursos de AWS, Azure y GCP.</t>
        </is>
      </c>
      <c r="J1290" t="inlineStr">
        <is>
          <t>https://developer.harness.io/docs/cloud-cost-management/</t>
        </is>
      </c>
      <c r="K1290" t="inlineStr">
        <is>
          <t>2026-09-16</t>
        </is>
      </c>
      <c r="L1290" t="inlineStr">
        <is>
          <t>Alternativa adicional incorporada en FP-180 (2026-09-16) desde el registro de FP-126 y la auditoria de FP-179. | Escenario ancla del producto: E2.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1291">
      <c r="A1291" t="inlineStr">
        <is>
          <t>E1</t>
        </is>
      </c>
      <c r="B1291" t="inlineStr">
        <is>
          <t>Multicloud</t>
        </is>
      </c>
      <c r="C1291" t="inlineStr">
        <is>
          <t>Harness Cloud Cost Management</t>
        </is>
      </c>
      <c r="D1291" t="inlineStr">
        <is>
          <t>Integracion</t>
        </is>
      </c>
      <c r="E1291" t="inlineStr">
        <is>
          <t>I2</t>
        </is>
      </c>
      <c r="F1291" t="inlineStr">
        <is>
          <t>¿Se integra con el flujo de trabajo relevante (alerta, ticket, CI/CD o reporte)?</t>
        </is>
      </c>
      <c r="G1291" t="n">
        <v>2</v>
      </c>
      <c r="H1291" t="inlineStr">
        <is>
          <t>Oficial</t>
        </is>
      </c>
      <c r="I1291" t="inlineStr">
        <is>
          <t>La deteccion de anomalias incluye «automated alerts to catch cost spikes early» y gestion de estado (Active, Resolved, Archived); Asset Governance permite gestionar el gasto «using asset governance rules and budgets».</t>
        </is>
      </c>
      <c r="J1291" t="inlineStr">
        <is>
          <t>https://developer.harness.io/docs/cloud-cost-management/cost-governance/anomalies/getting-started-with-ccm-anomaly-detection</t>
        </is>
      </c>
      <c r="K1291" t="inlineStr">
        <is>
          <t>2026-09-16</t>
        </is>
      </c>
      <c r="L1291" t="inlineStr">
        <is>
          <t>Alternativa adicional incorporada en FP-180 (2026-09-16) desde el registro de FP-126 y la auditoria de FP-179. | Escenario ancla del producto: E2. | Evidencia subsumida desde E2 (2026-09-16): la capacidad documentada para consolidar y operar sobre varios proveedores cubre por inclusion el caso de un unico proveedor, que es la condicion de E1. La fuente y la cita originales se conservan sin cambios; lo que se declara aqui es el argumento por el que sostienen tambien el valor en E1.</t>
        </is>
      </c>
    </row>
    <row r="1292">
      <c r="A1292" t="inlineStr">
        <is>
          <t>E1</t>
        </is>
      </c>
      <c r="B1292" t="inlineStr">
        <is>
          <t>Multicloud</t>
        </is>
      </c>
      <c r="C1292" t="inlineStr">
        <is>
          <t>Harness Cloud Cost Management</t>
        </is>
      </c>
      <c r="D1292" t="inlineStr">
        <is>
          <t>Adopcion</t>
        </is>
      </c>
      <c r="E1292" t="inlineStr">
        <is>
          <t>AD1</t>
        </is>
      </c>
      <c r="F1292" t="inlineStr">
        <is>
          <t>¿Soporta acceso/entrega para los roles del escenario?</t>
        </is>
      </c>
      <c r="G1292" t="inlineStr">
        <is>
          <t>NE</t>
        </is>
      </c>
      <c r="H1292" t="inlineStr">
        <is>
          <t>Pendiente</t>
        </is>
      </c>
      <c r="I1292" t="inlineStr">
        <is>
          <t>Pendiente de investigacion propia del escenario: el indicador depende del escenario y la evidencia recogida corresponde al escenario ancla del producto.</t>
        </is>
      </c>
      <c r="L1292" t="inlineStr">
        <is>
          <t>Alternativa adicional incorporada en FP-180 (2026-09-16) desde el registro de FP-126 y la auditoria de FP-179. | Escenario ancla del producto: E2.</t>
        </is>
      </c>
    </row>
    <row r="1293">
      <c r="A1293" t="inlineStr">
        <is>
          <t>E1</t>
        </is>
      </c>
      <c r="B1293" t="inlineStr">
        <is>
          <t>Multicloud</t>
        </is>
      </c>
      <c r="C1293" t="inlineStr">
        <is>
          <t>Harness Cloud Cost Management</t>
        </is>
      </c>
      <c r="D1293" t="inlineStr">
        <is>
          <t>Adopcion</t>
        </is>
      </c>
      <c r="E1293" t="inlineStr">
        <is>
          <t>AD2</t>
        </is>
      </c>
      <c r="F1293" t="inlineStr">
        <is>
          <t>¿Ofrece guías, ownership o mecanismos de seguimiento para uso sostenido?</t>
        </is>
      </c>
      <c r="G1293" t="inlineStr">
        <is>
          <t>NE</t>
        </is>
      </c>
      <c r="H1293" t="inlineStr">
        <is>
          <t>Pendiente</t>
        </is>
      </c>
      <c r="I1293" t="inlineStr">
        <is>
          <t>No se encontro guia oficial de habilitacion, ownership o medicion de adopcion sostenida.</t>
        </is>
      </c>
      <c r="L1293" t="inlineStr">
        <is>
          <t>Alternativa adicional incorporada en FP-180 (2026-09-16) desde el registro de FP-126 y la auditoria de FP-179.</t>
        </is>
      </c>
    </row>
    <row r="1294">
      <c r="A1294" t="inlineStr">
        <is>
          <t>E1</t>
        </is>
      </c>
      <c r="B1294" t="inlineStr">
        <is>
          <t>Multicloud</t>
        </is>
      </c>
      <c r="C1294" t="inlineStr">
        <is>
          <t>Harness Cloud Cost Management</t>
        </is>
      </c>
      <c r="D1294" t="inlineStr">
        <is>
          <t>Precio</t>
        </is>
      </c>
      <c r="E1294" t="inlineStr">
        <is>
          <t>P1</t>
        </is>
      </c>
      <c r="F1294" t="inlineStr">
        <is>
          <t>¿Expone precio, moneda, región, unidad, período y supuestos relevantes?</t>
        </is>
      </c>
      <c r="G1294" t="inlineStr">
        <is>
          <t>NE</t>
        </is>
      </c>
      <c r="H1294" t="inlineStr">
        <is>
          <t>Pendiente</t>
        </is>
      </c>
      <c r="I1294" t="inlineStr">
        <is>
          <t>No se encontro documentacion sobre exposicion de precio, moneda, region, unidad y supuestos de los costos analizados.</t>
        </is>
      </c>
      <c r="L1294" t="inlineStr">
        <is>
          <t>Alternativa adicional incorporada en FP-180 (2026-09-16) desde el registro de FP-126 y la auditoria de FP-179.</t>
        </is>
      </c>
    </row>
    <row r="1295">
      <c r="A1295" t="inlineStr">
        <is>
          <t>E1</t>
        </is>
      </c>
      <c r="B1295" t="inlineStr">
        <is>
          <t>Multicloud</t>
        </is>
      </c>
      <c r="C1295" t="inlineStr">
        <is>
          <t>Harness Cloud Cost Management</t>
        </is>
      </c>
      <c r="D1295" t="inlineStr">
        <is>
          <t>Precio</t>
        </is>
      </c>
      <c r="E1295" t="inlineStr">
        <is>
          <t>P2</t>
        </is>
      </c>
      <c r="F1295" t="inlineStr">
        <is>
          <t>¿Permite estimar o comparar componentes sin ocultar límites de equivalencia?</t>
        </is>
      </c>
      <c r="G1295" t="inlineStr">
        <is>
          <t>NE</t>
        </is>
      </c>
      <c r="H1295" t="inlineStr">
        <is>
          <t>Pendiente</t>
        </is>
      </c>
      <c r="I1295" t="inlineStr">
        <is>
          <t>Pendiente de investigacion propia del escenario: el indicador depende del escenario y la evidencia recogida corresponde al escenario ancla del producto.</t>
        </is>
      </c>
      <c r="L1295" t="inlineStr">
        <is>
          <t>Alternativa adicional incorporada en FP-180 (2026-09-16) desde el registro de FP-126 y la auditoria de FP-179. | Escenario ancla del producto: E2.</t>
        </is>
      </c>
    </row>
    <row r="1296">
      <c r="A1296" t="inlineStr">
        <is>
          <t>E1</t>
        </is>
      </c>
      <c r="B1296" t="inlineStr">
        <is>
          <t>Multicloud</t>
        </is>
      </c>
      <c r="C1296" t="inlineStr">
        <is>
          <t>Harness Cloud Cost Management</t>
        </is>
      </c>
      <c r="D1296" t="inlineStr">
        <is>
          <t>Dependencia</t>
        </is>
      </c>
      <c r="E1296" t="inlineStr">
        <is>
          <t>D1</t>
        </is>
      </c>
      <c r="F1296" t="inlineStr">
        <is>
          <t>¿Exporta datos/resultados en formato utilizable y documentado?</t>
        </is>
      </c>
      <c r="G1296" t="inlineStr">
        <is>
          <t>NE</t>
        </is>
      </c>
      <c r="H1296" t="inlineStr">
        <is>
          <t>Pendiente</t>
        </is>
      </c>
      <c r="I1296" t="inlineStr">
        <is>
          <t>No se encontro documentacion oficial de exportacion o API de salida de los datos de costo.</t>
        </is>
      </c>
      <c r="L1296" t="inlineStr">
        <is>
          <t>Alternativa adicional incorporada en FP-180 (2026-09-16) desde el registro de FP-126 y la auditoria de FP-179.</t>
        </is>
      </c>
    </row>
    <row r="1297">
      <c r="A1297" t="inlineStr">
        <is>
          <t>E1</t>
        </is>
      </c>
      <c r="B1297" t="inlineStr">
        <is>
          <t>Multicloud</t>
        </is>
      </c>
      <c r="C1297" t="inlineStr">
        <is>
          <t>Harness Cloud Cost Management</t>
        </is>
      </c>
      <c r="D1297" t="inlineStr">
        <is>
          <t>Dependencia</t>
        </is>
      </c>
      <c r="E1297" t="inlineStr">
        <is>
          <t>D2</t>
        </is>
      </c>
      <c r="F1297" t="inlineStr">
        <is>
          <t>¿Documenta dependencias propietarias y un camino de salida/configuración reversible?</t>
        </is>
      </c>
      <c r="G1297" t="inlineStr">
        <is>
          <t>NE</t>
        </is>
      </c>
      <c r="H1297" t="inlineStr">
        <is>
          <t>Pendiente</t>
        </is>
      </c>
      <c r="I1297" t="inlineStr">
        <is>
          <t>No se encontro documentacion sobre dependencias propietarias ni camino de salida.</t>
        </is>
      </c>
      <c r="L1297" t="inlineStr">
        <is>
          <t>Alternativa adicional incorporada en FP-180 (2026-09-16) desde el registro de FP-126 y la auditoria de FP-179.</t>
        </is>
      </c>
    </row>
    <row r="1298">
      <c r="A1298" t="inlineStr">
        <is>
          <t>E2</t>
        </is>
      </c>
      <c r="B1298" t="inlineStr">
        <is>
          <t>Multicloud</t>
        </is>
      </c>
      <c r="C1298" t="inlineStr">
        <is>
          <t>Harness Cloud Cost Management</t>
        </is>
      </c>
      <c r="D1298" t="inlineStr">
        <is>
          <t>Visibilidad</t>
        </is>
      </c>
      <c r="E1298" t="inlineStr">
        <is>
          <t>V1</t>
        </is>
      </c>
      <c r="F1298" t="inlineStr">
        <is>
          <t>¿Desagrega costo y uso por cuenta/proyecto, servicio y período?</t>
        </is>
      </c>
      <c r="G1298" t="n">
        <v>2</v>
      </c>
      <c r="H1298" t="inlineStr">
        <is>
          <t>Oficial</t>
        </is>
      </c>
      <c r="I1298" t="inlineStr">
        <is>
          <t>Las Perspectives permiten «group resources by what matters most to your business and create tailored views for engineering, finance, or leadership, all in one powerful, shareable dashboard».</t>
        </is>
      </c>
      <c r="J1298" t="inlineStr">
        <is>
          <t>https://developer.harness.io/docs/cloud-cost-management/get-started/overview/</t>
        </is>
      </c>
      <c r="K1298" t="inlineStr">
        <is>
          <t>2026-09-16</t>
        </is>
      </c>
      <c r="L1298" t="inlineStr">
        <is>
          <t>Alternativa adicional incorporada en FP-180 (2026-09-16) desde el registro de FP-126 y la auditoria de FP-179.</t>
        </is>
      </c>
    </row>
    <row r="1299">
      <c r="A1299" t="inlineStr">
        <is>
          <t>E2</t>
        </is>
      </c>
      <c r="B1299" t="inlineStr">
        <is>
          <t>Multicloud</t>
        </is>
      </c>
      <c r="C1299" t="inlineStr">
        <is>
          <t>Harness Cloud Cost Management</t>
        </is>
      </c>
      <c r="D1299" t="inlineStr">
        <is>
          <t>Visibilidad</t>
        </is>
      </c>
      <c r="E1299" t="inlineStr">
        <is>
          <t>V2</t>
        </is>
      </c>
      <c r="F1299" t="inlineStr">
        <is>
          <t>¿Permite rastrear un total hasta registros o fuente de facturación?</t>
        </is>
      </c>
      <c r="G1299" t="inlineStr">
        <is>
          <t>NE</t>
        </is>
      </c>
      <c r="H1299" t="inlineStr">
        <is>
          <t>Pendiente</t>
        </is>
      </c>
      <c r="I1299" t="inlineStr">
        <is>
          <t>No se encontro documentacion oficial sobre trazabilidad o reconciliacion de un total hasta los registros de facturacion del proveedor.</t>
        </is>
      </c>
      <c r="L1299" t="inlineStr">
        <is>
          <t>Alternativa adicional incorporada en FP-180 (2026-09-16) desde el registro de FP-126 y la auditoria de FP-179.</t>
        </is>
      </c>
    </row>
    <row r="1300">
      <c r="A1300" t="inlineStr">
        <is>
          <t>E2</t>
        </is>
      </c>
      <c r="B1300" t="inlineStr">
        <is>
          <t>Multicloud</t>
        </is>
      </c>
      <c r="C1300" t="inlineStr">
        <is>
          <t>Harness Cloud Cost Management</t>
        </is>
      </c>
      <c r="D1300" t="inlineStr">
        <is>
          <t>Asignacion</t>
        </is>
      </c>
      <c r="E1300" t="inlineStr">
        <is>
          <t>A1</t>
        </is>
      </c>
      <c r="F1300" t="inlineStr">
        <is>
          <t>¿Calcula gasto asignado/no asignado por responsable, centro o entidad?</t>
        </is>
      </c>
      <c r="G1300" t="n">
        <v>2</v>
      </c>
      <c r="H1300" t="inlineStr">
        <is>
          <t>Oficial</t>
        </is>
      </c>
      <c r="I1300" t="inlineStr">
        <is>
          <t>Las Cost Categories «enable you to use cost data across multiple sources and attribute it to business contexts», que es atribucion por entidad organizacional con reglas definidas.</t>
        </is>
      </c>
      <c r="J1300" t="inlineStr">
        <is>
          <t>https://developer.harness.io/docs/cloud-cost-management/get-started/overview/</t>
        </is>
      </c>
      <c r="K1300" t="inlineStr">
        <is>
          <t>2026-09-16</t>
        </is>
      </c>
      <c r="L1300" t="inlineStr">
        <is>
          <t>Alternativa adicional incorporada en FP-180 (2026-09-16) desde el registro de FP-126 y la auditoria de FP-179.</t>
        </is>
      </c>
    </row>
    <row r="1301">
      <c r="A1301" t="inlineStr">
        <is>
          <t>E2</t>
        </is>
      </c>
      <c r="B1301" t="inlineStr">
        <is>
          <t>Multicloud</t>
        </is>
      </c>
      <c r="C1301" t="inlineStr">
        <is>
          <t>Harness Cloud Cost Management</t>
        </is>
      </c>
      <c r="D1301" t="inlineStr">
        <is>
          <t>Asignacion</t>
        </is>
      </c>
      <c r="E1301" t="inlineStr">
        <is>
          <t>A2</t>
        </is>
      </c>
      <c r="F1301" t="inlineStr">
        <is>
          <t>¿Explicita y aplica reglas para costo compartido/multi-tenant?</t>
        </is>
      </c>
      <c r="G1301" t="inlineStr">
        <is>
          <t>NE</t>
        </is>
      </c>
      <c r="H1301" t="inlineStr">
        <is>
          <t>Pendiente</t>
        </is>
      </c>
      <c r="I1301" t="inlineStr">
        <is>
          <t>No se encontro documentacion oficial de reglas de reparto de costo compartido o multi-tenant.</t>
        </is>
      </c>
      <c r="L1301" t="inlineStr">
        <is>
          <t>Alternativa adicional incorporada en FP-180 (2026-09-16) desde el registro de FP-126 y la auditoria de FP-179.</t>
        </is>
      </c>
    </row>
    <row r="1302">
      <c r="A1302" t="inlineStr">
        <is>
          <t>E2</t>
        </is>
      </c>
      <c r="B1302" t="inlineStr">
        <is>
          <t>Multicloud</t>
        </is>
      </c>
      <c r="C1302" t="inlineStr">
        <is>
          <t>Harness Cloud Cost Management</t>
        </is>
      </c>
      <c r="D1302" t="inlineStr">
        <is>
          <t>Optimizacion</t>
        </is>
      </c>
      <c r="E1302" t="inlineStr">
        <is>
          <t>O1</t>
        </is>
      </c>
      <c r="F1302" t="inlineStr">
        <is>
          <t>¿Detecta desperdicio, rightsizing o compromiso relevante al escenario?</t>
        </is>
      </c>
      <c r="G1302" t="n">
        <v>2</v>
      </c>
      <c r="H1302" t="inlineStr">
        <is>
          <t>Oficial</t>
        </is>
      </c>
      <c r="I1302" t="inlineStr">
        <is>
          <t>La deteccion de anomalias es «ML-powered detection of unusual spending patterns with configurable sensitivity», con modelo de series de tiempo sobre 42 dias de historico, y AutoStopping identifica recursos ociosos.</t>
        </is>
      </c>
      <c r="J1302" t="inlineStr">
        <is>
          <t>https://developer.harness.io/docs/cloud-cost-management/cost-governance/anomalies/getting-started-with-ccm-anomaly-detection</t>
        </is>
      </c>
      <c r="K1302" t="inlineStr">
        <is>
          <t>2026-09-16</t>
        </is>
      </c>
      <c r="L1302" t="inlineStr">
        <is>
          <t>Alternativa adicional incorporada en FP-180 (2026-09-16) desde el registro de FP-126 y la auditoria de FP-179.</t>
        </is>
      </c>
    </row>
    <row r="1303">
      <c r="A1303" t="inlineStr">
        <is>
          <t>E2</t>
        </is>
      </c>
      <c r="B1303" t="inlineStr">
        <is>
          <t>Multicloud</t>
        </is>
      </c>
      <c r="C1303" t="inlineStr">
        <is>
          <t>Harness Cloud Cost Management</t>
        </is>
      </c>
      <c r="D1303" t="inlineStr">
        <is>
          <t>Optimizacion</t>
        </is>
      </c>
      <c r="E1303" t="inlineStr">
        <is>
          <t>O2</t>
        </is>
      </c>
      <c r="F1303" t="inlineStr">
        <is>
          <t>¿Explica supuesto/impacto y permite seguir una recomendación?</t>
        </is>
      </c>
      <c r="G1303" t="inlineStr">
        <is>
          <t>NE</t>
        </is>
      </c>
      <c r="H1303" t="inlineStr">
        <is>
          <t>Pendiente</t>
        </is>
      </c>
      <c r="I1303" t="inlineStr">
        <is>
          <t>No se encontro documentacion del ciclo de explicacion de impacto y seguimiento del ahorro realizado por recomendacion.</t>
        </is>
      </c>
      <c r="L1303" t="inlineStr">
        <is>
          <t>Alternativa adicional incorporada en FP-180 (2026-09-16) desde el registro de FP-126 y la auditoria de FP-179.</t>
        </is>
      </c>
    </row>
    <row r="1304">
      <c r="A1304" t="inlineStr">
        <is>
          <t>E2</t>
        </is>
      </c>
      <c r="B1304" t="inlineStr">
        <is>
          <t>Multicloud</t>
        </is>
      </c>
      <c r="C1304" t="inlineStr">
        <is>
          <t>Harness Cloud Cost Management</t>
        </is>
      </c>
      <c r="D1304" t="inlineStr">
        <is>
          <t>Automatizacion</t>
        </is>
      </c>
      <c r="E1304" t="inlineStr">
        <is>
          <t>AU1</t>
        </is>
      </c>
      <c r="F1304" t="inlineStr">
        <is>
          <t>¿Ejecuta o bloquea acciones/políticas de costo con control verificable?</t>
        </is>
      </c>
      <c r="G1304" t="n">
        <v>2</v>
      </c>
      <c r="H1304" t="inlineStr">
        <is>
          <t>Oficial</t>
        </is>
      </c>
      <c r="I1304" t="inlineStr">
        <is>
          <t>AutoStopping «automatically stops idle non-production resources based on traffic or schedules» y soporta EC2, ECS, RDS, maquinas virtuales de Azure y clusteres GKE: es ejecucion automatizada, no solo recomendacion.</t>
        </is>
      </c>
      <c r="J1304" t="inlineStr">
        <is>
          <t>https://developer.harness.io/docs/cloud-cost-management/get-started/overview/</t>
        </is>
      </c>
      <c r="K1304" t="inlineStr">
        <is>
          <t>2026-09-16</t>
        </is>
      </c>
      <c r="L1304" t="inlineStr">
        <is>
          <t>Alternativa adicional incorporada en FP-180 (2026-09-16) desde el registro de FP-126 y la auditoria de FP-179.</t>
        </is>
      </c>
    </row>
    <row r="1305">
      <c r="A1305" t="inlineStr">
        <is>
          <t>E2</t>
        </is>
      </c>
      <c r="B1305" t="inlineStr">
        <is>
          <t>Multicloud</t>
        </is>
      </c>
      <c r="C1305" t="inlineStr">
        <is>
          <t>Harness Cloud Cost Management</t>
        </is>
      </c>
      <c r="D1305" t="inlineStr">
        <is>
          <t>Automatizacion</t>
        </is>
      </c>
      <c r="E1305" t="inlineStr">
        <is>
          <t>AU2</t>
        </is>
      </c>
      <c r="F1305" t="inlineStr">
        <is>
          <t>¿Ofrece aprobación, reversión, registro o límites antes de actuar?</t>
        </is>
      </c>
      <c r="G1305" t="inlineStr">
        <is>
          <t>NE</t>
        </is>
      </c>
      <c r="H1305" t="inlineStr">
        <is>
          <t>Pendiente</t>
        </is>
      </c>
      <c r="I1305" t="inlineStr">
        <is>
          <t>No se encontro documentacion oficial de aprobacion, reversion o limites previos a la ejecucion automatica.</t>
        </is>
      </c>
      <c r="L1305" t="inlineStr">
        <is>
          <t>Alternativa adicional incorporada en FP-180 (2026-09-16) desde el registro de FP-126 y la auditoria de FP-179.</t>
        </is>
      </c>
    </row>
    <row r="1306">
      <c r="A1306" t="inlineStr">
        <is>
          <t>E2</t>
        </is>
      </c>
      <c r="B1306" t="inlineStr">
        <is>
          <t>Multicloud</t>
        </is>
      </c>
      <c r="C1306" t="inlineStr">
        <is>
          <t>Harness Cloud Cost Management</t>
        </is>
      </c>
      <c r="D1306" t="inlineStr">
        <is>
          <t>Multicloud</t>
        </is>
      </c>
      <c r="E1306" t="inlineStr">
        <is>
          <t>M1</t>
        </is>
      </c>
      <c r="F1306" t="inlineStr">
        <is>
          <t>¿Consolida al menos dos proveedores bajo el mismo esquema declarado?</t>
        </is>
      </c>
      <c r="G1306" t="n">
        <v>2</v>
      </c>
      <c r="H1306" t="inlineStr">
        <is>
          <t>Oficial</t>
        </is>
      </c>
      <c r="I1306" t="inlineStr">
        <is>
          <t>La documentacion tecnica declara cobertura simultanea de varios proveedores: AutoStopping «supports EC2, ECS, RDS, Azure VMs, and GKE clusters», y las Cost Categories operan «across multiple sources».</t>
        </is>
      </c>
      <c r="J1306" t="inlineStr">
        <is>
          <t>https://developer.harness.io/docs/cloud-cost-management/get-started/overview/</t>
        </is>
      </c>
      <c r="K1306" t="inlineStr">
        <is>
          <t>2026-09-16</t>
        </is>
      </c>
      <c r="L1306" t="inlineStr">
        <is>
          <t>Alternativa adicional incorporada en FP-180 (2026-09-16) desde el registro de FP-126 y la auditoria de FP-179.</t>
        </is>
      </c>
    </row>
    <row r="1307">
      <c r="A1307" t="inlineStr">
        <is>
          <t>E2</t>
        </is>
      </c>
      <c r="B1307" t="inlineStr">
        <is>
          <t>Multicloud</t>
        </is>
      </c>
      <c r="C1307" t="inlineStr">
        <is>
          <t>Harness Cloud Cost Management</t>
        </is>
      </c>
      <c r="D1307" t="inlineStr">
        <is>
          <t>Multicloud</t>
        </is>
      </c>
      <c r="E1307" t="inlineStr">
        <is>
          <t>M2</t>
        </is>
      </c>
      <c r="F1307" t="inlineStr">
        <is>
          <t>¿Hace visibles proveedor, cobertura y diferencias semánticas?</t>
        </is>
      </c>
      <c r="G1307" t="inlineStr">
        <is>
          <t>NE</t>
        </is>
      </c>
      <c r="H1307" t="inlineStr">
        <is>
          <t>Pendiente</t>
        </is>
      </c>
      <c r="I1307" t="inlineStr">
        <is>
          <t>No se encontro documentacion de normalizacion ni de diferencias semanticas declaradas entre proveedores.</t>
        </is>
      </c>
      <c r="L1307" t="inlineStr">
        <is>
          <t>Alternativa adicional incorporada en FP-180 (2026-09-16) desde el registro de FP-126 y la auditoria de FP-179.</t>
        </is>
      </c>
    </row>
    <row r="1308">
      <c r="A1308" t="inlineStr">
        <is>
          <t>E2</t>
        </is>
      </c>
      <c r="B1308" t="inlineStr">
        <is>
          <t>Multicloud</t>
        </is>
      </c>
      <c r="C1308" t="inlineStr">
        <is>
          <t>Harness Cloud Cost Management</t>
        </is>
      </c>
      <c r="D1308" t="inlineStr">
        <is>
          <t>Integracion</t>
        </is>
      </c>
      <c r="E1308" t="inlineStr">
        <is>
          <t>I1</t>
        </is>
      </c>
      <c r="F1308" t="inlineStr">
        <is>
          <t>¿Integra datos requeridos (facturación, uso, clúster o IaC) del escenario?</t>
        </is>
      </c>
      <c r="G1308" t="n">
        <v>2</v>
      </c>
      <c r="H1308" t="inlineStr">
        <is>
          <t>Oficial</t>
        </is>
      </c>
      <c r="I1308" t="inlineStr">
        <is>
          <t>La plataforma ingiere datos de costo de multiples proveedores para construir Perspectives y Cost Categories, y opera sobre recursos de AWS, Azure y GCP.</t>
        </is>
      </c>
      <c r="J1308" t="inlineStr">
        <is>
          <t>https://developer.harness.io/docs/cloud-cost-management/</t>
        </is>
      </c>
      <c r="K1308" t="inlineStr">
        <is>
          <t>2026-09-16</t>
        </is>
      </c>
      <c r="L1308" t="inlineStr">
        <is>
          <t>Alternativa adicional incorporada en FP-180 (2026-09-16) desde el registro de FP-126 y la auditoria de FP-179.</t>
        </is>
      </c>
    </row>
    <row r="1309">
      <c r="A1309" t="inlineStr">
        <is>
          <t>E2</t>
        </is>
      </c>
      <c r="B1309" t="inlineStr">
        <is>
          <t>Multicloud</t>
        </is>
      </c>
      <c r="C1309" t="inlineStr">
        <is>
          <t>Harness Cloud Cost Management</t>
        </is>
      </c>
      <c r="D1309" t="inlineStr">
        <is>
          <t>Integracion</t>
        </is>
      </c>
      <c r="E1309" t="inlineStr">
        <is>
          <t>I2</t>
        </is>
      </c>
      <c r="F1309" t="inlineStr">
        <is>
          <t>¿Se integra con el flujo de trabajo relevante (alerta, ticket, CI/CD o reporte)?</t>
        </is>
      </c>
      <c r="G1309" t="n">
        <v>2</v>
      </c>
      <c r="H1309" t="inlineStr">
        <is>
          <t>Oficial</t>
        </is>
      </c>
      <c r="I1309" t="inlineStr">
        <is>
          <t>La deteccion de anomalias incluye «automated alerts to catch cost spikes early» y gestion de estado (Active, Resolved, Archived); Asset Governance permite gestionar el gasto «using asset governance rules and budgets».</t>
        </is>
      </c>
      <c r="J1309" t="inlineStr">
        <is>
          <t>https://developer.harness.io/docs/cloud-cost-management/cost-governance/anomalies/getting-started-with-ccm-anomaly-detection</t>
        </is>
      </c>
      <c r="K1309" t="inlineStr">
        <is>
          <t>2026-09-16</t>
        </is>
      </c>
      <c r="L1309" t="inlineStr">
        <is>
          <t>Alternativa adicional incorporada en FP-180 (2026-09-16) desde el registro de FP-126 y la auditoria de FP-179.</t>
        </is>
      </c>
    </row>
    <row r="1310">
      <c r="A1310" t="inlineStr">
        <is>
          <t>E2</t>
        </is>
      </c>
      <c r="B1310" t="inlineStr">
        <is>
          <t>Multicloud</t>
        </is>
      </c>
      <c r="C1310" t="inlineStr">
        <is>
          <t>Harness Cloud Cost Management</t>
        </is>
      </c>
      <c r="D1310" t="inlineStr">
        <is>
          <t>Adopcion</t>
        </is>
      </c>
      <c r="E1310" t="inlineStr">
        <is>
          <t>AD1</t>
        </is>
      </c>
      <c r="F1310" t="inlineStr">
        <is>
          <t>¿Soporta acceso/entrega para los roles del escenario?</t>
        </is>
      </c>
      <c r="G1310" t="inlineStr">
        <is>
          <t>NE</t>
        </is>
      </c>
      <c r="H1310" t="inlineStr">
        <is>
          <t>Pendiente</t>
        </is>
      </c>
      <c r="I1310" t="inlineStr">
        <is>
          <t>No se encontro documentacion oficial de roles y accesos por perfil para el escenario multinube.</t>
        </is>
      </c>
      <c r="L1310" t="inlineStr">
        <is>
          <t>Alternativa adicional incorporada en FP-180 (2026-09-16) desde el registro de FP-126 y la auditoria de FP-179.</t>
        </is>
      </c>
    </row>
    <row r="1311">
      <c r="A1311" t="inlineStr">
        <is>
          <t>E2</t>
        </is>
      </c>
      <c r="B1311" t="inlineStr">
        <is>
          <t>Multicloud</t>
        </is>
      </c>
      <c r="C1311" t="inlineStr">
        <is>
          <t>Harness Cloud Cost Management</t>
        </is>
      </c>
      <c r="D1311" t="inlineStr">
        <is>
          <t>Adopcion</t>
        </is>
      </c>
      <c r="E1311" t="inlineStr">
        <is>
          <t>AD2</t>
        </is>
      </c>
      <c r="F1311" t="inlineStr">
        <is>
          <t>¿Ofrece guías, ownership o mecanismos de seguimiento para uso sostenido?</t>
        </is>
      </c>
      <c r="G1311" t="inlineStr">
        <is>
          <t>NE</t>
        </is>
      </c>
      <c r="H1311" t="inlineStr">
        <is>
          <t>Pendiente</t>
        </is>
      </c>
      <c r="I1311" t="inlineStr">
        <is>
          <t>No se encontro guia oficial de habilitacion, ownership o medicion de adopcion sostenida.</t>
        </is>
      </c>
      <c r="L1311" t="inlineStr">
        <is>
          <t>Alternativa adicional incorporada en FP-180 (2026-09-16) desde el registro de FP-126 y la auditoria de FP-179.</t>
        </is>
      </c>
    </row>
    <row r="1312">
      <c r="A1312" t="inlineStr">
        <is>
          <t>E2</t>
        </is>
      </c>
      <c r="B1312" t="inlineStr">
        <is>
          <t>Multicloud</t>
        </is>
      </c>
      <c r="C1312" t="inlineStr">
        <is>
          <t>Harness Cloud Cost Management</t>
        </is>
      </c>
      <c r="D1312" t="inlineStr">
        <is>
          <t>Precio</t>
        </is>
      </c>
      <c r="E1312" t="inlineStr">
        <is>
          <t>P1</t>
        </is>
      </c>
      <c r="F1312" t="inlineStr">
        <is>
          <t>¿Expone precio, moneda, región, unidad, período y supuestos relevantes?</t>
        </is>
      </c>
      <c r="G1312" t="inlineStr">
        <is>
          <t>NE</t>
        </is>
      </c>
      <c r="H1312" t="inlineStr">
        <is>
          <t>Pendiente</t>
        </is>
      </c>
      <c r="I1312" t="inlineStr">
        <is>
          <t>No se encontro documentacion sobre exposicion de precio, moneda, region, unidad y supuestos de los costos analizados.</t>
        </is>
      </c>
      <c r="L1312" t="inlineStr">
        <is>
          <t>Alternativa adicional incorporada en FP-180 (2026-09-16) desde el registro de FP-126 y la auditoria de FP-179.</t>
        </is>
      </c>
    </row>
    <row r="1313">
      <c r="A1313" t="inlineStr">
        <is>
          <t>E2</t>
        </is>
      </c>
      <c r="B1313" t="inlineStr">
        <is>
          <t>Multicloud</t>
        </is>
      </c>
      <c r="C1313" t="inlineStr">
        <is>
          <t>Harness Cloud Cost Management</t>
        </is>
      </c>
      <c r="D1313" t="inlineStr">
        <is>
          <t>Precio</t>
        </is>
      </c>
      <c r="E1313" t="inlineStr">
        <is>
          <t>P2</t>
        </is>
      </c>
      <c r="F1313" t="inlineStr">
        <is>
          <t>¿Permite estimar o comparar componentes sin ocultar límites de equivalencia?</t>
        </is>
      </c>
      <c r="G1313" t="inlineStr">
        <is>
          <t>NE</t>
        </is>
      </c>
      <c r="H1313" t="inlineStr">
        <is>
          <t>Pendiente</t>
        </is>
      </c>
      <c r="I1313" t="inlineStr">
        <is>
          <t>No se encontro documentacion de estimacion o comparacion contextual de componentes de precio.</t>
        </is>
      </c>
      <c r="L1313" t="inlineStr">
        <is>
          <t>Alternativa adicional incorporada en FP-180 (2026-09-16) desde el registro de FP-126 y la auditoria de FP-179.</t>
        </is>
      </c>
    </row>
    <row r="1314">
      <c r="A1314" t="inlineStr">
        <is>
          <t>E2</t>
        </is>
      </c>
      <c r="B1314" t="inlineStr">
        <is>
          <t>Multicloud</t>
        </is>
      </c>
      <c r="C1314" t="inlineStr">
        <is>
          <t>Harness Cloud Cost Management</t>
        </is>
      </c>
      <c r="D1314" t="inlineStr">
        <is>
          <t>Dependencia</t>
        </is>
      </c>
      <c r="E1314" t="inlineStr">
        <is>
          <t>D1</t>
        </is>
      </c>
      <c r="F1314" t="inlineStr">
        <is>
          <t>¿Exporta datos/resultados en formato utilizable y documentado?</t>
        </is>
      </c>
      <c r="G1314" t="inlineStr">
        <is>
          <t>NE</t>
        </is>
      </c>
      <c r="H1314" t="inlineStr">
        <is>
          <t>Pendiente</t>
        </is>
      </c>
      <c r="I1314" t="inlineStr">
        <is>
          <t>No se encontro documentacion oficial de exportacion o API de salida de los datos de costo.</t>
        </is>
      </c>
      <c r="L1314" t="inlineStr">
        <is>
          <t>Alternativa adicional incorporada en FP-180 (2026-09-16) desde el registro de FP-126 y la auditoria de FP-179.</t>
        </is>
      </c>
    </row>
    <row r="1315">
      <c r="A1315" t="inlineStr">
        <is>
          <t>E2</t>
        </is>
      </c>
      <c r="B1315" t="inlineStr">
        <is>
          <t>Multicloud</t>
        </is>
      </c>
      <c r="C1315" t="inlineStr">
        <is>
          <t>Harness Cloud Cost Management</t>
        </is>
      </c>
      <c r="D1315" t="inlineStr">
        <is>
          <t>Dependencia</t>
        </is>
      </c>
      <c r="E1315" t="inlineStr">
        <is>
          <t>D2</t>
        </is>
      </c>
      <c r="F1315" t="inlineStr">
        <is>
          <t>¿Documenta dependencias propietarias y un camino de salida/configuración reversible?</t>
        </is>
      </c>
      <c r="G1315" t="inlineStr">
        <is>
          <t>NE</t>
        </is>
      </c>
      <c r="H1315" t="inlineStr">
        <is>
          <t>Pendiente</t>
        </is>
      </c>
      <c r="I1315" t="inlineStr">
        <is>
          <t>No se encontro documentacion sobre dependencias propietarias ni camino de salida.</t>
        </is>
      </c>
      <c r="L1315" t="inlineStr">
        <is>
          <t>Alternativa adicional incorporada en FP-180 (2026-09-16) desde el registro de FP-126 y la auditoria de FP-179.</t>
        </is>
      </c>
    </row>
    <row r="1316">
      <c r="A1316" t="inlineStr">
        <is>
          <t>E5</t>
        </is>
      </c>
      <c r="B1316" t="inlineStr">
        <is>
          <t>Multicloud</t>
        </is>
      </c>
      <c r="C1316" t="inlineStr">
        <is>
          <t>Harness Cloud Cost Management</t>
        </is>
      </c>
      <c r="D1316" t="inlineStr">
        <is>
          <t>Visibilidad</t>
        </is>
      </c>
      <c r="E1316" t="inlineStr">
        <is>
          <t>V1</t>
        </is>
      </c>
      <c r="F1316" t="inlineStr">
        <is>
          <t>¿Desagrega costo y uso por cuenta/proyecto, servicio y período?</t>
        </is>
      </c>
      <c r="G1316" t="n">
        <v>2</v>
      </c>
      <c r="H1316" t="inlineStr">
        <is>
          <t>Oficial</t>
        </is>
      </c>
      <c r="I1316" t="inlineStr">
        <is>
          <t>Las Perspectives permiten «group resources by what matters most to your business and create tailored views for engineering, finance, or leadership, all in one powerful, shareable dashboard».</t>
        </is>
      </c>
      <c r="J1316" t="inlineStr">
        <is>
          <t>https://developer.harness.io/docs/cloud-cost-management/get-started/overview/</t>
        </is>
      </c>
      <c r="K1316" t="inlineStr">
        <is>
          <t>2026-09-16</t>
        </is>
      </c>
      <c r="L1316" t="inlineStr">
        <is>
          <t>Alternativa adicional incorporada en FP-180 (2026-09-16) desde el registro de FP-126 y la auditoria de FP-179. | Escenario ancla del producto: E2.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317">
      <c r="A1317" t="inlineStr">
        <is>
          <t>E5</t>
        </is>
      </c>
      <c r="B1317" t="inlineStr">
        <is>
          <t>Multicloud</t>
        </is>
      </c>
      <c r="C1317" t="inlineStr">
        <is>
          <t>Harness Cloud Cost Management</t>
        </is>
      </c>
      <c r="D1317" t="inlineStr">
        <is>
          <t>Visibilidad</t>
        </is>
      </c>
      <c r="E1317" t="inlineStr">
        <is>
          <t>V2</t>
        </is>
      </c>
      <c r="F1317" t="inlineStr">
        <is>
          <t>¿Permite rastrear un total hasta registros o fuente de facturación?</t>
        </is>
      </c>
      <c r="G1317" t="inlineStr">
        <is>
          <t>NE</t>
        </is>
      </c>
      <c r="H1317" t="inlineStr">
        <is>
          <t>Pendiente</t>
        </is>
      </c>
      <c r="I1317" t="inlineStr">
        <is>
          <t>No se encontro documentacion oficial sobre trazabilidad o reconciliacion de un total hasta los registros de facturacion del proveedor.</t>
        </is>
      </c>
      <c r="L1317" t="inlineStr">
        <is>
          <t>Alternativa adicional incorporada en FP-180 (2026-09-16) desde el registro de FP-126 y la auditoria de FP-179.</t>
        </is>
      </c>
    </row>
    <row r="1318">
      <c r="A1318" t="inlineStr">
        <is>
          <t>E5</t>
        </is>
      </c>
      <c r="B1318" t="inlineStr">
        <is>
          <t>Multicloud</t>
        </is>
      </c>
      <c r="C1318" t="inlineStr">
        <is>
          <t>Harness Cloud Cost Management</t>
        </is>
      </c>
      <c r="D1318" t="inlineStr">
        <is>
          <t>Asignacion</t>
        </is>
      </c>
      <c r="E1318" t="inlineStr">
        <is>
          <t>A1</t>
        </is>
      </c>
      <c r="F1318" t="inlineStr">
        <is>
          <t>¿Calcula gasto asignado/no asignado por responsable, centro o entidad?</t>
        </is>
      </c>
      <c r="G1318" t="n">
        <v>2</v>
      </c>
      <c r="H1318" t="inlineStr">
        <is>
          <t>Oficial</t>
        </is>
      </c>
      <c r="I1318" t="inlineStr">
        <is>
          <t>Las Cost Categories «enable you to use cost data across multiple sources and attribute it to business contexts», que es atribucion por entidad organizacional con reglas definidas.</t>
        </is>
      </c>
      <c r="J1318" t="inlineStr">
        <is>
          <t>https://developer.harness.io/docs/cloud-cost-management/get-started/overview/</t>
        </is>
      </c>
      <c r="K1318" t="inlineStr">
        <is>
          <t>2026-09-16</t>
        </is>
      </c>
      <c r="L1318" t="inlineStr">
        <is>
          <t>Alternativa adicional incorporada en FP-180 (2026-09-16) desde el registro de FP-126 y la auditoria de FP-179. | Escenario ancla del producto: E2.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319">
      <c r="A1319" t="inlineStr">
        <is>
          <t>E5</t>
        </is>
      </c>
      <c r="B1319" t="inlineStr">
        <is>
          <t>Multicloud</t>
        </is>
      </c>
      <c r="C1319" t="inlineStr">
        <is>
          <t>Harness Cloud Cost Management</t>
        </is>
      </c>
      <c r="D1319" t="inlineStr">
        <is>
          <t>Asignacion</t>
        </is>
      </c>
      <c r="E1319" t="inlineStr">
        <is>
          <t>A2</t>
        </is>
      </c>
      <c r="F1319" t="inlineStr">
        <is>
          <t>¿Explicita y aplica reglas para costo compartido/multi-tenant?</t>
        </is>
      </c>
      <c r="G1319" t="inlineStr">
        <is>
          <t>NE</t>
        </is>
      </c>
      <c r="H1319" t="inlineStr">
        <is>
          <t>Pendiente</t>
        </is>
      </c>
      <c r="I1319" t="inlineStr">
        <is>
          <t>Pendiente de investigacion propia del escenario: el indicador depende del escenario y la evidencia recogida corresponde al escenario ancla del producto.</t>
        </is>
      </c>
      <c r="L1319" t="inlineStr">
        <is>
          <t>Alternativa adicional incorporada en FP-180 (2026-09-16) desde el registro de FP-126 y la auditoria de FP-179. | Escenario ancla del producto: E2.</t>
        </is>
      </c>
    </row>
    <row r="1320">
      <c r="A1320" t="inlineStr">
        <is>
          <t>E5</t>
        </is>
      </c>
      <c r="B1320" t="inlineStr">
        <is>
          <t>Multicloud</t>
        </is>
      </c>
      <c r="C1320" t="inlineStr">
        <is>
          <t>Harness Cloud Cost Management</t>
        </is>
      </c>
      <c r="D1320" t="inlineStr">
        <is>
          <t>Optimizacion</t>
        </is>
      </c>
      <c r="E1320" t="inlineStr">
        <is>
          <t>O1</t>
        </is>
      </c>
      <c r="F1320" t="inlineStr">
        <is>
          <t>¿Detecta desperdicio, rightsizing o compromiso relevante al escenario?</t>
        </is>
      </c>
      <c r="G1320" t="n">
        <v>2</v>
      </c>
      <c r="H1320" t="inlineStr">
        <is>
          <t>Oficial</t>
        </is>
      </c>
      <c r="I1320" t="inlineStr">
        <is>
          <t>La deteccion de anomalias es «ML-powered detection of unusual spending patterns with configurable sensitivity», con modelo de series de tiempo sobre 42 dias de historico, y AutoStopping identifica recursos ociosos.</t>
        </is>
      </c>
      <c r="J1320" t="inlineStr">
        <is>
          <t>https://developer.harness.io/docs/cloud-cost-management/cost-governance/anomalies/getting-started-with-ccm-anomaly-detection</t>
        </is>
      </c>
      <c r="K1320" t="inlineStr">
        <is>
          <t>2026-09-16</t>
        </is>
      </c>
      <c r="L1320" t="inlineStr">
        <is>
          <t>Alternativa adicional incorporada en FP-180 (2026-09-16) desde el registro de FP-126 y la auditoria de FP-179. | Escenario ancla del producto: E2.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321">
      <c r="A1321" t="inlineStr">
        <is>
          <t>E5</t>
        </is>
      </c>
      <c r="B1321" t="inlineStr">
        <is>
          <t>Multicloud</t>
        </is>
      </c>
      <c r="C1321" t="inlineStr">
        <is>
          <t>Harness Cloud Cost Management</t>
        </is>
      </c>
      <c r="D1321" t="inlineStr">
        <is>
          <t>Optimizacion</t>
        </is>
      </c>
      <c r="E1321" t="inlineStr">
        <is>
          <t>O2</t>
        </is>
      </c>
      <c r="F1321" t="inlineStr">
        <is>
          <t>¿Explica supuesto/impacto y permite seguir una recomendación?</t>
        </is>
      </c>
      <c r="G1321" t="inlineStr">
        <is>
          <t>NE</t>
        </is>
      </c>
      <c r="H1321" t="inlineStr">
        <is>
          <t>Pendiente</t>
        </is>
      </c>
      <c r="I1321" t="inlineStr">
        <is>
          <t>No se encontro documentacion del ciclo de explicacion de impacto y seguimiento del ahorro realizado por recomendacion.</t>
        </is>
      </c>
      <c r="L1321" t="inlineStr">
        <is>
          <t>Alternativa adicional incorporada en FP-180 (2026-09-16) desde el registro de FP-126 y la auditoria de FP-179.</t>
        </is>
      </c>
    </row>
    <row r="1322">
      <c r="A1322" t="inlineStr">
        <is>
          <t>E5</t>
        </is>
      </c>
      <c r="B1322" t="inlineStr">
        <is>
          <t>Multicloud</t>
        </is>
      </c>
      <c r="C1322" t="inlineStr">
        <is>
          <t>Harness Cloud Cost Management</t>
        </is>
      </c>
      <c r="D1322" t="inlineStr">
        <is>
          <t>Automatizacion</t>
        </is>
      </c>
      <c r="E1322" t="inlineStr">
        <is>
          <t>AU1</t>
        </is>
      </c>
      <c r="F1322" t="inlineStr">
        <is>
          <t>¿Ejecuta o bloquea acciones/políticas de costo con control verificable?</t>
        </is>
      </c>
      <c r="G1322" t="n">
        <v>2</v>
      </c>
      <c r="H1322" t="inlineStr">
        <is>
          <t>Oficial</t>
        </is>
      </c>
      <c r="I1322" t="inlineStr">
        <is>
          <t>AutoStopping «automatically stops idle non-production resources based on traffic or schedules» y soporta EC2, ECS, RDS, maquinas virtuales de Azure y clusteres GKE: es ejecucion automatizada, no solo recomendacion.</t>
        </is>
      </c>
      <c r="J1322" t="inlineStr">
        <is>
          <t>https://developer.harness.io/docs/cloud-cost-management/get-started/overview/</t>
        </is>
      </c>
      <c r="K1322" t="inlineStr">
        <is>
          <t>2026-09-16</t>
        </is>
      </c>
      <c r="L1322" t="inlineStr">
        <is>
          <t>Alternativa adicional incorporada en FP-180 (2026-09-16) desde el registro de FP-126 y la auditoria de FP-179. | Escenario ancla del producto: E2.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323">
      <c r="A1323" t="inlineStr">
        <is>
          <t>E5</t>
        </is>
      </c>
      <c r="B1323" t="inlineStr">
        <is>
          <t>Multicloud</t>
        </is>
      </c>
      <c r="C1323" t="inlineStr">
        <is>
          <t>Harness Cloud Cost Management</t>
        </is>
      </c>
      <c r="D1323" t="inlineStr">
        <is>
          <t>Automatizacion</t>
        </is>
      </c>
      <c r="E1323" t="inlineStr">
        <is>
          <t>AU2</t>
        </is>
      </c>
      <c r="F1323" t="inlineStr">
        <is>
          <t>¿Ofrece aprobación, reversión, registro o límites antes de actuar?</t>
        </is>
      </c>
      <c r="G1323" t="inlineStr">
        <is>
          <t>NE</t>
        </is>
      </c>
      <c r="H1323" t="inlineStr">
        <is>
          <t>Pendiente</t>
        </is>
      </c>
      <c r="I1323" t="inlineStr">
        <is>
          <t>No se encontro documentacion oficial de aprobacion, reversion o limites previos a la ejecucion automatica.</t>
        </is>
      </c>
      <c r="L1323" t="inlineStr">
        <is>
          <t>Alternativa adicional incorporada en FP-180 (2026-09-16) desde el registro de FP-126 y la auditoria de FP-179.</t>
        </is>
      </c>
    </row>
    <row r="1324">
      <c r="A1324" t="inlineStr">
        <is>
          <t>E5</t>
        </is>
      </c>
      <c r="B1324" t="inlineStr">
        <is>
          <t>Multicloud</t>
        </is>
      </c>
      <c r="C1324" t="inlineStr">
        <is>
          <t>Harness Cloud Cost Management</t>
        </is>
      </c>
      <c r="D1324" t="inlineStr">
        <is>
          <t>Multicloud</t>
        </is>
      </c>
      <c r="E1324" t="inlineStr">
        <is>
          <t>M1</t>
        </is>
      </c>
      <c r="F1324" t="inlineStr">
        <is>
          <t>¿Consolida al menos dos proveedores bajo el mismo esquema declarado?</t>
        </is>
      </c>
      <c r="G1324" t="n">
        <v>2</v>
      </c>
      <c r="H1324" t="inlineStr">
        <is>
          <t>Oficial</t>
        </is>
      </c>
      <c r="I1324" t="inlineStr">
        <is>
          <t>La documentacion tecnica declara cobertura simultanea de varios proveedores: AutoStopping «supports EC2, ECS, RDS, Azure VMs, and GKE clusters», y las Cost Categories operan «across multiple sources».</t>
        </is>
      </c>
      <c r="J1324" t="inlineStr">
        <is>
          <t>https://developer.harness.io/docs/cloud-cost-management/get-started/overview/</t>
        </is>
      </c>
      <c r="K1324" t="inlineStr">
        <is>
          <t>2026-09-16</t>
        </is>
      </c>
      <c r="L1324" t="inlineStr">
        <is>
          <t>Alternativa adicional incorporada en FP-180 (2026-09-16) desde el registro de FP-126 y la auditoria de FP-179.</t>
        </is>
      </c>
    </row>
    <row r="1325">
      <c r="A1325" t="inlineStr">
        <is>
          <t>E5</t>
        </is>
      </c>
      <c r="B1325" t="inlineStr">
        <is>
          <t>Multicloud</t>
        </is>
      </c>
      <c r="C1325" t="inlineStr">
        <is>
          <t>Harness Cloud Cost Management</t>
        </is>
      </c>
      <c r="D1325" t="inlineStr">
        <is>
          <t>Multicloud</t>
        </is>
      </c>
      <c r="E1325" t="inlineStr">
        <is>
          <t>M2</t>
        </is>
      </c>
      <c r="F1325" t="inlineStr">
        <is>
          <t>¿Hace visibles proveedor, cobertura y diferencias semánticas?</t>
        </is>
      </c>
      <c r="G1325" t="inlineStr">
        <is>
          <t>NE</t>
        </is>
      </c>
      <c r="H1325" t="inlineStr">
        <is>
          <t>Pendiente</t>
        </is>
      </c>
      <c r="I1325" t="inlineStr">
        <is>
          <t>No se encontro documentacion de normalizacion ni de diferencias semanticas declaradas entre proveedores.</t>
        </is>
      </c>
      <c r="L1325" t="inlineStr">
        <is>
          <t>Alternativa adicional incorporada en FP-180 (2026-09-16) desde el registro de FP-126 y la auditoria de FP-179.</t>
        </is>
      </c>
    </row>
    <row r="1326">
      <c r="A1326" t="inlineStr">
        <is>
          <t>E5</t>
        </is>
      </c>
      <c r="B1326" t="inlineStr">
        <is>
          <t>Multicloud</t>
        </is>
      </c>
      <c r="C1326" t="inlineStr">
        <is>
          <t>Harness Cloud Cost Management</t>
        </is>
      </c>
      <c r="D1326" t="inlineStr">
        <is>
          <t>Integracion</t>
        </is>
      </c>
      <c r="E1326" t="inlineStr">
        <is>
          <t>I1</t>
        </is>
      </c>
      <c r="F1326" t="inlineStr">
        <is>
          <t>¿Integra datos requeridos (facturación, uso, clúster o IaC) del escenario?</t>
        </is>
      </c>
      <c r="G1326" t="n">
        <v>2</v>
      </c>
      <c r="H1326" t="inlineStr">
        <is>
          <t>Oficial</t>
        </is>
      </c>
      <c r="I1326" t="inlineStr">
        <is>
          <t>La plataforma ingiere datos de costo de multiples proveedores para construir Perspectives y Cost Categories, y opera sobre recursos de AWS, Azure y GCP.</t>
        </is>
      </c>
      <c r="J1326" t="inlineStr">
        <is>
          <t>https://developer.harness.io/docs/cloud-cost-management/</t>
        </is>
      </c>
      <c r="K1326" t="inlineStr">
        <is>
          <t>2026-09-16</t>
        </is>
      </c>
      <c r="L1326" t="inlineStr">
        <is>
          <t>Alternativa adicional incorporada en FP-180 (2026-09-16) desde el registro de FP-126 y la auditoria de FP-179. | Escenario ancla del producto: E2.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327">
      <c r="A1327" t="inlineStr">
        <is>
          <t>E5</t>
        </is>
      </c>
      <c r="B1327" t="inlineStr">
        <is>
          <t>Multicloud</t>
        </is>
      </c>
      <c r="C1327" t="inlineStr">
        <is>
          <t>Harness Cloud Cost Management</t>
        </is>
      </c>
      <c r="D1327" t="inlineStr">
        <is>
          <t>Integracion</t>
        </is>
      </c>
      <c r="E1327" t="inlineStr">
        <is>
          <t>I2</t>
        </is>
      </c>
      <c r="F1327" t="inlineStr">
        <is>
          <t>¿Se integra con el flujo de trabajo relevante (alerta, ticket, CI/CD o reporte)?</t>
        </is>
      </c>
      <c r="G1327" t="n">
        <v>2</v>
      </c>
      <c r="H1327" t="inlineStr">
        <is>
          <t>Oficial</t>
        </is>
      </c>
      <c r="I1327" t="inlineStr">
        <is>
          <t>La deteccion de anomalias incluye «automated alerts to catch cost spikes early» y gestion de estado (Active, Resolved, Archived); Asset Governance permite gestionar el gasto «using asset governance rules and budgets».</t>
        </is>
      </c>
      <c r="J1327" t="inlineStr">
        <is>
          <t>https://developer.harness.io/docs/cloud-cost-management/cost-governance/anomalies/getting-started-with-ccm-anomaly-detection</t>
        </is>
      </c>
      <c r="K1327" t="inlineStr">
        <is>
          <t>2026-09-16</t>
        </is>
      </c>
      <c r="L1327" t="inlineStr">
        <is>
          <t>Alternativa adicional incorporada en FP-180 (2026-09-16) desde el registro de FP-126 y la auditoria de FP-179. | Escenario ancla del producto: E2.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328">
      <c r="A1328" t="inlineStr">
        <is>
          <t>E5</t>
        </is>
      </c>
      <c r="B1328" t="inlineStr">
        <is>
          <t>Multicloud</t>
        </is>
      </c>
      <c r="C1328" t="inlineStr">
        <is>
          <t>Harness Cloud Cost Management</t>
        </is>
      </c>
      <c r="D1328" t="inlineStr">
        <is>
          <t>Adopcion</t>
        </is>
      </c>
      <c r="E1328" t="inlineStr">
        <is>
          <t>AD1</t>
        </is>
      </c>
      <c r="F1328" t="inlineStr">
        <is>
          <t>¿Soporta acceso/entrega para los roles del escenario?</t>
        </is>
      </c>
      <c r="G1328" t="inlineStr">
        <is>
          <t>NE</t>
        </is>
      </c>
      <c r="H1328" t="inlineStr">
        <is>
          <t>Pendiente</t>
        </is>
      </c>
      <c r="I1328" t="inlineStr">
        <is>
          <t>Pendiente de investigacion propia del escenario: el indicador depende del escenario y la evidencia recogida corresponde al escenario ancla del producto.</t>
        </is>
      </c>
      <c r="L1328" t="inlineStr">
        <is>
          <t>Alternativa adicional incorporada en FP-180 (2026-09-16) desde el registro de FP-126 y la auditoria de FP-179. | Escenario ancla del producto: E2.</t>
        </is>
      </c>
    </row>
    <row r="1329">
      <c r="A1329" t="inlineStr">
        <is>
          <t>E5</t>
        </is>
      </c>
      <c r="B1329" t="inlineStr">
        <is>
          <t>Multicloud</t>
        </is>
      </c>
      <c r="C1329" t="inlineStr">
        <is>
          <t>Harness Cloud Cost Management</t>
        </is>
      </c>
      <c r="D1329" t="inlineStr">
        <is>
          <t>Adopcion</t>
        </is>
      </c>
      <c r="E1329" t="inlineStr">
        <is>
          <t>AD2</t>
        </is>
      </c>
      <c r="F1329" t="inlineStr">
        <is>
          <t>¿Ofrece guías, ownership o mecanismos de seguimiento para uso sostenido?</t>
        </is>
      </c>
      <c r="G1329" t="inlineStr">
        <is>
          <t>NE</t>
        </is>
      </c>
      <c r="H1329" t="inlineStr">
        <is>
          <t>Pendiente</t>
        </is>
      </c>
      <c r="I1329" t="inlineStr">
        <is>
          <t>No se encontro guia oficial de habilitacion, ownership o medicion de adopcion sostenida.</t>
        </is>
      </c>
      <c r="L1329" t="inlineStr">
        <is>
          <t>Alternativa adicional incorporada en FP-180 (2026-09-16) desde el registro de FP-126 y la auditoria de FP-179.</t>
        </is>
      </c>
    </row>
    <row r="1330">
      <c r="A1330" t="inlineStr">
        <is>
          <t>E5</t>
        </is>
      </c>
      <c r="B1330" t="inlineStr">
        <is>
          <t>Multicloud</t>
        </is>
      </c>
      <c r="C1330" t="inlineStr">
        <is>
          <t>Harness Cloud Cost Management</t>
        </is>
      </c>
      <c r="D1330" t="inlineStr">
        <is>
          <t>Precio</t>
        </is>
      </c>
      <c r="E1330" t="inlineStr">
        <is>
          <t>P1</t>
        </is>
      </c>
      <c r="F1330" t="inlineStr">
        <is>
          <t>¿Expone precio, moneda, región, unidad, período y supuestos relevantes?</t>
        </is>
      </c>
      <c r="G1330" t="inlineStr">
        <is>
          <t>NE</t>
        </is>
      </c>
      <c r="H1330" t="inlineStr">
        <is>
          <t>Pendiente</t>
        </is>
      </c>
      <c r="I1330" t="inlineStr">
        <is>
          <t>No se encontro documentacion sobre exposicion de precio, moneda, region, unidad y supuestos de los costos analizados.</t>
        </is>
      </c>
      <c r="L1330" t="inlineStr">
        <is>
          <t>Alternativa adicional incorporada en FP-180 (2026-09-16) desde el registro de FP-126 y la auditoria de FP-179.</t>
        </is>
      </c>
    </row>
    <row r="1331">
      <c r="A1331" t="inlineStr">
        <is>
          <t>E5</t>
        </is>
      </c>
      <c r="B1331" t="inlineStr">
        <is>
          <t>Multicloud</t>
        </is>
      </c>
      <c r="C1331" t="inlineStr">
        <is>
          <t>Harness Cloud Cost Management</t>
        </is>
      </c>
      <c r="D1331" t="inlineStr">
        <is>
          <t>Precio</t>
        </is>
      </c>
      <c r="E1331" t="inlineStr">
        <is>
          <t>P2</t>
        </is>
      </c>
      <c r="F1331" t="inlineStr">
        <is>
          <t>¿Permite estimar o comparar componentes sin ocultar límites de equivalencia?</t>
        </is>
      </c>
      <c r="G1331" t="inlineStr">
        <is>
          <t>NE</t>
        </is>
      </c>
      <c r="H1331" t="inlineStr">
        <is>
          <t>Pendiente</t>
        </is>
      </c>
      <c r="I1331" t="inlineStr">
        <is>
          <t>Pendiente de investigacion propia del escenario: el indicador depende del escenario y la evidencia recogida corresponde al escenario ancla del producto.</t>
        </is>
      </c>
      <c r="L1331" t="inlineStr">
        <is>
          <t>Alternativa adicional incorporada en FP-180 (2026-09-16) desde el registro de FP-126 y la auditoria de FP-179. | Escenario ancla del producto: E2.</t>
        </is>
      </c>
    </row>
    <row r="1332">
      <c r="A1332" t="inlineStr">
        <is>
          <t>E5</t>
        </is>
      </c>
      <c r="B1332" t="inlineStr">
        <is>
          <t>Multicloud</t>
        </is>
      </c>
      <c r="C1332" t="inlineStr">
        <is>
          <t>Harness Cloud Cost Management</t>
        </is>
      </c>
      <c r="D1332" t="inlineStr">
        <is>
          <t>Dependencia</t>
        </is>
      </c>
      <c r="E1332" t="inlineStr">
        <is>
          <t>D1</t>
        </is>
      </c>
      <c r="F1332" t="inlineStr">
        <is>
          <t>¿Exporta datos/resultados en formato utilizable y documentado?</t>
        </is>
      </c>
      <c r="G1332" t="inlineStr">
        <is>
          <t>NE</t>
        </is>
      </c>
      <c r="H1332" t="inlineStr">
        <is>
          <t>Pendiente</t>
        </is>
      </c>
      <c r="I1332" t="inlineStr">
        <is>
          <t>No se encontro documentacion oficial de exportacion o API de salida de los datos de costo.</t>
        </is>
      </c>
      <c r="L1332" t="inlineStr">
        <is>
          <t>Alternativa adicional incorporada en FP-180 (2026-09-16) desde el registro de FP-126 y la auditoria de FP-179.</t>
        </is>
      </c>
    </row>
    <row r="1333">
      <c r="A1333" t="inlineStr">
        <is>
          <t>E5</t>
        </is>
      </c>
      <c r="B1333" t="inlineStr">
        <is>
          <t>Multicloud</t>
        </is>
      </c>
      <c r="C1333" t="inlineStr">
        <is>
          <t>Harness Cloud Cost Management</t>
        </is>
      </c>
      <c r="D1333" t="inlineStr">
        <is>
          <t>Dependencia</t>
        </is>
      </c>
      <c r="E1333" t="inlineStr">
        <is>
          <t>D2</t>
        </is>
      </c>
      <c r="F1333" t="inlineStr">
        <is>
          <t>¿Documenta dependencias propietarias y un camino de salida/configuración reversible?</t>
        </is>
      </c>
      <c r="G1333" t="inlineStr">
        <is>
          <t>NE</t>
        </is>
      </c>
      <c r="H1333" t="inlineStr">
        <is>
          <t>Pendiente</t>
        </is>
      </c>
      <c r="I1333" t="inlineStr">
        <is>
          <t>No se encontro documentacion sobre dependencias propietarias ni camino de salida.</t>
        </is>
      </c>
      <c r="L1333" t="inlineStr">
        <is>
          <t>Alternativa adicional incorporada en FP-180 (2026-09-16) desde el registro de FP-126 y la auditoria de FP-179.</t>
        </is>
      </c>
    </row>
    <row r="1334">
      <c r="A1334" t="inlineStr">
        <is>
          <t>E6</t>
        </is>
      </c>
      <c r="B1334" t="inlineStr">
        <is>
          <t>Multicloud</t>
        </is>
      </c>
      <c r="C1334" t="inlineStr">
        <is>
          <t>Harness Cloud Cost Management</t>
        </is>
      </c>
      <c r="D1334" t="inlineStr">
        <is>
          <t>Visibilidad</t>
        </is>
      </c>
      <c r="E1334" t="inlineStr">
        <is>
          <t>V1</t>
        </is>
      </c>
      <c r="F1334" t="inlineStr">
        <is>
          <t>¿Desagrega costo y uso por cuenta/proyecto, servicio y período?</t>
        </is>
      </c>
      <c r="G1334" t="inlineStr">
        <is>
          <t>NE</t>
        </is>
      </c>
      <c r="H1334" t="inlineStr">
        <is>
          <t>Pendiente</t>
        </is>
      </c>
      <c r="I1334" t="inlineStr">
        <is>
          <t>Pendiente de investigacion propia del escenario: el indicador depende del escenario y la evidencia recogida corresponde al escenario ancla del producto.</t>
        </is>
      </c>
      <c r="L1334" t="inlineStr">
        <is>
          <t>Alternativa adicional incorporada en FP-180 (2026-09-16) desde el registro de FP-126 y la auditoria de FP-179. | Escenario ancla del producto: E2.</t>
        </is>
      </c>
    </row>
    <row r="1335">
      <c r="A1335" t="inlineStr">
        <is>
          <t>E6</t>
        </is>
      </c>
      <c r="B1335" t="inlineStr">
        <is>
          <t>Multicloud</t>
        </is>
      </c>
      <c r="C1335" t="inlineStr">
        <is>
          <t>Harness Cloud Cost Management</t>
        </is>
      </c>
      <c r="D1335" t="inlineStr">
        <is>
          <t>Visibilidad</t>
        </is>
      </c>
      <c r="E1335" t="inlineStr">
        <is>
          <t>V2</t>
        </is>
      </c>
      <c r="F1335" t="inlineStr">
        <is>
          <t>¿Permite rastrear un total hasta registros o fuente de facturación?</t>
        </is>
      </c>
      <c r="G1335" t="inlineStr">
        <is>
          <t>NE</t>
        </is>
      </c>
      <c r="H1335" t="inlineStr">
        <is>
          <t>Pendiente</t>
        </is>
      </c>
      <c r="I1335" t="inlineStr">
        <is>
          <t>No se encontro documentacion oficial sobre trazabilidad o reconciliacion de un total hasta los registros de facturacion del proveedor.</t>
        </is>
      </c>
      <c r="L1335" t="inlineStr">
        <is>
          <t>Alternativa adicional incorporada en FP-180 (2026-09-16) desde el registro de FP-126 y la auditoria de FP-179.</t>
        </is>
      </c>
    </row>
    <row r="1336">
      <c r="A1336" t="inlineStr">
        <is>
          <t>E6</t>
        </is>
      </c>
      <c r="B1336" t="inlineStr">
        <is>
          <t>Multicloud</t>
        </is>
      </c>
      <c r="C1336" t="inlineStr">
        <is>
          <t>Harness Cloud Cost Management</t>
        </is>
      </c>
      <c r="D1336" t="inlineStr">
        <is>
          <t>Asignacion</t>
        </is>
      </c>
      <c r="E1336" t="inlineStr">
        <is>
          <t>A1</t>
        </is>
      </c>
      <c r="F1336" t="inlineStr">
        <is>
          <t>¿Calcula gasto asignado/no asignado por responsable, centro o entidad?</t>
        </is>
      </c>
      <c r="G1336" t="n">
        <v>2</v>
      </c>
      <c r="H1336" t="inlineStr">
        <is>
          <t>Oficial</t>
        </is>
      </c>
      <c r="I1336" t="inlineStr">
        <is>
          <t>Las Cost Categories «enable you to use cost data across multiple sources and attribute it to business contexts», que es atribucion por entidad organizacional con reglas definidas.</t>
        </is>
      </c>
      <c r="J1336" t="inlineStr">
        <is>
          <t>https://developer.harness.io/docs/cloud-cost-management/get-started/overview/</t>
        </is>
      </c>
      <c r="K1336" t="inlineStr">
        <is>
          <t>2026-09-16</t>
        </is>
      </c>
      <c r="L1336" t="inlineStr">
        <is>
          <t>Alternativa adicional incorporada en FP-180 (2026-09-16) desde el registro de FP-126 y la auditoria de FP-179. | Escenario ancla del producto: E2.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337">
      <c r="A1337" t="inlineStr">
        <is>
          <t>E6</t>
        </is>
      </c>
      <c r="B1337" t="inlineStr">
        <is>
          <t>Multicloud</t>
        </is>
      </c>
      <c r="C1337" t="inlineStr">
        <is>
          <t>Harness Cloud Cost Management</t>
        </is>
      </c>
      <c r="D1337" t="inlineStr">
        <is>
          <t>Asignacion</t>
        </is>
      </c>
      <c r="E1337" t="inlineStr">
        <is>
          <t>A2</t>
        </is>
      </c>
      <c r="F1337" t="inlineStr">
        <is>
          <t>¿Explicita y aplica reglas para costo compartido/multi-tenant?</t>
        </is>
      </c>
      <c r="G1337" t="inlineStr">
        <is>
          <t>NE</t>
        </is>
      </c>
      <c r="H1337" t="inlineStr">
        <is>
          <t>Pendiente</t>
        </is>
      </c>
      <c r="I1337" t="inlineStr">
        <is>
          <t>Pendiente de investigacion propia del escenario: el indicador depende del escenario y la evidencia recogida corresponde al escenario ancla del producto.</t>
        </is>
      </c>
      <c r="L1337" t="inlineStr">
        <is>
          <t>Alternativa adicional incorporada en FP-180 (2026-09-16) desde el registro de FP-126 y la auditoria de FP-179. | Escenario ancla del producto: E2.</t>
        </is>
      </c>
    </row>
    <row r="1338">
      <c r="A1338" t="inlineStr">
        <is>
          <t>E6</t>
        </is>
      </c>
      <c r="B1338" t="inlineStr">
        <is>
          <t>Multicloud</t>
        </is>
      </c>
      <c r="C1338" t="inlineStr">
        <is>
          <t>Harness Cloud Cost Management</t>
        </is>
      </c>
      <c r="D1338" t="inlineStr">
        <is>
          <t>Optimizacion</t>
        </is>
      </c>
      <c r="E1338" t="inlineStr">
        <is>
          <t>O1</t>
        </is>
      </c>
      <c r="F1338" t="inlineStr">
        <is>
          <t>¿Detecta desperdicio, rightsizing o compromiso relevante al escenario?</t>
        </is>
      </c>
      <c r="G1338" t="n">
        <v>2</v>
      </c>
      <c r="H1338" t="inlineStr">
        <is>
          <t>Oficial</t>
        </is>
      </c>
      <c r="I1338" t="inlineStr">
        <is>
          <t>La deteccion de anomalias es «ML-powered detection of unusual spending patterns with configurable sensitivity», con modelo de series de tiempo sobre 42 dias de historico, y AutoStopping identifica recursos ociosos.</t>
        </is>
      </c>
      <c r="J1338" t="inlineStr">
        <is>
          <t>https://developer.harness.io/docs/cloud-cost-management/cost-governance/anomalies/getting-started-with-ccm-anomaly-detection</t>
        </is>
      </c>
      <c r="K1338" t="inlineStr">
        <is>
          <t>2026-09-16</t>
        </is>
      </c>
      <c r="L1338" t="inlineStr">
        <is>
          <t>Alternativa adicional incorporada en FP-180 (2026-09-16) desde el registro de FP-126 y la auditoria de FP-179. | Escenario ancla del producto: E2.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339">
      <c r="A1339" t="inlineStr">
        <is>
          <t>E6</t>
        </is>
      </c>
      <c r="B1339" t="inlineStr">
        <is>
          <t>Multicloud</t>
        </is>
      </c>
      <c r="C1339" t="inlineStr">
        <is>
          <t>Harness Cloud Cost Management</t>
        </is>
      </c>
      <c r="D1339" t="inlineStr">
        <is>
          <t>Optimizacion</t>
        </is>
      </c>
      <c r="E1339" t="inlineStr">
        <is>
          <t>O2</t>
        </is>
      </c>
      <c r="F1339" t="inlineStr">
        <is>
          <t>¿Explica supuesto/impacto y permite seguir una recomendación?</t>
        </is>
      </c>
      <c r="G1339" t="inlineStr">
        <is>
          <t>NE</t>
        </is>
      </c>
      <c r="H1339" t="inlineStr">
        <is>
          <t>Pendiente</t>
        </is>
      </c>
      <c r="I1339" t="inlineStr">
        <is>
          <t>No se encontro documentacion del ciclo de explicacion de impacto y seguimiento del ahorro realizado por recomendacion.</t>
        </is>
      </c>
      <c r="L1339" t="inlineStr">
        <is>
          <t>Alternativa adicional incorporada en FP-180 (2026-09-16) desde el registro de FP-126 y la auditoria de FP-179.</t>
        </is>
      </c>
    </row>
    <row r="1340">
      <c r="A1340" t="inlineStr">
        <is>
          <t>E6</t>
        </is>
      </c>
      <c r="B1340" t="inlineStr">
        <is>
          <t>Multicloud</t>
        </is>
      </c>
      <c r="C1340" t="inlineStr">
        <is>
          <t>Harness Cloud Cost Management</t>
        </is>
      </c>
      <c r="D1340" t="inlineStr">
        <is>
          <t>Automatizacion</t>
        </is>
      </c>
      <c r="E1340" t="inlineStr">
        <is>
          <t>AU1</t>
        </is>
      </c>
      <c r="F1340" t="inlineStr">
        <is>
          <t>¿Ejecuta o bloquea acciones/políticas de costo con control verificable?</t>
        </is>
      </c>
      <c r="G1340" t="n">
        <v>2</v>
      </c>
      <c r="H1340" t="inlineStr">
        <is>
          <t>Oficial</t>
        </is>
      </c>
      <c r="I1340" t="inlineStr">
        <is>
          <t>AutoStopping «automatically stops idle non-production resources based on traffic or schedules» y soporta EC2, ECS, RDS, maquinas virtuales de Azure y clusteres GKE: es ejecucion automatizada, no solo recomendacion.</t>
        </is>
      </c>
      <c r="J1340" t="inlineStr">
        <is>
          <t>https://developer.harness.io/docs/cloud-cost-management/get-started/overview/</t>
        </is>
      </c>
      <c r="K1340" t="inlineStr">
        <is>
          <t>2026-09-16</t>
        </is>
      </c>
      <c r="L1340" t="inlineStr">
        <is>
          <t>Alternativa adicional incorporada en FP-180 (2026-09-16) desde el registro de FP-126 y la auditoria de FP-179. | Escenario ancla del producto: E2.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341">
      <c r="A1341" t="inlineStr">
        <is>
          <t>E6</t>
        </is>
      </c>
      <c r="B1341" t="inlineStr">
        <is>
          <t>Multicloud</t>
        </is>
      </c>
      <c r="C1341" t="inlineStr">
        <is>
          <t>Harness Cloud Cost Management</t>
        </is>
      </c>
      <c r="D1341" t="inlineStr">
        <is>
          <t>Automatizacion</t>
        </is>
      </c>
      <c r="E1341" t="inlineStr">
        <is>
          <t>AU2</t>
        </is>
      </c>
      <c r="F1341" t="inlineStr">
        <is>
          <t>¿Ofrece aprobación, reversión, registro o límites antes de actuar?</t>
        </is>
      </c>
      <c r="G1341" t="inlineStr">
        <is>
          <t>NE</t>
        </is>
      </c>
      <c r="H1341" t="inlineStr">
        <is>
          <t>Pendiente</t>
        </is>
      </c>
      <c r="I1341" t="inlineStr">
        <is>
          <t>No se encontro documentacion oficial de aprobacion, reversion o limites previos a la ejecucion automatica.</t>
        </is>
      </c>
      <c r="L1341" t="inlineStr">
        <is>
          <t>Alternativa adicional incorporada en FP-180 (2026-09-16) desde el registro de FP-126 y la auditoria de FP-179.</t>
        </is>
      </c>
    </row>
    <row r="1342">
      <c r="A1342" t="inlineStr">
        <is>
          <t>E6</t>
        </is>
      </c>
      <c r="B1342" t="inlineStr">
        <is>
          <t>Multicloud</t>
        </is>
      </c>
      <c r="C1342" t="inlineStr">
        <is>
          <t>Harness Cloud Cost Management</t>
        </is>
      </c>
      <c r="D1342" t="inlineStr">
        <is>
          <t>Multicloud</t>
        </is>
      </c>
      <c r="E1342" t="inlineStr">
        <is>
          <t>M1</t>
        </is>
      </c>
      <c r="F1342" t="inlineStr">
        <is>
          <t>¿Consolida al menos dos proveedores bajo el mismo esquema declarado?</t>
        </is>
      </c>
      <c r="G1342" t="n">
        <v>2</v>
      </c>
      <c r="H1342" t="inlineStr">
        <is>
          <t>Oficial</t>
        </is>
      </c>
      <c r="I1342" t="inlineStr">
        <is>
          <t>La documentacion tecnica declara cobertura simultanea de varios proveedores: AutoStopping «supports EC2, ECS, RDS, Azure VMs, and GKE clusters», y las Cost Categories operan «across multiple sources».</t>
        </is>
      </c>
      <c r="J1342" t="inlineStr">
        <is>
          <t>https://developer.harness.io/docs/cloud-cost-management/get-started/overview/</t>
        </is>
      </c>
      <c r="K1342" t="inlineStr">
        <is>
          <t>2026-09-16</t>
        </is>
      </c>
      <c r="L1342" t="inlineStr">
        <is>
          <t>Alternativa adicional incorporada en FP-180 (2026-09-16) desde el registro de FP-126 y la auditoria de FP-179.</t>
        </is>
      </c>
    </row>
    <row r="1343">
      <c r="A1343" t="inlineStr">
        <is>
          <t>E6</t>
        </is>
      </c>
      <c r="B1343" t="inlineStr">
        <is>
          <t>Multicloud</t>
        </is>
      </c>
      <c r="C1343" t="inlineStr">
        <is>
          <t>Harness Cloud Cost Management</t>
        </is>
      </c>
      <c r="D1343" t="inlineStr">
        <is>
          <t>Multicloud</t>
        </is>
      </c>
      <c r="E1343" t="inlineStr">
        <is>
          <t>M2</t>
        </is>
      </c>
      <c r="F1343" t="inlineStr">
        <is>
          <t>¿Hace visibles proveedor, cobertura y diferencias semánticas?</t>
        </is>
      </c>
      <c r="G1343" t="inlineStr">
        <is>
          <t>NE</t>
        </is>
      </c>
      <c r="H1343" t="inlineStr">
        <is>
          <t>Pendiente</t>
        </is>
      </c>
      <c r="I1343" t="inlineStr">
        <is>
          <t>No se encontro documentacion de normalizacion ni de diferencias semanticas declaradas entre proveedores.</t>
        </is>
      </c>
      <c r="L1343" t="inlineStr">
        <is>
          <t>Alternativa adicional incorporada en FP-180 (2026-09-16) desde el registro de FP-126 y la auditoria de FP-179.</t>
        </is>
      </c>
    </row>
    <row r="1344">
      <c r="A1344" t="inlineStr">
        <is>
          <t>E6</t>
        </is>
      </c>
      <c r="B1344" t="inlineStr">
        <is>
          <t>Multicloud</t>
        </is>
      </c>
      <c r="C1344" t="inlineStr">
        <is>
          <t>Harness Cloud Cost Management</t>
        </is>
      </c>
      <c r="D1344" t="inlineStr">
        <is>
          <t>Integracion</t>
        </is>
      </c>
      <c r="E1344" t="inlineStr">
        <is>
          <t>I1</t>
        </is>
      </c>
      <c r="F1344" t="inlineStr">
        <is>
          <t>¿Integra datos requeridos (facturación, uso, clúster o IaC) del escenario?</t>
        </is>
      </c>
      <c r="G1344" t="inlineStr">
        <is>
          <t>NE</t>
        </is>
      </c>
      <c r="H1344" t="inlineStr">
        <is>
          <t>Pendiente</t>
        </is>
      </c>
      <c r="I1344" t="inlineStr">
        <is>
          <t>Pendiente de investigacion propia del escenario: el indicador depende del escenario y la evidencia recogida corresponde al escenario ancla del producto.</t>
        </is>
      </c>
      <c r="L1344" t="inlineStr">
        <is>
          <t>Alternativa adicional incorporada en FP-180 (2026-09-16) desde el registro de FP-126 y la auditoria de FP-179. | Escenario ancla del producto: E2.</t>
        </is>
      </c>
    </row>
    <row r="1345">
      <c r="A1345" t="inlineStr">
        <is>
          <t>E6</t>
        </is>
      </c>
      <c r="B1345" t="inlineStr">
        <is>
          <t>Multicloud</t>
        </is>
      </c>
      <c r="C1345" t="inlineStr">
        <is>
          <t>Harness Cloud Cost Management</t>
        </is>
      </c>
      <c r="D1345" t="inlineStr">
        <is>
          <t>Integracion</t>
        </is>
      </c>
      <c r="E1345" t="inlineStr">
        <is>
          <t>I2</t>
        </is>
      </c>
      <c r="F1345" t="inlineStr">
        <is>
          <t>¿Se integra con el flujo de trabajo relevante (alerta, ticket, CI/CD o reporte)?</t>
        </is>
      </c>
      <c r="G1345" t="n">
        <v>2</v>
      </c>
      <c r="H1345" t="inlineStr">
        <is>
          <t>Oficial</t>
        </is>
      </c>
      <c r="I1345" t="inlineStr">
        <is>
          <t>La deteccion de anomalias incluye «automated alerts to catch cost spikes early» y gestion de estado (Active, Resolved, Archived); Asset Governance permite gestionar el gasto «using asset governance rules and budgets».</t>
        </is>
      </c>
      <c r="J1345" t="inlineStr">
        <is>
          <t>https://developer.harness.io/docs/cloud-cost-management/cost-governance/anomalies/getting-started-with-ccm-anomaly-detection</t>
        </is>
      </c>
      <c r="K1345" t="inlineStr">
        <is>
          <t>2026-09-16</t>
        </is>
      </c>
      <c r="L1345" t="inlineStr">
        <is>
          <t>Alternativa adicional incorporada en FP-180 (2026-09-16) desde el registro de FP-126 y la auditoria de FP-179. | Escenario ancla del producto: E2.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346">
      <c r="A1346" t="inlineStr">
        <is>
          <t>E6</t>
        </is>
      </c>
      <c r="B1346" t="inlineStr">
        <is>
          <t>Multicloud</t>
        </is>
      </c>
      <c r="C1346" t="inlineStr">
        <is>
          <t>Harness Cloud Cost Management</t>
        </is>
      </c>
      <c r="D1346" t="inlineStr">
        <is>
          <t>Adopcion</t>
        </is>
      </c>
      <c r="E1346" t="inlineStr">
        <is>
          <t>AD1</t>
        </is>
      </c>
      <c r="F1346" t="inlineStr">
        <is>
          <t>¿Soporta acceso/entrega para los roles del escenario?</t>
        </is>
      </c>
      <c r="G1346" t="inlineStr">
        <is>
          <t>NE</t>
        </is>
      </c>
      <c r="H1346" t="inlineStr">
        <is>
          <t>Pendiente</t>
        </is>
      </c>
      <c r="I1346" t="inlineStr">
        <is>
          <t>Pendiente de investigacion propia del escenario: el indicador depende del escenario y la evidencia recogida corresponde al escenario ancla del producto.</t>
        </is>
      </c>
      <c r="L1346" t="inlineStr">
        <is>
          <t>Alternativa adicional incorporada en FP-180 (2026-09-16) desde el registro de FP-126 y la auditoria de FP-179. | Escenario ancla del producto: E2.</t>
        </is>
      </c>
    </row>
    <row r="1347">
      <c r="A1347" t="inlineStr">
        <is>
          <t>E6</t>
        </is>
      </c>
      <c r="B1347" t="inlineStr">
        <is>
          <t>Multicloud</t>
        </is>
      </c>
      <c r="C1347" t="inlineStr">
        <is>
          <t>Harness Cloud Cost Management</t>
        </is>
      </c>
      <c r="D1347" t="inlineStr">
        <is>
          <t>Adopcion</t>
        </is>
      </c>
      <c r="E1347" t="inlineStr">
        <is>
          <t>AD2</t>
        </is>
      </c>
      <c r="F1347" t="inlineStr">
        <is>
          <t>¿Ofrece guías, ownership o mecanismos de seguimiento para uso sostenido?</t>
        </is>
      </c>
      <c r="G1347" t="inlineStr">
        <is>
          <t>NE</t>
        </is>
      </c>
      <c r="H1347" t="inlineStr">
        <is>
          <t>Pendiente</t>
        </is>
      </c>
      <c r="I1347" t="inlineStr">
        <is>
          <t>No se encontro guia oficial de habilitacion, ownership o medicion de adopcion sostenida.</t>
        </is>
      </c>
      <c r="L1347" t="inlineStr">
        <is>
          <t>Alternativa adicional incorporada en FP-180 (2026-09-16) desde el registro de FP-126 y la auditoria de FP-179.</t>
        </is>
      </c>
    </row>
    <row r="1348">
      <c r="A1348" t="inlineStr">
        <is>
          <t>E6</t>
        </is>
      </c>
      <c r="B1348" t="inlineStr">
        <is>
          <t>Multicloud</t>
        </is>
      </c>
      <c r="C1348" t="inlineStr">
        <is>
          <t>Harness Cloud Cost Management</t>
        </is>
      </c>
      <c r="D1348" t="inlineStr">
        <is>
          <t>Precio</t>
        </is>
      </c>
      <c r="E1348" t="inlineStr">
        <is>
          <t>P1</t>
        </is>
      </c>
      <c r="F1348" t="inlineStr">
        <is>
          <t>¿Expone precio, moneda, región, unidad, período y supuestos relevantes?</t>
        </is>
      </c>
      <c r="G1348" t="inlineStr">
        <is>
          <t>NE</t>
        </is>
      </c>
      <c r="H1348" t="inlineStr">
        <is>
          <t>Pendiente</t>
        </is>
      </c>
      <c r="I1348" t="inlineStr">
        <is>
          <t>No se encontro documentacion sobre exposicion de precio, moneda, region, unidad y supuestos de los costos analizados.</t>
        </is>
      </c>
      <c r="L1348" t="inlineStr">
        <is>
          <t>Alternativa adicional incorporada en FP-180 (2026-09-16) desde el registro de FP-126 y la auditoria de FP-179.</t>
        </is>
      </c>
    </row>
    <row r="1349">
      <c r="A1349" t="inlineStr">
        <is>
          <t>E6</t>
        </is>
      </c>
      <c r="B1349" t="inlineStr">
        <is>
          <t>Multicloud</t>
        </is>
      </c>
      <c r="C1349" t="inlineStr">
        <is>
          <t>Harness Cloud Cost Management</t>
        </is>
      </c>
      <c r="D1349" t="inlineStr">
        <is>
          <t>Precio</t>
        </is>
      </c>
      <c r="E1349" t="inlineStr">
        <is>
          <t>P2</t>
        </is>
      </c>
      <c r="F1349" t="inlineStr">
        <is>
          <t>¿Permite estimar o comparar componentes sin ocultar límites de equivalencia?</t>
        </is>
      </c>
      <c r="G1349" t="inlineStr">
        <is>
          <t>NE</t>
        </is>
      </c>
      <c r="H1349" t="inlineStr">
        <is>
          <t>Pendiente</t>
        </is>
      </c>
      <c r="I1349" t="inlineStr">
        <is>
          <t>Pendiente de investigacion propia del escenario: el indicador depende del escenario y la evidencia recogida corresponde al escenario ancla del producto.</t>
        </is>
      </c>
      <c r="L1349" t="inlineStr">
        <is>
          <t>Alternativa adicional incorporada en FP-180 (2026-09-16) desde el registro de FP-126 y la auditoria de FP-179. | Escenario ancla del producto: E2.</t>
        </is>
      </c>
    </row>
    <row r="1350">
      <c r="A1350" t="inlineStr">
        <is>
          <t>E6</t>
        </is>
      </c>
      <c r="B1350" t="inlineStr">
        <is>
          <t>Multicloud</t>
        </is>
      </c>
      <c r="C1350" t="inlineStr">
        <is>
          <t>Harness Cloud Cost Management</t>
        </is>
      </c>
      <c r="D1350" t="inlineStr">
        <is>
          <t>Dependencia</t>
        </is>
      </c>
      <c r="E1350" t="inlineStr">
        <is>
          <t>D1</t>
        </is>
      </c>
      <c r="F1350" t="inlineStr">
        <is>
          <t>¿Exporta datos/resultados en formato utilizable y documentado?</t>
        </is>
      </c>
      <c r="G1350" t="inlineStr">
        <is>
          <t>NE</t>
        </is>
      </c>
      <c r="H1350" t="inlineStr">
        <is>
          <t>Pendiente</t>
        </is>
      </c>
      <c r="I1350" t="inlineStr">
        <is>
          <t>No se encontro documentacion oficial de exportacion o API de salida de los datos de costo.</t>
        </is>
      </c>
      <c r="L1350" t="inlineStr">
        <is>
          <t>Alternativa adicional incorporada en FP-180 (2026-09-16) desde el registro de FP-126 y la auditoria de FP-179.</t>
        </is>
      </c>
    </row>
    <row r="1351">
      <c r="A1351" t="inlineStr">
        <is>
          <t>E6</t>
        </is>
      </c>
      <c r="B1351" t="inlineStr">
        <is>
          <t>Multicloud</t>
        </is>
      </c>
      <c r="C1351" t="inlineStr">
        <is>
          <t>Harness Cloud Cost Management</t>
        </is>
      </c>
      <c r="D1351" t="inlineStr">
        <is>
          <t>Dependencia</t>
        </is>
      </c>
      <c r="E1351" t="inlineStr">
        <is>
          <t>D2</t>
        </is>
      </c>
      <c r="F1351" t="inlineStr">
        <is>
          <t>¿Documenta dependencias propietarias y un camino de salida/configuración reversible?</t>
        </is>
      </c>
      <c r="G1351" t="inlineStr">
        <is>
          <t>NE</t>
        </is>
      </c>
      <c r="H1351" t="inlineStr">
        <is>
          <t>Pendiente</t>
        </is>
      </c>
      <c r="I1351" t="inlineStr">
        <is>
          <t>No se encontro documentacion sobre dependencias propietarias ni camino de salida.</t>
        </is>
      </c>
      <c r="L1351" t="inlineStr">
        <is>
          <t>Alternativa adicional incorporada en FP-180 (2026-09-16) desde el registro de FP-126 y la auditoria de FP-179.</t>
        </is>
      </c>
    </row>
    <row r="1352">
      <c r="A1352" t="inlineStr">
        <is>
          <t>E1</t>
        </is>
      </c>
      <c r="B1352" t="inlineStr">
        <is>
          <t>Multicloud</t>
        </is>
      </c>
      <c r="C1352" t="inlineStr">
        <is>
          <t>Densify</t>
        </is>
      </c>
      <c r="D1352" t="inlineStr">
        <is>
          <t>Visibilidad</t>
        </is>
      </c>
      <c r="E1352" t="inlineStr">
        <is>
          <t>V1</t>
        </is>
      </c>
      <c r="F1352" t="inlineStr">
        <is>
          <t>¿Desagrega costo y uso por cuenta/proyecto, servicio y período?</t>
        </is>
      </c>
      <c r="G1352" t="n">
        <v>0</v>
      </c>
      <c r="H1352" t="inlineStr">
        <is>
          <t>Oficial (ausencia verificada)</t>
        </is>
      </c>
      <c r="I1352" t="inlineStr">
        <is>
          <t>La documentacion describe optimizacion de recursos de contenedores y nodos; el modelado de costos se limita a estimar el costo de contenedores sin requests definidos. No desglosa costo y uso por cuenta, servicio y periodo entre proveedores, que es lo que E2 evalua.</t>
        </is>
      </c>
      <c r="J1352" t="inlineStr">
        <is>
          <t>https://www.densify.com/docs/WebHelp_Densify_Cloud/Content/Densify_Com/Optimizing_Your_Containers.htm</t>
        </is>
      </c>
      <c r="K1352" t="inlineStr">
        <is>
          <t>2026-09-16</t>
        </is>
      </c>
      <c r="L1352"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Ausencia verificada tambien en E1 (2026-09-16): la documentacion describe a Kubex/Densify como optimizador de recursos de Kubernetes. La ausencia de desglose y asignacion de gasto cloud no depende de que el escenario sea de una nube o de varias, por lo que el valor 0 se sostiene en E1 por el mismo motivo registrado para E2.</t>
        </is>
      </c>
    </row>
    <row r="1353">
      <c r="A1353" t="inlineStr">
        <is>
          <t>E1</t>
        </is>
      </c>
      <c r="B1353" t="inlineStr">
        <is>
          <t>Multicloud</t>
        </is>
      </c>
      <c r="C1353" t="inlineStr">
        <is>
          <t>Densify</t>
        </is>
      </c>
      <c r="D1353" t="inlineStr">
        <is>
          <t>Visibilidad</t>
        </is>
      </c>
      <c r="E1353" t="inlineStr">
        <is>
          <t>V2</t>
        </is>
      </c>
      <c r="F1353" t="inlineStr">
        <is>
          <t>¿Permite rastrear un total hasta registros o fuente de facturación?</t>
        </is>
      </c>
      <c r="G1353" t="n">
        <v>0</v>
      </c>
      <c r="H1353" t="inlineStr">
        <is>
          <t>Oficial (ausencia verificada)</t>
        </is>
      </c>
      <c r="I1353" t="inlineStr">
        <is>
          <t>No rastrea totales hasta la fuente de facturacion: opera sobre metricas de utilizacion de contenedores y nodos.</t>
        </is>
      </c>
      <c r="J1353" t="inlineStr">
        <is>
          <t>https://www.densify.com/docs/WebHelp_Densify_Cloud/Content/Densify_Com/Optimizing_Your_Containers.htm</t>
        </is>
      </c>
      <c r="K1353" t="inlineStr">
        <is>
          <t>2026-09-16</t>
        </is>
      </c>
      <c r="L1353"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54">
      <c r="A1354" t="inlineStr">
        <is>
          <t>E1</t>
        </is>
      </c>
      <c r="B1354" t="inlineStr">
        <is>
          <t>Multicloud</t>
        </is>
      </c>
      <c r="C1354" t="inlineStr">
        <is>
          <t>Densify</t>
        </is>
      </c>
      <c r="D1354" t="inlineStr">
        <is>
          <t>Asignacion</t>
        </is>
      </c>
      <c r="E1354" t="inlineStr">
        <is>
          <t>A1</t>
        </is>
      </c>
      <c r="F1354" t="inlineStr">
        <is>
          <t>¿Calcula gasto asignado/no asignado por responsable, centro o entidad?</t>
        </is>
      </c>
      <c r="G1354" t="n">
        <v>0</v>
      </c>
      <c r="H1354" t="inlineStr">
        <is>
          <t>Oficial (ausencia verificada)</t>
        </is>
      </c>
      <c r="I1354" t="inlineStr">
        <is>
          <t>No es una herramienta de asignacion de gasto organizacional; su unidad de analisis es el contenedor, el pod y el nodo.</t>
        </is>
      </c>
      <c r="J1354" t="inlineStr">
        <is>
          <t>https://www.densify.com/product/container-and-kubernetes-resource-optimizer/</t>
        </is>
      </c>
      <c r="K1354" t="inlineStr">
        <is>
          <t>2026-09-16</t>
        </is>
      </c>
      <c r="L1354"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Ausencia verificada tambien en E1 (2026-09-16): la documentacion describe a Kubex/Densify como optimizador de recursos de Kubernetes. La ausencia de desglose y asignacion de gasto cloud no depende de que el escenario sea de una nube o de varias, por lo que el valor 0 se sostiene en E1 por el mismo motivo registrado para E2.</t>
        </is>
      </c>
    </row>
    <row r="1355">
      <c r="A1355" t="inlineStr">
        <is>
          <t>E1</t>
        </is>
      </c>
      <c r="B1355" t="inlineStr">
        <is>
          <t>Multicloud</t>
        </is>
      </c>
      <c r="C1355" t="inlineStr">
        <is>
          <t>Densify</t>
        </is>
      </c>
      <c r="D1355" t="inlineStr">
        <is>
          <t>Asignacion</t>
        </is>
      </c>
      <c r="E1355" t="inlineStr">
        <is>
          <t>A2</t>
        </is>
      </c>
      <c r="F1355" t="inlineStr">
        <is>
          <t>¿Explicita y aplica reglas para costo compartido/multi-tenant?</t>
        </is>
      </c>
      <c r="G1355" t="n">
        <v>0</v>
      </c>
      <c r="H1355" t="inlineStr">
        <is>
          <t>Oficial (ausencia verificada)</t>
        </is>
      </c>
      <c r="I1355" t="inlineStr">
        <is>
          <t>Mismo alcance que A1: no define reglas de reparto de costo compartido entre entidades organizacionales.</t>
        </is>
      </c>
      <c r="J1355" t="inlineStr">
        <is>
          <t>https://www.densify.com/product/container-and-kubernetes-resource-optimizer/</t>
        </is>
      </c>
      <c r="K1355" t="inlineStr">
        <is>
          <t>2026-09-16</t>
        </is>
      </c>
      <c r="L1355"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Ausencia verificada tambien en E1 (2026-09-16): la documentacion describe a Kubex/Densify como optimizador de recursos de Kubernetes. La ausencia de desglose y asignacion de gasto cloud no depende de que el escenario sea de una nube o de varias, por lo que el valor 0 se sostiene en E1 por el mismo motivo registrado para E2.</t>
        </is>
      </c>
    </row>
    <row r="1356">
      <c r="A1356" t="inlineStr">
        <is>
          <t>E1</t>
        </is>
      </c>
      <c r="B1356" t="inlineStr">
        <is>
          <t>Multicloud</t>
        </is>
      </c>
      <c r="C1356" t="inlineStr">
        <is>
          <t>Densify</t>
        </is>
      </c>
      <c r="D1356" t="inlineStr">
        <is>
          <t>Optimizacion</t>
        </is>
      </c>
      <c r="E1356" t="inlineStr">
        <is>
          <t>O1</t>
        </is>
      </c>
      <c r="F1356" t="inlineStr">
        <is>
          <t>¿Detecta desperdicio, rightsizing o compromiso relevante al escenario?</t>
        </is>
      </c>
      <c r="G1356" t="n">
        <v>2</v>
      </c>
      <c r="H1356" t="inlineStr">
        <is>
          <t>Oficial</t>
        </is>
      </c>
      <c r="I1356" t="inlineStr">
        <is>
          <t>Aprende los patrones de utilizacion de contenedores y pods y «determine the optimal request and limit values», ademas de recomendar tipos de nodo segun el patron de carga.</t>
        </is>
      </c>
      <c r="J1356" t="inlineStr">
        <is>
          <t>https://www.densify.com/docs/WebHelp_Densify_Cloud/Content/Densify_Com/Optimizing_Your_Containers.htm</t>
        </is>
      </c>
      <c r="K1356" t="inlineStr">
        <is>
          <t>2026-09-16</t>
        </is>
      </c>
      <c r="L1356"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Ausencia verificada tambien en E1 (2026-09-16): la documentacion describe a Kubex/Densify como optimizador de recursos de Kubernetes. La ausencia de desglose y asignacion de gasto cloud no depende de que el escenario sea de una nube o de varias, por lo que el valor 0 se sostiene en E1 por el mismo motivo registrado para E2.</t>
        </is>
      </c>
    </row>
    <row r="1357">
      <c r="A1357" t="inlineStr">
        <is>
          <t>E1</t>
        </is>
      </c>
      <c r="B1357" t="inlineStr">
        <is>
          <t>Multicloud</t>
        </is>
      </c>
      <c r="C1357" t="inlineStr">
        <is>
          <t>Densify</t>
        </is>
      </c>
      <c r="D1357" t="inlineStr">
        <is>
          <t>Optimizacion</t>
        </is>
      </c>
      <c r="E1357" t="inlineStr">
        <is>
          <t>O2</t>
        </is>
      </c>
      <c r="F1357" t="inlineStr">
        <is>
          <t>¿Explica supuesto/impacto y permite seguir una recomendación?</t>
        </is>
      </c>
      <c r="G1357" t="inlineStr">
        <is>
          <t>NE</t>
        </is>
      </c>
      <c r="H1357" t="inlineStr">
        <is>
          <t>Pendiente</t>
        </is>
      </c>
      <c r="I1357" t="inlineStr">
        <is>
          <t>No se encontro documentacion del ciclo de medicion o seguimiento del ahorro efectivamente realizado.</t>
        </is>
      </c>
      <c r="L1357"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58">
      <c r="A1358" t="inlineStr">
        <is>
          <t>E1</t>
        </is>
      </c>
      <c r="B1358" t="inlineStr">
        <is>
          <t>Multicloud</t>
        </is>
      </c>
      <c r="C1358" t="inlineStr">
        <is>
          <t>Densify</t>
        </is>
      </c>
      <c r="D1358" t="inlineStr">
        <is>
          <t>Automatizacion</t>
        </is>
      </c>
      <c r="E1358" t="inlineStr">
        <is>
          <t>AU1</t>
        </is>
      </c>
      <c r="F1358" t="inlineStr">
        <is>
          <t>¿Ejecuta o bloquea acciones/políticas de costo con control verificable?</t>
        </is>
      </c>
      <c r="G1358" t="n">
        <v>2</v>
      </c>
      <c r="H1358" t="inlineStr">
        <is>
          <t>Oficial</t>
        </is>
      </c>
      <c r="I1358" t="inlineStr">
        <is>
          <t>La automatizacion «continuously monitors the resources your applications are actually using and adjusts resource settings in real-time», lo que constituye ejecucion y no solo recomendacion.</t>
        </is>
      </c>
      <c r="J1358" t="inlineStr">
        <is>
          <t>https://www.densify.com/docs/WebHelp_Densify_Cloud/Content/Densify_Com/Optimizing_Your_Containers.htm</t>
        </is>
      </c>
      <c r="K1358" t="inlineStr">
        <is>
          <t>2026-09-16</t>
        </is>
      </c>
      <c r="L1358"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Ausencia verificada tambien en E1 (2026-09-16): la documentacion describe a Kubex/Densify como optimizador de recursos de Kubernetes. La ausencia de desglose y asignacion de gasto cloud no depende de que el escenario sea de una nube o de varias, por lo que el valor 0 se sostiene en E1 por el mismo motivo registrado para E2.</t>
        </is>
      </c>
    </row>
    <row r="1359">
      <c r="A1359" t="inlineStr">
        <is>
          <t>E1</t>
        </is>
      </c>
      <c r="B1359" t="inlineStr">
        <is>
          <t>Multicloud</t>
        </is>
      </c>
      <c r="C1359" t="inlineStr">
        <is>
          <t>Densify</t>
        </is>
      </c>
      <c r="D1359" t="inlineStr">
        <is>
          <t>Automatizacion</t>
        </is>
      </c>
      <c r="E1359" t="inlineStr">
        <is>
          <t>AU2</t>
        </is>
      </c>
      <c r="F1359" t="inlineStr">
        <is>
          <t>¿Ofrece aprobación, reversión, registro o límites antes de actuar?</t>
        </is>
      </c>
      <c r="G1359" t="inlineStr">
        <is>
          <t>NE</t>
        </is>
      </c>
      <c r="H1359" t="inlineStr">
        <is>
          <t>Pendiente</t>
        </is>
      </c>
      <c r="I1359" t="inlineStr">
        <is>
          <t>No se encontro documentacion de aprobacion, reversion o limites previos al ajuste automatico de recursos.</t>
        </is>
      </c>
      <c r="L1359"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60">
      <c r="A1360" t="inlineStr">
        <is>
          <t>E1</t>
        </is>
      </c>
      <c r="B1360" t="inlineStr">
        <is>
          <t>Multicloud</t>
        </is>
      </c>
      <c r="C1360" t="inlineStr">
        <is>
          <t>Densify</t>
        </is>
      </c>
      <c r="D1360" t="inlineStr">
        <is>
          <t>Multicloud</t>
        </is>
      </c>
      <c r="E1360" t="inlineStr">
        <is>
          <t>M1</t>
        </is>
      </c>
      <c r="F1360" t="inlineStr">
        <is>
          <t>¿Consolida al menos dos proveedores bajo el mismo esquema declarado?</t>
        </is>
      </c>
      <c r="G1360" t="n">
        <v>0</v>
      </c>
      <c r="H1360" t="inlineStr">
        <is>
          <t>Oficial (ausencia verificada)</t>
        </is>
      </c>
      <c r="I1360" t="inlineStr">
        <is>
          <t>La documentacion no describe consolidacion de facturacion entre proveedores bajo un esquema declarado; el producto opera sobre clusteres de Kubernetes.</t>
        </is>
      </c>
      <c r="J1360" t="inlineStr">
        <is>
          <t>https://www.densify.com/product/container-and-kubernetes-resource-optimizer/</t>
        </is>
      </c>
      <c r="K1360" t="inlineStr">
        <is>
          <t>2026-09-16</t>
        </is>
      </c>
      <c r="L1360"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61">
      <c r="A1361" t="inlineStr">
        <is>
          <t>E1</t>
        </is>
      </c>
      <c r="B1361" t="inlineStr">
        <is>
          <t>Multicloud</t>
        </is>
      </c>
      <c r="C1361" t="inlineStr">
        <is>
          <t>Densify</t>
        </is>
      </c>
      <c r="D1361" t="inlineStr">
        <is>
          <t>Multicloud</t>
        </is>
      </c>
      <c r="E1361" t="inlineStr">
        <is>
          <t>M2</t>
        </is>
      </c>
      <c r="F1361" t="inlineStr">
        <is>
          <t>¿Hace visibles proveedor, cobertura y diferencias semánticas?</t>
        </is>
      </c>
      <c r="G1361" t="n">
        <v>0</v>
      </c>
      <c r="H1361" t="inlineStr">
        <is>
          <t>Oficial (ausencia verificada)</t>
        </is>
      </c>
      <c r="I1361" t="inlineStr">
        <is>
          <t>Al no consolidar facturacion multiproveedor, no expone diferencias semanticas entre proveedores.</t>
        </is>
      </c>
      <c r="J1361" t="inlineStr">
        <is>
          <t>https://www.densify.com/product/container-and-kubernetes-resource-optimizer/</t>
        </is>
      </c>
      <c r="K1361" t="inlineStr">
        <is>
          <t>2026-09-16</t>
        </is>
      </c>
      <c r="L1361"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62">
      <c r="A1362" t="inlineStr">
        <is>
          <t>E1</t>
        </is>
      </c>
      <c r="B1362" t="inlineStr">
        <is>
          <t>Multicloud</t>
        </is>
      </c>
      <c r="C1362" t="inlineStr">
        <is>
          <t>Densify</t>
        </is>
      </c>
      <c r="D1362" t="inlineStr">
        <is>
          <t>Integracion</t>
        </is>
      </c>
      <c r="E1362" t="inlineStr">
        <is>
          <t>I1</t>
        </is>
      </c>
      <c r="F1362" t="inlineStr">
        <is>
          <t>¿Integra datos requeridos (facturación, uso, clúster o IaC) del escenario?</t>
        </is>
      </c>
      <c r="G1362" t="inlineStr">
        <is>
          <t>NE</t>
        </is>
      </c>
      <c r="H1362" t="inlineStr">
        <is>
          <t>Pendiente</t>
        </is>
      </c>
      <c r="I1362" t="inlineStr">
        <is>
          <t>Pendiente de investigacion propia del escenario: el indicador depende del escenario y la evidencia recogida corresponde al escenario ancla del producto.</t>
        </is>
      </c>
      <c r="L1362"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363">
      <c r="A1363" t="inlineStr">
        <is>
          <t>E1</t>
        </is>
      </c>
      <c r="B1363" t="inlineStr">
        <is>
          <t>Multicloud</t>
        </is>
      </c>
      <c r="C1363" t="inlineStr">
        <is>
          <t>Densify</t>
        </is>
      </c>
      <c r="D1363" t="inlineStr">
        <is>
          <t>Integracion</t>
        </is>
      </c>
      <c r="E1363" t="inlineStr">
        <is>
          <t>I2</t>
        </is>
      </c>
      <c r="F1363" t="inlineStr">
        <is>
          <t>¿Se integra con el flujo de trabajo relevante (alerta, ticket, CI/CD o reporte)?</t>
        </is>
      </c>
      <c r="G1363" t="inlineStr">
        <is>
          <t>NE</t>
        </is>
      </c>
      <c r="H1363" t="inlineStr">
        <is>
          <t>Pendiente</t>
        </is>
      </c>
      <c r="I1363" t="inlineStr">
        <is>
          <t>Pendiente de investigacion propia del escenario: el indicador depende del escenario y la evidencia recogida corresponde al escenario ancla del producto.</t>
        </is>
      </c>
      <c r="L1363"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364">
      <c r="A1364" t="inlineStr">
        <is>
          <t>E1</t>
        </is>
      </c>
      <c r="B1364" t="inlineStr">
        <is>
          <t>Multicloud</t>
        </is>
      </c>
      <c r="C1364" t="inlineStr">
        <is>
          <t>Densify</t>
        </is>
      </c>
      <c r="D1364" t="inlineStr">
        <is>
          <t>Adopcion</t>
        </is>
      </c>
      <c r="E1364" t="inlineStr">
        <is>
          <t>AD1</t>
        </is>
      </c>
      <c r="F1364" t="inlineStr">
        <is>
          <t>¿Soporta acceso/entrega para los roles del escenario?</t>
        </is>
      </c>
      <c r="G1364" t="inlineStr">
        <is>
          <t>NE</t>
        </is>
      </c>
      <c r="H1364" t="inlineStr">
        <is>
          <t>Pendiente</t>
        </is>
      </c>
      <c r="I1364" t="inlineStr">
        <is>
          <t>Pendiente de investigacion propia del escenario: el indicador depende del escenario y la evidencia recogida corresponde al escenario ancla del producto.</t>
        </is>
      </c>
      <c r="L1364"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365">
      <c r="A1365" t="inlineStr">
        <is>
          <t>E1</t>
        </is>
      </c>
      <c r="B1365" t="inlineStr">
        <is>
          <t>Multicloud</t>
        </is>
      </c>
      <c r="C1365" t="inlineStr">
        <is>
          <t>Densify</t>
        </is>
      </c>
      <c r="D1365" t="inlineStr">
        <is>
          <t>Adopcion</t>
        </is>
      </c>
      <c r="E1365" t="inlineStr">
        <is>
          <t>AD2</t>
        </is>
      </c>
      <c r="F1365" t="inlineStr">
        <is>
          <t>¿Ofrece guías, ownership o mecanismos de seguimiento para uso sostenido?</t>
        </is>
      </c>
      <c r="G1365" t="inlineStr">
        <is>
          <t>NE</t>
        </is>
      </c>
      <c r="H1365" t="inlineStr">
        <is>
          <t>Pendiente</t>
        </is>
      </c>
      <c r="I1365" t="inlineStr">
        <is>
          <t>No se encontro guia oficial de habilitacion o gobernanza para uso sostenido.</t>
        </is>
      </c>
      <c r="L1365"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66">
      <c r="A1366" t="inlineStr">
        <is>
          <t>E1</t>
        </is>
      </c>
      <c r="B1366" t="inlineStr">
        <is>
          <t>Multicloud</t>
        </is>
      </c>
      <c r="C1366" t="inlineStr">
        <is>
          <t>Densify</t>
        </is>
      </c>
      <c r="D1366" t="inlineStr">
        <is>
          <t>Precio</t>
        </is>
      </c>
      <c r="E1366" t="inlineStr">
        <is>
          <t>P1</t>
        </is>
      </c>
      <c r="F1366" t="inlineStr">
        <is>
          <t>¿Expone precio, moneda, región, unidad, período y supuestos relevantes?</t>
        </is>
      </c>
      <c r="G1366" t="inlineStr">
        <is>
          <t>NE</t>
        </is>
      </c>
      <c r="H1366" t="inlineStr">
        <is>
          <t>Pendiente</t>
        </is>
      </c>
      <c r="I1366" t="inlineStr">
        <is>
          <t>No se encontro documentacion sobre exposicion de precio, moneda, region, unidad y supuestos.</t>
        </is>
      </c>
      <c r="L1366"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67">
      <c r="A1367" t="inlineStr">
        <is>
          <t>E1</t>
        </is>
      </c>
      <c r="B1367" t="inlineStr">
        <is>
          <t>Multicloud</t>
        </is>
      </c>
      <c r="C1367" t="inlineStr">
        <is>
          <t>Densify</t>
        </is>
      </c>
      <c r="D1367" t="inlineStr">
        <is>
          <t>Precio</t>
        </is>
      </c>
      <c r="E1367" t="inlineStr">
        <is>
          <t>P2</t>
        </is>
      </c>
      <c r="F1367" t="inlineStr">
        <is>
          <t>¿Permite estimar o comparar componentes sin ocultar límites de equivalencia?</t>
        </is>
      </c>
      <c r="G1367" t="inlineStr">
        <is>
          <t>NE</t>
        </is>
      </c>
      <c r="H1367" t="inlineStr">
        <is>
          <t>Pendiente</t>
        </is>
      </c>
      <c r="I1367" t="inlineStr">
        <is>
          <t>Pendiente de investigacion propia del escenario: el indicador depende del escenario y la evidencia recogida corresponde al escenario ancla del producto.</t>
        </is>
      </c>
      <c r="L1367"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368">
      <c r="A1368" t="inlineStr">
        <is>
          <t>E1</t>
        </is>
      </c>
      <c r="B1368" t="inlineStr">
        <is>
          <t>Multicloud</t>
        </is>
      </c>
      <c r="C1368" t="inlineStr">
        <is>
          <t>Densify</t>
        </is>
      </c>
      <c r="D1368" t="inlineStr">
        <is>
          <t>Dependencia</t>
        </is>
      </c>
      <c r="E1368" t="inlineStr">
        <is>
          <t>D1</t>
        </is>
      </c>
      <c r="F1368" t="inlineStr">
        <is>
          <t>¿Exporta datos/resultados en formato utilizable y documentado?</t>
        </is>
      </c>
      <c r="G1368" t="inlineStr">
        <is>
          <t>NE</t>
        </is>
      </c>
      <c r="H1368" t="inlineStr">
        <is>
          <t>Pendiente</t>
        </is>
      </c>
      <c r="I1368" t="inlineStr">
        <is>
          <t>No se encontro documentacion oficial de exportacion o API de salida de datos.</t>
        </is>
      </c>
      <c r="L1368"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69">
      <c r="A1369" t="inlineStr">
        <is>
          <t>E1</t>
        </is>
      </c>
      <c r="B1369" t="inlineStr">
        <is>
          <t>Multicloud</t>
        </is>
      </c>
      <c r="C1369" t="inlineStr">
        <is>
          <t>Densify</t>
        </is>
      </c>
      <c r="D1369" t="inlineStr">
        <is>
          <t>Dependencia</t>
        </is>
      </c>
      <c r="E1369" t="inlineStr">
        <is>
          <t>D2</t>
        </is>
      </c>
      <c r="F1369" t="inlineStr">
        <is>
          <t>¿Documenta dependencias propietarias y un camino de salida/configuración reversible?</t>
        </is>
      </c>
      <c r="G1369" t="inlineStr">
        <is>
          <t>NE</t>
        </is>
      </c>
      <c r="H1369" t="inlineStr">
        <is>
          <t>Pendiente</t>
        </is>
      </c>
      <c r="I1369" t="inlineStr">
        <is>
          <t>No se encontro documentacion sobre dependencias propietarias ni camino de salida.</t>
        </is>
      </c>
      <c r="L1369"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70">
      <c r="A1370" t="inlineStr">
        <is>
          <t>E2</t>
        </is>
      </c>
      <c r="B1370" t="inlineStr">
        <is>
          <t>Multicloud</t>
        </is>
      </c>
      <c r="C1370" t="inlineStr">
        <is>
          <t>Densify</t>
        </is>
      </c>
      <c r="D1370" t="inlineStr">
        <is>
          <t>Visibilidad</t>
        </is>
      </c>
      <c r="E1370" t="inlineStr">
        <is>
          <t>V1</t>
        </is>
      </c>
      <c r="F1370" t="inlineStr">
        <is>
          <t>¿Desagrega costo y uso por cuenta/proyecto, servicio y período?</t>
        </is>
      </c>
      <c r="G1370" t="n">
        <v>0</v>
      </c>
      <c r="H1370" t="inlineStr">
        <is>
          <t>Oficial (ausencia verificada)</t>
        </is>
      </c>
      <c r="I1370" t="inlineStr">
        <is>
          <t>La documentacion describe optimizacion de recursos de contenedores y nodos; el modelado de costos se limita a estimar el costo de contenedores sin requests definidos. No desglosa costo y uso por cuenta, servicio y periodo entre proveedores, que es lo que E2 evalua.</t>
        </is>
      </c>
      <c r="J1370" t="inlineStr">
        <is>
          <t>https://www.densify.com/docs/WebHelp_Densify_Cloud/Content/Densify_Com/Optimizing_Your_Containers.htm</t>
        </is>
      </c>
      <c r="K1370" t="inlineStr">
        <is>
          <t>2026-09-16</t>
        </is>
      </c>
      <c r="L1370"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71">
      <c r="A1371" t="inlineStr">
        <is>
          <t>E2</t>
        </is>
      </c>
      <c r="B1371" t="inlineStr">
        <is>
          <t>Multicloud</t>
        </is>
      </c>
      <c r="C1371" t="inlineStr">
        <is>
          <t>Densify</t>
        </is>
      </c>
      <c r="D1371" t="inlineStr">
        <is>
          <t>Visibilidad</t>
        </is>
      </c>
      <c r="E1371" t="inlineStr">
        <is>
          <t>V2</t>
        </is>
      </c>
      <c r="F1371" t="inlineStr">
        <is>
          <t>¿Permite rastrear un total hasta registros o fuente de facturación?</t>
        </is>
      </c>
      <c r="G1371" t="n">
        <v>0</v>
      </c>
      <c r="H1371" t="inlineStr">
        <is>
          <t>Oficial (ausencia verificada)</t>
        </is>
      </c>
      <c r="I1371" t="inlineStr">
        <is>
          <t>No rastrea totales hasta la fuente de facturacion: opera sobre metricas de utilizacion de contenedores y nodos.</t>
        </is>
      </c>
      <c r="J1371" t="inlineStr">
        <is>
          <t>https://www.densify.com/docs/WebHelp_Densify_Cloud/Content/Densify_Com/Optimizing_Your_Containers.htm</t>
        </is>
      </c>
      <c r="K1371" t="inlineStr">
        <is>
          <t>2026-09-16</t>
        </is>
      </c>
      <c r="L1371"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72">
      <c r="A1372" t="inlineStr">
        <is>
          <t>E2</t>
        </is>
      </c>
      <c r="B1372" t="inlineStr">
        <is>
          <t>Multicloud</t>
        </is>
      </c>
      <c r="C1372" t="inlineStr">
        <is>
          <t>Densify</t>
        </is>
      </c>
      <c r="D1372" t="inlineStr">
        <is>
          <t>Asignacion</t>
        </is>
      </c>
      <c r="E1372" t="inlineStr">
        <is>
          <t>A1</t>
        </is>
      </c>
      <c r="F1372" t="inlineStr">
        <is>
          <t>¿Calcula gasto asignado/no asignado por responsable, centro o entidad?</t>
        </is>
      </c>
      <c r="G1372" t="n">
        <v>0</v>
      </c>
      <c r="H1372" t="inlineStr">
        <is>
          <t>Oficial (ausencia verificada)</t>
        </is>
      </c>
      <c r="I1372" t="inlineStr">
        <is>
          <t>No es una herramienta de asignacion de gasto organizacional; su unidad de analisis es el contenedor, el pod y el nodo.</t>
        </is>
      </c>
      <c r="J1372" t="inlineStr">
        <is>
          <t>https://www.densify.com/product/container-and-kubernetes-resource-optimizer/</t>
        </is>
      </c>
      <c r="K1372" t="inlineStr">
        <is>
          <t>2026-09-16</t>
        </is>
      </c>
      <c r="L1372"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73">
      <c r="A1373" t="inlineStr">
        <is>
          <t>E2</t>
        </is>
      </c>
      <c r="B1373" t="inlineStr">
        <is>
          <t>Multicloud</t>
        </is>
      </c>
      <c r="C1373" t="inlineStr">
        <is>
          <t>Densify</t>
        </is>
      </c>
      <c r="D1373" t="inlineStr">
        <is>
          <t>Asignacion</t>
        </is>
      </c>
      <c r="E1373" t="inlineStr">
        <is>
          <t>A2</t>
        </is>
      </c>
      <c r="F1373" t="inlineStr">
        <is>
          <t>¿Explicita y aplica reglas para costo compartido/multi-tenant?</t>
        </is>
      </c>
      <c r="G1373" t="n">
        <v>0</v>
      </c>
      <c r="H1373" t="inlineStr">
        <is>
          <t>Oficial (ausencia verificada)</t>
        </is>
      </c>
      <c r="I1373" t="inlineStr">
        <is>
          <t>Mismo alcance que A1: no define reglas de reparto de costo compartido entre entidades organizacionales.</t>
        </is>
      </c>
      <c r="J1373" t="inlineStr">
        <is>
          <t>https://www.densify.com/product/container-and-kubernetes-resource-optimizer/</t>
        </is>
      </c>
      <c r="K1373" t="inlineStr">
        <is>
          <t>2026-09-16</t>
        </is>
      </c>
      <c r="L1373"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74">
      <c r="A1374" t="inlineStr">
        <is>
          <t>E2</t>
        </is>
      </c>
      <c r="B1374" t="inlineStr">
        <is>
          <t>Multicloud</t>
        </is>
      </c>
      <c r="C1374" t="inlineStr">
        <is>
          <t>Densify</t>
        </is>
      </c>
      <c r="D1374" t="inlineStr">
        <is>
          <t>Optimizacion</t>
        </is>
      </c>
      <c r="E1374" t="inlineStr">
        <is>
          <t>O1</t>
        </is>
      </c>
      <c r="F1374" t="inlineStr">
        <is>
          <t>¿Detecta desperdicio, rightsizing o compromiso relevante al escenario?</t>
        </is>
      </c>
      <c r="G1374" t="n">
        <v>2</v>
      </c>
      <c r="H1374" t="inlineStr">
        <is>
          <t>Oficial</t>
        </is>
      </c>
      <c r="I1374" t="inlineStr">
        <is>
          <t>Aprende los patrones de utilizacion de contenedores y pods y «determine the optimal request and limit values», ademas de recomendar tipos de nodo segun el patron de carga.</t>
        </is>
      </c>
      <c r="J1374" t="inlineStr">
        <is>
          <t>https://www.densify.com/docs/WebHelp_Densify_Cloud/Content/Densify_Com/Optimizing_Your_Containers.htm</t>
        </is>
      </c>
      <c r="K1374" t="inlineStr">
        <is>
          <t>2026-09-16</t>
        </is>
      </c>
      <c r="L1374"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75">
      <c r="A1375" t="inlineStr">
        <is>
          <t>E2</t>
        </is>
      </c>
      <c r="B1375" t="inlineStr">
        <is>
          <t>Multicloud</t>
        </is>
      </c>
      <c r="C1375" t="inlineStr">
        <is>
          <t>Densify</t>
        </is>
      </c>
      <c r="D1375" t="inlineStr">
        <is>
          <t>Optimizacion</t>
        </is>
      </c>
      <c r="E1375" t="inlineStr">
        <is>
          <t>O2</t>
        </is>
      </c>
      <c r="F1375" t="inlineStr">
        <is>
          <t>¿Explica supuesto/impacto y permite seguir una recomendación?</t>
        </is>
      </c>
      <c r="G1375" t="inlineStr">
        <is>
          <t>NE</t>
        </is>
      </c>
      <c r="H1375" t="inlineStr">
        <is>
          <t>Pendiente</t>
        </is>
      </c>
      <c r="I1375" t="inlineStr">
        <is>
          <t>No se encontro documentacion del ciclo de medicion o seguimiento del ahorro efectivamente realizado.</t>
        </is>
      </c>
      <c r="L1375"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76">
      <c r="A1376" t="inlineStr">
        <is>
          <t>E2</t>
        </is>
      </c>
      <c r="B1376" t="inlineStr">
        <is>
          <t>Multicloud</t>
        </is>
      </c>
      <c r="C1376" t="inlineStr">
        <is>
          <t>Densify</t>
        </is>
      </c>
      <c r="D1376" t="inlineStr">
        <is>
          <t>Automatizacion</t>
        </is>
      </c>
      <c r="E1376" t="inlineStr">
        <is>
          <t>AU1</t>
        </is>
      </c>
      <c r="F1376" t="inlineStr">
        <is>
          <t>¿Ejecuta o bloquea acciones/políticas de costo con control verificable?</t>
        </is>
      </c>
      <c r="G1376" t="n">
        <v>2</v>
      </c>
      <c r="H1376" t="inlineStr">
        <is>
          <t>Oficial</t>
        </is>
      </c>
      <c r="I1376" t="inlineStr">
        <is>
          <t>La automatizacion «continuously monitors the resources your applications are actually using and adjusts resource settings in real-time», lo que constituye ejecucion y no solo recomendacion.</t>
        </is>
      </c>
      <c r="J1376" t="inlineStr">
        <is>
          <t>https://www.densify.com/docs/WebHelp_Densify_Cloud/Content/Densify_Com/Optimizing_Your_Containers.htm</t>
        </is>
      </c>
      <c r="K1376" t="inlineStr">
        <is>
          <t>2026-09-16</t>
        </is>
      </c>
      <c r="L1376"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77">
      <c r="A1377" t="inlineStr">
        <is>
          <t>E2</t>
        </is>
      </c>
      <c r="B1377" t="inlineStr">
        <is>
          <t>Multicloud</t>
        </is>
      </c>
      <c r="C1377" t="inlineStr">
        <is>
          <t>Densify</t>
        </is>
      </c>
      <c r="D1377" t="inlineStr">
        <is>
          <t>Automatizacion</t>
        </is>
      </c>
      <c r="E1377" t="inlineStr">
        <is>
          <t>AU2</t>
        </is>
      </c>
      <c r="F1377" t="inlineStr">
        <is>
          <t>¿Ofrece aprobación, reversión, registro o límites antes de actuar?</t>
        </is>
      </c>
      <c r="G1377" t="inlineStr">
        <is>
          <t>NE</t>
        </is>
      </c>
      <c r="H1377" t="inlineStr">
        <is>
          <t>Pendiente</t>
        </is>
      </c>
      <c r="I1377" t="inlineStr">
        <is>
          <t>No se encontro documentacion de aprobacion, reversion o limites previos al ajuste automatico de recursos.</t>
        </is>
      </c>
      <c r="L1377"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78">
      <c r="A1378" t="inlineStr">
        <is>
          <t>E2</t>
        </is>
      </c>
      <c r="B1378" t="inlineStr">
        <is>
          <t>Multicloud</t>
        </is>
      </c>
      <c r="C1378" t="inlineStr">
        <is>
          <t>Densify</t>
        </is>
      </c>
      <c r="D1378" t="inlineStr">
        <is>
          <t>Multicloud</t>
        </is>
      </c>
      <c r="E1378" t="inlineStr">
        <is>
          <t>M1</t>
        </is>
      </c>
      <c r="F1378" t="inlineStr">
        <is>
          <t>¿Consolida al menos dos proveedores bajo el mismo esquema declarado?</t>
        </is>
      </c>
      <c r="G1378" t="n">
        <v>0</v>
      </c>
      <c r="H1378" t="inlineStr">
        <is>
          <t>Oficial (ausencia verificada)</t>
        </is>
      </c>
      <c r="I1378" t="inlineStr">
        <is>
          <t>La documentacion no describe consolidacion de facturacion entre proveedores bajo un esquema declarado; el producto opera sobre clusteres de Kubernetes.</t>
        </is>
      </c>
      <c r="J1378" t="inlineStr">
        <is>
          <t>https://www.densify.com/product/container-and-kubernetes-resource-optimizer/</t>
        </is>
      </c>
      <c r="K1378" t="inlineStr">
        <is>
          <t>2026-09-16</t>
        </is>
      </c>
      <c r="L1378"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79">
      <c r="A1379" t="inlineStr">
        <is>
          <t>E2</t>
        </is>
      </c>
      <c r="B1379" t="inlineStr">
        <is>
          <t>Multicloud</t>
        </is>
      </c>
      <c r="C1379" t="inlineStr">
        <is>
          <t>Densify</t>
        </is>
      </c>
      <c r="D1379" t="inlineStr">
        <is>
          <t>Multicloud</t>
        </is>
      </c>
      <c r="E1379" t="inlineStr">
        <is>
          <t>M2</t>
        </is>
      </c>
      <c r="F1379" t="inlineStr">
        <is>
          <t>¿Hace visibles proveedor, cobertura y diferencias semánticas?</t>
        </is>
      </c>
      <c r="G1379" t="n">
        <v>0</v>
      </c>
      <c r="H1379" t="inlineStr">
        <is>
          <t>Oficial (ausencia verificada)</t>
        </is>
      </c>
      <c r="I1379" t="inlineStr">
        <is>
          <t>Al no consolidar facturacion multiproveedor, no expone diferencias semanticas entre proveedores.</t>
        </is>
      </c>
      <c r="J1379" t="inlineStr">
        <is>
          <t>https://www.densify.com/product/container-and-kubernetes-resource-optimizer/</t>
        </is>
      </c>
      <c r="K1379" t="inlineStr">
        <is>
          <t>2026-09-16</t>
        </is>
      </c>
      <c r="L1379"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80">
      <c r="A1380" t="inlineStr">
        <is>
          <t>E2</t>
        </is>
      </c>
      <c r="B1380" t="inlineStr">
        <is>
          <t>Multicloud</t>
        </is>
      </c>
      <c r="C1380" t="inlineStr">
        <is>
          <t>Densify</t>
        </is>
      </c>
      <c r="D1380" t="inlineStr">
        <is>
          <t>Integracion</t>
        </is>
      </c>
      <c r="E1380" t="inlineStr">
        <is>
          <t>I1</t>
        </is>
      </c>
      <c r="F1380" t="inlineStr">
        <is>
          <t>¿Integra datos requeridos (facturación, uso, clúster o IaC) del escenario?</t>
        </is>
      </c>
      <c r="G1380" t="inlineStr">
        <is>
          <t>NE</t>
        </is>
      </c>
      <c r="H1380" t="inlineStr">
        <is>
          <t>Pendiente</t>
        </is>
      </c>
      <c r="I1380" t="inlineStr">
        <is>
          <t>No se encontro documentacion oficial de conectores de ingesta de datos de facturacion por proveedor.</t>
        </is>
      </c>
      <c r="L1380"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81">
      <c r="A1381" t="inlineStr">
        <is>
          <t>E2</t>
        </is>
      </c>
      <c r="B1381" t="inlineStr">
        <is>
          <t>Multicloud</t>
        </is>
      </c>
      <c r="C1381" t="inlineStr">
        <is>
          <t>Densify</t>
        </is>
      </c>
      <c r="D1381" t="inlineStr">
        <is>
          <t>Integracion</t>
        </is>
      </c>
      <c r="E1381" t="inlineStr">
        <is>
          <t>I2</t>
        </is>
      </c>
      <c r="F1381" t="inlineStr">
        <is>
          <t>¿Se integra con el flujo de trabajo relevante (alerta, ticket, CI/CD o reporte)?</t>
        </is>
      </c>
      <c r="G1381" t="inlineStr">
        <is>
          <t>NE</t>
        </is>
      </c>
      <c r="H1381" t="inlineStr">
        <is>
          <t>Pendiente</t>
        </is>
      </c>
      <c r="I1381" t="inlineStr">
        <is>
          <t>No se encontro documentacion oficial de integracion con el flujo operativo del escenario multinube.</t>
        </is>
      </c>
      <c r="L1381"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82">
      <c r="A1382" t="inlineStr">
        <is>
          <t>E2</t>
        </is>
      </c>
      <c r="B1382" t="inlineStr">
        <is>
          <t>Multicloud</t>
        </is>
      </c>
      <c r="C1382" t="inlineStr">
        <is>
          <t>Densify</t>
        </is>
      </c>
      <c r="D1382" t="inlineStr">
        <is>
          <t>Adopcion</t>
        </is>
      </c>
      <c r="E1382" t="inlineStr">
        <is>
          <t>AD1</t>
        </is>
      </c>
      <c r="F1382" t="inlineStr">
        <is>
          <t>¿Soporta acceso/entrega para los roles del escenario?</t>
        </is>
      </c>
      <c r="G1382" t="inlineStr">
        <is>
          <t>NE</t>
        </is>
      </c>
      <c r="H1382" t="inlineStr">
        <is>
          <t>Pendiente</t>
        </is>
      </c>
      <c r="I1382" t="inlineStr">
        <is>
          <t>No se encontro documentacion oficial de roles y accesos por perfil.</t>
        </is>
      </c>
      <c r="L1382"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83">
      <c r="A1383" t="inlineStr">
        <is>
          <t>E2</t>
        </is>
      </c>
      <c r="B1383" t="inlineStr">
        <is>
          <t>Multicloud</t>
        </is>
      </c>
      <c r="C1383" t="inlineStr">
        <is>
          <t>Densify</t>
        </is>
      </c>
      <c r="D1383" t="inlineStr">
        <is>
          <t>Adopcion</t>
        </is>
      </c>
      <c r="E1383" t="inlineStr">
        <is>
          <t>AD2</t>
        </is>
      </c>
      <c r="F1383" t="inlineStr">
        <is>
          <t>¿Ofrece guías, ownership o mecanismos de seguimiento para uso sostenido?</t>
        </is>
      </c>
      <c r="G1383" t="inlineStr">
        <is>
          <t>NE</t>
        </is>
      </c>
      <c r="H1383" t="inlineStr">
        <is>
          <t>Pendiente</t>
        </is>
      </c>
      <c r="I1383" t="inlineStr">
        <is>
          <t>No se encontro guia oficial de habilitacion o gobernanza para uso sostenido.</t>
        </is>
      </c>
      <c r="L1383"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84">
      <c r="A1384" t="inlineStr">
        <is>
          <t>E2</t>
        </is>
      </c>
      <c r="B1384" t="inlineStr">
        <is>
          <t>Multicloud</t>
        </is>
      </c>
      <c r="C1384" t="inlineStr">
        <is>
          <t>Densify</t>
        </is>
      </c>
      <c r="D1384" t="inlineStr">
        <is>
          <t>Precio</t>
        </is>
      </c>
      <c r="E1384" t="inlineStr">
        <is>
          <t>P1</t>
        </is>
      </c>
      <c r="F1384" t="inlineStr">
        <is>
          <t>¿Expone precio, moneda, región, unidad, período y supuestos relevantes?</t>
        </is>
      </c>
      <c r="G1384" t="inlineStr">
        <is>
          <t>NE</t>
        </is>
      </c>
      <c r="H1384" t="inlineStr">
        <is>
          <t>Pendiente</t>
        </is>
      </c>
      <c r="I1384" t="inlineStr">
        <is>
          <t>No se encontro documentacion sobre exposicion de precio, moneda, region, unidad y supuestos.</t>
        </is>
      </c>
      <c r="L1384"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85">
      <c r="A1385" t="inlineStr">
        <is>
          <t>E2</t>
        </is>
      </c>
      <c r="B1385" t="inlineStr">
        <is>
          <t>Multicloud</t>
        </is>
      </c>
      <c r="C1385" t="inlineStr">
        <is>
          <t>Densify</t>
        </is>
      </c>
      <c r="D1385" t="inlineStr">
        <is>
          <t>Precio</t>
        </is>
      </c>
      <c r="E1385" t="inlineStr">
        <is>
          <t>P2</t>
        </is>
      </c>
      <c r="F1385" t="inlineStr">
        <is>
          <t>¿Permite estimar o comparar componentes sin ocultar límites de equivalencia?</t>
        </is>
      </c>
      <c r="G1385" t="inlineStr">
        <is>
          <t>NE</t>
        </is>
      </c>
      <c r="H1385" t="inlineStr">
        <is>
          <t>Pendiente</t>
        </is>
      </c>
      <c r="I1385" t="inlineStr">
        <is>
          <t>No se encontro documentacion de estimacion o comparacion de componentes de precio.</t>
        </is>
      </c>
      <c r="L1385"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86">
      <c r="A1386" t="inlineStr">
        <is>
          <t>E2</t>
        </is>
      </c>
      <c r="B1386" t="inlineStr">
        <is>
          <t>Multicloud</t>
        </is>
      </c>
      <c r="C1386" t="inlineStr">
        <is>
          <t>Densify</t>
        </is>
      </c>
      <c r="D1386" t="inlineStr">
        <is>
          <t>Dependencia</t>
        </is>
      </c>
      <c r="E1386" t="inlineStr">
        <is>
          <t>D1</t>
        </is>
      </c>
      <c r="F1386" t="inlineStr">
        <is>
          <t>¿Exporta datos/resultados en formato utilizable y documentado?</t>
        </is>
      </c>
      <c r="G1386" t="inlineStr">
        <is>
          <t>NE</t>
        </is>
      </c>
      <c r="H1386" t="inlineStr">
        <is>
          <t>Pendiente</t>
        </is>
      </c>
      <c r="I1386" t="inlineStr">
        <is>
          <t>No se encontro documentacion oficial de exportacion o API de salida de datos.</t>
        </is>
      </c>
      <c r="L1386"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87">
      <c r="A1387" t="inlineStr">
        <is>
          <t>E2</t>
        </is>
      </c>
      <c r="B1387" t="inlineStr">
        <is>
          <t>Multicloud</t>
        </is>
      </c>
      <c r="C1387" t="inlineStr">
        <is>
          <t>Densify</t>
        </is>
      </c>
      <c r="D1387" t="inlineStr">
        <is>
          <t>Dependencia</t>
        </is>
      </c>
      <c r="E1387" t="inlineStr">
        <is>
          <t>D2</t>
        </is>
      </c>
      <c r="F1387" t="inlineStr">
        <is>
          <t>¿Documenta dependencias propietarias y un camino de salida/configuración reversible?</t>
        </is>
      </c>
      <c r="G1387" t="inlineStr">
        <is>
          <t>NE</t>
        </is>
      </c>
      <c r="H1387" t="inlineStr">
        <is>
          <t>Pendiente</t>
        </is>
      </c>
      <c r="I1387" t="inlineStr">
        <is>
          <t>No se encontro documentacion sobre dependencias propietarias ni camino de salida.</t>
        </is>
      </c>
      <c r="L1387"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88">
      <c r="A1388" t="inlineStr">
        <is>
          <t>E5</t>
        </is>
      </c>
      <c r="B1388" t="inlineStr">
        <is>
          <t>Multicloud</t>
        </is>
      </c>
      <c r="C1388" t="inlineStr">
        <is>
          <t>Densify</t>
        </is>
      </c>
      <c r="D1388" t="inlineStr">
        <is>
          <t>Visibilidad</t>
        </is>
      </c>
      <c r="E1388" t="inlineStr">
        <is>
          <t>V1</t>
        </is>
      </c>
      <c r="F1388" t="inlineStr">
        <is>
          <t>¿Desagrega costo y uso por cuenta/proyecto, servicio y período?</t>
        </is>
      </c>
      <c r="G1388" t="n">
        <v>0</v>
      </c>
      <c r="H1388" t="inlineStr">
        <is>
          <t>Oficial (ausencia verificada)</t>
        </is>
      </c>
      <c r="I1388" t="inlineStr">
        <is>
          <t>La documentacion describe optimizacion de recursos de contenedores y nodos; el modelado de costos se limita a estimar el costo de contenedores sin requests definidos. No desglosa costo y uso por cuenta, servicio y periodo entre proveedores, que es lo que E2 evalua.</t>
        </is>
      </c>
      <c r="J1388" t="inlineStr">
        <is>
          <t>https://www.densify.com/docs/WebHelp_Densify_Cloud/Content/Densify_Com/Optimizing_Your_Containers.htm</t>
        </is>
      </c>
      <c r="K1388" t="inlineStr">
        <is>
          <t>2026-09-16</t>
        </is>
      </c>
      <c r="L1388"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389">
      <c r="A1389" t="inlineStr">
        <is>
          <t>E5</t>
        </is>
      </c>
      <c r="B1389" t="inlineStr">
        <is>
          <t>Multicloud</t>
        </is>
      </c>
      <c r="C1389" t="inlineStr">
        <is>
          <t>Densify</t>
        </is>
      </c>
      <c r="D1389" t="inlineStr">
        <is>
          <t>Visibilidad</t>
        </is>
      </c>
      <c r="E1389" t="inlineStr">
        <is>
          <t>V2</t>
        </is>
      </c>
      <c r="F1389" t="inlineStr">
        <is>
          <t>¿Permite rastrear un total hasta registros o fuente de facturación?</t>
        </is>
      </c>
      <c r="G1389" t="n">
        <v>0</v>
      </c>
      <c r="H1389" t="inlineStr">
        <is>
          <t>Oficial (ausencia verificada)</t>
        </is>
      </c>
      <c r="I1389" t="inlineStr">
        <is>
          <t>No rastrea totales hasta la fuente de facturacion: opera sobre metricas de utilizacion de contenedores y nodos.</t>
        </is>
      </c>
      <c r="J1389" t="inlineStr">
        <is>
          <t>https://www.densify.com/docs/WebHelp_Densify_Cloud/Content/Densify_Com/Optimizing_Your_Containers.htm</t>
        </is>
      </c>
      <c r="K1389" t="inlineStr">
        <is>
          <t>2026-09-16</t>
        </is>
      </c>
      <c r="L1389"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90">
      <c r="A1390" t="inlineStr">
        <is>
          <t>E5</t>
        </is>
      </c>
      <c r="B1390" t="inlineStr">
        <is>
          <t>Multicloud</t>
        </is>
      </c>
      <c r="C1390" t="inlineStr">
        <is>
          <t>Densify</t>
        </is>
      </c>
      <c r="D1390" t="inlineStr">
        <is>
          <t>Asignacion</t>
        </is>
      </c>
      <c r="E1390" t="inlineStr">
        <is>
          <t>A1</t>
        </is>
      </c>
      <c r="F1390" t="inlineStr">
        <is>
          <t>¿Calcula gasto asignado/no asignado por responsable, centro o entidad?</t>
        </is>
      </c>
      <c r="G1390" t="n">
        <v>0</v>
      </c>
      <c r="H1390" t="inlineStr">
        <is>
          <t>Oficial (ausencia verificada)</t>
        </is>
      </c>
      <c r="I1390" t="inlineStr">
        <is>
          <t>No es una herramienta de asignacion de gasto organizacional; su unidad de analisis es el contenedor, el pod y el nodo.</t>
        </is>
      </c>
      <c r="J1390" t="inlineStr">
        <is>
          <t>https://www.densify.com/product/container-and-kubernetes-resource-optimizer/</t>
        </is>
      </c>
      <c r="K1390" t="inlineStr">
        <is>
          <t>2026-09-16</t>
        </is>
      </c>
      <c r="L1390"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391">
      <c r="A1391" t="inlineStr">
        <is>
          <t>E5</t>
        </is>
      </c>
      <c r="B1391" t="inlineStr">
        <is>
          <t>Multicloud</t>
        </is>
      </c>
      <c r="C1391" t="inlineStr">
        <is>
          <t>Densify</t>
        </is>
      </c>
      <c r="D1391" t="inlineStr">
        <is>
          <t>Asignacion</t>
        </is>
      </c>
      <c r="E1391" t="inlineStr">
        <is>
          <t>A2</t>
        </is>
      </c>
      <c r="F1391" t="inlineStr">
        <is>
          <t>¿Explicita y aplica reglas para costo compartido/multi-tenant?</t>
        </is>
      </c>
      <c r="G1391" t="inlineStr">
        <is>
          <t>NE</t>
        </is>
      </c>
      <c r="H1391" t="inlineStr">
        <is>
          <t>Pendiente</t>
        </is>
      </c>
      <c r="I1391" t="inlineStr">
        <is>
          <t>Pendiente de investigacion propia del escenario: el indicador depende del escenario y la evidencia recogida corresponde al escenario ancla del producto.</t>
        </is>
      </c>
      <c r="L1391"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392">
      <c r="A1392" t="inlineStr">
        <is>
          <t>E5</t>
        </is>
      </c>
      <c r="B1392" t="inlineStr">
        <is>
          <t>Multicloud</t>
        </is>
      </c>
      <c r="C1392" t="inlineStr">
        <is>
          <t>Densify</t>
        </is>
      </c>
      <c r="D1392" t="inlineStr">
        <is>
          <t>Optimizacion</t>
        </is>
      </c>
      <c r="E1392" t="inlineStr">
        <is>
          <t>O1</t>
        </is>
      </c>
      <c r="F1392" t="inlineStr">
        <is>
          <t>¿Detecta desperdicio, rightsizing o compromiso relevante al escenario?</t>
        </is>
      </c>
      <c r="G1392" t="n">
        <v>2</v>
      </c>
      <c r="H1392" t="inlineStr">
        <is>
          <t>Oficial</t>
        </is>
      </c>
      <c r="I1392" t="inlineStr">
        <is>
          <t>Aprende los patrones de utilizacion de contenedores y pods y «determine the optimal request and limit values», ademas de recomendar tipos de nodo segun el patron de carga.</t>
        </is>
      </c>
      <c r="J1392" t="inlineStr">
        <is>
          <t>https://www.densify.com/docs/WebHelp_Densify_Cloud/Content/Densify_Com/Optimizing_Your_Containers.htm</t>
        </is>
      </c>
      <c r="K1392" t="inlineStr">
        <is>
          <t>2026-09-16</t>
        </is>
      </c>
      <c r="L1392"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393">
      <c r="A1393" t="inlineStr">
        <is>
          <t>E5</t>
        </is>
      </c>
      <c r="B1393" t="inlineStr">
        <is>
          <t>Multicloud</t>
        </is>
      </c>
      <c r="C1393" t="inlineStr">
        <is>
          <t>Densify</t>
        </is>
      </c>
      <c r="D1393" t="inlineStr">
        <is>
          <t>Optimizacion</t>
        </is>
      </c>
      <c r="E1393" t="inlineStr">
        <is>
          <t>O2</t>
        </is>
      </c>
      <c r="F1393" t="inlineStr">
        <is>
          <t>¿Explica supuesto/impacto y permite seguir una recomendación?</t>
        </is>
      </c>
      <c r="G1393" t="inlineStr">
        <is>
          <t>NE</t>
        </is>
      </c>
      <c r="H1393" t="inlineStr">
        <is>
          <t>Pendiente</t>
        </is>
      </c>
      <c r="I1393" t="inlineStr">
        <is>
          <t>No se encontro documentacion del ciclo de medicion o seguimiento del ahorro efectivamente realizado.</t>
        </is>
      </c>
      <c r="L1393"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94">
      <c r="A1394" t="inlineStr">
        <is>
          <t>E5</t>
        </is>
      </c>
      <c r="B1394" t="inlineStr">
        <is>
          <t>Multicloud</t>
        </is>
      </c>
      <c r="C1394" t="inlineStr">
        <is>
          <t>Densify</t>
        </is>
      </c>
      <c r="D1394" t="inlineStr">
        <is>
          <t>Automatizacion</t>
        </is>
      </c>
      <c r="E1394" t="inlineStr">
        <is>
          <t>AU1</t>
        </is>
      </c>
      <c r="F1394" t="inlineStr">
        <is>
          <t>¿Ejecuta o bloquea acciones/políticas de costo con control verificable?</t>
        </is>
      </c>
      <c r="G1394" t="n">
        <v>2</v>
      </c>
      <c r="H1394" t="inlineStr">
        <is>
          <t>Oficial</t>
        </is>
      </c>
      <c r="I1394" t="inlineStr">
        <is>
          <t>La automatizacion «continuously monitors the resources your applications are actually using and adjusts resource settings in real-time», lo que constituye ejecucion y no solo recomendacion.</t>
        </is>
      </c>
      <c r="J1394" t="inlineStr">
        <is>
          <t>https://www.densify.com/docs/WebHelp_Densify_Cloud/Content/Densify_Com/Optimizing_Your_Containers.htm</t>
        </is>
      </c>
      <c r="K1394" t="inlineStr">
        <is>
          <t>2026-09-16</t>
        </is>
      </c>
      <c r="L1394"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Evidencia subsumida desde E2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395">
      <c r="A1395" t="inlineStr">
        <is>
          <t>E5</t>
        </is>
      </c>
      <c r="B1395" t="inlineStr">
        <is>
          <t>Multicloud</t>
        </is>
      </c>
      <c r="C1395" t="inlineStr">
        <is>
          <t>Densify</t>
        </is>
      </c>
      <c r="D1395" t="inlineStr">
        <is>
          <t>Automatizacion</t>
        </is>
      </c>
      <c r="E1395" t="inlineStr">
        <is>
          <t>AU2</t>
        </is>
      </c>
      <c r="F1395" t="inlineStr">
        <is>
          <t>¿Ofrece aprobación, reversión, registro o límites antes de actuar?</t>
        </is>
      </c>
      <c r="G1395" t="inlineStr">
        <is>
          <t>NE</t>
        </is>
      </c>
      <c r="H1395" t="inlineStr">
        <is>
          <t>Pendiente</t>
        </is>
      </c>
      <c r="I1395" t="inlineStr">
        <is>
          <t>No se encontro documentacion de aprobacion, reversion o limites previos al ajuste automatico de recursos.</t>
        </is>
      </c>
      <c r="L1395"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96">
      <c r="A1396" t="inlineStr">
        <is>
          <t>E5</t>
        </is>
      </c>
      <c r="B1396" t="inlineStr">
        <is>
          <t>Multicloud</t>
        </is>
      </c>
      <c r="C1396" t="inlineStr">
        <is>
          <t>Densify</t>
        </is>
      </c>
      <c r="D1396" t="inlineStr">
        <is>
          <t>Multicloud</t>
        </is>
      </c>
      <c r="E1396" t="inlineStr">
        <is>
          <t>M1</t>
        </is>
      </c>
      <c r="F1396" t="inlineStr">
        <is>
          <t>¿Consolida al menos dos proveedores bajo el mismo esquema declarado?</t>
        </is>
      </c>
      <c r="G1396" t="n">
        <v>0</v>
      </c>
      <c r="H1396" t="inlineStr">
        <is>
          <t>Oficial (ausencia verificada)</t>
        </is>
      </c>
      <c r="I1396" t="inlineStr">
        <is>
          <t>La documentacion no describe consolidacion de facturacion entre proveedores bajo un esquema declarado; el producto opera sobre clusteres de Kubernetes.</t>
        </is>
      </c>
      <c r="J1396" t="inlineStr">
        <is>
          <t>https://www.densify.com/product/container-and-kubernetes-resource-optimizer/</t>
        </is>
      </c>
      <c r="K1396" t="inlineStr">
        <is>
          <t>2026-09-16</t>
        </is>
      </c>
      <c r="L1396"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97">
      <c r="A1397" t="inlineStr">
        <is>
          <t>E5</t>
        </is>
      </c>
      <c r="B1397" t="inlineStr">
        <is>
          <t>Multicloud</t>
        </is>
      </c>
      <c r="C1397" t="inlineStr">
        <is>
          <t>Densify</t>
        </is>
      </c>
      <c r="D1397" t="inlineStr">
        <is>
          <t>Multicloud</t>
        </is>
      </c>
      <c r="E1397" t="inlineStr">
        <is>
          <t>M2</t>
        </is>
      </c>
      <c r="F1397" t="inlineStr">
        <is>
          <t>¿Hace visibles proveedor, cobertura y diferencias semánticas?</t>
        </is>
      </c>
      <c r="G1397" t="n">
        <v>0</v>
      </c>
      <c r="H1397" t="inlineStr">
        <is>
          <t>Oficial (ausencia verificada)</t>
        </is>
      </c>
      <c r="I1397" t="inlineStr">
        <is>
          <t>Al no consolidar facturacion multiproveedor, no expone diferencias semanticas entre proveedores.</t>
        </is>
      </c>
      <c r="J1397" t="inlineStr">
        <is>
          <t>https://www.densify.com/product/container-and-kubernetes-resource-optimizer/</t>
        </is>
      </c>
      <c r="K1397" t="inlineStr">
        <is>
          <t>2026-09-16</t>
        </is>
      </c>
      <c r="L1397"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398">
      <c r="A1398" t="inlineStr">
        <is>
          <t>E5</t>
        </is>
      </c>
      <c r="B1398" t="inlineStr">
        <is>
          <t>Multicloud</t>
        </is>
      </c>
      <c r="C1398" t="inlineStr">
        <is>
          <t>Densify</t>
        </is>
      </c>
      <c r="D1398" t="inlineStr">
        <is>
          <t>Integracion</t>
        </is>
      </c>
      <c r="E1398" t="inlineStr">
        <is>
          <t>I1</t>
        </is>
      </c>
      <c r="F1398" t="inlineStr">
        <is>
          <t>¿Integra datos requeridos (facturación, uso, clúster o IaC) del escenario?</t>
        </is>
      </c>
      <c r="G1398" t="inlineStr">
        <is>
          <t>NE</t>
        </is>
      </c>
      <c r="H1398" t="inlineStr">
        <is>
          <t>Pendiente</t>
        </is>
      </c>
      <c r="I1398" t="inlineStr">
        <is>
          <t>Pendiente de investigacion propia del escenario: el indicador depende del escenario y la evidencia recogida corresponde al escenario ancla del producto.</t>
        </is>
      </c>
      <c r="L1398"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399">
      <c r="A1399" t="inlineStr">
        <is>
          <t>E5</t>
        </is>
      </c>
      <c r="B1399" t="inlineStr">
        <is>
          <t>Multicloud</t>
        </is>
      </c>
      <c r="C1399" t="inlineStr">
        <is>
          <t>Densify</t>
        </is>
      </c>
      <c r="D1399" t="inlineStr">
        <is>
          <t>Integracion</t>
        </is>
      </c>
      <c r="E1399" t="inlineStr">
        <is>
          <t>I2</t>
        </is>
      </c>
      <c r="F1399" t="inlineStr">
        <is>
          <t>¿Se integra con el flujo de trabajo relevante (alerta, ticket, CI/CD o reporte)?</t>
        </is>
      </c>
      <c r="G1399" t="inlineStr">
        <is>
          <t>NE</t>
        </is>
      </c>
      <c r="H1399" t="inlineStr">
        <is>
          <t>Pendiente</t>
        </is>
      </c>
      <c r="I1399" t="inlineStr">
        <is>
          <t>Pendiente de investigacion propia del escenario: el indicador depende del escenario y la evidencia recogida corresponde al escenario ancla del producto.</t>
        </is>
      </c>
      <c r="L1399"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400">
      <c r="A1400" t="inlineStr">
        <is>
          <t>E5</t>
        </is>
      </c>
      <c r="B1400" t="inlineStr">
        <is>
          <t>Multicloud</t>
        </is>
      </c>
      <c r="C1400" t="inlineStr">
        <is>
          <t>Densify</t>
        </is>
      </c>
      <c r="D1400" t="inlineStr">
        <is>
          <t>Adopcion</t>
        </is>
      </c>
      <c r="E1400" t="inlineStr">
        <is>
          <t>AD1</t>
        </is>
      </c>
      <c r="F1400" t="inlineStr">
        <is>
          <t>¿Soporta acceso/entrega para los roles del escenario?</t>
        </is>
      </c>
      <c r="G1400" t="inlineStr">
        <is>
          <t>NE</t>
        </is>
      </c>
      <c r="H1400" t="inlineStr">
        <is>
          <t>Pendiente</t>
        </is>
      </c>
      <c r="I1400" t="inlineStr">
        <is>
          <t>Pendiente de investigacion propia del escenario: el indicador depende del escenario y la evidencia recogida corresponde al escenario ancla del producto.</t>
        </is>
      </c>
      <c r="L1400"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401">
      <c r="A1401" t="inlineStr">
        <is>
          <t>E5</t>
        </is>
      </c>
      <c r="B1401" t="inlineStr">
        <is>
          <t>Multicloud</t>
        </is>
      </c>
      <c r="C1401" t="inlineStr">
        <is>
          <t>Densify</t>
        </is>
      </c>
      <c r="D1401" t="inlineStr">
        <is>
          <t>Adopcion</t>
        </is>
      </c>
      <c r="E1401" t="inlineStr">
        <is>
          <t>AD2</t>
        </is>
      </c>
      <c r="F1401" t="inlineStr">
        <is>
          <t>¿Ofrece guías, ownership o mecanismos de seguimiento para uso sostenido?</t>
        </is>
      </c>
      <c r="G1401" t="inlineStr">
        <is>
          <t>NE</t>
        </is>
      </c>
      <c r="H1401" t="inlineStr">
        <is>
          <t>Pendiente</t>
        </is>
      </c>
      <c r="I1401" t="inlineStr">
        <is>
          <t>No se encontro guia oficial de habilitacion o gobernanza para uso sostenido.</t>
        </is>
      </c>
      <c r="L1401"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02">
      <c r="A1402" t="inlineStr">
        <is>
          <t>E5</t>
        </is>
      </c>
      <c r="B1402" t="inlineStr">
        <is>
          <t>Multicloud</t>
        </is>
      </c>
      <c r="C1402" t="inlineStr">
        <is>
          <t>Densify</t>
        </is>
      </c>
      <c r="D1402" t="inlineStr">
        <is>
          <t>Precio</t>
        </is>
      </c>
      <c r="E1402" t="inlineStr">
        <is>
          <t>P1</t>
        </is>
      </c>
      <c r="F1402" t="inlineStr">
        <is>
          <t>¿Expone precio, moneda, región, unidad, período y supuestos relevantes?</t>
        </is>
      </c>
      <c r="G1402" t="inlineStr">
        <is>
          <t>NE</t>
        </is>
      </c>
      <c r="H1402" t="inlineStr">
        <is>
          <t>Pendiente</t>
        </is>
      </c>
      <c r="I1402" t="inlineStr">
        <is>
          <t>No se encontro documentacion sobre exposicion de precio, moneda, region, unidad y supuestos.</t>
        </is>
      </c>
      <c r="L1402"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03">
      <c r="A1403" t="inlineStr">
        <is>
          <t>E5</t>
        </is>
      </c>
      <c r="B1403" t="inlineStr">
        <is>
          <t>Multicloud</t>
        </is>
      </c>
      <c r="C1403" t="inlineStr">
        <is>
          <t>Densify</t>
        </is>
      </c>
      <c r="D1403" t="inlineStr">
        <is>
          <t>Precio</t>
        </is>
      </c>
      <c r="E1403" t="inlineStr">
        <is>
          <t>P2</t>
        </is>
      </c>
      <c r="F1403" t="inlineStr">
        <is>
          <t>¿Permite estimar o comparar componentes sin ocultar límites de equivalencia?</t>
        </is>
      </c>
      <c r="G1403" t="inlineStr">
        <is>
          <t>NE</t>
        </is>
      </c>
      <c r="H1403" t="inlineStr">
        <is>
          <t>Pendiente</t>
        </is>
      </c>
      <c r="I1403" t="inlineStr">
        <is>
          <t>Pendiente de investigacion propia del escenario: el indicador depende del escenario y la evidencia recogida corresponde al escenario ancla del producto.</t>
        </is>
      </c>
      <c r="L1403"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404">
      <c r="A1404" t="inlineStr">
        <is>
          <t>E5</t>
        </is>
      </c>
      <c r="B1404" t="inlineStr">
        <is>
          <t>Multicloud</t>
        </is>
      </c>
      <c r="C1404" t="inlineStr">
        <is>
          <t>Densify</t>
        </is>
      </c>
      <c r="D1404" t="inlineStr">
        <is>
          <t>Dependencia</t>
        </is>
      </c>
      <c r="E1404" t="inlineStr">
        <is>
          <t>D1</t>
        </is>
      </c>
      <c r="F1404" t="inlineStr">
        <is>
          <t>¿Exporta datos/resultados en formato utilizable y documentado?</t>
        </is>
      </c>
      <c r="G1404" t="inlineStr">
        <is>
          <t>NE</t>
        </is>
      </c>
      <c r="H1404" t="inlineStr">
        <is>
          <t>Pendiente</t>
        </is>
      </c>
      <c r="I1404" t="inlineStr">
        <is>
          <t>No se encontro documentacion oficial de exportacion o API de salida de datos.</t>
        </is>
      </c>
      <c r="L1404"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05">
      <c r="A1405" t="inlineStr">
        <is>
          <t>E5</t>
        </is>
      </c>
      <c r="B1405" t="inlineStr">
        <is>
          <t>Multicloud</t>
        </is>
      </c>
      <c r="C1405" t="inlineStr">
        <is>
          <t>Densify</t>
        </is>
      </c>
      <c r="D1405" t="inlineStr">
        <is>
          <t>Dependencia</t>
        </is>
      </c>
      <c r="E1405" t="inlineStr">
        <is>
          <t>D2</t>
        </is>
      </c>
      <c r="F1405" t="inlineStr">
        <is>
          <t>¿Documenta dependencias propietarias y un camino de salida/configuración reversible?</t>
        </is>
      </c>
      <c r="G1405" t="inlineStr">
        <is>
          <t>NE</t>
        </is>
      </c>
      <c r="H1405" t="inlineStr">
        <is>
          <t>Pendiente</t>
        </is>
      </c>
      <c r="I1405" t="inlineStr">
        <is>
          <t>No se encontro documentacion sobre dependencias propietarias ni camino de salida.</t>
        </is>
      </c>
      <c r="L1405"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06">
      <c r="A1406" t="inlineStr">
        <is>
          <t>E6</t>
        </is>
      </c>
      <c r="B1406" t="inlineStr">
        <is>
          <t>Multicloud</t>
        </is>
      </c>
      <c r="C1406" t="inlineStr">
        <is>
          <t>Densify</t>
        </is>
      </c>
      <c r="D1406" t="inlineStr">
        <is>
          <t>Visibilidad</t>
        </is>
      </c>
      <c r="E1406" t="inlineStr">
        <is>
          <t>V1</t>
        </is>
      </c>
      <c r="F1406" t="inlineStr">
        <is>
          <t>¿Desagrega costo y uso por cuenta/proyecto, servicio y período?</t>
        </is>
      </c>
      <c r="G1406" t="inlineStr">
        <is>
          <t>NE</t>
        </is>
      </c>
      <c r="H1406" t="inlineStr">
        <is>
          <t>Pendiente</t>
        </is>
      </c>
      <c r="I1406" t="inlineStr">
        <is>
          <t>Pendiente de investigacion propia del escenario: el indicador depende del escenario y la evidencia recogida corresponde al escenario ancla del producto.</t>
        </is>
      </c>
      <c r="L1406"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407">
      <c r="A1407" t="inlineStr">
        <is>
          <t>E6</t>
        </is>
      </c>
      <c r="B1407" t="inlineStr">
        <is>
          <t>Multicloud</t>
        </is>
      </c>
      <c r="C1407" t="inlineStr">
        <is>
          <t>Densify</t>
        </is>
      </c>
      <c r="D1407" t="inlineStr">
        <is>
          <t>Visibilidad</t>
        </is>
      </c>
      <c r="E1407" t="inlineStr">
        <is>
          <t>V2</t>
        </is>
      </c>
      <c r="F1407" t="inlineStr">
        <is>
          <t>¿Permite rastrear un total hasta registros o fuente de facturación?</t>
        </is>
      </c>
      <c r="G1407" t="n">
        <v>0</v>
      </c>
      <c r="H1407" t="inlineStr">
        <is>
          <t>Oficial (ausencia verificada)</t>
        </is>
      </c>
      <c r="I1407" t="inlineStr">
        <is>
          <t>No rastrea totales hasta la fuente de facturacion: opera sobre metricas de utilizacion de contenedores y nodos.</t>
        </is>
      </c>
      <c r="J1407" t="inlineStr">
        <is>
          <t>https://www.densify.com/docs/WebHelp_Densify_Cloud/Content/Densify_Com/Optimizing_Your_Containers.htm</t>
        </is>
      </c>
      <c r="K1407" t="inlineStr">
        <is>
          <t>2026-09-16</t>
        </is>
      </c>
      <c r="L1407"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08">
      <c r="A1408" t="inlineStr">
        <is>
          <t>E6</t>
        </is>
      </c>
      <c r="B1408" t="inlineStr">
        <is>
          <t>Multicloud</t>
        </is>
      </c>
      <c r="C1408" t="inlineStr">
        <is>
          <t>Densify</t>
        </is>
      </c>
      <c r="D1408" t="inlineStr">
        <is>
          <t>Asignacion</t>
        </is>
      </c>
      <c r="E1408" t="inlineStr">
        <is>
          <t>A1</t>
        </is>
      </c>
      <c r="F1408" t="inlineStr">
        <is>
          <t>¿Calcula gasto asignado/no asignado por responsable, centro o entidad?</t>
        </is>
      </c>
      <c r="G1408" t="n">
        <v>0</v>
      </c>
      <c r="H1408" t="inlineStr">
        <is>
          <t>Oficial (ausencia verificada)</t>
        </is>
      </c>
      <c r="I1408" t="inlineStr">
        <is>
          <t>No es una herramienta de asignacion de gasto organizacional; su unidad de analisis es el contenedor, el pod y el nodo.</t>
        </is>
      </c>
      <c r="J1408" t="inlineStr">
        <is>
          <t>https://www.densify.com/product/container-and-kubernetes-resource-optimizer/</t>
        </is>
      </c>
      <c r="K1408" t="inlineStr">
        <is>
          <t>2026-09-16</t>
        </is>
      </c>
      <c r="L1408"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409">
      <c r="A1409" t="inlineStr">
        <is>
          <t>E6</t>
        </is>
      </c>
      <c r="B1409" t="inlineStr">
        <is>
          <t>Multicloud</t>
        </is>
      </c>
      <c r="C1409" t="inlineStr">
        <is>
          <t>Densify</t>
        </is>
      </c>
      <c r="D1409" t="inlineStr">
        <is>
          <t>Asignacion</t>
        </is>
      </c>
      <c r="E1409" t="inlineStr">
        <is>
          <t>A2</t>
        </is>
      </c>
      <c r="F1409" t="inlineStr">
        <is>
          <t>¿Explicita y aplica reglas para costo compartido/multi-tenant?</t>
        </is>
      </c>
      <c r="G1409" t="n">
        <v>0</v>
      </c>
      <c r="H1409" t="inlineStr">
        <is>
          <t>Oficial (ausencia verificada)</t>
        </is>
      </c>
      <c r="I1409" t="inlineStr">
        <is>
          <t>Mismo alcance que A1: no define reglas de reparto de costo compartido entre entidades organizacionales.</t>
        </is>
      </c>
      <c r="J1409" t="inlineStr">
        <is>
          <t>https://www.densify.com/product/container-and-kubernetes-resource-optimizer/</t>
        </is>
      </c>
      <c r="K1409" t="inlineStr">
        <is>
          <t>2026-09-16</t>
        </is>
      </c>
      <c r="L1409"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410">
      <c r="A1410" t="inlineStr">
        <is>
          <t>E6</t>
        </is>
      </c>
      <c r="B1410" t="inlineStr">
        <is>
          <t>Multicloud</t>
        </is>
      </c>
      <c r="C1410" t="inlineStr">
        <is>
          <t>Densify</t>
        </is>
      </c>
      <c r="D1410" t="inlineStr">
        <is>
          <t>Optimizacion</t>
        </is>
      </c>
      <c r="E1410" t="inlineStr">
        <is>
          <t>O1</t>
        </is>
      </c>
      <c r="F1410" t="inlineStr">
        <is>
          <t>¿Detecta desperdicio, rightsizing o compromiso relevante al escenario?</t>
        </is>
      </c>
      <c r="G1410" t="n">
        <v>2</v>
      </c>
      <c r="H1410" t="inlineStr">
        <is>
          <t>Oficial</t>
        </is>
      </c>
      <c r="I1410" t="inlineStr">
        <is>
          <t>Aprende los patrones de utilizacion de contenedores y pods y «determine the optimal request and limit values», ademas de recomendar tipos de nodo segun el patron de carga.</t>
        </is>
      </c>
      <c r="J1410" t="inlineStr">
        <is>
          <t>https://www.densify.com/docs/WebHelp_Densify_Cloud/Content/Densify_Com/Optimizing_Your_Containers.htm</t>
        </is>
      </c>
      <c r="K1410" t="inlineStr">
        <is>
          <t>2026-09-16</t>
        </is>
      </c>
      <c r="L1410"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411">
      <c r="A1411" t="inlineStr">
        <is>
          <t>E6</t>
        </is>
      </c>
      <c r="B1411" t="inlineStr">
        <is>
          <t>Multicloud</t>
        </is>
      </c>
      <c r="C1411" t="inlineStr">
        <is>
          <t>Densify</t>
        </is>
      </c>
      <c r="D1411" t="inlineStr">
        <is>
          <t>Optimizacion</t>
        </is>
      </c>
      <c r="E1411" t="inlineStr">
        <is>
          <t>O2</t>
        </is>
      </c>
      <c r="F1411" t="inlineStr">
        <is>
          <t>¿Explica supuesto/impacto y permite seguir una recomendación?</t>
        </is>
      </c>
      <c r="G1411" t="inlineStr">
        <is>
          <t>NE</t>
        </is>
      </c>
      <c r="H1411" t="inlineStr">
        <is>
          <t>Pendiente</t>
        </is>
      </c>
      <c r="I1411" t="inlineStr">
        <is>
          <t>No se encontro documentacion del ciclo de medicion o seguimiento del ahorro efectivamente realizado.</t>
        </is>
      </c>
      <c r="L1411"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12">
      <c r="A1412" t="inlineStr">
        <is>
          <t>E6</t>
        </is>
      </c>
      <c r="B1412" t="inlineStr">
        <is>
          <t>Multicloud</t>
        </is>
      </c>
      <c r="C1412" t="inlineStr">
        <is>
          <t>Densify</t>
        </is>
      </c>
      <c r="D1412" t="inlineStr">
        <is>
          <t>Automatizacion</t>
        </is>
      </c>
      <c r="E1412" t="inlineStr">
        <is>
          <t>AU1</t>
        </is>
      </c>
      <c r="F1412" t="inlineStr">
        <is>
          <t>¿Ejecuta o bloquea acciones/políticas de costo con control verificable?</t>
        </is>
      </c>
      <c r="G1412" t="n">
        <v>2</v>
      </c>
      <c r="H1412" t="inlineStr">
        <is>
          <t>Oficial</t>
        </is>
      </c>
      <c r="I1412" t="inlineStr">
        <is>
          <t>La automatizacion «continuously monitors the resources your applications are actually using and adjusts resource settings in real-time», lo que constituye ejecucion y no solo recomendacion.</t>
        </is>
      </c>
      <c r="J1412" t="inlineStr">
        <is>
          <t>https://www.densify.com/docs/WebHelp_Densify_Cloud/Content/Densify_Com/Optimizing_Your_Containers.htm</t>
        </is>
      </c>
      <c r="K1412" t="inlineStr">
        <is>
          <t>2026-09-16</t>
        </is>
      </c>
      <c r="L1412"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 | Evidencia subsumida desde E2 (2026-09-16): la capacidad no cambia por la escala ni por la distribucion de la carga. Lo que si distingue a E6 —el costo de red y transferencia por flujo de trabajo— se evalua en V1 e I1, que solo se puntuan con evidencia propia de este escenario. La fuente y la cita originales se conservan sin cambios.</t>
        </is>
      </c>
    </row>
    <row r="1413">
      <c r="A1413" t="inlineStr">
        <is>
          <t>E6</t>
        </is>
      </c>
      <c r="B1413" t="inlineStr">
        <is>
          <t>Multicloud</t>
        </is>
      </c>
      <c r="C1413" t="inlineStr">
        <is>
          <t>Densify</t>
        </is>
      </c>
      <c r="D1413" t="inlineStr">
        <is>
          <t>Automatizacion</t>
        </is>
      </c>
      <c r="E1413" t="inlineStr">
        <is>
          <t>AU2</t>
        </is>
      </c>
      <c r="F1413" t="inlineStr">
        <is>
          <t>¿Ofrece aprobación, reversión, registro o límites antes de actuar?</t>
        </is>
      </c>
      <c r="G1413" t="inlineStr">
        <is>
          <t>NE</t>
        </is>
      </c>
      <c r="H1413" t="inlineStr">
        <is>
          <t>Pendiente</t>
        </is>
      </c>
      <c r="I1413" t="inlineStr">
        <is>
          <t>No se encontro documentacion de aprobacion, reversion o limites previos al ajuste automatico de recursos.</t>
        </is>
      </c>
      <c r="L1413"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14">
      <c r="A1414" t="inlineStr">
        <is>
          <t>E6</t>
        </is>
      </c>
      <c r="B1414" t="inlineStr">
        <is>
          <t>Multicloud</t>
        </is>
      </c>
      <c r="C1414" t="inlineStr">
        <is>
          <t>Densify</t>
        </is>
      </c>
      <c r="D1414" t="inlineStr">
        <is>
          <t>Multicloud</t>
        </is>
      </c>
      <c r="E1414" t="inlineStr">
        <is>
          <t>M1</t>
        </is>
      </c>
      <c r="F1414" t="inlineStr">
        <is>
          <t>¿Consolida al menos dos proveedores bajo el mismo esquema declarado?</t>
        </is>
      </c>
      <c r="G1414" t="n">
        <v>0</v>
      </c>
      <c r="H1414" t="inlineStr">
        <is>
          <t>Oficial (ausencia verificada)</t>
        </is>
      </c>
      <c r="I1414" t="inlineStr">
        <is>
          <t>La documentacion no describe consolidacion de facturacion entre proveedores bajo un esquema declarado; el producto opera sobre clusteres de Kubernetes.</t>
        </is>
      </c>
      <c r="J1414" t="inlineStr">
        <is>
          <t>https://www.densify.com/product/container-and-kubernetes-resource-optimizer/</t>
        </is>
      </c>
      <c r="K1414" t="inlineStr">
        <is>
          <t>2026-09-16</t>
        </is>
      </c>
      <c r="L1414"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15">
      <c r="A1415" t="inlineStr">
        <is>
          <t>E6</t>
        </is>
      </c>
      <c r="B1415" t="inlineStr">
        <is>
          <t>Multicloud</t>
        </is>
      </c>
      <c r="C1415" t="inlineStr">
        <is>
          <t>Densify</t>
        </is>
      </c>
      <c r="D1415" t="inlineStr">
        <is>
          <t>Multicloud</t>
        </is>
      </c>
      <c r="E1415" t="inlineStr">
        <is>
          <t>M2</t>
        </is>
      </c>
      <c r="F1415" t="inlineStr">
        <is>
          <t>¿Hace visibles proveedor, cobertura y diferencias semánticas?</t>
        </is>
      </c>
      <c r="G1415" t="n">
        <v>0</v>
      </c>
      <c r="H1415" t="inlineStr">
        <is>
          <t>Oficial (ausencia verificada)</t>
        </is>
      </c>
      <c r="I1415" t="inlineStr">
        <is>
          <t>Al no consolidar facturacion multiproveedor, no expone diferencias semanticas entre proveedores.</t>
        </is>
      </c>
      <c r="J1415" t="inlineStr">
        <is>
          <t>https://www.densify.com/product/container-and-kubernetes-resource-optimizer/</t>
        </is>
      </c>
      <c r="K1415" t="inlineStr">
        <is>
          <t>2026-09-16</t>
        </is>
      </c>
      <c r="L1415"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16">
      <c r="A1416" t="inlineStr">
        <is>
          <t>E6</t>
        </is>
      </c>
      <c r="B1416" t="inlineStr">
        <is>
          <t>Multicloud</t>
        </is>
      </c>
      <c r="C1416" t="inlineStr">
        <is>
          <t>Densify</t>
        </is>
      </c>
      <c r="D1416" t="inlineStr">
        <is>
          <t>Integracion</t>
        </is>
      </c>
      <c r="E1416" t="inlineStr">
        <is>
          <t>I1</t>
        </is>
      </c>
      <c r="F1416" t="inlineStr">
        <is>
          <t>¿Integra datos requeridos (facturación, uso, clúster o IaC) del escenario?</t>
        </is>
      </c>
      <c r="G1416" t="inlineStr">
        <is>
          <t>NE</t>
        </is>
      </c>
      <c r="H1416" t="inlineStr">
        <is>
          <t>Pendiente</t>
        </is>
      </c>
      <c r="I1416" t="inlineStr">
        <is>
          <t>Pendiente de investigacion propia del escenario: el indicador depende del escenario y la evidencia recogida corresponde al escenario ancla del producto.</t>
        </is>
      </c>
      <c r="L1416"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417">
      <c r="A1417" t="inlineStr">
        <is>
          <t>E6</t>
        </is>
      </c>
      <c r="B1417" t="inlineStr">
        <is>
          <t>Multicloud</t>
        </is>
      </c>
      <c r="C1417" t="inlineStr">
        <is>
          <t>Densify</t>
        </is>
      </c>
      <c r="D1417" t="inlineStr">
        <is>
          <t>Integracion</t>
        </is>
      </c>
      <c r="E1417" t="inlineStr">
        <is>
          <t>I2</t>
        </is>
      </c>
      <c r="F1417" t="inlineStr">
        <is>
          <t>¿Se integra con el flujo de trabajo relevante (alerta, ticket, CI/CD o reporte)?</t>
        </is>
      </c>
      <c r="G1417" t="inlineStr">
        <is>
          <t>NE</t>
        </is>
      </c>
      <c r="H1417" t="inlineStr">
        <is>
          <t>Pendiente</t>
        </is>
      </c>
      <c r="I1417" t="inlineStr">
        <is>
          <t>Pendiente de investigacion propia del escenario: el indicador depende del escenario y la evidencia recogida corresponde al escenario ancla del producto.</t>
        </is>
      </c>
      <c r="L1417"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418">
      <c r="A1418" t="inlineStr">
        <is>
          <t>E6</t>
        </is>
      </c>
      <c r="B1418" t="inlineStr">
        <is>
          <t>Multicloud</t>
        </is>
      </c>
      <c r="C1418" t="inlineStr">
        <is>
          <t>Densify</t>
        </is>
      </c>
      <c r="D1418" t="inlineStr">
        <is>
          <t>Adopcion</t>
        </is>
      </c>
      <c r="E1418" t="inlineStr">
        <is>
          <t>AD1</t>
        </is>
      </c>
      <c r="F1418" t="inlineStr">
        <is>
          <t>¿Soporta acceso/entrega para los roles del escenario?</t>
        </is>
      </c>
      <c r="G1418" t="inlineStr">
        <is>
          <t>NE</t>
        </is>
      </c>
      <c r="H1418" t="inlineStr">
        <is>
          <t>Pendiente</t>
        </is>
      </c>
      <c r="I1418" t="inlineStr">
        <is>
          <t>Pendiente de investigacion propia del escenario: el indicador depende del escenario y la evidencia recogida corresponde al escenario ancla del producto.</t>
        </is>
      </c>
      <c r="L1418"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419">
      <c r="A1419" t="inlineStr">
        <is>
          <t>E6</t>
        </is>
      </c>
      <c r="B1419" t="inlineStr">
        <is>
          <t>Multicloud</t>
        </is>
      </c>
      <c r="C1419" t="inlineStr">
        <is>
          <t>Densify</t>
        </is>
      </c>
      <c r="D1419" t="inlineStr">
        <is>
          <t>Adopcion</t>
        </is>
      </c>
      <c r="E1419" t="inlineStr">
        <is>
          <t>AD2</t>
        </is>
      </c>
      <c r="F1419" t="inlineStr">
        <is>
          <t>¿Ofrece guías, ownership o mecanismos de seguimiento para uso sostenido?</t>
        </is>
      </c>
      <c r="G1419" t="inlineStr">
        <is>
          <t>NE</t>
        </is>
      </c>
      <c r="H1419" t="inlineStr">
        <is>
          <t>Pendiente</t>
        </is>
      </c>
      <c r="I1419" t="inlineStr">
        <is>
          <t>No se encontro guia oficial de habilitacion o gobernanza para uso sostenido.</t>
        </is>
      </c>
      <c r="L1419"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20">
      <c r="A1420" t="inlineStr">
        <is>
          <t>E6</t>
        </is>
      </c>
      <c r="B1420" t="inlineStr">
        <is>
          <t>Multicloud</t>
        </is>
      </c>
      <c r="C1420" t="inlineStr">
        <is>
          <t>Densify</t>
        </is>
      </c>
      <c r="D1420" t="inlineStr">
        <is>
          <t>Precio</t>
        </is>
      </c>
      <c r="E1420" t="inlineStr">
        <is>
          <t>P1</t>
        </is>
      </c>
      <c r="F1420" t="inlineStr">
        <is>
          <t>¿Expone precio, moneda, región, unidad, período y supuestos relevantes?</t>
        </is>
      </c>
      <c r="G1420" t="inlineStr">
        <is>
          <t>NE</t>
        </is>
      </c>
      <c r="H1420" t="inlineStr">
        <is>
          <t>Pendiente</t>
        </is>
      </c>
      <c r="I1420" t="inlineStr">
        <is>
          <t>No se encontro documentacion sobre exposicion de precio, moneda, region, unidad y supuestos.</t>
        </is>
      </c>
      <c r="L1420"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21">
      <c r="A1421" t="inlineStr">
        <is>
          <t>E6</t>
        </is>
      </c>
      <c r="B1421" t="inlineStr">
        <is>
          <t>Multicloud</t>
        </is>
      </c>
      <c r="C1421" t="inlineStr">
        <is>
          <t>Densify</t>
        </is>
      </c>
      <c r="D1421" t="inlineStr">
        <is>
          <t>Precio</t>
        </is>
      </c>
      <c r="E1421" t="inlineStr">
        <is>
          <t>P2</t>
        </is>
      </c>
      <c r="F1421" t="inlineStr">
        <is>
          <t>¿Permite estimar o comparar componentes sin ocultar límites de equivalencia?</t>
        </is>
      </c>
      <c r="G1421" t="inlineStr">
        <is>
          <t>NE</t>
        </is>
      </c>
      <c r="H1421" t="inlineStr">
        <is>
          <t>Pendiente</t>
        </is>
      </c>
      <c r="I1421" t="inlineStr">
        <is>
          <t>Pendiente de investigacion propia del escenario: el indicador depende del escenario y la evidencia recogida corresponde al escenario ancla del producto.</t>
        </is>
      </c>
      <c r="L1421"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 | Escenario ancla del producto: E2.</t>
        </is>
      </c>
    </row>
    <row r="1422">
      <c r="A1422" t="inlineStr">
        <is>
          <t>E6</t>
        </is>
      </c>
      <c r="B1422" t="inlineStr">
        <is>
          <t>Multicloud</t>
        </is>
      </c>
      <c r="C1422" t="inlineStr">
        <is>
          <t>Densify</t>
        </is>
      </c>
      <c r="D1422" t="inlineStr">
        <is>
          <t>Dependencia</t>
        </is>
      </c>
      <c r="E1422" t="inlineStr">
        <is>
          <t>D1</t>
        </is>
      </c>
      <c r="F1422" t="inlineStr">
        <is>
          <t>¿Exporta datos/resultados en formato utilizable y documentado?</t>
        </is>
      </c>
      <c r="G1422" t="inlineStr">
        <is>
          <t>NE</t>
        </is>
      </c>
      <c r="H1422" t="inlineStr">
        <is>
          <t>Pendiente</t>
        </is>
      </c>
      <c r="I1422" t="inlineStr">
        <is>
          <t>No se encontro documentacion oficial de exportacion o API de salida de datos.</t>
        </is>
      </c>
      <c r="L1422"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23">
      <c r="A1423" t="inlineStr">
        <is>
          <t>E6</t>
        </is>
      </c>
      <c r="B1423" t="inlineStr">
        <is>
          <t>Multicloud</t>
        </is>
      </c>
      <c r="C1423" t="inlineStr">
        <is>
          <t>Densify</t>
        </is>
      </c>
      <c r="D1423" t="inlineStr">
        <is>
          <t>Dependencia</t>
        </is>
      </c>
      <c r="E1423" t="inlineStr">
        <is>
          <t>D2</t>
        </is>
      </c>
      <c r="F1423" t="inlineStr">
        <is>
          <t>¿Documenta dependencias propietarias y un camino de salida/configuración reversible?</t>
        </is>
      </c>
      <c r="G1423" t="inlineStr">
        <is>
          <t>NE</t>
        </is>
      </c>
      <c r="H1423" t="inlineStr">
        <is>
          <t>Pendiente</t>
        </is>
      </c>
      <c r="I1423" t="inlineStr">
        <is>
          <t>No se encontro documentacion sobre dependencias propietarias ni camino de salida.</t>
        </is>
      </c>
      <c r="L1423" t="inlineStr">
        <is>
          <t>Alternativa adicional incorporada en FP-180 (2026-09-16) desde el registro de FP-126 y la auditoria de FP-179. | Reserva de FP-179 confirmada: la auditoria de alternativas advirtio que Densify no queda validado como plataforma FinOps multinube. La documentacion revisada en esta pasada lo confirma: el producto se presenta como Kubex, «full-stack AI-driven K8s resource optimization, from container to node to scale group», es decir optimizacion de recursos de Kubernetes y no gestion financiera multinube. Sus indicadores de visibilidad, asignacion y multinube se puntuan 0 por ausencia verificada frente al alcance de E2. Se mantiene en la poblacion por decision de la matriz final de FP-126, y su inclusion no valida la capacidad de la categoria.</t>
        </is>
      </c>
    </row>
    <row r="1424">
      <c r="A1424" t="inlineStr">
        <is>
          <t>E3</t>
        </is>
      </c>
      <c r="B1424" t="inlineStr">
        <is>
          <t>Kubernetes</t>
        </is>
      </c>
      <c r="C1424" t="inlineStr">
        <is>
          <t>PerfectScale</t>
        </is>
      </c>
      <c r="D1424" t="inlineStr">
        <is>
          <t>Visibilidad</t>
        </is>
      </c>
      <c r="E1424" t="inlineStr">
        <is>
          <t>V1</t>
        </is>
      </c>
      <c r="F1424" t="inlineStr">
        <is>
          <t>¿Desagrega costo y uso por cuenta/proyecto, servicio y período?</t>
        </is>
      </c>
      <c r="G1424" t="n">
        <v>2</v>
      </c>
      <c r="H1424" t="inlineStr">
        <is>
          <t>Oficial</t>
        </is>
      </c>
      <c r="I1424" t="inlineStr">
        <is>
          <t>Entrega «a detailed multi-cloud, multi-cluster view of your K8s spending based on actual resource utilization», con capacidad de senalar areas problematicas y priorizar acciones.</t>
        </is>
      </c>
      <c r="J1424" t="inlineStr">
        <is>
          <t>https://docs.perfectscale.io/</t>
        </is>
      </c>
      <c r="K1424" t="inlineStr">
        <is>
          <t>2026-09-16</t>
        </is>
      </c>
      <c r="L1424" t="inlineStr">
        <is>
          <t>Alternativa adicional incorporada en FP-180 (2026-09-16) desde el registro de FP-126 y la auditoria de FP-179.</t>
        </is>
      </c>
    </row>
    <row r="1425">
      <c r="A1425" t="inlineStr">
        <is>
          <t>E3</t>
        </is>
      </c>
      <c r="B1425" t="inlineStr">
        <is>
          <t>Kubernetes</t>
        </is>
      </c>
      <c r="C1425" t="inlineStr">
        <is>
          <t>PerfectScale</t>
        </is>
      </c>
      <c r="D1425" t="inlineStr">
        <is>
          <t>Visibilidad</t>
        </is>
      </c>
      <c r="E1425" t="inlineStr">
        <is>
          <t>V2</t>
        </is>
      </c>
      <c r="F1425" t="inlineStr">
        <is>
          <t>¿Permite rastrear un total hasta registros o fuente de facturación?</t>
        </is>
      </c>
      <c r="G1425" t="inlineStr">
        <is>
          <t>NE</t>
        </is>
      </c>
      <c r="H1425" t="inlineStr">
        <is>
          <t>Pendiente</t>
        </is>
      </c>
      <c r="I1425" t="inlineStr">
        <is>
          <t>No se encontro documentacion de trazabilidad de un total hasta los registros de facturacion del proveedor.</t>
        </is>
      </c>
      <c r="L1425" t="inlineStr">
        <is>
          <t>Alternativa adicional incorporada en FP-180 (2026-09-16) desde el registro de FP-126 y la auditoria de FP-179.</t>
        </is>
      </c>
    </row>
    <row r="1426">
      <c r="A1426" t="inlineStr">
        <is>
          <t>E3</t>
        </is>
      </c>
      <c r="B1426" t="inlineStr">
        <is>
          <t>Kubernetes</t>
        </is>
      </c>
      <c r="C1426" t="inlineStr">
        <is>
          <t>PerfectScale</t>
        </is>
      </c>
      <c r="D1426" t="inlineStr">
        <is>
          <t>Asignacion</t>
        </is>
      </c>
      <c r="E1426" t="inlineStr">
        <is>
          <t>A1</t>
        </is>
      </c>
      <c r="F1426" t="inlineStr">
        <is>
          <t>¿Calcula gasto asignado/no asignado por responsable, centro o entidad?</t>
        </is>
      </c>
      <c r="G1426" t="inlineStr">
        <is>
          <t>NE</t>
        </is>
      </c>
      <c r="H1426" t="inlineStr">
        <is>
          <t>Pendiente</t>
        </is>
      </c>
      <c r="I1426" t="inlineStr">
        <is>
          <t>La documentacion revisada describe visibilidad de gasto por cluster, pero no un calculo de gasto asignado y no asignado por responsable o entidad.</t>
        </is>
      </c>
      <c r="L1426" t="inlineStr">
        <is>
          <t>Alternativa adicional incorporada en FP-180 (2026-09-16) desde el registro de FP-126 y la auditoria de FP-179.</t>
        </is>
      </c>
    </row>
    <row r="1427">
      <c r="A1427" t="inlineStr">
        <is>
          <t>E3</t>
        </is>
      </c>
      <c r="B1427" t="inlineStr">
        <is>
          <t>Kubernetes</t>
        </is>
      </c>
      <c r="C1427" t="inlineStr">
        <is>
          <t>PerfectScale</t>
        </is>
      </c>
      <c r="D1427" t="inlineStr">
        <is>
          <t>Asignacion</t>
        </is>
      </c>
      <c r="E1427" t="inlineStr">
        <is>
          <t>A2</t>
        </is>
      </c>
      <c r="F1427" t="inlineStr">
        <is>
          <t>¿Explicita y aplica reglas para costo compartido/multi-tenant?</t>
        </is>
      </c>
      <c r="G1427" t="inlineStr">
        <is>
          <t>NE</t>
        </is>
      </c>
      <c r="H1427" t="inlineStr">
        <is>
          <t>Pendiente</t>
        </is>
      </c>
      <c r="I1427" t="inlineStr">
        <is>
          <t>No se encontro documentacion de reglas de reparto de costo compartido entre equipos o tenants.</t>
        </is>
      </c>
      <c r="L1427" t="inlineStr">
        <is>
          <t>Alternativa adicional incorporada en FP-180 (2026-09-16) desde el registro de FP-126 y la auditoria de FP-179.</t>
        </is>
      </c>
    </row>
    <row r="1428">
      <c r="A1428" t="inlineStr">
        <is>
          <t>E3</t>
        </is>
      </c>
      <c r="B1428" t="inlineStr">
        <is>
          <t>Kubernetes</t>
        </is>
      </c>
      <c r="C1428" t="inlineStr">
        <is>
          <t>PerfectScale</t>
        </is>
      </c>
      <c r="D1428" t="inlineStr">
        <is>
          <t>Optimizacion</t>
        </is>
      </c>
      <c r="E1428" t="inlineStr">
        <is>
          <t>O1</t>
        </is>
      </c>
      <c r="F1428" t="inlineStr">
        <is>
          <t>¿Detecta desperdicio, rightsizing o compromiso relevante al escenario?</t>
        </is>
      </c>
      <c r="G1428" t="n">
        <v>2</v>
      </c>
      <c r="H1428" t="inlineStr">
        <is>
          <t>Oficial</t>
        </is>
      </c>
      <c r="I1428" t="inlineStr">
        <is>
          <t>PodFit realiza dimensionamiento vertical de pods e InfraFit dimensionamiento de nodos, aplicando «data-driven recommendations» sobre utilizacion real.</t>
        </is>
      </c>
      <c r="J1428" t="inlineStr">
        <is>
          <t>https://docs.perfectscale.io/visibility-and-optimization/podfit-or-vertical-pod-right-sizing</t>
        </is>
      </c>
      <c r="K1428" t="inlineStr">
        <is>
          <t>2026-09-16</t>
        </is>
      </c>
      <c r="L1428" t="inlineStr">
        <is>
          <t>Alternativa adicional incorporada en FP-180 (2026-09-16) desde el registro de FP-126 y la auditoria de FP-179.</t>
        </is>
      </c>
    </row>
    <row r="1429">
      <c r="A1429" t="inlineStr">
        <is>
          <t>E3</t>
        </is>
      </c>
      <c r="B1429" t="inlineStr">
        <is>
          <t>Kubernetes</t>
        </is>
      </c>
      <c r="C1429" t="inlineStr">
        <is>
          <t>PerfectScale</t>
        </is>
      </c>
      <c r="D1429" t="inlineStr">
        <is>
          <t>Optimizacion</t>
        </is>
      </c>
      <c r="E1429" t="inlineStr">
        <is>
          <t>O2</t>
        </is>
      </c>
      <c r="F1429" t="inlineStr">
        <is>
          <t>¿Explica supuesto/impacto y permite seguir una recomendación?</t>
        </is>
      </c>
      <c r="G1429" t="inlineStr">
        <is>
          <t>NE</t>
        </is>
      </c>
      <c r="H1429" t="inlineStr">
        <is>
          <t>Pendiente</t>
        </is>
      </c>
      <c r="I1429" t="inlineStr">
        <is>
          <t>No se encontro documentacion del ciclo de medicion del ahorro realizado tras aplicar una recomendacion.</t>
        </is>
      </c>
      <c r="L1429" t="inlineStr">
        <is>
          <t>Alternativa adicional incorporada en FP-180 (2026-09-16) desde el registro de FP-126 y la auditoria de FP-179.</t>
        </is>
      </c>
    </row>
    <row r="1430">
      <c r="A1430" t="inlineStr">
        <is>
          <t>E3</t>
        </is>
      </c>
      <c r="B1430" t="inlineStr">
        <is>
          <t>Kubernetes</t>
        </is>
      </c>
      <c r="C1430" t="inlineStr">
        <is>
          <t>PerfectScale</t>
        </is>
      </c>
      <c r="D1430" t="inlineStr">
        <is>
          <t>Automatizacion</t>
        </is>
      </c>
      <c r="E1430" t="inlineStr">
        <is>
          <t>AU1</t>
        </is>
      </c>
      <c r="F1430" t="inlineStr">
        <is>
          <t>¿Ejecuta o bloquea acciones/políticas de costo con control verificable?</t>
        </is>
      </c>
      <c r="G1430" t="n">
        <v>2</v>
      </c>
      <c r="H1430" t="inlineStr">
        <is>
          <t>Oficial</t>
        </is>
      </c>
      <c r="I1430" t="inlineStr">
        <is>
          <t>La automatizacion de PodFit «continuously optimizes your Kubernetes environment by autonomously adjusting workloads' CPU and memory to optimal values [...] without the need for manual intervention», con soporte de redimensionamiento en sitio a partir de Kubernetes 1.33.</t>
        </is>
      </c>
      <c r="J1430" t="inlineStr">
        <is>
          <t>https://docs.perfectscale.io/enable-automation/introduction-to-automation</t>
        </is>
      </c>
      <c r="K1430" t="inlineStr">
        <is>
          <t>2026-09-16</t>
        </is>
      </c>
      <c r="L1430" t="inlineStr">
        <is>
          <t>Alternativa adicional incorporada en FP-180 (2026-09-16) desde el registro de FP-126 y la auditoria de FP-179.</t>
        </is>
      </c>
    </row>
    <row r="1431">
      <c r="A1431" t="inlineStr">
        <is>
          <t>E3</t>
        </is>
      </c>
      <c r="B1431" t="inlineStr">
        <is>
          <t>Kubernetes</t>
        </is>
      </c>
      <c r="C1431" t="inlineStr">
        <is>
          <t>PerfectScale</t>
        </is>
      </c>
      <c r="D1431" t="inlineStr">
        <is>
          <t>Automatizacion</t>
        </is>
      </c>
      <c r="E1431" t="inlineStr">
        <is>
          <t>AU2</t>
        </is>
      </c>
      <c r="F1431" t="inlineStr">
        <is>
          <t>¿Ofrece aprobación, reversión, registro o límites antes de actuar?</t>
        </is>
      </c>
      <c r="G1431" t="n">
        <v>2</v>
      </c>
      <c r="H1431" t="inlineStr">
        <is>
          <t>Oficial</t>
        </is>
      </c>
      <c r="I1431" t="inlineStr">
        <is>
          <t>Las politicas de optimizacion acotan el comportamiento antes de actuar: MaxSavings, Balanced (por defecto, «optimally balances cost and resiliency»), ExtraHeadroom y MaxHeadroom, configurables por entorno.</t>
        </is>
      </c>
      <c r="J1431" t="inlineStr">
        <is>
          <t>https://docs.perfectscale.io/enable-automation/automation-customization</t>
        </is>
      </c>
      <c r="K1431" t="inlineStr">
        <is>
          <t>2026-09-16</t>
        </is>
      </c>
      <c r="L1431" t="inlineStr">
        <is>
          <t>Alternativa adicional incorporada en FP-180 (2026-09-16) desde el registro de FP-126 y la auditoria de FP-179.</t>
        </is>
      </c>
    </row>
    <row r="1432">
      <c r="A1432" t="inlineStr">
        <is>
          <t>E3</t>
        </is>
      </c>
      <c r="B1432" t="inlineStr">
        <is>
          <t>Kubernetes</t>
        </is>
      </c>
      <c r="C1432" t="inlineStr">
        <is>
          <t>PerfectScale</t>
        </is>
      </c>
      <c r="D1432" t="inlineStr">
        <is>
          <t>Multicloud</t>
        </is>
      </c>
      <c r="E1432" t="inlineStr">
        <is>
          <t>M1</t>
        </is>
      </c>
      <c r="F1432" t="inlineStr">
        <is>
          <t>¿Consolida al menos dos proveedores bajo el mismo esquema declarado?</t>
        </is>
      </c>
      <c r="G1432" t="n">
        <v>1</v>
      </c>
      <c r="H1432" t="inlineStr">
        <is>
          <t>Oficial</t>
        </is>
      </c>
      <c r="I1432" t="inlineStr">
        <is>
          <t>La documentacion declara una vista «multi-cloud, multi-cluster» del gasto de Kubernetes, pero no describe un esquema declarado de normalizacion de facturacion entre proveedores, que es lo que el ancla 2 exige.</t>
        </is>
      </c>
      <c r="J1432" t="inlineStr">
        <is>
          <t>https://docs.perfectscale.io/</t>
        </is>
      </c>
      <c r="K1432" t="inlineStr">
        <is>
          <t>2026-09-16</t>
        </is>
      </c>
      <c r="L1432" t="inlineStr">
        <is>
          <t>Alternativa adicional incorporada en FP-180 (2026-09-16) desde el registro de FP-126 y la auditoria de FP-179.</t>
        </is>
      </c>
    </row>
    <row r="1433">
      <c r="A1433" t="inlineStr">
        <is>
          <t>E3</t>
        </is>
      </c>
      <c r="B1433" t="inlineStr">
        <is>
          <t>Kubernetes</t>
        </is>
      </c>
      <c r="C1433" t="inlineStr">
        <is>
          <t>PerfectScale</t>
        </is>
      </c>
      <c r="D1433" t="inlineStr">
        <is>
          <t>Multicloud</t>
        </is>
      </c>
      <c r="E1433" t="inlineStr">
        <is>
          <t>M2</t>
        </is>
      </c>
      <c r="F1433" t="inlineStr">
        <is>
          <t>¿Hace visibles proveedor, cobertura y diferencias semánticas?</t>
        </is>
      </c>
      <c r="G1433" t="inlineStr">
        <is>
          <t>NE</t>
        </is>
      </c>
      <c r="H1433" t="inlineStr">
        <is>
          <t>Pendiente</t>
        </is>
      </c>
      <c r="I1433" t="inlineStr">
        <is>
          <t>No se encontro documentacion sobre diferencias semanticas o limites de cobertura declarados por proveedor.</t>
        </is>
      </c>
      <c r="L1433" t="inlineStr">
        <is>
          <t>Alternativa adicional incorporada en FP-180 (2026-09-16) desde el registro de FP-126 y la auditoria de FP-179.</t>
        </is>
      </c>
    </row>
    <row r="1434">
      <c r="A1434" t="inlineStr">
        <is>
          <t>E3</t>
        </is>
      </c>
      <c r="B1434" t="inlineStr">
        <is>
          <t>Kubernetes</t>
        </is>
      </c>
      <c r="C1434" t="inlineStr">
        <is>
          <t>PerfectScale</t>
        </is>
      </c>
      <c r="D1434" t="inlineStr">
        <is>
          <t>Integracion</t>
        </is>
      </c>
      <c r="E1434" t="inlineStr">
        <is>
          <t>I1</t>
        </is>
      </c>
      <c r="F1434" t="inlineStr">
        <is>
          <t>¿Integra datos requeridos (facturación, uso, clúster o IaC) del escenario?</t>
        </is>
      </c>
      <c r="G1434" t="n">
        <v>2</v>
      </c>
      <c r="H1434" t="inlineStr">
        <is>
          <t>Oficial</t>
        </is>
      </c>
      <c r="I1434" t="inlineStr">
        <is>
          <t>El agente ps-agent requiere permisos RBAC especificos para «provide insights and take automated actions», lo que documenta la ingesta de datos del cluster exigida por el escenario.</t>
        </is>
      </c>
      <c r="J1434" t="inlineStr">
        <is>
          <t>https://docs.perfectscale.io/security/ps-agent-rbac-permissions</t>
        </is>
      </c>
      <c r="K1434" t="inlineStr">
        <is>
          <t>2026-09-16</t>
        </is>
      </c>
      <c r="L1434" t="inlineStr">
        <is>
          <t>Alternativa adicional incorporada en FP-180 (2026-09-16) desde el registro de FP-126 y la auditoria de FP-179.</t>
        </is>
      </c>
    </row>
    <row r="1435">
      <c r="A1435" t="inlineStr">
        <is>
          <t>E3</t>
        </is>
      </c>
      <c r="B1435" t="inlineStr">
        <is>
          <t>Kubernetes</t>
        </is>
      </c>
      <c r="C1435" t="inlineStr">
        <is>
          <t>PerfectScale</t>
        </is>
      </c>
      <c r="D1435" t="inlineStr">
        <is>
          <t>Integracion</t>
        </is>
      </c>
      <c r="E1435" t="inlineStr">
        <is>
          <t>I2</t>
        </is>
      </c>
      <c r="F1435" t="inlineStr">
        <is>
          <t>¿Se integra con el flujo de trabajo relevante (alerta, ticket, CI/CD o reporte)?</t>
        </is>
      </c>
      <c r="G1435" t="n">
        <v>2</v>
      </c>
      <c r="H1435" t="inlineStr">
        <is>
          <t>Oficial</t>
        </is>
      </c>
      <c r="I1435" t="inlineStr">
        <is>
          <t>Integraciones documentadas con el flujo operativo: Slack, MS Teams y Datadog para alertas, Jira para gestion de incidencias, Grafana y Datadog para observabilidad, y ArgoCD «for connecting recommendations to GitOps workflows».</t>
        </is>
      </c>
      <c r="J1435" t="inlineStr">
        <is>
          <t>https://docs.perfectscale.io/customizations</t>
        </is>
      </c>
      <c r="K1435" t="inlineStr">
        <is>
          <t>2026-09-16</t>
        </is>
      </c>
      <c r="L1435" t="inlineStr">
        <is>
          <t>Alternativa adicional incorporada en FP-180 (2026-09-16) desde el registro de FP-126 y la auditoria de FP-179.</t>
        </is>
      </c>
    </row>
    <row r="1436">
      <c r="A1436" t="inlineStr">
        <is>
          <t>E3</t>
        </is>
      </c>
      <c r="B1436" t="inlineStr">
        <is>
          <t>Kubernetes</t>
        </is>
      </c>
      <c r="C1436" t="inlineStr">
        <is>
          <t>PerfectScale</t>
        </is>
      </c>
      <c r="D1436" t="inlineStr">
        <is>
          <t>Adopcion</t>
        </is>
      </c>
      <c r="E1436" t="inlineStr">
        <is>
          <t>AD1</t>
        </is>
      </c>
      <c r="F1436" t="inlineStr">
        <is>
          <t>¿Soporta acceso/entrega para los roles del escenario?</t>
        </is>
      </c>
      <c r="G1436" t="n">
        <v>2</v>
      </c>
      <c r="H1436" t="inlineStr">
        <is>
          <t>Oficial</t>
        </is>
      </c>
      <c r="I1436" t="inlineStr">
        <is>
          <t>El control de acceso esta documentado por roles: «The Admin role has full access to all system features, including user management, cluster settings, policy configuration, and platform customization», con roles diferenciados.</t>
        </is>
      </c>
      <c r="J1436" t="inlineStr">
        <is>
          <t>https://docs.perfectscale.io/administration/rbac-or-roles-and-permissions</t>
        </is>
      </c>
      <c r="K1436" t="inlineStr">
        <is>
          <t>2026-09-16</t>
        </is>
      </c>
      <c r="L1436" t="inlineStr">
        <is>
          <t>Alternativa adicional incorporada en FP-180 (2026-09-16) desde el registro de FP-126 y la auditoria de FP-179.</t>
        </is>
      </c>
    </row>
    <row r="1437">
      <c r="A1437" t="inlineStr">
        <is>
          <t>E3</t>
        </is>
      </c>
      <c r="B1437" t="inlineStr">
        <is>
          <t>Kubernetes</t>
        </is>
      </c>
      <c r="C1437" t="inlineStr">
        <is>
          <t>PerfectScale</t>
        </is>
      </c>
      <c r="D1437" t="inlineStr">
        <is>
          <t>Adopcion</t>
        </is>
      </c>
      <c r="E1437" t="inlineStr">
        <is>
          <t>AD2</t>
        </is>
      </c>
      <c r="F1437" t="inlineStr">
        <is>
          <t>¿Ofrece guías, ownership o mecanismos de seguimiento para uso sostenido?</t>
        </is>
      </c>
      <c r="G1437" t="inlineStr">
        <is>
          <t>NE</t>
        </is>
      </c>
      <c r="H1437" t="inlineStr">
        <is>
          <t>Pendiente</t>
        </is>
      </c>
      <c r="I1437" t="inlineStr">
        <is>
          <t>No se encontro guia oficial de habilitacion, ownership o medicion de adopcion sostenida.</t>
        </is>
      </c>
      <c r="L1437" t="inlineStr">
        <is>
          <t>Alternativa adicional incorporada en FP-180 (2026-09-16) desde el registro de FP-126 y la auditoria de FP-179.</t>
        </is>
      </c>
    </row>
    <row r="1438">
      <c r="A1438" t="inlineStr">
        <is>
          <t>E3</t>
        </is>
      </c>
      <c r="B1438" t="inlineStr">
        <is>
          <t>Kubernetes</t>
        </is>
      </c>
      <c r="C1438" t="inlineStr">
        <is>
          <t>PerfectScale</t>
        </is>
      </c>
      <c r="D1438" t="inlineStr">
        <is>
          <t>Precio</t>
        </is>
      </c>
      <c r="E1438" t="inlineStr">
        <is>
          <t>P1</t>
        </is>
      </c>
      <c r="F1438" t="inlineStr">
        <is>
          <t>¿Expone precio, moneda, región, unidad, período y supuestos relevantes?</t>
        </is>
      </c>
      <c r="G1438" t="inlineStr">
        <is>
          <t>NE</t>
        </is>
      </c>
      <c r="H1438" t="inlineStr">
        <is>
          <t>Pendiente</t>
        </is>
      </c>
      <c r="I1438" t="inlineStr">
        <is>
          <t>No se encontro documentacion sobre exposicion de precio, moneda, region, unidad y supuestos de los costos calculados.</t>
        </is>
      </c>
      <c r="L1438" t="inlineStr">
        <is>
          <t>Alternativa adicional incorporada en FP-180 (2026-09-16) desde el registro de FP-126 y la auditoria de FP-179.</t>
        </is>
      </c>
    </row>
    <row r="1439">
      <c r="A1439" t="inlineStr">
        <is>
          <t>E3</t>
        </is>
      </c>
      <c r="B1439" t="inlineStr">
        <is>
          <t>Kubernetes</t>
        </is>
      </c>
      <c r="C1439" t="inlineStr">
        <is>
          <t>PerfectScale</t>
        </is>
      </c>
      <c r="D1439" t="inlineStr">
        <is>
          <t>Precio</t>
        </is>
      </c>
      <c r="E1439" t="inlineStr">
        <is>
          <t>P2</t>
        </is>
      </c>
      <c r="F1439" t="inlineStr">
        <is>
          <t>¿Permite estimar o comparar componentes sin ocultar límites de equivalencia?</t>
        </is>
      </c>
      <c r="G1439" t="inlineStr">
        <is>
          <t>NE</t>
        </is>
      </c>
      <c r="H1439" t="inlineStr">
        <is>
          <t>Pendiente</t>
        </is>
      </c>
      <c r="I1439" t="inlineStr">
        <is>
          <t>No se encontro documentacion de estimacion o comparacion contextual de componentes de precio.</t>
        </is>
      </c>
      <c r="L1439" t="inlineStr">
        <is>
          <t>Alternativa adicional incorporada en FP-180 (2026-09-16) desde el registro de FP-126 y la auditoria de FP-179.</t>
        </is>
      </c>
    </row>
    <row r="1440">
      <c r="A1440" t="inlineStr">
        <is>
          <t>E3</t>
        </is>
      </c>
      <c r="B1440" t="inlineStr">
        <is>
          <t>Kubernetes</t>
        </is>
      </c>
      <c r="C1440" t="inlineStr">
        <is>
          <t>PerfectScale</t>
        </is>
      </c>
      <c r="D1440" t="inlineStr">
        <is>
          <t>Dependencia</t>
        </is>
      </c>
      <c r="E1440" t="inlineStr">
        <is>
          <t>D1</t>
        </is>
      </c>
      <c r="F1440" t="inlineStr">
        <is>
          <t>¿Exporta datos/resultados en formato utilizable y documentado?</t>
        </is>
      </c>
      <c r="G1440" t="inlineStr">
        <is>
          <t>NE</t>
        </is>
      </c>
      <c r="H1440" t="inlineStr">
        <is>
          <t>Pendiente</t>
        </is>
      </c>
      <c r="I1440" t="inlineStr">
        <is>
          <t>No se encontro documentacion oficial de exportacion de datos o API de salida.</t>
        </is>
      </c>
      <c r="L1440" t="inlineStr">
        <is>
          <t>Alternativa adicional incorporada en FP-180 (2026-09-16) desde el registro de FP-126 y la auditoria de FP-179.</t>
        </is>
      </c>
    </row>
    <row r="1441">
      <c r="A1441" t="inlineStr">
        <is>
          <t>E3</t>
        </is>
      </c>
      <c r="B1441" t="inlineStr">
        <is>
          <t>Kubernetes</t>
        </is>
      </c>
      <c r="C1441" t="inlineStr">
        <is>
          <t>PerfectScale</t>
        </is>
      </c>
      <c r="D1441" t="inlineStr">
        <is>
          <t>Dependencia</t>
        </is>
      </c>
      <c r="E1441" t="inlineStr">
        <is>
          <t>D2</t>
        </is>
      </c>
      <c r="F1441" t="inlineStr">
        <is>
          <t>¿Documenta dependencias propietarias y un camino de salida/configuración reversible?</t>
        </is>
      </c>
      <c r="G1441" t="inlineStr">
        <is>
          <t>NE</t>
        </is>
      </c>
      <c r="H1441" t="inlineStr">
        <is>
          <t>Pendiente</t>
        </is>
      </c>
      <c r="I1441" t="inlineStr">
        <is>
          <t>No se encontro documentacion sobre dependencias propietarias ni camino de salida.</t>
        </is>
      </c>
      <c r="L1441" t="inlineStr">
        <is>
          <t>Alternativa adicional incorporada en FP-180 (2026-09-16) desde el registro de FP-126 y la auditoria de FP-179.</t>
        </is>
      </c>
    </row>
    <row r="1442">
      <c r="A1442" t="inlineStr">
        <is>
          <t>E5</t>
        </is>
      </c>
      <c r="B1442" t="inlineStr">
        <is>
          <t>Kubernetes</t>
        </is>
      </c>
      <c r="C1442" t="inlineStr">
        <is>
          <t>PerfectScale</t>
        </is>
      </c>
      <c r="D1442" t="inlineStr">
        <is>
          <t>Visibilidad</t>
        </is>
      </c>
      <c r="E1442" t="inlineStr">
        <is>
          <t>V1</t>
        </is>
      </c>
      <c r="F1442" t="inlineStr">
        <is>
          <t>¿Desagrega costo y uso por cuenta/proyecto, servicio y período?</t>
        </is>
      </c>
      <c r="G1442" t="n">
        <v>2</v>
      </c>
      <c r="H1442" t="inlineStr">
        <is>
          <t>Oficial</t>
        </is>
      </c>
      <c r="I1442" t="inlineStr">
        <is>
          <t>Entrega «a detailed multi-cloud, multi-cluster view of your K8s spending based on actual resource utilization», con capacidad de senalar areas problematicas y priorizar acciones.</t>
        </is>
      </c>
      <c r="J1442" t="inlineStr">
        <is>
          <t>https://docs.perfectscale.io/</t>
        </is>
      </c>
      <c r="K1442" t="inlineStr">
        <is>
          <t>2026-09-16</t>
        </is>
      </c>
      <c r="L1442" t="inlineStr">
        <is>
          <t>Alternativa adicional incorporada en FP-180 (2026-09-16) desde el registro de FP-126 y la auditoria de FP-179.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43">
      <c r="A1443" t="inlineStr">
        <is>
          <t>E5</t>
        </is>
      </c>
      <c r="B1443" t="inlineStr">
        <is>
          <t>Kubernetes</t>
        </is>
      </c>
      <c r="C1443" t="inlineStr">
        <is>
          <t>PerfectScale</t>
        </is>
      </c>
      <c r="D1443" t="inlineStr">
        <is>
          <t>Visibilidad</t>
        </is>
      </c>
      <c r="E1443" t="inlineStr">
        <is>
          <t>V2</t>
        </is>
      </c>
      <c r="F1443" t="inlineStr">
        <is>
          <t>¿Permite rastrear un total hasta registros o fuente de facturación?</t>
        </is>
      </c>
      <c r="G1443" t="inlineStr">
        <is>
          <t>NE</t>
        </is>
      </c>
      <c r="H1443" t="inlineStr">
        <is>
          <t>Pendiente</t>
        </is>
      </c>
      <c r="I1443" t="inlineStr">
        <is>
          <t>No se encontro documentacion de trazabilidad de un total hasta los registros de facturacion del proveedor.</t>
        </is>
      </c>
      <c r="L1443" t="inlineStr">
        <is>
          <t>Alternativa adicional incorporada en FP-180 (2026-09-16) desde el registro de FP-126 y la auditoria de FP-179.</t>
        </is>
      </c>
    </row>
    <row r="1444">
      <c r="A1444" t="inlineStr">
        <is>
          <t>E5</t>
        </is>
      </c>
      <c r="B1444" t="inlineStr">
        <is>
          <t>Kubernetes</t>
        </is>
      </c>
      <c r="C1444" t="inlineStr">
        <is>
          <t>PerfectScale</t>
        </is>
      </c>
      <c r="D1444" t="inlineStr">
        <is>
          <t>Asignacion</t>
        </is>
      </c>
      <c r="E1444" t="inlineStr">
        <is>
          <t>A1</t>
        </is>
      </c>
      <c r="F1444" t="inlineStr">
        <is>
          <t>¿Calcula gasto asignado/no asignado por responsable, centro o entidad?</t>
        </is>
      </c>
      <c r="G1444" t="inlineStr">
        <is>
          <t>NE</t>
        </is>
      </c>
      <c r="H1444" t="inlineStr">
        <is>
          <t>Pendiente</t>
        </is>
      </c>
      <c r="I1444" t="inlineStr">
        <is>
          <t>Pendiente de investigacion propia del escenario: el indicador depende del escenario y la evidencia recogida corresponde al escenario ancla del producto.</t>
        </is>
      </c>
      <c r="L1444" t="inlineStr">
        <is>
          <t>Alternativa adicional incorporada en FP-180 (2026-09-16) desde el registro de FP-126 y la auditoria de FP-179. | Escenario ancla del producto: E3.</t>
        </is>
      </c>
    </row>
    <row r="1445">
      <c r="A1445" t="inlineStr">
        <is>
          <t>E5</t>
        </is>
      </c>
      <c r="B1445" t="inlineStr">
        <is>
          <t>Kubernetes</t>
        </is>
      </c>
      <c r="C1445" t="inlineStr">
        <is>
          <t>PerfectScale</t>
        </is>
      </c>
      <c r="D1445" t="inlineStr">
        <is>
          <t>Asignacion</t>
        </is>
      </c>
      <c r="E1445" t="inlineStr">
        <is>
          <t>A2</t>
        </is>
      </c>
      <c r="F1445" t="inlineStr">
        <is>
          <t>¿Explicita y aplica reglas para costo compartido/multi-tenant?</t>
        </is>
      </c>
      <c r="G1445" t="inlineStr">
        <is>
          <t>NE</t>
        </is>
      </c>
      <c r="H1445" t="inlineStr">
        <is>
          <t>Pendiente</t>
        </is>
      </c>
      <c r="I1445" t="inlineStr">
        <is>
          <t>Pendiente de investigacion propia del escenario: el indicador depende del escenario y la evidencia recogida corresponde al escenario ancla del producto.</t>
        </is>
      </c>
      <c r="L1445" t="inlineStr">
        <is>
          <t>Alternativa adicional incorporada en FP-180 (2026-09-16) desde el registro de FP-126 y la auditoria de FP-179. | Escenario ancla del producto: E3.</t>
        </is>
      </c>
    </row>
    <row r="1446">
      <c r="A1446" t="inlineStr">
        <is>
          <t>E5</t>
        </is>
      </c>
      <c r="B1446" t="inlineStr">
        <is>
          <t>Kubernetes</t>
        </is>
      </c>
      <c r="C1446" t="inlineStr">
        <is>
          <t>PerfectScale</t>
        </is>
      </c>
      <c r="D1446" t="inlineStr">
        <is>
          <t>Optimizacion</t>
        </is>
      </c>
      <c r="E1446" t="inlineStr">
        <is>
          <t>O1</t>
        </is>
      </c>
      <c r="F1446" t="inlineStr">
        <is>
          <t>¿Detecta desperdicio, rightsizing o compromiso relevante al escenario?</t>
        </is>
      </c>
      <c r="G1446" t="n">
        <v>2</v>
      </c>
      <c r="H1446" t="inlineStr">
        <is>
          <t>Oficial</t>
        </is>
      </c>
      <c r="I1446" t="inlineStr">
        <is>
          <t>PodFit realiza dimensionamiento vertical de pods e InfraFit dimensionamiento de nodos, aplicando «data-driven recommendations» sobre utilizacion real.</t>
        </is>
      </c>
      <c r="J1446" t="inlineStr">
        <is>
          <t>https://docs.perfectscale.io/visibility-and-optimization/podfit-or-vertical-pod-right-sizing</t>
        </is>
      </c>
      <c r="K1446" t="inlineStr">
        <is>
          <t>2026-09-16</t>
        </is>
      </c>
      <c r="L1446" t="inlineStr">
        <is>
          <t>Alternativa adicional incorporada en FP-180 (2026-09-16) desde el registro de FP-126 y la auditoria de FP-179.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47">
      <c r="A1447" t="inlineStr">
        <is>
          <t>E5</t>
        </is>
      </c>
      <c r="B1447" t="inlineStr">
        <is>
          <t>Kubernetes</t>
        </is>
      </c>
      <c r="C1447" t="inlineStr">
        <is>
          <t>PerfectScale</t>
        </is>
      </c>
      <c r="D1447" t="inlineStr">
        <is>
          <t>Optimizacion</t>
        </is>
      </c>
      <c r="E1447" t="inlineStr">
        <is>
          <t>O2</t>
        </is>
      </c>
      <c r="F1447" t="inlineStr">
        <is>
          <t>¿Explica supuesto/impacto y permite seguir una recomendación?</t>
        </is>
      </c>
      <c r="G1447" t="inlineStr">
        <is>
          <t>NE</t>
        </is>
      </c>
      <c r="H1447" t="inlineStr">
        <is>
          <t>Pendiente</t>
        </is>
      </c>
      <c r="I1447" t="inlineStr">
        <is>
          <t>No se encontro documentacion del ciclo de medicion del ahorro realizado tras aplicar una recomendacion.</t>
        </is>
      </c>
      <c r="L1447" t="inlineStr">
        <is>
          <t>Alternativa adicional incorporada en FP-180 (2026-09-16) desde el registro de FP-126 y la auditoria de FP-179.</t>
        </is>
      </c>
    </row>
    <row r="1448">
      <c r="A1448" t="inlineStr">
        <is>
          <t>E5</t>
        </is>
      </c>
      <c r="B1448" t="inlineStr">
        <is>
          <t>Kubernetes</t>
        </is>
      </c>
      <c r="C1448" t="inlineStr">
        <is>
          <t>PerfectScale</t>
        </is>
      </c>
      <c r="D1448" t="inlineStr">
        <is>
          <t>Automatizacion</t>
        </is>
      </c>
      <c r="E1448" t="inlineStr">
        <is>
          <t>AU1</t>
        </is>
      </c>
      <c r="F1448" t="inlineStr">
        <is>
          <t>¿Ejecuta o bloquea acciones/políticas de costo con control verificable?</t>
        </is>
      </c>
      <c r="G1448" t="n">
        <v>2</v>
      </c>
      <c r="H1448" t="inlineStr">
        <is>
          <t>Oficial</t>
        </is>
      </c>
      <c r="I1448" t="inlineStr">
        <is>
          <t>La automatizacion de PodFit «continuously optimizes your Kubernetes environment by autonomously adjusting workloads' CPU and memory to optimal values [...] without the need for manual intervention», con soporte de redimensionamiento en sitio a partir de Kubernetes 1.33.</t>
        </is>
      </c>
      <c r="J1448" t="inlineStr">
        <is>
          <t>https://docs.perfectscale.io/enable-automation/introduction-to-automation</t>
        </is>
      </c>
      <c r="K1448" t="inlineStr">
        <is>
          <t>2026-09-16</t>
        </is>
      </c>
      <c r="L1448" t="inlineStr">
        <is>
          <t>Alternativa adicional incorporada en FP-180 (2026-09-16) desde el registro de FP-126 y la auditoria de FP-179.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49">
      <c r="A1449" t="inlineStr">
        <is>
          <t>E5</t>
        </is>
      </c>
      <c r="B1449" t="inlineStr">
        <is>
          <t>Kubernetes</t>
        </is>
      </c>
      <c r="C1449" t="inlineStr">
        <is>
          <t>PerfectScale</t>
        </is>
      </c>
      <c r="D1449" t="inlineStr">
        <is>
          <t>Automatizacion</t>
        </is>
      </c>
      <c r="E1449" t="inlineStr">
        <is>
          <t>AU2</t>
        </is>
      </c>
      <c r="F1449" t="inlineStr">
        <is>
          <t>¿Ofrece aprobación, reversión, registro o límites antes de actuar?</t>
        </is>
      </c>
      <c r="G1449" t="n">
        <v>2</v>
      </c>
      <c r="H1449" t="inlineStr">
        <is>
          <t>Oficial</t>
        </is>
      </c>
      <c r="I1449" t="inlineStr">
        <is>
          <t>Las politicas de optimizacion acotan el comportamiento antes de actuar: MaxSavings, Balanced (por defecto, «optimally balances cost and resiliency»), ExtraHeadroom y MaxHeadroom, configurables por entorno.</t>
        </is>
      </c>
      <c r="J1449" t="inlineStr">
        <is>
          <t>https://docs.perfectscale.io/enable-automation/automation-customization</t>
        </is>
      </c>
      <c r="K1449" t="inlineStr">
        <is>
          <t>2026-09-16</t>
        </is>
      </c>
      <c r="L1449" t="inlineStr">
        <is>
          <t>Alternativa adicional incorporada en FP-180 (2026-09-16) desde el registro de FP-126 y la auditoria de FP-179.</t>
        </is>
      </c>
    </row>
    <row r="1450">
      <c r="A1450" t="inlineStr">
        <is>
          <t>E5</t>
        </is>
      </c>
      <c r="B1450" t="inlineStr">
        <is>
          <t>Kubernetes</t>
        </is>
      </c>
      <c r="C1450" t="inlineStr">
        <is>
          <t>PerfectScale</t>
        </is>
      </c>
      <c r="D1450" t="inlineStr">
        <is>
          <t>Multicloud</t>
        </is>
      </c>
      <c r="E1450" t="inlineStr">
        <is>
          <t>M1</t>
        </is>
      </c>
      <c r="F1450" t="inlineStr">
        <is>
          <t>¿Consolida al menos dos proveedores bajo el mismo esquema declarado?</t>
        </is>
      </c>
      <c r="G1450" t="n">
        <v>1</v>
      </c>
      <c r="H1450" t="inlineStr">
        <is>
          <t>Oficial</t>
        </is>
      </c>
      <c r="I1450" t="inlineStr">
        <is>
          <t>La documentacion declara una vista «multi-cloud, multi-cluster» del gasto de Kubernetes, pero no describe un esquema declarado de normalizacion de facturacion entre proveedores, que es lo que el ancla 2 exige.</t>
        </is>
      </c>
      <c r="J1450" t="inlineStr">
        <is>
          <t>https://docs.perfectscale.io/</t>
        </is>
      </c>
      <c r="K1450" t="inlineStr">
        <is>
          <t>2026-09-16</t>
        </is>
      </c>
      <c r="L1450" t="inlineStr">
        <is>
          <t>Alternativa adicional incorporada en FP-180 (2026-09-16) desde el registro de FP-126 y la auditoria de FP-179.</t>
        </is>
      </c>
    </row>
    <row r="1451">
      <c r="A1451" t="inlineStr">
        <is>
          <t>E5</t>
        </is>
      </c>
      <c r="B1451" t="inlineStr">
        <is>
          <t>Kubernetes</t>
        </is>
      </c>
      <c r="C1451" t="inlineStr">
        <is>
          <t>PerfectScale</t>
        </is>
      </c>
      <c r="D1451" t="inlineStr">
        <is>
          <t>Multicloud</t>
        </is>
      </c>
      <c r="E1451" t="inlineStr">
        <is>
          <t>M2</t>
        </is>
      </c>
      <c r="F1451" t="inlineStr">
        <is>
          <t>¿Hace visibles proveedor, cobertura y diferencias semánticas?</t>
        </is>
      </c>
      <c r="G1451" t="inlineStr">
        <is>
          <t>NE</t>
        </is>
      </c>
      <c r="H1451" t="inlineStr">
        <is>
          <t>Pendiente</t>
        </is>
      </c>
      <c r="I1451" t="inlineStr">
        <is>
          <t>No se encontro documentacion sobre diferencias semanticas o limites de cobertura declarados por proveedor.</t>
        </is>
      </c>
      <c r="L1451" t="inlineStr">
        <is>
          <t>Alternativa adicional incorporada en FP-180 (2026-09-16) desde el registro de FP-126 y la auditoria de FP-179.</t>
        </is>
      </c>
    </row>
    <row r="1452">
      <c r="A1452" t="inlineStr">
        <is>
          <t>E5</t>
        </is>
      </c>
      <c r="B1452" t="inlineStr">
        <is>
          <t>Kubernetes</t>
        </is>
      </c>
      <c r="C1452" t="inlineStr">
        <is>
          <t>PerfectScale</t>
        </is>
      </c>
      <c r="D1452" t="inlineStr">
        <is>
          <t>Integracion</t>
        </is>
      </c>
      <c r="E1452" t="inlineStr">
        <is>
          <t>I1</t>
        </is>
      </c>
      <c r="F1452" t="inlineStr">
        <is>
          <t>¿Integra datos requeridos (facturación, uso, clúster o IaC) del escenario?</t>
        </is>
      </c>
      <c r="G1452" t="n">
        <v>2</v>
      </c>
      <c r="H1452" t="inlineStr">
        <is>
          <t>Oficial</t>
        </is>
      </c>
      <c r="I1452" t="inlineStr">
        <is>
          <t>El agente ps-agent requiere permisos RBAC especificos para «provide insights and take automated actions», lo que documenta la ingesta de datos del cluster exigida por el escenario.</t>
        </is>
      </c>
      <c r="J1452" t="inlineStr">
        <is>
          <t>https://docs.perfectscale.io/security/ps-agent-rbac-permissions</t>
        </is>
      </c>
      <c r="K1452" t="inlineStr">
        <is>
          <t>2026-09-16</t>
        </is>
      </c>
      <c r="L1452" t="inlineStr">
        <is>
          <t>Alternativa adicional incorporada en FP-180 (2026-09-16) desde el registro de FP-126 y la auditoria de FP-179.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53">
      <c r="A1453" t="inlineStr">
        <is>
          <t>E5</t>
        </is>
      </c>
      <c r="B1453" t="inlineStr">
        <is>
          <t>Kubernetes</t>
        </is>
      </c>
      <c r="C1453" t="inlineStr">
        <is>
          <t>PerfectScale</t>
        </is>
      </c>
      <c r="D1453" t="inlineStr">
        <is>
          <t>Integracion</t>
        </is>
      </c>
      <c r="E1453" t="inlineStr">
        <is>
          <t>I2</t>
        </is>
      </c>
      <c r="F1453" t="inlineStr">
        <is>
          <t>¿Se integra con el flujo de trabajo relevante (alerta, ticket, CI/CD o reporte)?</t>
        </is>
      </c>
      <c r="G1453" t="n">
        <v>2</v>
      </c>
      <c r="H1453" t="inlineStr">
        <is>
          <t>Oficial</t>
        </is>
      </c>
      <c r="I1453" t="inlineStr">
        <is>
          <t>Integraciones documentadas con el flujo operativo: Slack, MS Teams y Datadog para alertas, Jira para gestion de incidencias, Grafana y Datadog para observabilidad, y ArgoCD «for connecting recommendations to GitOps workflows».</t>
        </is>
      </c>
      <c r="J1453" t="inlineStr">
        <is>
          <t>https://docs.perfectscale.io/customizations</t>
        </is>
      </c>
      <c r="K1453" t="inlineStr">
        <is>
          <t>2026-09-16</t>
        </is>
      </c>
      <c r="L1453" t="inlineStr">
        <is>
          <t>Alternativa adicional incorporada en FP-180 (2026-09-16) desde el registro de FP-126 y la auditoria de FP-179.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54">
      <c r="A1454" t="inlineStr">
        <is>
          <t>E5</t>
        </is>
      </c>
      <c r="B1454" t="inlineStr">
        <is>
          <t>Kubernetes</t>
        </is>
      </c>
      <c r="C1454" t="inlineStr">
        <is>
          <t>PerfectScale</t>
        </is>
      </c>
      <c r="D1454" t="inlineStr">
        <is>
          <t>Adopcion</t>
        </is>
      </c>
      <c r="E1454" t="inlineStr">
        <is>
          <t>AD1</t>
        </is>
      </c>
      <c r="F1454" t="inlineStr">
        <is>
          <t>¿Soporta acceso/entrega para los roles del escenario?</t>
        </is>
      </c>
      <c r="G1454" t="n">
        <v>2</v>
      </c>
      <c r="H1454" t="inlineStr">
        <is>
          <t>Oficial</t>
        </is>
      </c>
      <c r="I1454" t="inlineStr">
        <is>
          <t>El control de acceso esta documentado por roles: «The Admin role has full access to all system features, including user management, cluster settings, policy configuration, and platform customization», con roles diferenciados.</t>
        </is>
      </c>
      <c r="J1454" t="inlineStr">
        <is>
          <t>https://docs.perfectscale.io/administration/rbac-or-roles-and-permissions</t>
        </is>
      </c>
      <c r="K1454" t="inlineStr">
        <is>
          <t>2026-09-16</t>
        </is>
      </c>
      <c r="L1454" t="inlineStr">
        <is>
          <t>Alternativa adicional incorporada en FP-180 (2026-09-16) desde el registro de FP-126 y la auditoria de FP-179.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55">
      <c r="A1455" t="inlineStr">
        <is>
          <t>E5</t>
        </is>
      </c>
      <c r="B1455" t="inlineStr">
        <is>
          <t>Kubernetes</t>
        </is>
      </c>
      <c r="C1455" t="inlineStr">
        <is>
          <t>PerfectScale</t>
        </is>
      </c>
      <c r="D1455" t="inlineStr">
        <is>
          <t>Adopcion</t>
        </is>
      </c>
      <c r="E1455" t="inlineStr">
        <is>
          <t>AD2</t>
        </is>
      </c>
      <c r="F1455" t="inlineStr">
        <is>
          <t>¿Ofrece guías, ownership o mecanismos de seguimiento para uso sostenido?</t>
        </is>
      </c>
      <c r="G1455" t="inlineStr">
        <is>
          <t>NE</t>
        </is>
      </c>
      <c r="H1455" t="inlineStr">
        <is>
          <t>Pendiente</t>
        </is>
      </c>
      <c r="I1455" t="inlineStr">
        <is>
          <t>No se encontro guia oficial de habilitacion, ownership o medicion de adopcion sostenida.</t>
        </is>
      </c>
      <c r="L1455" t="inlineStr">
        <is>
          <t>Alternativa adicional incorporada en FP-180 (2026-09-16) desde el registro de FP-126 y la auditoria de FP-179.</t>
        </is>
      </c>
    </row>
    <row r="1456">
      <c r="A1456" t="inlineStr">
        <is>
          <t>E5</t>
        </is>
      </c>
      <c r="B1456" t="inlineStr">
        <is>
          <t>Kubernetes</t>
        </is>
      </c>
      <c r="C1456" t="inlineStr">
        <is>
          <t>PerfectScale</t>
        </is>
      </c>
      <c r="D1456" t="inlineStr">
        <is>
          <t>Precio</t>
        </is>
      </c>
      <c r="E1456" t="inlineStr">
        <is>
          <t>P1</t>
        </is>
      </c>
      <c r="F1456" t="inlineStr">
        <is>
          <t>¿Expone precio, moneda, región, unidad, período y supuestos relevantes?</t>
        </is>
      </c>
      <c r="G1456" t="inlineStr">
        <is>
          <t>NE</t>
        </is>
      </c>
      <c r="H1456" t="inlineStr">
        <is>
          <t>Pendiente</t>
        </is>
      </c>
      <c r="I1456" t="inlineStr">
        <is>
          <t>No se encontro documentacion sobre exposicion de precio, moneda, region, unidad y supuestos de los costos calculados.</t>
        </is>
      </c>
      <c r="L1456" t="inlineStr">
        <is>
          <t>Alternativa adicional incorporada en FP-180 (2026-09-16) desde el registro de FP-126 y la auditoria de FP-179.</t>
        </is>
      </c>
    </row>
    <row r="1457">
      <c r="A1457" t="inlineStr">
        <is>
          <t>E5</t>
        </is>
      </c>
      <c r="B1457" t="inlineStr">
        <is>
          <t>Kubernetes</t>
        </is>
      </c>
      <c r="C1457" t="inlineStr">
        <is>
          <t>PerfectScale</t>
        </is>
      </c>
      <c r="D1457" t="inlineStr">
        <is>
          <t>Precio</t>
        </is>
      </c>
      <c r="E1457" t="inlineStr">
        <is>
          <t>P2</t>
        </is>
      </c>
      <c r="F1457" t="inlineStr">
        <is>
          <t>¿Permite estimar o comparar componentes sin ocultar límites de equivalencia?</t>
        </is>
      </c>
      <c r="G1457" t="inlineStr">
        <is>
          <t>NE</t>
        </is>
      </c>
      <c r="H1457" t="inlineStr">
        <is>
          <t>Pendiente</t>
        </is>
      </c>
      <c r="I1457" t="inlineStr">
        <is>
          <t>Pendiente de investigacion propia del escenario: el indicador depende del escenario y la evidencia recogida corresponde al escenario ancla del producto.</t>
        </is>
      </c>
      <c r="L1457" t="inlineStr">
        <is>
          <t>Alternativa adicional incorporada en FP-180 (2026-09-16) desde el registro de FP-126 y la auditoria de FP-179. | Escenario ancla del producto: E3.</t>
        </is>
      </c>
    </row>
    <row r="1458">
      <c r="A1458" t="inlineStr">
        <is>
          <t>E5</t>
        </is>
      </c>
      <c r="B1458" t="inlineStr">
        <is>
          <t>Kubernetes</t>
        </is>
      </c>
      <c r="C1458" t="inlineStr">
        <is>
          <t>PerfectScale</t>
        </is>
      </c>
      <c r="D1458" t="inlineStr">
        <is>
          <t>Dependencia</t>
        </is>
      </c>
      <c r="E1458" t="inlineStr">
        <is>
          <t>D1</t>
        </is>
      </c>
      <c r="F1458" t="inlineStr">
        <is>
          <t>¿Exporta datos/resultados en formato utilizable y documentado?</t>
        </is>
      </c>
      <c r="G1458" t="inlineStr">
        <is>
          <t>NE</t>
        </is>
      </c>
      <c r="H1458" t="inlineStr">
        <is>
          <t>Pendiente</t>
        </is>
      </c>
      <c r="I1458" t="inlineStr">
        <is>
          <t>No se encontro documentacion oficial de exportacion de datos o API de salida.</t>
        </is>
      </c>
      <c r="L1458" t="inlineStr">
        <is>
          <t>Alternativa adicional incorporada en FP-180 (2026-09-16) desde el registro de FP-126 y la auditoria de FP-179.</t>
        </is>
      </c>
    </row>
    <row r="1459">
      <c r="A1459" t="inlineStr">
        <is>
          <t>E5</t>
        </is>
      </c>
      <c r="B1459" t="inlineStr">
        <is>
          <t>Kubernetes</t>
        </is>
      </c>
      <c r="C1459" t="inlineStr">
        <is>
          <t>PerfectScale</t>
        </is>
      </c>
      <c r="D1459" t="inlineStr">
        <is>
          <t>Dependencia</t>
        </is>
      </c>
      <c r="E1459" t="inlineStr">
        <is>
          <t>D2</t>
        </is>
      </c>
      <c r="F1459" t="inlineStr">
        <is>
          <t>¿Documenta dependencias propietarias y un camino de salida/configuración reversible?</t>
        </is>
      </c>
      <c r="G1459" t="inlineStr">
        <is>
          <t>NE</t>
        </is>
      </c>
      <c r="H1459" t="inlineStr">
        <is>
          <t>Pendiente</t>
        </is>
      </c>
      <c r="I1459" t="inlineStr">
        <is>
          <t>No se encontro documentacion sobre dependencias propietarias ni camino de salida.</t>
        </is>
      </c>
      <c r="L1459" t="inlineStr">
        <is>
          <t>Alternativa adicional incorporada en FP-180 (2026-09-16) desde el registro de FP-126 y la auditoria de FP-179.</t>
        </is>
      </c>
    </row>
    <row r="1460">
      <c r="A1460" t="inlineStr">
        <is>
          <t>E3</t>
        </is>
      </c>
      <c r="B1460" t="inlineStr">
        <is>
          <t>Kubernetes</t>
        </is>
      </c>
      <c r="C1460" t="inlineStr">
        <is>
          <t>ScaleOps</t>
        </is>
      </c>
      <c r="D1460" t="inlineStr">
        <is>
          <t>Visibilidad</t>
        </is>
      </c>
      <c r="E1460" t="inlineStr">
        <is>
          <t>V1</t>
        </is>
      </c>
      <c r="F1460" t="inlineStr">
        <is>
          <t>¿Desagrega costo y uso por cuenta/proyecto, servicio y período?</t>
        </is>
      </c>
      <c r="G1460" t="n">
        <v>1</v>
      </c>
      <c r="H1460" t="inlineStr">
        <is>
          <t>Comercial</t>
        </is>
      </c>
      <c r="I1460" t="inlineStr">
        <is>
          <t>El proveedor declara «instant visibility into actual Kubernetes costs, broken down by cluster, namespace, team, application, annotations, or labels». Evidencia comercial exclusiva: topado en 1 por FP-177.</t>
        </is>
      </c>
      <c r="J1460" t="inlineStr">
        <is>
          <t>https://scaleops.com/product/kubernetes-cost-monitoring/</t>
        </is>
      </c>
      <c r="K1460" t="inlineStr">
        <is>
          <t>2026-09-16</t>
        </is>
      </c>
      <c r="L1460"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61">
      <c r="A1461" t="inlineStr">
        <is>
          <t>E3</t>
        </is>
      </c>
      <c r="B1461" t="inlineStr">
        <is>
          <t>Kubernetes</t>
        </is>
      </c>
      <c r="C1461" t="inlineStr">
        <is>
          <t>ScaleOps</t>
        </is>
      </c>
      <c r="D1461" t="inlineStr">
        <is>
          <t>Visibilidad</t>
        </is>
      </c>
      <c r="E1461" t="inlineStr">
        <is>
          <t>V2</t>
        </is>
      </c>
      <c r="F1461" t="inlineStr">
        <is>
          <t>¿Permite rastrear un total hasta registros o fuente de facturación?</t>
        </is>
      </c>
      <c r="G1461" t="n">
        <v>1</v>
      </c>
      <c r="H1461" t="inlineStr">
        <is>
          <t>Comercial</t>
        </is>
      </c>
      <c r="I1461" t="inlineStr">
        <is>
          <t>El proveedor declara integracion nativa «with AWS CUR, GCP Billing Export, and Azure Cost Management, ensuring accurate cost data that matches actual provider invoices». Evidencia comercial exclusiva: topado en 1.</t>
        </is>
      </c>
      <c r="J1461" t="inlineStr">
        <is>
          <t>https://scaleops.com/product/kubernetes-cost-monitoring/</t>
        </is>
      </c>
      <c r="K1461" t="inlineStr">
        <is>
          <t>2026-09-16</t>
        </is>
      </c>
      <c r="L1461"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62">
      <c r="A1462" t="inlineStr">
        <is>
          <t>E3</t>
        </is>
      </c>
      <c r="B1462" t="inlineStr">
        <is>
          <t>Kubernetes</t>
        </is>
      </c>
      <c r="C1462" t="inlineStr">
        <is>
          <t>ScaleOps</t>
        </is>
      </c>
      <c r="D1462" t="inlineStr">
        <is>
          <t>Asignacion</t>
        </is>
      </c>
      <c r="E1462" t="inlineStr">
        <is>
          <t>A1</t>
        </is>
      </c>
      <c r="F1462" t="inlineStr">
        <is>
          <t>¿Calcula gasto asignado/no asignado por responsable, centro o entidad?</t>
        </is>
      </c>
      <c r="G1462" t="n">
        <v>1</v>
      </c>
      <c r="H1462" t="inlineStr">
        <is>
          <t>Comercial</t>
        </is>
      </c>
      <c r="I1462" t="inlineStr">
        <is>
          <t>El proveedor declara desglose por equipo y aplicacion. Evidencia comercial exclusiva: topado en 1.</t>
        </is>
      </c>
      <c r="J1462" t="inlineStr">
        <is>
          <t>https://scaleops.com/product/kubernetes-cost-monitoring/</t>
        </is>
      </c>
      <c r="K1462" t="inlineStr">
        <is>
          <t>2026-09-16</t>
        </is>
      </c>
      <c r="L1462"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63">
      <c r="A1463" t="inlineStr">
        <is>
          <t>E3</t>
        </is>
      </c>
      <c r="B1463" t="inlineStr">
        <is>
          <t>Kubernetes</t>
        </is>
      </c>
      <c r="C1463" t="inlineStr">
        <is>
          <t>ScaleOps</t>
        </is>
      </c>
      <c r="D1463" t="inlineStr">
        <is>
          <t>Asignacion</t>
        </is>
      </c>
      <c r="E1463" t="inlineStr">
        <is>
          <t>A2</t>
        </is>
      </c>
      <c r="F1463" t="inlineStr">
        <is>
          <t>¿Explicita y aplica reglas para costo compartido/multi-tenant?</t>
        </is>
      </c>
      <c r="G1463" t="inlineStr">
        <is>
          <t>NE</t>
        </is>
      </c>
      <c r="H1463" t="inlineStr">
        <is>
          <t>Pendiente</t>
        </is>
      </c>
      <c r="I1463" t="inlineStr">
        <is>
          <t>No se encontro evidencia, ni siquiera comercial, sobre reglas de reparto de costo compartido.</t>
        </is>
      </c>
      <c r="L1463"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64">
      <c r="A1464" t="inlineStr">
        <is>
          <t>E3</t>
        </is>
      </c>
      <c r="B1464" t="inlineStr">
        <is>
          <t>Kubernetes</t>
        </is>
      </c>
      <c r="C1464" t="inlineStr">
        <is>
          <t>ScaleOps</t>
        </is>
      </c>
      <c r="D1464" t="inlineStr">
        <is>
          <t>Optimizacion</t>
        </is>
      </c>
      <c r="E1464" t="inlineStr">
        <is>
          <t>O1</t>
        </is>
      </c>
      <c r="F1464" t="inlineStr">
        <is>
          <t>¿Detecta desperdicio, rightsizing o compromiso relevante al escenario?</t>
        </is>
      </c>
      <c r="G1464" t="n">
        <v>1</v>
      </c>
      <c r="H1464" t="inlineStr">
        <is>
          <t>Comercial</t>
        </is>
      </c>
      <c r="I1464" t="inlineStr">
        <is>
          <t>El proveedor declara rightsizing automatico de CPU y memoria segun comportamiento de la carga. Evidencia comercial exclusiva: topado en 1.</t>
        </is>
      </c>
      <c r="J1464" t="inlineStr">
        <is>
          <t>https://scaleops.com/</t>
        </is>
      </c>
      <c r="K1464" t="inlineStr">
        <is>
          <t>2026-09-16</t>
        </is>
      </c>
      <c r="L1464"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65">
      <c r="A1465" t="inlineStr">
        <is>
          <t>E3</t>
        </is>
      </c>
      <c r="B1465" t="inlineStr">
        <is>
          <t>Kubernetes</t>
        </is>
      </c>
      <c r="C1465" t="inlineStr">
        <is>
          <t>ScaleOps</t>
        </is>
      </c>
      <c r="D1465" t="inlineStr">
        <is>
          <t>Optimizacion</t>
        </is>
      </c>
      <c r="E1465" t="inlineStr">
        <is>
          <t>O2</t>
        </is>
      </c>
      <c r="F1465" t="inlineStr">
        <is>
          <t>¿Explica supuesto/impacto y permite seguir una recomendación?</t>
        </is>
      </c>
      <c r="G1465" t="inlineStr">
        <is>
          <t>NE</t>
        </is>
      </c>
      <c r="H1465" t="inlineStr">
        <is>
          <t>Pendiente</t>
        </is>
      </c>
      <c r="I1465" t="inlineStr">
        <is>
          <t>No se encontro evidencia sobre explicacion de impacto ni seguimiento del ahorro realizado.</t>
        </is>
      </c>
      <c r="L1465"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66">
      <c r="A1466" t="inlineStr">
        <is>
          <t>E3</t>
        </is>
      </c>
      <c r="B1466" t="inlineStr">
        <is>
          <t>Kubernetes</t>
        </is>
      </c>
      <c r="C1466" t="inlineStr">
        <is>
          <t>ScaleOps</t>
        </is>
      </c>
      <c r="D1466" t="inlineStr">
        <is>
          <t>Automatizacion</t>
        </is>
      </c>
      <c r="E1466" t="inlineStr">
        <is>
          <t>AU1</t>
        </is>
      </c>
      <c r="F1466" t="inlineStr">
        <is>
          <t>¿Ejecuta o bloquea acciones/políticas de costo con control verificable?</t>
        </is>
      </c>
      <c r="G1466" t="n">
        <v>1</v>
      </c>
      <c r="H1466" t="inlineStr">
        <is>
          <t>Comercial</t>
        </is>
      </c>
      <c r="I1466" t="inlineStr">
        <is>
          <t>El proveedor declara que «ScaleOps applies workload changes continuously and automatically as resource needs change, with rightsizing happening without pod restarts». Evidencia comercial exclusiva: topado en 1 pese a describir ejecucion automatica.</t>
        </is>
      </c>
      <c r="J1466" t="inlineStr">
        <is>
          <t>https://scaleops.com/</t>
        </is>
      </c>
      <c r="K1466" t="inlineStr">
        <is>
          <t>2026-09-16</t>
        </is>
      </c>
      <c r="L1466"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67">
      <c r="A1467" t="inlineStr">
        <is>
          <t>E3</t>
        </is>
      </c>
      <c r="B1467" t="inlineStr">
        <is>
          <t>Kubernetes</t>
        </is>
      </c>
      <c r="C1467" t="inlineStr">
        <is>
          <t>ScaleOps</t>
        </is>
      </c>
      <c r="D1467" t="inlineStr">
        <is>
          <t>Automatizacion</t>
        </is>
      </c>
      <c r="E1467" t="inlineStr">
        <is>
          <t>AU2</t>
        </is>
      </c>
      <c r="F1467" t="inlineStr">
        <is>
          <t>¿Ofrece aprobación, reversión, registro o límites antes de actuar?</t>
        </is>
      </c>
      <c r="G1467" t="inlineStr">
        <is>
          <t>NE</t>
        </is>
      </c>
      <c r="H1467" t="inlineStr">
        <is>
          <t>Pendiente</t>
        </is>
      </c>
      <c r="I1467" t="inlineStr">
        <is>
          <t>No se encontro evidencia sobre aprobacion, reversion o limites previos a la aplicacion automatica de cambios.</t>
        </is>
      </c>
      <c r="L1467"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68">
      <c r="A1468" t="inlineStr">
        <is>
          <t>E3</t>
        </is>
      </c>
      <c r="B1468" t="inlineStr">
        <is>
          <t>Kubernetes</t>
        </is>
      </c>
      <c r="C1468" t="inlineStr">
        <is>
          <t>ScaleOps</t>
        </is>
      </c>
      <c r="D1468" t="inlineStr">
        <is>
          <t>Multicloud</t>
        </is>
      </c>
      <c r="E1468" t="inlineStr">
        <is>
          <t>M1</t>
        </is>
      </c>
      <c r="F1468" t="inlineStr">
        <is>
          <t>¿Consolida al menos dos proveedores bajo el mismo esquema declarado?</t>
        </is>
      </c>
      <c r="G1468" t="n">
        <v>1</v>
      </c>
      <c r="H1468" t="inlineStr">
        <is>
          <t>Comercial</t>
        </is>
      </c>
      <c r="I1468" t="inlineStr">
        <is>
          <t>El proveedor declara despliegue «across AWS, GCP, Azure, hybrid, and edge clusters». Evidencia comercial exclusiva: topado en 1.</t>
        </is>
      </c>
      <c r="J1468" t="inlineStr">
        <is>
          <t>https://scaleops.com/</t>
        </is>
      </c>
      <c r="K1468" t="inlineStr">
        <is>
          <t>2026-09-16</t>
        </is>
      </c>
      <c r="L1468"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69">
      <c r="A1469" t="inlineStr">
        <is>
          <t>E3</t>
        </is>
      </c>
      <c r="B1469" t="inlineStr">
        <is>
          <t>Kubernetes</t>
        </is>
      </c>
      <c r="C1469" t="inlineStr">
        <is>
          <t>ScaleOps</t>
        </is>
      </c>
      <c r="D1469" t="inlineStr">
        <is>
          <t>Multicloud</t>
        </is>
      </c>
      <c r="E1469" t="inlineStr">
        <is>
          <t>M2</t>
        </is>
      </c>
      <c r="F1469" t="inlineStr">
        <is>
          <t>¿Hace visibles proveedor, cobertura y diferencias semánticas?</t>
        </is>
      </c>
      <c r="G1469" t="inlineStr">
        <is>
          <t>NE</t>
        </is>
      </c>
      <c r="H1469" t="inlineStr">
        <is>
          <t>Pendiente</t>
        </is>
      </c>
      <c r="I1469" t="inlineStr">
        <is>
          <t>No se encontro evidencia sobre normalizacion ni diferencias semanticas entre proveedores.</t>
        </is>
      </c>
      <c r="L1469"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70">
      <c r="A1470" t="inlineStr">
        <is>
          <t>E3</t>
        </is>
      </c>
      <c r="B1470" t="inlineStr">
        <is>
          <t>Kubernetes</t>
        </is>
      </c>
      <c r="C1470" t="inlineStr">
        <is>
          <t>ScaleOps</t>
        </is>
      </c>
      <c r="D1470" t="inlineStr">
        <is>
          <t>Integracion</t>
        </is>
      </c>
      <c r="E1470" t="inlineStr">
        <is>
          <t>I1</t>
        </is>
      </c>
      <c r="F1470" t="inlineStr">
        <is>
          <t>¿Integra datos requeridos (facturación, uso, clúster o IaC) del escenario?</t>
        </is>
      </c>
      <c r="G1470" t="n">
        <v>1</v>
      </c>
      <c r="H1470" t="inlineStr">
        <is>
          <t>Comercial</t>
        </is>
      </c>
      <c r="I1470" t="inlineStr">
        <is>
          <t>El proveedor declara integracion nativa con AWS CUR, GCP Billing Export y Azure Cost Management. Evidencia comercial exclusiva: topado en 1.</t>
        </is>
      </c>
      <c r="J1470" t="inlineStr">
        <is>
          <t>https://scaleops.com/product/kubernetes-cost-monitoring/</t>
        </is>
      </c>
      <c r="K1470" t="inlineStr">
        <is>
          <t>2026-09-16</t>
        </is>
      </c>
      <c r="L1470"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71">
      <c r="A1471" t="inlineStr">
        <is>
          <t>E3</t>
        </is>
      </c>
      <c r="B1471" t="inlineStr">
        <is>
          <t>Kubernetes</t>
        </is>
      </c>
      <c r="C1471" t="inlineStr">
        <is>
          <t>ScaleOps</t>
        </is>
      </c>
      <c r="D1471" t="inlineStr">
        <is>
          <t>Integracion</t>
        </is>
      </c>
      <c r="E1471" t="inlineStr">
        <is>
          <t>I2</t>
        </is>
      </c>
      <c r="F1471" t="inlineStr">
        <is>
          <t>¿Se integra con el flujo de trabajo relevante (alerta, ticket, CI/CD o reporte)?</t>
        </is>
      </c>
      <c r="G1471" t="n">
        <v>1</v>
      </c>
      <c r="H1471" t="inlineStr">
        <is>
          <t>Comercial</t>
        </is>
      </c>
      <c r="I1471" t="inlineStr">
        <is>
          <t>El proveedor declara compatibilidad con componentes nativos (HPA, VPA, Karpenter, Cluster Autoscaler) y un plano de control «GitOps-compliant». Evidencia comercial exclusiva: topado en 1.</t>
        </is>
      </c>
      <c r="J1471" t="inlineStr">
        <is>
          <t>https://scaleops.com/</t>
        </is>
      </c>
      <c r="K1471" t="inlineStr">
        <is>
          <t>2026-09-16</t>
        </is>
      </c>
      <c r="L1471"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72">
      <c r="A1472" t="inlineStr">
        <is>
          <t>E3</t>
        </is>
      </c>
      <c r="B1472" t="inlineStr">
        <is>
          <t>Kubernetes</t>
        </is>
      </c>
      <c r="C1472" t="inlineStr">
        <is>
          <t>ScaleOps</t>
        </is>
      </c>
      <c r="D1472" t="inlineStr">
        <is>
          <t>Adopcion</t>
        </is>
      </c>
      <c r="E1472" t="inlineStr">
        <is>
          <t>AD1</t>
        </is>
      </c>
      <c r="F1472" t="inlineStr">
        <is>
          <t>¿Soporta acceso/entrega para los roles del escenario?</t>
        </is>
      </c>
      <c r="G1472" t="inlineStr">
        <is>
          <t>NE</t>
        </is>
      </c>
      <c r="H1472" t="inlineStr">
        <is>
          <t>Pendiente</t>
        </is>
      </c>
      <c r="I1472" t="inlineStr">
        <is>
          <t>No se encontro evidencia sobre roles y accesos por perfil.</t>
        </is>
      </c>
      <c r="L1472"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73">
      <c r="A1473" t="inlineStr">
        <is>
          <t>E3</t>
        </is>
      </c>
      <c r="B1473" t="inlineStr">
        <is>
          <t>Kubernetes</t>
        </is>
      </c>
      <c r="C1473" t="inlineStr">
        <is>
          <t>ScaleOps</t>
        </is>
      </c>
      <c r="D1473" t="inlineStr">
        <is>
          <t>Adopcion</t>
        </is>
      </c>
      <c r="E1473" t="inlineStr">
        <is>
          <t>AD2</t>
        </is>
      </c>
      <c r="F1473" t="inlineStr">
        <is>
          <t>¿Ofrece guías, ownership o mecanismos de seguimiento para uso sostenido?</t>
        </is>
      </c>
      <c r="G1473" t="inlineStr">
        <is>
          <t>NE</t>
        </is>
      </c>
      <c r="H1473" t="inlineStr">
        <is>
          <t>Pendiente</t>
        </is>
      </c>
      <c r="I1473" t="inlineStr">
        <is>
          <t>No se encontro guia de habilitacion ni mecanismos de gobernanza documentados.</t>
        </is>
      </c>
      <c r="L1473"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74">
      <c r="A1474" t="inlineStr">
        <is>
          <t>E3</t>
        </is>
      </c>
      <c r="B1474" t="inlineStr">
        <is>
          <t>Kubernetes</t>
        </is>
      </c>
      <c r="C1474" t="inlineStr">
        <is>
          <t>ScaleOps</t>
        </is>
      </c>
      <c r="D1474" t="inlineStr">
        <is>
          <t>Precio</t>
        </is>
      </c>
      <c r="E1474" t="inlineStr">
        <is>
          <t>P1</t>
        </is>
      </c>
      <c r="F1474" t="inlineStr">
        <is>
          <t>¿Expone precio, moneda, región, unidad, período y supuestos relevantes?</t>
        </is>
      </c>
      <c r="G1474" t="inlineStr">
        <is>
          <t>NE</t>
        </is>
      </c>
      <c r="H1474" t="inlineStr">
        <is>
          <t>Pendiente</t>
        </is>
      </c>
      <c r="I1474" t="inlineStr">
        <is>
          <t>No se encontro evidencia sobre exposicion de precio, moneda, region, unidad y supuestos.</t>
        </is>
      </c>
      <c r="L1474"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75">
      <c r="A1475" t="inlineStr">
        <is>
          <t>E3</t>
        </is>
      </c>
      <c r="B1475" t="inlineStr">
        <is>
          <t>Kubernetes</t>
        </is>
      </c>
      <c r="C1475" t="inlineStr">
        <is>
          <t>ScaleOps</t>
        </is>
      </c>
      <c r="D1475" t="inlineStr">
        <is>
          <t>Precio</t>
        </is>
      </c>
      <c r="E1475" t="inlineStr">
        <is>
          <t>P2</t>
        </is>
      </c>
      <c r="F1475" t="inlineStr">
        <is>
          <t>¿Permite estimar o comparar componentes sin ocultar límites de equivalencia?</t>
        </is>
      </c>
      <c r="G1475" t="inlineStr">
        <is>
          <t>NE</t>
        </is>
      </c>
      <c r="H1475" t="inlineStr">
        <is>
          <t>Pendiente</t>
        </is>
      </c>
      <c r="I1475" t="inlineStr">
        <is>
          <t>No se encontro evidencia de estimacion o comparacion de componentes de precio.</t>
        </is>
      </c>
      <c r="L1475"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76">
      <c r="A1476" t="inlineStr">
        <is>
          <t>E3</t>
        </is>
      </c>
      <c r="B1476" t="inlineStr">
        <is>
          <t>Kubernetes</t>
        </is>
      </c>
      <c r="C1476" t="inlineStr">
        <is>
          <t>ScaleOps</t>
        </is>
      </c>
      <c r="D1476" t="inlineStr">
        <is>
          <t>Dependencia</t>
        </is>
      </c>
      <c r="E1476" t="inlineStr">
        <is>
          <t>D1</t>
        </is>
      </c>
      <c r="F1476" t="inlineStr">
        <is>
          <t>¿Exporta datos/resultados en formato utilizable y documentado?</t>
        </is>
      </c>
      <c r="G1476" t="inlineStr">
        <is>
          <t>NE</t>
        </is>
      </c>
      <c r="H1476" t="inlineStr">
        <is>
          <t>Pendiente</t>
        </is>
      </c>
      <c r="I1476" t="inlineStr">
        <is>
          <t>No se encontro evidencia sobre exportacion de datos o API de salida.</t>
        </is>
      </c>
      <c r="L1476"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77">
      <c r="A1477" t="inlineStr">
        <is>
          <t>E3</t>
        </is>
      </c>
      <c r="B1477" t="inlineStr">
        <is>
          <t>Kubernetes</t>
        </is>
      </c>
      <c r="C1477" t="inlineStr">
        <is>
          <t>ScaleOps</t>
        </is>
      </c>
      <c r="D1477" t="inlineStr">
        <is>
          <t>Dependencia</t>
        </is>
      </c>
      <c r="E1477" t="inlineStr">
        <is>
          <t>D2</t>
        </is>
      </c>
      <c r="F1477" t="inlineStr">
        <is>
          <t>¿Documenta dependencias propietarias y un camino de salida/configuración reversible?</t>
        </is>
      </c>
      <c r="G1477" t="inlineStr">
        <is>
          <t>NE</t>
        </is>
      </c>
      <c r="H1477" t="inlineStr">
        <is>
          <t>Pendiente</t>
        </is>
      </c>
      <c r="I1477" t="inlineStr">
        <is>
          <t>No se encontro evidencia sobre dependencias propietarias ni camino de salida.</t>
        </is>
      </c>
      <c r="L1477"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78">
      <c r="A1478" t="inlineStr">
        <is>
          <t>E5</t>
        </is>
      </c>
      <c r="B1478" t="inlineStr">
        <is>
          <t>Kubernetes</t>
        </is>
      </c>
      <c r="C1478" t="inlineStr">
        <is>
          <t>ScaleOps</t>
        </is>
      </c>
      <c r="D1478" t="inlineStr">
        <is>
          <t>Visibilidad</t>
        </is>
      </c>
      <c r="E1478" t="inlineStr">
        <is>
          <t>V1</t>
        </is>
      </c>
      <c r="F1478" t="inlineStr">
        <is>
          <t>¿Desagrega costo y uso por cuenta/proyecto, servicio y período?</t>
        </is>
      </c>
      <c r="G1478" t="n">
        <v>1</v>
      </c>
      <c r="H1478" t="inlineStr">
        <is>
          <t>Comercial</t>
        </is>
      </c>
      <c r="I1478" t="inlineStr">
        <is>
          <t>El proveedor declara «instant visibility into actual Kubernetes costs, broken down by cluster, namespace, team, application, annotations, or labels». Evidencia comercial exclusiva: topado en 1 por FP-177.</t>
        </is>
      </c>
      <c r="J1478" t="inlineStr">
        <is>
          <t>https://scaleops.com/product/kubernetes-cost-monitoring/</t>
        </is>
      </c>
      <c r="K1478" t="inlineStr">
        <is>
          <t>2026-09-16</t>
        </is>
      </c>
      <c r="L1478"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79">
      <c r="A1479" t="inlineStr">
        <is>
          <t>E5</t>
        </is>
      </c>
      <c r="B1479" t="inlineStr">
        <is>
          <t>Kubernetes</t>
        </is>
      </c>
      <c r="C1479" t="inlineStr">
        <is>
          <t>ScaleOps</t>
        </is>
      </c>
      <c r="D1479" t="inlineStr">
        <is>
          <t>Visibilidad</t>
        </is>
      </c>
      <c r="E1479" t="inlineStr">
        <is>
          <t>V2</t>
        </is>
      </c>
      <c r="F1479" t="inlineStr">
        <is>
          <t>¿Permite rastrear un total hasta registros o fuente de facturación?</t>
        </is>
      </c>
      <c r="G1479" t="n">
        <v>1</v>
      </c>
      <c r="H1479" t="inlineStr">
        <is>
          <t>Comercial</t>
        </is>
      </c>
      <c r="I1479" t="inlineStr">
        <is>
          <t>El proveedor declara integracion nativa «with AWS CUR, GCP Billing Export, and Azure Cost Management, ensuring accurate cost data that matches actual provider invoices». Evidencia comercial exclusiva: topado en 1.</t>
        </is>
      </c>
      <c r="J1479" t="inlineStr">
        <is>
          <t>https://scaleops.com/product/kubernetes-cost-monitoring/</t>
        </is>
      </c>
      <c r="K1479" t="inlineStr">
        <is>
          <t>2026-09-16</t>
        </is>
      </c>
      <c r="L1479"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80">
      <c r="A1480" t="inlineStr">
        <is>
          <t>E5</t>
        </is>
      </c>
      <c r="B1480" t="inlineStr">
        <is>
          <t>Kubernetes</t>
        </is>
      </c>
      <c r="C1480" t="inlineStr">
        <is>
          <t>ScaleOps</t>
        </is>
      </c>
      <c r="D1480" t="inlineStr">
        <is>
          <t>Asignacion</t>
        </is>
      </c>
      <c r="E1480" t="inlineStr">
        <is>
          <t>A1</t>
        </is>
      </c>
      <c r="F1480" t="inlineStr">
        <is>
          <t>¿Calcula gasto asignado/no asignado por responsable, centro o entidad?</t>
        </is>
      </c>
      <c r="G1480" t="n">
        <v>1</v>
      </c>
      <c r="H1480" t="inlineStr">
        <is>
          <t>Comercial</t>
        </is>
      </c>
      <c r="I1480" t="inlineStr">
        <is>
          <t>El proveedor declara desglose por equipo y aplicacion. Evidencia comercial exclusiva: topado en 1.</t>
        </is>
      </c>
      <c r="J1480" t="inlineStr">
        <is>
          <t>https://scaleops.com/product/kubernetes-cost-monitoring/</t>
        </is>
      </c>
      <c r="K1480" t="inlineStr">
        <is>
          <t>2026-09-16</t>
        </is>
      </c>
      <c r="L1480"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81">
      <c r="A1481" t="inlineStr">
        <is>
          <t>E5</t>
        </is>
      </c>
      <c r="B1481" t="inlineStr">
        <is>
          <t>Kubernetes</t>
        </is>
      </c>
      <c r="C1481" t="inlineStr">
        <is>
          <t>ScaleOps</t>
        </is>
      </c>
      <c r="D1481" t="inlineStr">
        <is>
          <t>Asignacion</t>
        </is>
      </c>
      <c r="E1481" t="inlineStr">
        <is>
          <t>A2</t>
        </is>
      </c>
      <c r="F1481" t="inlineStr">
        <is>
          <t>¿Explicita y aplica reglas para costo compartido/multi-tenant?</t>
        </is>
      </c>
      <c r="G1481" t="inlineStr">
        <is>
          <t>NE</t>
        </is>
      </c>
      <c r="H1481" t="inlineStr">
        <is>
          <t>Pendiente</t>
        </is>
      </c>
      <c r="I1481" t="inlineStr">
        <is>
          <t>Pendiente de investigacion propia del escenario: el indicador depende del escenario y la evidencia recogida corresponde al escenario ancla del producto.</t>
        </is>
      </c>
      <c r="L1481"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 | Escenario ancla del producto: E3.</t>
        </is>
      </c>
    </row>
    <row r="1482">
      <c r="A1482" t="inlineStr">
        <is>
          <t>E5</t>
        </is>
      </c>
      <c r="B1482" t="inlineStr">
        <is>
          <t>Kubernetes</t>
        </is>
      </c>
      <c r="C1482" t="inlineStr">
        <is>
          <t>ScaleOps</t>
        </is>
      </c>
      <c r="D1482" t="inlineStr">
        <is>
          <t>Optimizacion</t>
        </is>
      </c>
      <c r="E1482" t="inlineStr">
        <is>
          <t>O1</t>
        </is>
      </c>
      <c r="F1482" t="inlineStr">
        <is>
          <t>¿Detecta desperdicio, rightsizing o compromiso relevante al escenario?</t>
        </is>
      </c>
      <c r="G1482" t="n">
        <v>1</v>
      </c>
      <c r="H1482" t="inlineStr">
        <is>
          <t>Comercial</t>
        </is>
      </c>
      <c r="I1482" t="inlineStr">
        <is>
          <t>El proveedor declara rightsizing automatico de CPU y memoria segun comportamiento de la carga. Evidencia comercial exclusiva: topado en 1.</t>
        </is>
      </c>
      <c r="J1482" t="inlineStr">
        <is>
          <t>https://scaleops.com/</t>
        </is>
      </c>
      <c r="K1482" t="inlineStr">
        <is>
          <t>2026-09-16</t>
        </is>
      </c>
      <c r="L1482"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83">
      <c r="A1483" t="inlineStr">
        <is>
          <t>E5</t>
        </is>
      </c>
      <c r="B1483" t="inlineStr">
        <is>
          <t>Kubernetes</t>
        </is>
      </c>
      <c r="C1483" t="inlineStr">
        <is>
          <t>ScaleOps</t>
        </is>
      </c>
      <c r="D1483" t="inlineStr">
        <is>
          <t>Optimizacion</t>
        </is>
      </c>
      <c r="E1483" t="inlineStr">
        <is>
          <t>O2</t>
        </is>
      </c>
      <c r="F1483" t="inlineStr">
        <is>
          <t>¿Explica supuesto/impacto y permite seguir una recomendación?</t>
        </is>
      </c>
      <c r="G1483" t="inlineStr">
        <is>
          <t>NE</t>
        </is>
      </c>
      <c r="H1483" t="inlineStr">
        <is>
          <t>Pendiente</t>
        </is>
      </c>
      <c r="I1483" t="inlineStr">
        <is>
          <t>No se encontro evidencia sobre explicacion de impacto ni seguimiento del ahorro realizado.</t>
        </is>
      </c>
      <c r="L1483"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84">
      <c r="A1484" t="inlineStr">
        <is>
          <t>E5</t>
        </is>
      </c>
      <c r="B1484" t="inlineStr">
        <is>
          <t>Kubernetes</t>
        </is>
      </c>
      <c r="C1484" t="inlineStr">
        <is>
          <t>ScaleOps</t>
        </is>
      </c>
      <c r="D1484" t="inlineStr">
        <is>
          <t>Automatizacion</t>
        </is>
      </c>
      <c r="E1484" t="inlineStr">
        <is>
          <t>AU1</t>
        </is>
      </c>
      <c r="F1484" t="inlineStr">
        <is>
          <t>¿Ejecuta o bloquea acciones/políticas de costo con control verificable?</t>
        </is>
      </c>
      <c r="G1484" t="n">
        <v>1</v>
      </c>
      <c r="H1484" t="inlineStr">
        <is>
          <t>Comercial</t>
        </is>
      </c>
      <c r="I1484" t="inlineStr">
        <is>
          <t>El proveedor declara que «ScaleOps applies workload changes continuously and automatically as resource needs change, with rightsizing happening without pod restarts». Evidencia comercial exclusiva: topado en 1 pese a describir ejecucion automatica.</t>
        </is>
      </c>
      <c r="J1484" t="inlineStr">
        <is>
          <t>https://scaleops.com/</t>
        </is>
      </c>
      <c r="K1484" t="inlineStr">
        <is>
          <t>2026-09-16</t>
        </is>
      </c>
      <c r="L1484"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85">
      <c r="A1485" t="inlineStr">
        <is>
          <t>E5</t>
        </is>
      </c>
      <c r="B1485" t="inlineStr">
        <is>
          <t>Kubernetes</t>
        </is>
      </c>
      <c r="C1485" t="inlineStr">
        <is>
          <t>ScaleOps</t>
        </is>
      </c>
      <c r="D1485" t="inlineStr">
        <is>
          <t>Automatizacion</t>
        </is>
      </c>
      <c r="E1485" t="inlineStr">
        <is>
          <t>AU2</t>
        </is>
      </c>
      <c r="F1485" t="inlineStr">
        <is>
          <t>¿Ofrece aprobación, reversión, registro o límites antes de actuar?</t>
        </is>
      </c>
      <c r="G1485" t="inlineStr">
        <is>
          <t>NE</t>
        </is>
      </c>
      <c r="H1485" t="inlineStr">
        <is>
          <t>Pendiente</t>
        </is>
      </c>
      <c r="I1485" t="inlineStr">
        <is>
          <t>No se encontro evidencia sobre aprobacion, reversion o limites previos a la aplicacion automatica de cambios.</t>
        </is>
      </c>
      <c r="L1485"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86">
      <c r="A1486" t="inlineStr">
        <is>
          <t>E5</t>
        </is>
      </c>
      <c r="B1486" t="inlineStr">
        <is>
          <t>Kubernetes</t>
        </is>
      </c>
      <c r="C1486" t="inlineStr">
        <is>
          <t>ScaleOps</t>
        </is>
      </c>
      <c r="D1486" t="inlineStr">
        <is>
          <t>Multicloud</t>
        </is>
      </c>
      <c r="E1486" t="inlineStr">
        <is>
          <t>M1</t>
        </is>
      </c>
      <c r="F1486" t="inlineStr">
        <is>
          <t>¿Consolida al menos dos proveedores bajo el mismo esquema declarado?</t>
        </is>
      </c>
      <c r="G1486" t="n">
        <v>1</v>
      </c>
      <c r="H1486" t="inlineStr">
        <is>
          <t>Comercial</t>
        </is>
      </c>
      <c r="I1486" t="inlineStr">
        <is>
          <t>El proveedor declara despliegue «across AWS, GCP, Azure, hybrid, and edge clusters». Evidencia comercial exclusiva: topado en 1.</t>
        </is>
      </c>
      <c r="J1486" t="inlineStr">
        <is>
          <t>https://scaleops.com/</t>
        </is>
      </c>
      <c r="K1486" t="inlineStr">
        <is>
          <t>2026-09-16</t>
        </is>
      </c>
      <c r="L1486"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87">
      <c r="A1487" t="inlineStr">
        <is>
          <t>E5</t>
        </is>
      </c>
      <c r="B1487" t="inlineStr">
        <is>
          <t>Kubernetes</t>
        </is>
      </c>
      <c r="C1487" t="inlineStr">
        <is>
          <t>ScaleOps</t>
        </is>
      </c>
      <c r="D1487" t="inlineStr">
        <is>
          <t>Multicloud</t>
        </is>
      </c>
      <c r="E1487" t="inlineStr">
        <is>
          <t>M2</t>
        </is>
      </c>
      <c r="F1487" t="inlineStr">
        <is>
          <t>¿Hace visibles proveedor, cobertura y diferencias semánticas?</t>
        </is>
      </c>
      <c r="G1487" t="inlineStr">
        <is>
          <t>NE</t>
        </is>
      </c>
      <c r="H1487" t="inlineStr">
        <is>
          <t>Pendiente</t>
        </is>
      </c>
      <c r="I1487" t="inlineStr">
        <is>
          <t>No se encontro evidencia sobre normalizacion ni diferencias semanticas entre proveedores.</t>
        </is>
      </c>
      <c r="L1487"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88">
      <c r="A1488" t="inlineStr">
        <is>
          <t>E5</t>
        </is>
      </c>
      <c r="B1488" t="inlineStr">
        <is>
          <t>Kubernetes</t>
        </is>
      </c>
      <c r="C1488" t="inlineStr">
        <is>
          <t>ScaleOps</t>
        </is>
      </c>
      <c r="D1488" t="inlineStr">
        <is>
          <t>Integracion</t>
        </is>
      </c>
      <c r="E1488" t="inlineStr">
        <is>
          <t>I1</t>
        </is>
      </c>
      <c r="F1488" t="inlineStr">
        <is>
          <t>¿Integra datos requeridos (facturación, uso, clúster o IaC) del escenario?</t>
        </is>
      </c>
      <c r="G1488" t="n">
        <v>1</v>
      </c>
      <c r="H1488" t="inlineStr">
        <is>
          <t>Comercial</t>
        </is>
      </c>
      <c r="I1488" t="inlineStr">
        <is>
          <t>El proveedor declara integracion nativa con AWS CUR, GCP Billing Export y Azure Cost Management. Evidencia comercial exclusiva: topado en 1.</t>
        </is>
      </c>
      <c r="J1488" t="inlineStr">
        <is>
          <t>https://scaleops.com/product/kubernetes-cost-monitoring/</t>
        </is>
      </c>
      <c r="K1488" t="inlineStr">
        <is>
          <t>2026-09-16</t>
        </is>
      </c>
      <c r="L1488"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89">
      <c r="A1489" t="inlineStr">
        <is>
          <t>E5</t>
        </is>
      </c>
      <c r="B1489" t="inlineStr">
        <is>
          <t>Kubernetes</t>
        </is>
      </c>
      <c r="C1489" t="inlineStr">
        <is>
          <t>ScaleOps</t>
        </is>
      </c>
      <c r="D1489" t="inlineStr">
        <is>
          <t>Integracion</t>
        </is>
      </c>
      <c r="E1489" t="inlineStr">
        <is>
          <t>I2</t>
        </is>
      </c>
      <c r="F1489" t="inlineStr">
        <is>
          <t>¿Se integra con el flujo de trabajo relevante (alerta, ticket, CI/CD o reporte)?</t>
        </is>
      </c>
      <c r="G1489" t="n">
        <v>1</v>
      </c>
      <c r="H1489" t="inlineStr">
        <is>
          <t>Comercial</t>
        </is>
      </c>
      <c r="I1489" t="inlineStr">
        <is>
          <t>El proveedor declara compatibilidad con componentes nativos (HPA, VPA, Karpenter, Cluster Autoscaler) y un plano de control «GitOps-compliant». Evidencia comercial exclusiva: topado en 1.</t>
        </is>
      </c>
      <c r="J1489" t="inlineStr">
        <is>
          <t>https://scaleops.com/</t>
        </is>
      </c>
      <c r="K1489" t="inlineStr">
        <is>
          <t>2026-09-16</t>
        </is>
      </c>
      <c r="L1489"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 | Escenario ancla del producto: E3. | Evidencia subsumida desde E3 (2026-09-16): la capacidad de desglosar y asignar costo no cambia porque la carga sea compartida. Lo que si es propio de E5 —la regla de reparto del costo compartido— se evalua en A2 con evidencia investigada para este escenario. La fuente y la cita originales se conservan sin cambios.</t>
        </is>
      </c>
    </row>
    <row r="1490">
      <c r="A1490" t="inlineStr">
        <is>
          <t>E5</t>
        </is>
      </c>
      <c r="B1490" t="inlineStr">
        <is>
          <t>Kubernetes</t>
        </is>
      </c>
      <c r="C1490" t="inlineStr">
        <is>
          <t>ScaleOps</t>
        </is>
      </c>
      <c r="D1490" t="inlineStr">
        <is>
          <t>Adopcion</t>
        </is>
      </c>
      <c r="E1490" t="inlineStr">
        <is>
          <t>AD1</t>
        </is>
      </c>
      <c r="F1490" t="inlineStr">
        <is>
          <t>¿Soporta acceso/entrega para los roles del escenario?</t>
        </is>
      </c>
      <c r="G1490" t="inlineStr">
        <is>
          <t>NE</t>
        </is>
      </c>
      <c r="H1490" t="inlineStr">
        <is>
          <t>Pendiente</t>
        </is>
      </c>
      <c r="I1490" t="inlineStr">
        <is>
          <t>Pendiente de investigacion propia del escenario: el indicador depende del escenario y la evidencia recogida corresponde al escenario ancla del producto.</t>
        </is>
      </c>
      <c r="L1490"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 | Escenario ancla del producto: E3.</t>
        </is>
      </c>
    </row>
    <row r="1491">
      <c r="A1491" t="inlineStr">
        <is>
          <t>E5</t>
        </is>
      </c>
      <c r="B1491" t="inlineStr">
        <is>
          <t>Kubernetes</t>
        </is>
      </c>
      <c r="C1491" t="inlineStr">
        <is>
          <t>ScaleOps</t>
        </is>
      </c>
      <c r="D1491" t="inlineStr">
        <is>
          <t>Adopcion</t>
        </is>
      </c>
      <c r="E1491" t="inlineStr">
        <is>
          <t>AD2</t>
        </is>
      </c>
      <c r="F1491" t="inlineStr">
        <is>
          <t>¿Ofrece guías, ownership o mecanismos de seguimiento para uso sostenido?</t>
        </is>
      </c>
      <c r="G1491" t="inlineStr">
        <is>
          <t>NE</t>
        </is>
      </c>
      <c r="H1491" t="inlineStr">
        <is>
          <t>Pendiente</t>
        </is>
      </c>
      <c r="I1491" t="inlineStr">
        <is>
          <t>No se encontro guia de habilitacion ni mecanismos de gobernanza documentados.</t>
        </is>
      </c>
      <c r="L1491"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92">
      <c r="A1492" t="inlineStr">
        <is>
          <t>E5</t>
        </is>
      </c>
      <c r="B1492" t="inlineStr">
        <is>
          <t>Kubernetes</t>
        </is>
      </c>
      <c r="C1492" t="inlineStr">
        <is>
          <t>ScaleOps</t>
        </is>
      </c>
      <c r="D1492" t="inlineStr">
        <is>
          <t>Precio</t>
        </is>
      </c>
      <c r="E1492" t="inlineStr">
        <is>
          <t>P1</t>
        </is>
      </c>
      <c r="F1492" t="inlineStr">
        <is>
          <t>¿Expone precio, moneda, región, unidad, período y supuestos relevantes?</t>
        </is>
      </c>
      <c r="G1492" t="inlineStr">
        <is>
          <t>NE</t>
        </is>
      </c>
      <c r="H1492" t="inlineStr">
        <is>
          <t>Pendiente</t>
        </is>
      </c>
      <c r="I1492" t="inlineStr">
        <is>
          <t>No se encontro evidencia sobre exposicion de precio, moneda, region, unidad y supuestos.</t>
        </is>
      </c>
      <c r="L1492"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93">
      <c r="A1493" t="inlineStr">
        <is>
          <t>E5</t>
        </is>
      </c>
      <c r="B1493" t="inlineStr">
        <is>
          <t>Kubernetes</t>
        </is>
      </c>
      <c r="C1493" t="inlineStr">
        <is>
          <t>ScaleOps</t>
        </is>
      </c>
      <c r="D1493" t="inlineStr">
        <is>
          <t>Precio</t>
        </is>
      </c>
      <c r="E1493" t="inlineStr">
        <is>
          <t>P2</t>
        </is>
      </c>
      <c r="F1493" t="inlineStr">
        <is>
          <t>¿Permite estimar o comparar componentes sin ocultar límites de equivalencia?</t>
        </is>
      </c>
      <c r="G1493" t="inlineStr">
        <is>
          <t>NE</t>
        </is>
      </c>
      <c r="H1493" t="inlineStr">
        <is>
          <t>Pendiente</t>
        </is>
      </c>
      <c r="I1493" t="inlineStr">
        <is>
          <t>Pendiente de investigacion propia del escenario: el indicador depende del escenario y la evidencia recogida corresponde al escenario ancla del producto.</t>
        </is>
      </c>
      <c r="L1493"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 | Escenario ancla del producto: E3.</t>
        </is>
      </c>
    </row>
    <row r="1494">
      <c r="A1494" t="inlineStr">
        <is>
          <t>E5</t>
        </is>
      </c>
      <c r="B1494" t="inlineStr">
        <is>
          <t>Kubernetes</t>
        </is>
      </c>
      <c r="C1494" t="inlineStr">
        <is>
          <t>ScaleOps</t>
        </is>
      </c>
      <c r="D1494" t="inlineStr">
        <is>
          <t>Dependencia</t>
        </is>
      </c>
      <c r="E1494" t="inlineStr">
        <is>
          <t>D1</t>
        </is>
      </c>
      <c r="F1494" t="inlineStr">
        <is>
          <t>¿Exporta datos/resultados en formato utilizable y documentado?</t>
        </is>
      </c>
      <c r="G1494" t="inlineStr">
        <is>
          <t>NE</t>
        </is>
      </c>
      <c r="H1494" t="inlineStr">
        <is>
          <t>Pendiente</t>
        </is>
      </c>
      <c r="I1494" t="inlineStr">
        <is>
          <t>No se encontro evidencia sobre exportacion de datos o API de salida.</t>
        </is>
      </c>
      <c r="L1494"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95">
      <c r="A1495" t="inlineStr">
        <is>
          <t>E5</t>
        </is>
      </c>
      <c r="B1495" t="inlineStr">
        <is>
          <t>Kubernetes</t>
        </is>
      </c>
      <c r="C1495" t="inlineStr">
        <is>
          <t>ScaleOps</t>
        </is>
      </c>
      <c r="D1495" t="inlineStr">
        <is>
          <t>Dependencia</t>
        </is>
      </c>
      <c r="E1495" t="inlineStr">
        <is>
          <t>D2</t>
        </is>
      </c>
      <c r="F1495" t="inlineStr">
        <is>
          <t>¿Documenta dependencias propietarias y un camino de salida/configuración reversible?</t>
        </is>
      </c>
      <c r="G1495" t="inlineStr">
        <is>
          <t>NE</t>
        </is>
      </c>
      <c r="H1495" t="inlineStr">
        <is>
          <t>Pendiente</t>
        </is>
      </c>
      <c r="I1495" t="inlineStr">
        <is>
          <t>No se encontro evidencia sobre dependencias propietarias ni camino de salida.</t>
        </is>
      </c>
      <c r="L1495" t="inlineStr">
        <is>
          <t>Alternativa adicional incorporada en FP-180 (2026-09-16) desde el registro de FP-126 y la auditoria de FP-179. | Limite de evidencia registrado: FP-179 ya advirtio que la evidencia de ScaleOps es una declaracion del proveedor. En esta pasada no se localizo documentacion tecnica oficial indexada fuera del sitio comercial, por lo que, aplicando FP-177 seccion 2.1 («si un indicador cuenta solo con evidencia comercial, su puntaje maximo es 1»), ningun indicador de ScaleOps supera el valor 1. Si el equipo accede a documentacion tecnica del producto, estos valores deben revisarse.</t>
        </is>
      </c>
    </row>
    <row r="1496">
      <c r="A1496" t="inlineStr">
        <is>
          <t>E4</t>
        </is>
      </c>
      <c r="B1496" t="inlineStr">
        <is>
          <t>Estimacion temprana</t>
        </is>
      </c>
      <c r="C1496" t="inlineStr">
        <is>
          <t>AWS Pricing Calculator</t>
        </is>
      </c>
      <c r="D1496" t="inlineStr">
        <is>
          <t>Visibilidad</t>
        </is>
      </c>
      <c r="E1496" t="inlineStr">
        <is>
          <t>V1</t>
        </is>
      </c>
      <c r="F1496" t="inlineStr">
        <is>
          <t>¿Desagrega costo y uso por cuenta/proyecto, servicio y período?</t>
        </is>
      </c>
      <c r="G1496" t="n">
        <v>2</v>
      </c>
      <c r="H1496" t="inlineStr">
        <is>
          <t>Oficial</t>
        </is>
      </c>
      <c r="I1496" t="inlineStr">
        <is>
          <t>Permite generar estimaciones «for specific applications or workloads that you model», desglosadas por servicio y region, que es la unidad de analisis del escenario de predespliegue.</t>
        </is>
      </c>
      <c r="J1496" t="inlineStr">
        <is>
          <t>https://docs.aws.amazon.com/pricing-calculator/latest/userguide/what-is-pricing-calculator.html</t>
        </is>
      </c>
      <c r="K1496" t="inlineStr">
        <is>
          <t>2026-09-16</t>
        </is>
      </c>
      <c r="L1496" t="inlineStr">
        <is>
          <t>Alternativa adicional incorporada en FP-180 (2026-09-16) desde el registro de FP-126 y la auditoria de FP-179.</t>
        </is>
      </c>
    </row>
    <row r="1497">
      <c r="A1497" t="inlineStr">
        <is>
          <t>E4</t>
        </is>
      </c>
      <c r="B1497" t="inlineStr">
        <is>
          <t>Estimacion temprana</t>
        </is>
      </c>
      <c r="C1497" t="inlineStr">
        <is>
          <t>AWS Pricing Calculator</t>
        </is>
      </c>
      <c r="D1497" t="inlineStr">
        <is>
          <t>Visibilidad</t>
        </is>
      </c>
      <c r="E1497" t="inlineStr">
        <is>
          <t>V2</t>
        </is>
      </c>
      <c r="F1497" t="inlineStr">
        <is>
          <t>¿Permite rastrear un total hasta registros o fuente de facturación?</t>
        </is>
      </c>
      <c r="G1497" t="inlineStr">
        <is>
          <t>NA</t>
        </is>
      </c>
      <c r="H1497" t="inlineStr">
        <is>
          <t>Justificacion de alcance</t>
        </is>
      </c>
      <c r="I1497" t="inlineStr">
        <is>
          <t>En E4 la unidad de analisis es el cambio propuesto antes del despliegue: no existe facturacion real que rastrear. Mismo criterio aplicado a Infracost.</t>
        </is>
      </c>
      <c r="L1497" t="inlineStr">
        <is>
          <t>Alternativa adicional incorporada en FP-180 (2026-09-16) desde el registro de FP-126 y la auditoria de FP-179.</t>
        </is>
      </c>
    </row>
    <row r="1498">
      <c r="A1498" t="inlineStr">
        <is>
          <t>E4</t>
        </is>
      </c>
      <c r="B1498" t="inlineStr">
        <is>
          <t>Estimacion temprana</t>
        </is>
      </c>
      <c r="C1498" t="inlineStr">
        <is>
          <t>AWS Pricing Calculator</t>
        </is>
      </c>
      <c r="D1498" t="inlineStr">
        <is>
          <t>Asignacion</t>
        </is>
      </c>
      <c r="E1498" t="inlineStr">
        <is>
          <t>A1</t>
        </is>
      </c>
      <c r="F1498" t="inlineStr">
        <is>
          <t>¿Calcula gasto asignado/no asignado por responsable, centro o entidad?</t>
        </is>
      </c>
      <c r="G1498" t="inlineStr">
        <is>
          <t>NA</t>
        </is>
      </c>
      <c r="H1498" t="inlineStr">
        <is>
          <t>Justificacion de alcance</t>
        </is>
      </c>
      <c r="I1498" t="inlineStr">
        <is>
          <t>No es una herramienta de asignacion de gasto organizacional; entrega una estimacion por configuracion modelada. Mismo criterio aplicado a Infracost.</t>
        </is>
      </c>
      <c r="L1498" t="inlineStr">
        <is>
          <t>Alternativa adicional incorporada en FP-180 (2026-09-16) desde el registro de FP-126 y la auditoria de FP-179.</t>
        </is>
      </c>
    </row>
    <row r="1499">
      <c r="A1499" t="inlineStr">
        <is>
          <t>E4</t>
        </is>
      </c>
      <c r="B1499" t="inlineStr">
        <is>
          <t>Estimacion temprana</t>
        </is>
      </c>
      <c r="C1499" t="inlineStr">
        <is>
          <t>AWS Pricing Calculator</t>
        </is>
      </c>
      <c r="D1499" t="inlineStr">
        <is>
          <t>Asignacion</t>
        </is>
      </c>
      <c r="E1499" t="inlineStr">
        <is>
          <t>A2</t>
        </is>
      </c>
      <c r="F1499" t="inlineStr">
        <is>
          <t>¿Explicita y aplica reglas para costo compartido/multi-tenant?</t>
        </is>
      </c>
      <c r="G1499" t="inlineStr">
        <is>
          <t>NA</t>
        </is>
      </c>
      <c r="H1499" t="inlineStr">
        <is>
          <t>Justificacion de alcance</t>
        </is>
      </c>
      <c r="I1499" t="inlineStr">
        <is>
          <t>Mismo motivo que A1.</t>
        </is>
      </c>
      <c r="L1499" t="inlineStr">
        <is>
          <t>Alternativa adicional incorporada en FP-180 (2026-09-16) desde el registro de FP-126 y la auditoria de FP-179.</t>
        </is>
      </c>
    </row>
    <row r="1500">
      <c r="A1500" t="inlineStr">
        <is>
          <t>E4</t>
        </is>
      </c>
      <c r="B1500" t="inlineStr">
        <is>
          <t>Estimacion temprana</t>
        </is>
      </c>
      <c r="C1500" t="inlineStr">
        <is>
          <t>AWS Pricing Calculator</t>
        </is>
      </c>
      <c r="D1500" t="inlineStr">
        <is>
          <t>Optimizacion</t>
        </is>
      </c>
      <c r="E1500" t="inlineStr">
        <is>
          <t>O1</t>
        </is>
      </c>
      <c r="F1500" t="inlineStr">
        <is>
          <t>¿Detecta desperdicio, rightsizing o compromiso relevante al escenario?</t>
        </is>
      </c>
      <c r="G1500" t="n">
        <v>0</v>
      </c>
      <c r="H1500" t="inlineStr">
        <is>
          <t>Oficial (ausencia verificada)</t>
        </is>
      </c>
      <c r="I1500" t="inlineStr">
        <is>
          <t>La herramienta estima el costo de una configuracion que el usuario modela; la documentacion no describe deteccion de desperdicio, rightsizing ni oportunidades de compromiso. Es una ausencia verificada frente al ancla del indicador, no una falta de investigacion: esa funcion corresponde a otros productos de la poblacion.</t>
        </is>
      </c>
      <c r="J1500" t="inlineStr">
        <is>
          <t>https://docs.aws.amazon.com/pricing-calculator/latest/userguide/what-is-pricing-calculator.html</t>
        </is>
      </c>
      <c r="K1500" t="inlineStr">
        <is>
          <t>2026-09-16</t>
        </is>
      </c>
      <c r="L1500" t="inlineStr">
        <is>
          <t>Alternativa adicional incorporada en FP-180 (2026-09-16) desde el registro de FP-126 y la auditoria de FP-179. | Investigacion propia de E4 (2026-09-16): celda verificada contra las entradas y salidas del escenario de estimacion previa al despliegue.</t>
        </is>
      </c>
    </row>
    <row r="1501">
      <c r="A1501" t="inlineStr">
        <is>
          <t>E4</t>
        </is>
      </c>
      <c r="B1501" t="inlineStr">
        <is>
          <t>Estimacion temprana</t>
        </is>
      </c>
      <c r="C1501" t="inlineStr">
        <is>
          <t>AWS Pricing Calculator</t>
        </is>
      </c>
      <c r="D1501" t="inlineStr">
        <is>
          <t>Optimizacion</t>
        </is>
      </c>
      <c r="E1501" t="inlineStr">
        <is>
          <t>O2</t>
        </is>
      </c>
      <c r="F1501" t="inlineStr">
        <is>
          <t>¿Explica supuesto/impacto y permite seguir una recomendación?</t>
        </is>
      </c>
      <c r="G1501" t="inlineStr">
        <is>
          <t>NA</t>
        </is>
      </c>
      <c r="H1501" t="inlineStr">
        <is>
          <t>Justificacion de alcance</t>
        </is>
      </c>
      <c r="I1501" t="inlineStr">
        <is>
          <t>Al no generar recomendaciones de optimizacion propias (ver O1), no aplica evaluar la explicacion de impacto ni el seguimiento de una recomendacion inexistente. Mismo criterio aplicado a AU2 cuando AU1 es 0.</t>
        </is>
      </c>
      <c r="L1501" t="inlineStr">
        <is>
          <t>Alternativa adicional incorporada en FP-180 (2026-09-16) desde el registro de FP-126 y la auditoria de FP-179. | Investigacion propia de E4 (2026-09-16): celda verificada contra las entradas y salidas del escenario de estimacion previa al despliegue.</t>
        </is>
      </c>
    </row>
    <row r="1502">
      <c r="A1502" t="inlineStr">
        <is>
          <t>E4</t>
        </is>
      </c>
      <c r="B1502" t="inlineStr">
        <is>
          <t>Estimacion temprana</t>
        </is>
      </c>
      <c r="C1502" t="inlineStr">
        <is>
          <t>AWS Pricing Calculator</t>
        </is>
      </c>
      <c r="D1502" t="inlineStr">
        <is>
          <t>Automatizacion</t>
        </is>
      </c>
      <c r="E1502" t="inlineStr">
        <is>
          <t>AU1</t>
        </is>
      </c>
      <c r="F1502" t="inlineStr">
        <is>
          <t>¿Ejecuta o bloquea acciones/políticas de costo con control verificable?</t>
        </is>
      </c>
      <c r="G1502" t="n">
        <v>0</v>
      </c>
      <c r="H1502" t="inlineStr">
        <is>
          <t>Oficial (ausencia verificada)</t>
        </is>
      </c>
      <c r="I1502" t="inlineStr">
        <is>
          <t>Es una herramienta de estimacion en consola: no ejecuta ni bloquea acciones o despliegues.</t>
        </is>
      </c>
      <c r="J1502" t="inlineStr">
        <is>
          <t>https://docs.aws.amazon.com/pricing-calculator/latest/userguide/what-is-pricing-calculator.html</t>
        </is>
      </c>
      <c r="K1502" t="inlineStr">
        <is>
          <t>2026-09-16</t>
        </is>
      </c>
      <c r="L1502" t="inlineStr">
        <is>
          <t>Alternativa adicional incorporada en FP-180 (2026-09-16) desde el registro de FP-126 y la auditoria de FP-179.</t>
        </is>
      </c>
    </row>
    <row r="1503">
      <c r="A1503" t="inlineStr">
        <is>
          <t>E4</t>
        </is>
      </c>
      <c r="B1503" t="inlineStr">
        <is>
          <t>Estimacion temprana</t>
        </is>
      </c>
      <c r="C1503" t="inlineStr">
        <is>
          <t>AWS Pricing Calculator</t>
        </is>
      </c>
      <c r="D1503" t="inlineStr">
        <is>
          <t>Automatizacion</t>
        </is>
      </c>
      <c r="E1503" t="inlineStr">
        <is>
          <t>AU2</t>
        </is>
      </c>
      <c r="F1503" t="inlineStr">
        <is>
          <t>¿Ofrece aprobación, reversión, registro o límites antes de actuar?</t>
        </is>
      </c>
      <c r="G1503" t="inlineStr">
        <is>
          <t>NA</t>
        </is>
      </c>
      <c r="H1503" t="inlineStr">
        <is>
          <t>Justificacion de alcance</t>
        </is>
      </c>
      <c r="I1503" t="inlineStr">
        <is>
          <t>Al no ejecutar acciones (ver AU1), no aplica evaluar salvaguardas de ejecucion.</t>
        </is>
      </c>
      <c r="L1503" t="inlineStr">
        <is>
          <t>Alternativa adicional incorporada en FP-180 (2026-09-16) desde el registro de FP-126 y la auditoria de FP-179.</t>
        </is>
      </c>
    </row>
    <row r="1504">
      <c r="A1504" t="inlineStr">
        <is>
          <t>E4</t>
        </is>
      </c>
      <c r="B1504" t="inlineStr">
        <is>
          <t>Estimacion temprana</t>
        </is>
      </c>
      <c r="C1504" t="inlineStr">
        <is>
          <t>AWS Pricing Calculator</t>
        </is>
      </c>
      <c r="D1504" t="inlineStr">
        <is>
          <t>Multicloud</t>
        </is>
      </c>
      <c r="E1504" t="inlineStr">
        <is>
          <t>M1</t>
        </is>
      </c>
      <c r="F1504" t="inlineStr">
        <is>
          <t>¿Consolida al menos dos proveedores bajo el mismo esquema declarado?</t>
        </is>
      </c>
      <c r="G1504" t="n">
        <v>0</v>
      </c>
      <c r="H1504" t="inlineStr">
        <is>
          <t>Oficial (ausencia verificada)</t>
        </is>
      </c>
      <c r="I1504" t="inlineStr">
        <is>
          <t>Estima exclusivamente servicios de AWS; no consolida costos de otros proveedores.</t>
        </is>
      </c>
      <c r="J1504" t="inlineStr">
        <is>
          <t>https://docs.aws.amazon.com/pricing-calculator/latest/userguide/what-is-pricing-calculator.html</t>
        </is>
      </c>
      <c r="K1504" t="inlineStr">
        <is>
          <t>2026-09-16</t>
        </is>
      </c>
      <c r="L1504" t="inlineStr">
        <is>
          <t>Alternativa adicional incorporada en FP-180 (2026-09-16) desde el registro de FP-126 y la auditoria de FP-179.</t>
        </is>
      </c>
    </row>
    <row r="1505">
      <c r="A1505" t="inlineStr">
        <is>
          <t>E4</t>
        </is>
      </c>
      <c r="B1505" t="inlineStr">
        <is>
          <t>Estimacion temprana</t>
        </is>
      </c>
      <c r="C1505" t="inlineStr">
        <is>
          <t>AWS Pricing Calculator</t>
        </is>
      </c>
      <c r="D1505" t="inlineStr">
        <is>
          <t>Multicloud</t>
        </is>
      </c>
      <c r="E1505" t="inlineStr">
        <is>
          <t>M2</t>
        </is>
      </c>
      <c r="F1505" t="inlineStr">
        <is>
          <t>¿Hace visibles proveedor, cobertura y diferencias semánticas?</t>
        </is>
      </c>
      <c r="G1505" t="n">
        <v>0</v>
      </c>
      <c r="H1505" t="inlineStr">
        <is>
          <t>Oficial (ausencia verificada)</t>
        </is>
      </c>
      <c r="I1505" t="inlineStr">
        <is>
          <t>Mismo alcance de diseno que M1.</t>
        </is>
      </c>
      <c r="J1505" t="inlineStr">
        <is>
          <t>https://docs.aws.amazon.com/pricing-calculator/latest/userguide/what-is-pricing-calculator.html</t>
        </is>
      </c>
      <c r="K1505" t="inlineStr">
        <is>
          <t>2026-09-16</t>
        </is>
      </c>
      <c r="L1505" t="inlineStr">
        <is>
          <t>Alternativa adicional incorporada en FP-180 (2026-09-16) desde el registro de FP-126 y la auditoria de FP-179.</t>
        </is>
      </c>
    </row>
    <row r="1506">
      <c r="A1506" t="inlineStr">
        <is>
          <t>E4</t>
        </is>
      </c>
      <c r="B1506" t="inlineStr">
        <is>
          <t>Estimacion temprana</t>
        </is>
      </c>
      <c r="C1506" t="inlineStr">
        <is>
          <t>AWS Pricing Calculator</t>
        </is>
      </c>
      <c r="D1506" t="inlineStr">
        <is>
          <t>Integracion</t>
        </is>
      </c>
      <c r="E1506" t="inlineStr">
        <is>
          <t>I1</t>
        </is>
      </c>
      <c r="F1506" t="inlineStr">
        <is>
          <t>¿Integra datos requeridos (facturación, uso, clúster o IaC) del escenario?</t>
        </is>
      </c>
      <c r="G1506" t="n">
        <v>2</v>
      </c>
      <c r="H1506" t="inlineStr">
        <is>
          <t>Oficial</t>
        </is>
      </c>
      <c r="I1506" t="inlineStr">
        <is>
          <t>Documenta la ingesta de datos propios del escenario: «You can add new usage, import usage from your existing cost and usage data, or import public pricing calculator usage through its share URL».</t>
        </is>
      </c>
      <c r="J1506" t="inlineStr">
        <is>
          <t>https://docs.aws.amazon.com/cost-management/latest/userguide/pc-workload-estimate.html</t>
        </is>
      </c>
      <c r="K1506" t="inlineStr">
        <is>
          <t>2026-09-16</t>
        </is>
      </c>
      <c r="L1506" t="inlineStr">
        <is>
          <t>Alternativa adicional incorporada en FP-180 (2026-09-16) desde el registro de FP-126 y la auditoria de FP-179.</t>
        </is>
      </c>
    </row>
    <row r="1507">
      <c r="A1507" t="inlineStr">
        <is>
          <t>E4</t>
        </is>
      </c>
      <c r="B1507" t="inlineStr">
        <is>
          <t>Estimacion temprana</t>
        </is>
      </c>
      <c r="C1507" t="inlineStr">
        <is>
          <t>AWS Pricing Calculator</t>
        </is>
      </c>
      <c r="D1507" t="inlineStr">
        <is>
          <t>Integracion</t>
        </is>
      </c>
      <c r="E1507" t="inlineStr">
        <is>
          <t>I2</t>
        </is>
      </c>
      <c r="F1507" t="inlineStr">
        <is>
          <t>¿Se integra con el flujo de trabajo relevante (alerta, ticket, CI/CD o reporte)?</t>
        </is>
      </c>
      <c r="G1507" t="n">
        <v>1</v>
      </c>
      <c r="H1507" t="inlineStr">
        <is>
          <t>Oficial</t>
        </is>
      </c>
      <c r="I1507" t="inlineStr">
        <is>
          <t>La integracion con el flujo de revision es por enlace compartido y exportacion manual: «You can save the unique link for each estimate to share or revisit». No se documenta integracion con CI/CD o con un flujo de aprobacion.</t>
        </is>
      </c>
      <c r="J1507" t="inlineStr">
        <is>
          <t>https://docs.aws.amazon.com/pricing-calculator/latest/userguide/save-share-estimate.html</t>
        </is>
      </c>
      <c r="K1507" t="inlineStr">
        <is>
          <t>2026-09-16</t>
        </is>
      </c>
      <c r="L1507" t="inlineStr">
        <is>
          <t>Alternativa adicional incorporada en FP-180 (2026-09-16) desde el registro de FP-126 y la auditoria de FP-179.</t>
        </is>
      </c>
    </row>
    <row r="1508">
      <c r="A1508" t="inlineStr">
        <is>
          <t>E4</t>
        </is>
      </c>
      <c r="B1508" t="inlineStr">
        <is>
          <t>Estimacion temprana</t>
        </is>
      </c>
      <c r="C1508" t="inlineStr">
        <is>
          <t>AWS Pricing Calculator</t>
        </is>
      </c>
      <c r="D1508" t="inlineStr">
        <is>
          <t>Adopcion</t>
        </is>
      </c>
      <c r="E1508" t="inlineStr">
        <is>
          <t>AD1</t>
        </is>
      </c>
      <c r="F1508" t="inlineStr">
        <is>
          <t>¿Soporta acceso/entrega para los roles del escenario?</t>
        </is>
      </c>
      <c r="G1508" t="inlineStr">
        <is>
          <t>NE</t>
        </is>
      </c>
      <c r="H1508" t="inlineStr">
        <is>
          <t>Pendiente</t>
        </is>
      </c>
      <c r="I1508" t="inlineStr">
        <is>
          <t>No se encontro documentacion sobre roles y accesos diferenciados para los perfiles del escenario.</t>
        </is>
      </c>
      <c r="L1508" t="inlineStr">
        <is>
          <t>Alternativa adicional incorporada en FP-180 (2026-09-16) desde el registro de FP-126 y la auditoria de FP-179.</t>
        </is>
      </c>
    </row>
    <row r="1509">
      <c r="A1509" t="inlineStr">
        <is>
          <t>E4</t>
        </is>
      </c>
      <c r="B1509" t="inlineStr">
        <is>
          <t>Estimacion temprana</t>
        </is>
      </c>
      <c r="C1509" t="inlineStr">
        <is>
          <t>AWS Pricing Calculator</t>
        </is>
      </c>
      <c r="D1509" t="inlineStr">
        <is>
          <t>Adopcion</t>
        </is>
      </c>
      <c r="E1509" t="inlineStr">
        <is>
          <t>AD2</t>
        </is>
      </c>
      <c r="F1509" t="inlineStr">
        <is>
          <t>¿Ofrece guías, ownership o mecanismos de seguimiento para uso sostenido?</t>
        </is>
      </c>
      <c r="G1509" t="inlineStr">
        <is>
          <t>NE</t>
        </is>
      </c>
      <c r="H1509" t="inlineStr">
        <is>
          <t>Pendiente</t>
        </is>
      </c>
      <c r="I1509" t="inlineStr">
        <is>
          <t>No se encontro guia oficial de habilitacion, ownership o seguimiento de uso sostenido.</t>
        </is>
      </c>
      <c r="L1509" t="inlineStr">
        <is>
          <t>Alternativa adicional incorporada en FP-180 (2026-09-16) desde el registro de FP-126 y la auditoria de FP-179.</t>
        </is>
      </c>
    </row>
    <row r="1510">
      <c r="A1510" t="inlineStr">
        <is>
          <t>E4</t>
        </is>
      </c>
      <c r="B1510" t="inlineStr">
        <is>
          <t>Estimacion temprana</t>
        </is>
      </c>
      <c r="C1510" t="inlineStr">
        <is>
          <t>AWS Pricing Calculator</t>
        </is>
      </c>
      <c r="D1510" t="inlineStr">
        <is>
          <t>Precio</t>
        </is>
      </c>
      <c r="E1510" t="inlineStr">
        <is>
          <t>P1</t>
        </is>
      </c>
      <c r="F1510" t="inlineStr">
        <is>
          <t>¿Expone precio, moneda, región, unidad, período y supuestos relevantes?</t>
        </is>
      </c>
      <c r="G1510" t="n">
        <v>2</v>
      </c>
      <c r="H1510" t="inlineStr">
        <is>
          <t>Oficial</t>
        </is>
      </c>
      <c r="I1510" t="inlineStr">
        <is>
          <t>Expone precio por region de forma explicita: «All AWS resources are priced based on the Region you choose», y la documentacion enlaza los supuestos de precio aplicados a la estimacion.</t>
        </is>
      </c>
      <c r="J1510" t="inlineStr">
        <is>
          <t>https://docs.aws.amazon.com/pricing-calculator/latest/userguide/what-is-pricing-calculator.html</t>
        </is>
      </c>
      <c r="K1510" t="inlineStr">
        <is>
          <t>2026-09-16</t>
        </is>
      </c>
      <c r="L1510" t="inlineStr">
        <is>
          <t>Alternativa adicional incorporada en FP-180 (2026-09-16) desde el registro de FP-126 y la auditoria de FP-179.</t>
        </is>
      </c>
    </row>
    <row r="1511">
      <c r="A1511" t="inlineStr">
        <is>
          <t>E4</t>
        </is>
      </c>
      <c r="B1511" t="inlineStr">
        <is>
          <t>Estimacion temprana</t>
        </is>
      </c>
      <c r="C1511" t="inlineStr">
        <is>
          <t>AWS Pricing Calculator</t>
        </is>
      </c>
      <c r="D1511" t="inlineStr">
        <is>
          <t>Precio</t>
        </is>
      </c>
      <c r="E1511" t="inlineStr">
        <is>
          <t>P2</t>
        </is>
      </c>
      <c r="F1511" t="inlineStr">
        <is>
          <t>¿Permite estimar o comparar componentes sin ocultar límites de equivalencia?</t>
        </is>
      </c>
      <c r="G1511" t="n">
        <v>2</v>
      </c>
      <c r="H1511" t="inlineStr">
        <is>
          <t>Oficial</t>
        </is>
      </c>
      <c r="I1511" t="inlineStr">
        <is>
          <t>Permite comparar configuraciones modeladas y estimar sobre la familia de facturacion consolidada, «which takes into account your modeled usage and commitments».</t>
        </is>
      </c>
      <c r="J1511" t="inlineStr">
        <is>
          <t>https://docs.aws.amazon.com/cost-management/latest/userguide/pc-workload-estimate.html</t>
        </is>
      </c>
      <c r="K1511" t="inlineStr">
        <is>
          <t>2026-09-16</t>
        </is>
      </c>
      <c r="L1511" t="inlineStr">
        <is>
          <t>Alternativa adicional incorporada en FP-180 (2026-09-16) desde el registro de FP-126 y la auditoria de FP-179.</t>
        </is>
      </c>
    </row>
    <row r="1512">
      <c r="A1512" t="inlineStr">
        <is>
          <t>E4</t>
        </is>
      </c>
      <c r="B1512" t="inlineStr">
        <is>
          <t>Estimacion temprana</t>
        </is>
      </c>
      <c r="C1512" t="inlineStr">
        <is>
          <t>AWS Pricing Calculator</t>
        </is>
      </c>
      <c r="D1512" t="inlineStr">
        <is>
          <t>Dependencia</t>
        </is>
      </c>
      <c r="E1512" t="inlineStr">
        <is>
          <t>D1</t>
        </is>
      </c>
      <c r="F1512" t="inlineStr">
        <is>
          <t>¿Exporta datos/resultados en formato utilizable y documentado?</t>
        </is>
      </c>
      <c r="G1512" t="n">
        <v>2</v>
      </c>
      <c r="H1512" t="inlineStr">
        <is>
          <t>Oficial</t>
        </is>
      </c>
      <c r="I1512" t="inlineStr">
        <is>
          <t>Las estimaciones se exportan en formatos utilizables: «You can export your estimates as PDF or CSV files».</t>
        </is>
      </c>
      <c r="J1512" t="inlineStr">
        <is>
          <t>https://docs.aws.amazon.com/pricing-calculator/latest/userguide/export-estimate.html</t>
        </is>
      </c>
      <c r="K1512" t="inlineStr">
        <is>
          <t>2026-09-16</t>
        </is>
      </c>
      <c r="L1512" t="inlineStr">
        <is>
          <t>Alternativa adicional incorporada en FP-180 (2026-09-16) desde el registro de FP-126 y la auditoria de FP-179.</t>
        </is>
      </c>
    </row>
    <row r="1513">
      <c r="A1513" t="inlineStr">
        <is>
          <t>E4</t>
        </is>
      </c>
      <c r="B1513" t="inlineStr">
        <is>
          <t>Estimacion temprana</t>
        </is>
      </c>
      <c r="C1513" t="inlineStr">
        <is>
          <t>AWS Pricing Calculator</t>
        </is>
      </c>
      <c r="D1513" t="inlineStr">
        <is>
          <t>Dependencia</t>
        </is>
      </c>
      <c r="E1513" t="inlineStr">
        <is>
          <t>D2</t>
        </is>
      </c>
      <c r="F1513" t="inlineStr">
        <is>
          <t>¿Documenta dependencias propietarias y un camino de salida/configuración reversible?</t>
        </is>
      </c>
      <c r="G1513" t="n">
        <v>2</v>
      </c>
      <c r="H1513" t="inlineStr">
        <is>
          <t>Oficial</t>
        </is>
      </c>
      <c r="I1513" t="inlineStr">
        <is>
          <t>El acoplamiento y la salida estan documentados de forma inusualmente explicita para esta poblacion. La dependencia se declara: «Estimates are saved to the AWS public servers», y antes de compartir se exige leer un «Public server acknowledgment». El limite temporal tambien: «Estimate links created on or after May 31, 2023, remain valid for one year». Y la reversibilidad esta cubierta por operaciones de borrado documentadas en la API (DeleteWorkloadEstimate y BatchDeleteWorkloadEstimateUsage).</t>
        </is>
      </c>
      <c r="J1513" t="inlineStr">
        <is>
          <t>https://docs.aws.amazon.com/pricing-calculator/latest/userguide/save-share-estimate.html ; https://docs.aws.amazon.com/aws-cost-management/latest/APIReference/API_AWSBCMPricingCalculator_DeleteWorkloadEstimate.html</t>
        </is>
      </c>
      <c r="K1513" t="inlineStr">
        <is>
          <t>2026-09-16</t>
        </is>
      </c>
      <c r="L1513" t="inlineStr">
        <is>
          <t>Alternativa adicional incorporada en FP-180 (2026-09-16) desde el registro de FP-126 y la auditoria de FP-179. | Investigacion propia de E4 (2026-09-16): celda verificada contra las entradas y salidas del escenario de estimacion previa al despliegue.</t>
        </is>
      </c>
    </row>
    <row r="1514">
      <c r="A1514" t="inlineStr">
        <is>
          <t>E4</t>
        </is>
      </c>
      <c r="B1514" t="inlineStr">
        <is>
          <t>Estimacion temprana</t>
        </is>
      </c>
      <c r="C1514" t="inlineStr">
        <is>
          <t>Azure Pricing Calculator</t>
        </is>
      </c>
      <c r="D1514" t="inlineStr">
        <is>
          <t>Visibilidad</t>
        </is>
      </c>
      <c r="E1514" t="inlineStr">
        <is>
          <t>V1</t>
        </is>
      </c>
      <c r="F1514" t="inlineStr">
        <is>
          <t>¿Desagrega costo y uso por cuenta/proyecto, servicio y período?</t>
        </is>
      </c>
      <c r="G1514" t="n">
        <v>2</v>
      </c>
      <c r="H1514" t="inlineStr">
        <is>
          <t>Oficial</t>
        </is>
      </c>
      <c r="I1514" t="inlineStr">
        <is>
          <t>Permite construir estimaciones que son «collections of Azure products», con filtros de region, tipo de producto y niveles, y un resumen de estimacion por componente.</t>
        </is>
      </c>
      <c r="J1514" t="inlineStr">
        <is>
          <t>https://learn.microsoft.com/en-us/azure/cost-management-billing/costs/pricing-calculator</t>
        </is>
      </c>
      <c r="K1514" t="inlineStr">
        <is>
          <t>2026-09-16</t>
        </is>
      </c>
      <c r="L1514" t="inlineStr">
        <is>
          <t>Alternativa adicional incorporada en FP-180 (2026-09-16) desde el registro de FP-126 y la auditoria de FP-179.</t>
        </is>
      </c>
    </row>
    <row r="1515">
      <c r="A1515" t="inlineStr">
        <is>
          <t>E4</t>
        </is>
      </c>
      <c r="B1515" t="inlineStr">
        <is>
          <t>Estimacion temprana</t>
        </is>
      </c>
      <c r="C1515" t="inlineStr">
        <is>
          <t>Azure Pricing Calculator</t>
        </is>
      </c>
      <c r="D1515" t="inlineStr">
        <is>
          <t>Visibilidad</t>
        </is>
      </c>
      <c r="E1515" t="inlineStr">
        <is>
          <t>V2</t>
        </is>
      </c>
      <c r="F1515" t="inlineStr">
        <is>
          <t>¿Permite rastrear un total hasta registros o fuente de facturación?</t>
        </is>
      </c>
      <c r="G1515" t="inlineStr">
        <is>
          <t>NA</t>
        </is>
      </c>
      <c r="H1515" t="inlineStr">
        <is>
          <t>Justificacion de alcance</t>
        </is>
      </c>
      <c r="I1515" t="inlineStr">
        <is>
          <t>En E4 la unidad de analisis es el cambio propuesto antes del despliegue: no existe facturacion real que rastrear. Mismo criterio aplicado a Infracost.</t>
        </is>
      </c>
      <c r="L1515" t="inlineStr">
        <is>
          <t>Alternativa adicional incorporada en FP-180 (2026-09-16) desde el registro de FP-126 y la auditoria de FP-179.</t>
        </is>
      </c>
    </row>
    <row r="1516">
      <c r="A1516" t="inlineStr">
        <is>
          <t>E4</t>
        </is>
      </c>
      <c r="B1516" t="inlineStr">
        <is>
          <t>Estimacion temprana</t>
        </is>
      </c>
      <c r="C1516" t="inlineStr">
        <is>
          <t>Azure Pricing Calculator</t>
        </is>
      </c>
      <c r="D1516" t="inlineStr">
        <is>
          <t>Asignacion</t>
        </is>
      </c>
      <c r="E1516" t="inlineStr">
        <is>
          <t>A1</t>
        </is>
      </c>
      <c r="F1516" t="inlineStr">
        <is>
          <t>¿Calcula gasto asignado/no asignado por responsable, centro o entidad?</t>
        </is>
      </c>
      <c r="G1516" t="inlineStr">
        <is>
          <t>NA</t>
        </is>
      </c>
      <c r="H1516" t="inlineStr">
        <is>
          <t>Justificacion de alcance</t>
        </is>
      </c>
      <c r="I1516" t="inlineStr">
        <is>
          <t>No es una herramienta de asignacion de gasto organizacional. Mismo criterio aplicado a Infracost.</t>
        </is>
      </c>
      <c r="L1516" t="inlineStr">
        <is>
          <t>Alternativa adicional incorporada en FP-180 (2026-09-16) desde el registro de FP-126 y la auditoria de FP-179.</t>
        </is>
      </c>
    </row>
    <row r="1517">
      <c r="A1517" t="inlineStr">
        <is>
          <t>E4</t>
        </is>
      </c>
      <c r="B1517" t="inlineStr">
        <is>
          <t>Estimacion temprana</t>
        </is>
      </c>
      <c r="C1517" t="inlineStr">
        <is>
          <t>Azure Pricing Calculator</t>
        </is>
      </c>
      <c r="D1517" t="inlineStr">
        <is>
          <t>Asignacion</t>
        </is>
      </c>
      <c r="E1517" t="inlineStr">
        <is>
          <t>A2</t>
        </is>
      </c>
      <c r="F1517" t="inlineStr">
        <is>
          <t>¿Explicita y aplica reglas para costo compartido/multi-tenant?</t>
        </is>
      </c>
      <c r="G1517" t="inlineStr">
        <is>
          <t>NA</t>
        </is>
      </c>
      <c r="H1517" t="inlineStr">
        <is>
          <t>Justificacion de alcance</t>
        </is>
      </c>
      <c r="I1517" t="inlineStr">
        <is>
          <t>Mismo motivo que A1.</t>
        </is>
      </c>
      <c r="L1517" t="inlineStr">
        <is>
          <t>Alternativa adicional incorporada en FP-180 (2026-09-16) desde el registro de FP-126 y la auditoria de FP-179.</t>
        </is>
      </c>
    </row>
    <row r="1518">
      <c r="A1518" t="inlineStr">
        <is>
          <t>E4</t>
        </is>
      </c>
      <c r="B1518" t="inlineStr">
        <is>
          <t>Estimacion temprana</t>
        </is>
      </c>
      <c r="C1518" t="inlineStr">
        <is>
          <t>Azure Pricing Calculator</t>
        </is>
      </c>
      <c r="D1518" t="inlineStr">
        <is>
          <t>Optimizacion</t>
        </is>
      </c>
      <c r="E1518" t="inlineStr">
        <is>
          <t>O1</t>
        </is>
      </c>
      <c r="F1518" t="inlineStr">
        <is>
          <t>¿Detecta desperdicio, rightsizing o compromiso relevante al escenario?</t>
        </is>
      </c>
      <c r="G1518" t="n">
        <v>0</v>
      </c>
      <c r="H1518" t="inlineStr">
        <is>
          <t>Oficial (ausencia verificada)</t>
        </is>
      </c>
      <c r="I1518" t="inlineStr">
        <is>
          <t>La calculadora convierte uso previsto en costo estimado; la documentacion no describe deteccion de desperdicio ni recomendaciones de optimizacion. Ausencia verificada frente al ancla, no falta de investigacion.</t>
        </is>
      </c>
      <c r="J1518" t="inlineStr">
        <is>
          <t>https://learn.microsoft.com/en-us/azure/cost-management-billing/costs/pricing-calculator</t>
        </is>
      </c>
      <c r="K1518" t="inlineStr">
        <is>
          <t>2026-09-16</t>
        </is>
      </c>
      <c r="L1518" t="inlineStr">
        <is>
          <t>Alternativa adicional incorporada en FP-180 (2026-09-16) desde el registro de FP-126 y la auditoria de FP-179. | Investigacion propia de E4 (2026-09-16): celda verificada contra las entradas y salidas del escenario de estimacion previa al despliegue.</t>
        </is>
      </c>
    </row>
    <row r="1519">
      <c r="A1519" t="inlineStr">
        <is>
          <t>E4</t>
        </is>
      </c>
      <c r="B1519" t="inlineStr">
        <is>
          <t>Estimacion temprana</t>
        </is>
      </c>
      <c r="C1519" t="inlineStr">
        <is>
          <t>Azure Pricing Calculator</t>
        </is>
      </c>
      <c r="D1519" t="inlineStr">
        <is>
          <t>Optimizacion</t>
        </is>
      </c>
      <c r="E1519" t="inlineStr">
        <is>
          <t>O2</t>
        </is>
      </c>
      <c r="F1519" t="inlineStr">
        <is>
          <t>¿Explica supuesto/impacto y permite seguir una recomendación?</t>
        </is>
      </c>
      <c r="G1519" t="inlineStr">
        <is>
          <t>NA</t>
        </is>
      </c>
      <c r="H1519" t="inlineStr">
        <is>
          <t>Justificacion de alcance</t>
        </is>
      </c>
      <c r="I1519" t="inlineStr">
        <is>
          <t>Al no generar recomendaciones de optimizacion propias (ver O1), no aplica evaluar su explicacion ni su seguimiento.</t>
        </is>
      </c>
      <c r="L1519" t="inlineStr">
        <is>
          <t>Alternativa adicional incorporada en FP-180 (2026-09-16) desde el registro de FP-126 y la auditoria de FP-179. | Investigacion propia de E4 (2026-09-16): celda verificada contra las entradas y salidas del escenario de estimacion previa al despliegue.</t>
        </is>
      </c>
    </row>
    <row r="1520">
      <c r="A1520" t="inlineStr">
        <is>
          <t>E4</t>
        </is>
      </c>
      <c r="B1520" t="inlineStr">
        <is>
          <t>Estimacion temprana</t>
        </is>
      </c>
      <c r="C1520" t="inlineStr">
        <is>
          <t>Azure Pricing Calculator</t>
        </is>
      </c>
      <c r="D1520" t="inlineStr">
        <is>
          <t>Automatizacion</t>
        </is>
      </c>
      <c r="E1520" t="inlineStr">
        <is>
          <t>AU1</t>
        </is>
      </c>
      <c r="F1520" t="inlineStr">
        <is>
          <t>¿Ejecuta o bloquea acciones/políticas de costo con control verificable?</t>
        </is>
      </c>
      <c r="G1520" t="n">
        <v>0</v>
      </c>
      <c r="H1520" t="inlineStr">
        <is>
          <t>Oficial (ausencia verificada)</t>
        </is>
      </c>
      <c r="I1520" t="inlineStr">
        <is>
          <t>Es una herramienta web de estimacion: no ejecuta ni bloquea acciones o despliegues.</t>
        </is>
      </c>
      <c r="J1520" t="inlineStr">
        <is>
          <t>https://learn.microsoft.com/en-us/azure/cost-management-billing/costs/pricing-calculator</t>
        </is>
      </c>
      <c r="K1520" t="inlineStr">
        <is>
          <t>2026-09-16</t>
        </is>
      </c>
      <c r="L1520" t="inlineStr">
        <is>
          <t>Alternativa adicional incorporada en FP-180 (2026-09-16) desde el registro de FP-126 y la auditoria de FP-179.</t>
        </is>
      </c>
    </row>
    <row r="1521">
      <c r="A1521" t="inlineStr">
        <is>
          <t>E4</t>
        </is>
      </c>
      <c r="B1521" t="inlineStr">
        <is>
          <t>Estimacion temprana</t>
        </is>
      </c>
      <c r="C1521" t="inlineStr">
        <is>
          <t>Azure Pricing Calculator</t>
        </is>
      </c>
      <c r="D1521" t="inlineStr">
        <is>
          <t>Automatizacion</t>
        </is>
      </c>
      <c r="E1521" t="inlineStr">
        <is>
          <t>AU2</t>
        </is>
      </c>
      <c r="F1521" t="inlineStr">
        <is>
          <t>¿Ofrece aprobación, reversión, registro o límites antes de actuar?</t>
        </is>
      </c>
      <c r="G1521" t="inlineStr">
        <is>
          <t>NA</t>
        </is>
      </c>
      <c r="H1521" t="inlineStr">
        <is>
          <t>Justificacion de alcance</t>
        </is>
      </c>
      <c r="I1521" t="inlineStr">
        <is>
          <t>Al no ejecutar acciones (ver AU1), no aplica evaluar salvaguardas.</t>
        </is>
      </c>
      <c r="L1521" t="inlineStr">
        <is>
          <t>Alternativa adicional incorporada en FP-180 (2026-09-16) desde el registro de FP-126 y la auditoria de FP-179.</t>
        </is>
      </c>
    </row>
    <row r="1522">
      <c r="A1522" t="inlineStr">
        <is>
          <t>E4</t>
        </is>
      </c>
      <c r="B1522" t="inlineStr">
        <is>
          <t>Estimacion temprana</t>
        </is>
      </c>
      <c r="C1522" t="inlineStr">
        <is>
          <t>Azure Pricing Calculator</t>
        </is>
      </c>
      <c r="D1522" t="inlineStr">
        <is>
          <t>Multicloud</t>
        </is>
      </c>
      <c r="E1522" t="inlineStr">
        <is>
          <t>M1</t>
        </is>
      </c>
      <c r="F1522" t="inlineStr">
        <is>
          <t>¿Consolida al menos dos proveedores bajo el mismo esquema declarado?</t>
        </is>
      </c>
      <c r="G1522" t="n">
        <v>0</v>
      </c>
      <c r="H1522" t="inlineStr">
        <is>
          <t>Oficial (ausencia verificada)</t>
        </is>
      </c>
      <c r="I1522" t="inlineStr">
        <is>
          <t>Estima exclusivamente servicios de Azure; no consolida costos de otros proveedores.</t>
        </is>
      </c>
      <c r="J1522" t="inlineStr">
        <is>
          <t>https://learn.microsoft.com/en-us/azure/cost-management-billing/costs/pricing-calculator</t>
        </is>
      </c>
      <c r="K1522" t="inlineStr">
        <is>
          <t>2026-09-16</t>
        </is>
      </c>
      <c r="L1522" t="inlineStr">
        <is>
          <t>Alternativa adicional incorporada en FP-180 (2026-09-16) desde el registro de FP-126 y la auditoria de FP-179.</t>
        </is>
      </c>
    </row>
    <row r="1523">
      <c r="A1523" t="inlineStr">
        <is>
          <t>E4</t>
        </is>
      </c>
      <c r="B1523" t="inlineStr">
        <is>
          <t>Estimacion temprana</t>
        </is>
      </c>
      <c r="C1523" t="inlineStr">
        <is>
          <t>Azure Pricing Calculator</t>
        </is>
      </c>
      <c r="D1523" t="inlineStr">
        <is>
          <t>Multicloud</t>
        </is>
      </c>
      <c r="E1523" t="inlineStr">
        <is>
          <t>M2</t>
        </is>
      </c>
      <c r="F1523" t="inlineStr">
        <is>
          <t>¿Hace visibles proveedor, cobertura y diferencias semánticas?</t>
        </is>
      </c>
      <c r="G1523" t="n">
        <v>0</v>
      </c>
      <c r="H1523" t="inlineStr">
        <is>
          <t>Oficial (ausencia verificada)</t>
        </is>
      </c>
      <c r="I1523" t="inlineStr">
        <is>
          <t>Mismo alcance de diseno que M1.</t>
        </is>
      </c>
      <c r="J1523" t="inlineStr">
        <is>
          <t>https://learn.microsoft.com/en-us/azure/cost-management-billing/costs/pricing-calculator</t>
        </is>
      </c>
      <c r="K1523" t="inlineStr">
        <is>
          <t>2026-09-16</t>
        </is>
      </c>
      <c r="L1523" t="inlineStr">
        <is>
          <t>Alternativa adicional incorporada en FP-180 (2026-09-16) desde el registro de FP-126 y la auditoria de FP-179.</t>
        </is>
      </c>
    </row>
    <row r="1524">
      <c r="A1524" t="inlineStr">
        <is>
          <t>E4</t>
        </is>
      </c>
      <c r="B1524" t="inlineStr">
        <is>
          <t>Estimacion temprana</t>
        </is>
      </c>
      <c r="C1524" t="inlineStr">
        <is>
          <t>Azure Pricing Calculator</t>
        </is>
      </c>
      <c r="D1524" t="inlineStr">
        <is>
          <t>Integracion</t>
        </is>
      </c>
      <c r="E1524" t="inlineStr">
        <is>
          <t>I1</t>
        </is>
      </c>
      <c r="F1524" t="inlineStr">
        <is>
          <t>¿Integra datos requeridos (facturación, uso, clúster o IaC) del escenario?</t>
        </is>
      </c>
      <c r="G1524" t="n">
        <v>2</v>
      </c>
      <c r="H1524" t="inlineStr">
        <is>
          <t>Oficial</t>
        </is>
      </c>
      <c r="I1524" t="inlineStr">
        <is>
          <t>El acceso programatico a los precios esta documentado mediante la Azure Retail Prices API, que «provides comprehensive retail price information for all Azure services across different regions and currencies».</t>
        </is>
      </c>
      <c r="J1524" t="inlineStr">
        <is>
          <t>https://learn.microsoft.com/en-us/rest/api/cost-management/retail-prices/azure-retail-prices</t>
        </is>
      </c>
      <c r="K1524" t="inlineStr">
        <is>
          <t>2026-09-16</t>
        </is>
      </c>
      <c r="L1524" t="inlineStr">
        <is>
          <t>Alternativa adicional incorporada en FP-180 (2026-09-16) desde el registro de FP-126 y la auditoria de FP-179.</t>
        </is>
      </c>
    </row>
    <row r="1525">
      <c r="A1525" t="inlineStr">
        <is>
          <t>E4</t>
        </is>
      </c>
      <c r="B1525" t="inlineStr">
        <is>
          <t>Estimacion temprana</t>
        </is>
      </c>
      <c r="C1525" t="inlineStr">
        <is>
          <t>Azure Pricing Calculator</t>
        </is>
      </c>
      <c r="D1525" t="inlineStr">
        <is>
          <t>Integracion</t>
        </is>
      </c>
      <c r="E1525" t="inlineStr">
        <is>
          <t>I2</t>
        </is>
      </c>
      <c r="F1525" t="inlineStr">
        <is>
          <t>¿Se integra con el flujo de trabajo relevante (alerta, ticket, CI/CD o reporte)?</t>
        </is>
      </c>
      <c r="G1525" t="n">
        <v>1</v>
      </c>
      <c r="H1525" t="inlineStr">
        <is>
          <t>Oficial</t>
        </is>
      </c>
      <c r="I1525" t="inlineStr">
        <is>
          <t>La integracion con el flujo de revision es por guardado, enlace compartido y exportacion: la calculadora permite guardar estimaciones y compartirlas —con inicio de sesion— y exportarlas a Excel o CSV para distribuirlas. No se documenta integracion con CI/CD ni con un flujo de aprobacion previo al despliegue, por lo que corresponde el nivel manual. Mismo criterio aplicado a AWS Pricing Calculator.</t>
        </is>
      </c>
      <c r="J1525" t="inlineStr">
        <is>
          <t>https://learn.microsoft.com/en-us/azure/cost-management-billing/costs/pricing-calculator</t>
        </is>
      </c>
      <c r="K1525" t="inlineStr">
        <is>
          <t>2026-09-16</t>
        </is>
      </c>
      <c r="L1525" t="inlineStr">
        <is>
          <t>Alternativa adicional incorporada en FP-180 (2026-09-16) desde el registro de FP-126 y la auditoria de FP-179. | Investigacion propia de E4 (2026-09-16): celda verificada contra las entradas y salidas del escenario de estimacion previa al despliegue.</t>
        </is>
      </c>
    </row>
    <row r="1526">
      <c r="A1526" t="inlineStr">
        <is>
          <t>E4</t>
        </is>
      </c>
      <c r="B1526" t="inlineStr">
        <is>
          <t>Estimacion temprana</t>
        </is>
      </c>
      <c r="C1526" t="inlineStr">
        <is>
          <t>Azure Pricing Calculator</t>
        </is>
      </c>
      <c r="D1526" t="inlineStr">
        <is>
          <t>Adopcion</t>
        </is>
      </c>
      <c r="E1526" t="inlineStr">
        <is>
          <t>AD1</t>
        </is>
      </c>
      <c r="F1526" t="inlineStr">
        <is>
          <t>¿Soporta acceso/entrega para los roles del escenario?</t>
        </is>
      </c>
      <c r="G1526" t="inlineStr">
        <is>
          <t>NE</t>
        </is>
      </c>
      <c r="H1526" t="inlineStr">
        <is>
          <t>Pendiente</t>
        </is>
      </c>
      <c r="I1526" t="inlineStr">
        <is>
          <t>No se encontro documentacion sobre roles y accesos diferenciados.</t>
        </is>
      </c>
      <c r="L1526" t="inlineStr">
        <is>
          <t>Alternativa adicional incorporada en FP-180 (2026-09-16) desde el registro de FP-126 y la auditoria de FP-179.</t>
        </is>
      </c>
    </row>
    <row r="1527">
      <c r="A1527" t="inlineStr">
        <is>
          <t>E4</t>
        </is>
      </c>
      <c r="B1527" t="inlineStr">
        <is>
          <t>Estimacion temprana</t>
        </is>
      </c>
      <c r="C1527" t="inlineStr">
        <is>
          <t>Azure Pricing Calculator</t>
        </is>
      </c>
      <c r="D1527" t="inlineStr">
        <is>
          <t>Adopcion</t>
        </is>
      </c>
      <c r="E1527" t="inlineStr">
        <is>
          <t>AD2</t>
        </is>
      </c>
      <c r="F1527" t="inlineStr">
        <is>
          <t>¿Ofrece guías, ownership o mecanismos de seguimiento para uso sostenido?</t>
        </is>
      </c>
      <c r="G1527" t="inlineStr">
        <is>
          <t>NE</t>
        </is>
      </c>
      <c r="H1527" t="inlineStr">
        <is>
          <t>Pendiente</t>
        </is>
      </c>
      <c r="I1527" t="inlineStr">
        <is>
          <t>No se encontro guia oficial de habilitacion o seguimiento de uso sostenido.</t>
        </is>
      </c>
      <c r="L1527" t="inlineStr">
        <is>
          <t>Alternativa adicional incorporada en FP-180 (2026-09-16) desde el registro de FP-126 y la auditoria de FP-179.</t>
        </is>
      </c>
    </row>
    <row r="1528">
      <c r="A1528" t="inlineStr">
        <is>
          <t>E4</t>
        </is>
      </c>
      <c r="B1528" t="inlineStr">
        <is>
          <t>Estimacion temprana</t>
        </is>
      </c>
      <c r="C1528" t="inlineStr">
        <is>
          <t>Azure Pricing Calculator</t>
        </is>
      </c>
      <c r="D1528" t="inlineStr">
        <is>
          <t>Precio</t>
        </is>
      </c>
      <c r="E1528" t="inlineStr">
        <is>
          <t>P1</t>
        </is>
      </c>
      <c r="F1528" t="inlineStr">
        <is>
          <t>¿Expone precio, moneda, región, unidad, período y supuestos relevantes?</t>
        </is>
      </c>
      <c r="G1528" t="n">
        <v>2</v>
      </c>
      <c r="H1528" t="inlineStr">
        <is>
          <t>Oficial</t>
        </is>
      </c>
      <c r="I1528" t="inlineStr">
        <is>
          <t>Expone region y moneda como filtros del producto y puede mostrar tarifas negociadas: «it can also show any negotiated rates specific to your Azure Billing Account», lo que hace explicitos los supuestos de precio aplicados.</t>
        </is>
      </c>
      <c r="J1528" t="inlineStr">
        <is>
          <t>https://learn.microsoft.com/en-us/azure/cost-management-billing/costs/pricing-calculator</t>
        </is>
      </c>
      <c r="K1528" t="inlineStr">
        <is>
          <t>2026-09-16</t>
        </is>
      </c>
      <c r="L1528" t="inlineStr">
        <is>
          <t>Alternativa adicional incorporada en FP-180 (2026-09-16) desde el registro de FP-126 y la auditoria de FP-179.</t>
        </is>
      </c>
    </row>
    <row r="1529">
      <c r="A1529" t="inlineStr">
        <is>
          <t>E4</t>
        </is>
      </c>
      <c r="B1529" t="inlineStr">
        <is>
          <t>Estimacion temprana</t>
        </is>
      </c>
      <c r="C1529" t="inlineStr">
        <is>
          <t>Azure Pricing Calculator</t>
        </is>
      </c>
      <c r="D1529" t="inlineStr">
        <is>
          <t>Precio</t>
        </is>
      </c>
      <c r="E1529" t="inlineStr">
        <is>
          <t>P2</t>
        </is>
      </c>
      <c r="F1529" t="inlineStr">
        <is>
          <t>¿Permite estimar o comparar componentes sin ocultar límites de equivalencia?</t>
        </is>
      </c>
      <c r="G1529" t="n">
        <v>2</v>
      </c>
      <c r="H1529" t="inlineStr">
        <is>
          <t>Oficial</t>
        </is>
      </c>
      <c r="I1529" t="inlineStr">
        <is>
          <t>Permite modelar y comparar configuraciones de productos antes de contratar, ajustando region, nivel y uso previsto sobre el resumen de estimacion.</t>
        </is>
      </c>
      <c r="J1529" t="inlineStr">
        <is>
          <t>https://learn.microsoft.com/en-us/azure/cost-management-billing/costs/pricing-calculator</t>
        </is>
      </c>
      <c r="K1529" t="inlineStr">
        <is>
          <t>2026-09-16</t>
        </is>
      </c>
      <c r="L1529" t="inlineStr">
        <is>
          <t>Alternativa adicional incorporada en FP-180 (2026-09-16) desde el registro de FP-126 y la auditoria de FP-179.</t>
        </is>
      </c>
    </row>
    <row r="1530">
      <c r="A1530" t="inlineStr">
        <is>
          <t>E4</t>
        </is>
      </c>
      <c r="B1530" t="inlineStr">
        <is>
          <t>Estimacion temprana</t>
        </is>
      </c>
      <c r="C1530" t="inlineStr">
        <is>
          <t>Azure Pricing Calculator</t>
        </is>
      </c>
      <c r="D1530" t="inlineStr">
        <is>
          <t>Dependencia</t>
        </is>
      </c>
      <c r="E1530" t="inlineStr">
        <is>
          <t>D1</t>
        </is>
      </c>
      <c r="F1530" t="inlineStr">
        <is>
          <t>¿Exporta datos/resultados en formato utilizable y documentado?</t>
        </is>
      </c>
      <c r="G1530" t="n">
        <v>2</v>
      </c>
      <c r="H1530" t="inlineStr">
        <is>
          <t>Oficial</t>
        </is>
      </c>
      <c r="I1530" t="inlineStr">
        <is>
          <t>La estimacion es exportable en formatos utilizables y reproducibles: la calculadora permite exportar las estimaciones a Excel, y las paginas de detalle de precios permiten exportar y guardar como CSV. Las vistas de Cost Management se descargan en PNG, Excel y CSV.</t>
        </is>
      </c>
      <c r="J1530" t="inlineStr">
        <is>
          <t>https://learn.microsoft.com/en-us/azure/cost-management-billing/costs/pricing-calculator ; https://learn.microsoft.com/en-us/azure/cost-management-billing/costs/save-share-views</t>
        </is>
      </c>
      <c r="K1530" t="inlineStr">
        <is>
          <t>2026-09-16</t>
        </is>
      </c>
      <c r="L1530" t="inlineStr">
        <is>
          <t>Alternativa adicional incorporada en FP-180 (2026-09-16) desde el registro de FP-126 y la auditoria de FP-179. | Investigacion propia de E4 (2026-09-16): celda verificada contra las entradas y salidas del escenario de estimacion previa al despliegue.</t>
        </is>
      </c>
    </row>
    <row r="1531">
      <c r="A1531" t="inlineStr">
        <is>
          <t>E4</t>
        </is>
      </c>
      <c r="B1531" t="inlineStr">
        <is>
          <t>Estimacion temprana</t>
        </is>
      </c>
      <c r="C1531" t="inlineStr">
        <is>
          <t>Azure Pricing Calculator</t>
        </is>
      </c>
      <c r="D1531" t="inlineStr">
        <is>
          <t>Dependencia</t>
        </is>
      </c>
      <c r="E1531" t="inlineStr">
        <is>
          <t>D2</t>
        </is>
      </c>
      <c r="F1531" t="inlineStr">
        <is>
          <t>¿Documenta dependencias propietarias y un camino de salida/configuración reversible?</t>
        </is>
      </c>
      <c r="G1531" t="inlineStr">
        <is>
          <t>NE</t>
        </is>
      </c>
      <c r="H1531" t="inlineStr">
        <is>
          <t>Pendiente</t>
        </is>
      </c>
      <c r="I1531" t="inlineStr">
        <is>
          <t>No se encontro documentacion sobre dependencias propietarias ni camino de salida.</t>
        </is>
      </c>
      <c r="L1531" t="inlineStr">
        <is>
          <t>Alternativa adicional incorporada en FP-180 (2026-09-16) desde el registro de FP-126 y la auditoria de FP-179.</t>
        </is>
      </c>
    </row>
    <row r="1532">
      <c r="A1532" t="inlineStr">
        <is>
          <t>E4</t>
        </is>
      </c>
      <c r="B1532" t="inlineStr">
        <is>
          <t>Cloud nativa</t>
        </is>
      </c>
      <c r="C1532" t="inlineStr">
        <is>
          <t>IBM Cloud Cost Estimator</t>
        </is>
      </c>
      <c r="D1532" t="inlineStr">
        <is>
          <t>Visibilidad</t>
        </is>
      </c>
      <c r="E1532" t="inlineStr">
        <is>
          <t>V1</t>
        </is>
      </c>
      <c r="F1532" t="inlineStr">
        <is>
          <t>¿Desagrega costo y uso por cuenta/proyecto, servicio y período?</t>
        </is>
      </c>
      <c r="G1532" t="n">
        <v>2</v>
      </c>
      <c r="H1532" t="inlineStr">
        <is>
          <t>Oficial</t>
        </is>
      </c>
      <c r="I1532" t="inlineStr">
        <is>
          <t>Desglosa la estimacion por producto y configuracion del catalogo: el usuario selecciona el plan de precios y los detalles de configuracion, agrega el producto a la estimacion e ingresa su uso previsto para calcular el costo, obteniendo el detalle por componente que este escenario evalua.</t>
        </is>
      </c>
      <c r="J1532" t="inlineStr">
        <is>
          <t>https://cloud.ibm.com/docs/account?topic=account-cost</t>
        </is>
      </c>
      <c r="K1532" t="inlineStr">
        <is>
          <t>2026-09-16</t>
        </is>
      </c>
      <c r="L1532"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33">
      <c r="A1533" t="inlineStr">
        <is>
          <t>E4</t>
        </is>
      </c>
      <c r="B1533" t="inlineStr">
        <is>
          <t>Cloud nativa</t>
        </is>
      </c>
      <c r="C1533" t="inlineStr">
        <is>
          <t>IBM Cloud Cost Estimator</t>
        </is>
      </c>
      <c r="D1533" t="inlineStr">
        <is>
          <t>Visibilidad</t>
        </is>
      </c>
      <c r="E1533" t="inlineStr">
        <is>
          <t>V2</t>
        </is>
      </c>
      <c r="F1533" t="inlineStr">
        <is>
          <t>¿Permite rastrear un total hasta registros o fuente de facturación?</t>
        </is>
      </c>
      <c r="G1533" t="inlineStr">
        <is>
          <t>NA</t>
        </is>
      </c>
      <c r="H1533" t="inlineStr">
        <is>
          <t>Justificacion de alcance</t>
        </is>
      </c>
      <c r="I1533" t="inlineStr">
        <is>
          <t>Justificacion de alcance: en E4 la unidad de analisis es el cambio propuesto antes del despliegue, de modo que el indicador no tiene objeto. Mismo criterio aplicado a Infracost y a las calculadoras de precios de AWS y Azure.</t>
        </is>
      </c>
      <c r="J1533" t="inlineStr"/>
      <c r="K1533" t="inlineStr"/>
      <c r="L1533"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34">
      <c r="A1534" t="inlineStr">
        <is>
          <t>E4</t>
        </is>
      </c>
      <c r="B1534" t="inlineStr">
        <is>
          <t>Cloud nativa</t>
        </is>
      </c>
      <c r="C1534" t="inlineStr">
        <is>
          <t>IBM Cloud Cost Estimator</t>
        </is>
      </c>
      <c r="D1534" t="inlineStr">
        <is>
          <t>Asignacion</t>
        </is>
      </c>
      <c r="E1534" t="inlineStr">
        <is>
          <t>A1</t>
        </is>
      </c>
      <c r="F1534" t="inlineStr">
        <is>
          <t>¿Calcula gasto asignado/no asignado por responsable, centro o entidad?</t>
        </is>
      </c>
      <c r="G1534" t="inlineStr">
        <is>
          <t>NA</t>
        </is>
      </c>
      <c r="H1534" t="inlineStr">
        <is>
          <t>Justificacion de alcance</t>
        </is>
      </c>
      <c r="I1534" t="inlineStr">
        <is>
          <t>Justificacion de alcance: en E4 la unidad de analisis es el cambio propuesto antes del despliegue, de modo que el indicador no tiene objeto. Mismo criterio aplicado a Infracost y a las calculadoras de precios de AWS y Azure.</t>
        </is>
      </c>
      <c r="J1534" t="inlineStr"/>
      <c r="K1534" t="inlineStr"/>
      <c r="L1534"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35">
      <c r="A1535" t="inlineStr">
        <is>
          <t>E4</t>
        </is>
      </c>
      <c r="B1535" t="inlineStr">
        <is>
          <t>Cloud nativa</t>
        </is>
      </c>
      <c r="C1535" t="inlineStr">
        <is>
          <t>IBM Cloud Cost Estimator</t>
        </is>
      </c>
      <c r="D1535" t="inlineStr">
        <is>
          <t>Asignacion</t>
        </is>
      </c>
      <c r="E1535" t="inlineStr">
        <is>
          <t>A2</t>
        </is>
      </c>
      <c r="F1535" t="inlineStr">
        <is>
          <t>¿Explicita y aplica reglas para costo compartido/multi-tenant?</t>
        </is>
      </c>
      <c r="G1535" t="inlineStr">
        <is>
          <t>NA</t>
        </is>
      </c>
      <c r="H1535" t="inlineStr">
        <is>
          <t>Justificacion de alcance</t>
        </is>
      </c>
      <c r="I1535" t="inlineStr">
        <is>
          <t>Justificacion de alcance: en E4 la unidad de analisis es el cambio propuesto antes del despliegue, de modo que el indicador no tiene objeto. Mismo criterio aplicado a Infracost y a las calculadoras de precios de AWS y Azure.</t>
        </is>
      </c>
      <c r="J1535" t="inlineStr"/>
      <c r="K1535" t="inlineStr"/>
      <c r="L1535"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36">
      <c r="A1536" t="inlineStr">
        <is>
          <t>E4</t>
        </is>
      </c>
      <c r="B1536" t="inlineStr">
        <is>
          <t>Cloud nativa</t>
        </is>
      </c>
      <c r="C1536" t="inlineStr">
        <is>
          <t>IBM Cloud Cost Estimator</t>
        </is>
      </c>
      <c r="D1536" t="inlineStr">
        <is>
          <t>Optimizacion</t>
        </is>
      </c>
      <c r="E1536" t="inlineStr">
        <is>
          <t>O1</t>
        </is>
      </c>
      <c r="F1536" t="inlineStr">
        <is>
          <t>¿Detecta desperdicio, rightsizing o compromiso relevante al escenario?</t>
        </is>
      </c>
      <c r="G1536" t="n">
        <v>1</v>
      </c>
      <c r="H1536" t="inlineStr">
        <is>
          <t>Comercial</t>
        </is>
      </c>
      <c r="I1536" t="inlineStr">
        <is>
          <t>La pagina de producto declara que la herramienta permite «get tips on how to save money». Es evidencia comercial del proveedor, por lo que FP-177 §2.1 limita el indicador a 1.</t>
        </is>
      </c>
      <c r="J1536" t="inlineStr">
        <is>
          <t>https://www.ibm.com/products/cloud/cloud-calculator</t>
        </is>
      </c>
      <c r="K1536" t="inlineStr">
        <is>
          <t>2026-09-16</t>
        </is>
      </c>
      <c r="L1536"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37">
      <c r="A1537" t="inlineStr">
        <is>
          <t>E4</t>
        </is>
      </c>
      <c r="B1537" t="inlineStr">
        <is>
          <t>Cloud nativa</t>
        </is>
      </c>
      <c r="C1537" t="inlineStr">
        <is>
          <t>IBM Cloud Cost Estimator</t>
        </is>
      </c>
      <c r="D1537" t="inlineStr">
        <is>
          <t>Optimizacion</t>
        </is>
      </c>
      <c r="E1537" t="inlineStr">
        <is>
          <t>O2</t>
        </is>
      </c>
      <c r="F1537" t="inlineStr">
        <is>
          <t>¿Explica supuesto/impacto y permite seguir una recomendación?</t>
        </is>
      </c>
      <c r="G1537" t="inlineStr">
        <is>
          <t>NA</t>
        </is>
      </c>
      <c r="H1537" t="inlineStr">
        <is>
          <t>Justificacion de alcance</t>
        </is>
      </c>
      <c r="I1537" t="inlineStr">
        <is>
          <t>Al no generar recomendaciones de optimizacion propias y documentadas (ver O1), no aplica evaluar la explicacion de impacto ni el seguimiento de una recomendacion. Mismo criterio aplicado a las calculadoras de AWS y Azure.</t>
        </is>
      </c>
      <c r="J1537" t="inlineStr"/>
      <c r="K1537" t="inlineStr"/>
      <c r="L1537"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38">
      <c r="A1538" t="inlineStr">
        <is>
          <t>E4</t>
        </is>
      </c>
      <c r="B1538" t="inlineStr">
        <is>
          <t>Cloud nativa</t>
        </is>
      </c>
      <c r="C1538" t="inlineStr">
        <is>
          <t>IBM Cloud Cost Estimator</t>
        </is>
      </c>
      <c r="D1538" t="inlineStr">
        <is>
          <t>Automatizacion</t>
        </is>
      </c>
      <c r="E1538" t="inlineStr">
        <is>
          <t>AU1</t>
        </is>
      </c>
      <c r="F1538" t="inlineStr">
        <is>
          <t>¿Ejecuta o bloquea acciones/políticas de costo con control verificable?</t>
        </is>
      </c>
      <c r="G1538" t="n">
        <v>0</v>
      </c>
      <c r="H1538" t="inlineStr">
        <is>
          <t>Oficial (ausencia verificada)</t>
        </is>
      </c>
      <c r="I1538" t="inlineStr">
        <is>
          <t>Es una herramienta de estimacion: no ejecuta ni bloquea acciones o despliegues. La estimacion forma parte de un paso de validacion, pero la decision de desplegar queda fuera de la herramienta.</t>
        </is>
      </c>
      <c r="J1538" t="inlineStr">
        <is>
          <t>https://cloud.ibm.com/docs/secure-enterprise?topic=secure-enterprise-cost-estimate-project</t>
        </is>
      </c>
      <c r="K1538" t="inlineStr">
        <is>
          <t>2026-09-16</t>
        </is>
      </c>
      <c r="L1538"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39">
      <c r="A1539" t="inlineStr">
        <is>
          <t>E4</t>
        </is>
      </c>
      <c r="B1539" t="inlineStr">
        <is>
          <t>Cloud nativa</t>
        </is>
      </c>
      <c r="C1539" t="inlineStr">
        <is>
          <t>IBM Cloud Cost Estimator</t>
        </is>
      </c>
      <c r="D1539" t="inlineStr">
        <is>
          <t>Automatizacion</t>
        </is>
      </c>
      <c r="E1539" t="inlineStr">
        <is>
          <t>AU2</t>
        </is>
      </c>
      <c r="F1539" t="inlineStr">
        <is>
          <t>¿Ofrece aprobación, reversión, registro o límites antes de actuar?</t>
        </is>
      </c>
      <c r="G1539" t="inlineStr">
        <is>
          <t>NA</t>
        </is>
      </c>
      <c r="H1539" t="inlineStr">
        <is>
          <t>Justificacion de alcance</t>
        </is>
      </c>
      <c r="I1539" t="inlineStr">
        <is>
          <t>Al no ejecutar acciones (ver AU1), no aplica evaluar salvaguardas de una ejecucion automatizada.</t>
        </is>
      </c>
      <c r="J1539" t="inlineStr"/>
      <c r="K1539" t="inlineStr"/>
      <c r="L1539"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40">
      <c r="A1540" t="inlineStr">
        <is>
          <t>E4</t>
        </is>
      </c>
      <c r="B1540" t="inlineStr">
        <is>
          <t>Cloud nativa</t>
        </is>
      </c>
      <c r="C1540" t="inlineStr">
        <is>
          <t>IBM Cloud Cost Estimator</t>
        </is>
      </c>
      <c r="D1540" t="inlineStr">
        <is>
          <t>Multicloud</t>
        </is>
      </c>
      <c r="E1540" t="inlineStr">
        <is>
          <t>M1</t>
        </is>
      </c>
      <c r="F1540" t="inlineStr">
        <is>
          <t>¿Consolida al menos dos proveedores bajo el mismo esquema declarado?</t>
        </is>
      </c>
      <c r="G1540" t="n">
        <v>0</v>
      </c>
      <c r="H1540" t="inlineStr">
        <is>
          <t>Oficial (ausencia verificada)</t>
        </is>
      </c>
      <c r="I1540" t="inlineStr">
        <is>
          <t>Estima exclusivamente productos del catalogo de IBM Cloud; no consolida costos de otros proveedores.</t>
        </is>
      </c>
      <c r="J1540" t="inlineStr">
        <is>
          <t>https://cloud.ibm.com/docs/account?topic=account-cost</t>
        </is>
      </c>
      <c r="K1540" t="inlineStr">
        <is>
          <t>2026-09-16</t>
        </is>
      </c>
      <c r="L1540"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41">
      <c r="A1541" t="inlineStr">
        <is>
          <t>E4</t>
        </is>
      </c>
      <c r="B1541" t="inlineStr">
        <is>
          <t>Cloud nativa</t>
        </is>
      </c>
      <c r="C1541" t="inlineStr">
        <is>
          <t>IBM Cloud Cost Estimator</t>
        </is>
      </c>
      <c r="D1541" t="inlineStr">
        <is>
          <t>Multicloud</t>
        </is>
      </c>
      <c r="E1541" t="inlineStr">
        <is>
          <t>M2</t>
        </is>
      </c>
      <c r="F1541" t="inlineStr">
        <is>
          <t>¿Hace visibles proveedor, cobertura y diferencias semánticas?</t>
        </is>
      </c>
      <c r="G1541" t="n">
        <v>0</v>
      </c>
      <c r="H1541" t="inlineStr">
        <is>
          <t>Oficial (ausencia verificada)</t>
        </is>
      </c>
      <c r="I1541" t="inlineStr">
        <is>
          <t>Mismo alcance de diseno que M1.</t>
        </is>
      </c>
      <c r="J1541" t="inlineStr">
        <is>
          <t>https://cloud.ibm.com/docs/account?topic=account-cost</t>
        </is>
      </c>
      <c r="K1541" t="inlineStr">
        <is>
          <t>2026-09-16</t>
        </is>
      </c>
      <c r="L1541"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42">
      <c r="A1542" t="inlineStr">
        <is>
          <t>E4</t>
        </is>
      </c>
      <c r="B1542" t="inlineStr">
        <is>
          <t>Cloud nativa</t>
        </is>
      </c>
      <c r="C1542" t="inlineStr">
        <is>
          <t>IBM Cloud Cost Estimator</t>
        </is>
      </c>
      <c r="D1542" t="inlineStr">
        <is>
          <t>Integracion</t>
        </is>
      </c>
      <c r="E1542" t="inlineStr">
        <is>
          <t>I1</t>
        </is>
      </c>
      <c r="F1542" t="inlineStr">
        <is>
          <t>¿Integra datos requeridos (facturación, uso, clúster o IaC) del escenario?</t>
        </is>
      </c>
      <c r="G1542" t="n">
        <v>2</v>
      </c>
      <c r="H1542" t="inlineStr">
        <is>
          <t>Oficial</t>
        </is>
      </c>
      <c r="I1542" t="inlineStr">
        <is>
          <t>Integra los datos propios del escenario —la configuracion declarada del cambio— dentro del flujo de proyectos y arquitecturas desplegables: «After saving, the validation checks are run and a new cost estimate is computed», tomando los parametros configurados del proyecto.</t>
        </is>
      </c>
      <c r="J1542" t="inlineStr">
        <is>
          <t>https://cloud.ibm.com/docs/secure-enterprise?topic=secure-enterprise-cost-estimate-project</t>
        </is>
      </c>
      <c r="K1542" t="inlineStr">
        <is>
          <t>2026-09-16</t>
        </is>
      </c>
      <c r="L1542"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43">
      <c r="A1543" t="inlineStr">
        <is>
          <t>E4</t>
        </is>
      </c>
      <c r="B1543" t="inlineStr">
        <is>
          <t>Cloud nativa</t>
        </is>
      </c>
      <c r="C1543" t="inlineStr">
        <is>
          <t>IBM Cloud Cost Estimator</t>
        </is>
      </c>
      <c r="D1543" t="inlineStr">
        <is>
          <t>Integracion</t>
        </is>
      </c>
      <c r="E1543" t="inlineStr">
        <is>
          <t>I2</t>
        </is>
      </c>
      <c r="F1543" t="inlineStr">
        <is>
          <t>¿Se integra con el flujo de trabajo relevante (alerta, ticket, CI/CD o reporte)?</t>
        </is>
      </c>
      <c r="G1543" t="n">
        <v>2</v>
      </c>
      <c r="H1543" t="inlineStr">
        <is>
          <t>Oficial</t>
        </is>
      </c>
      <c r="I1543" t="inlineStr">
        <is>
          <t>El costo estimado esta incorporado al paso de revision previo al despliegue: se presenta en el «validation modal» bajo la seccion «Cost estimate successful», junto a las verificaciones de validacion del proyecto. Es integracion con el flujo operativo del escenario, no una exportacion manual.</t>
        </is>
      </c>
      <c r="J1543" t="inlineStr">
        <is>
          <t>https://cloud.ibm.com/docs/secure-enterprise?topic=secure-enterprise-cost-estimate-project</t>
        </is>
      </c>
      <c r="K1543" t="inlineStr">
        <is>
          <t>2026-09-16</t>
        </is>
      </c>
      <c r="L1543"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44">
      <c r="A1544" t="inlineStr">
        <is>
          <t>E4</t>
        </is>
      </c>
      <c r="B1544" t="inlineStr">
        <is>
          <t>Cloud nativa</t>
        </is>
      </c>
      <c r="C1544" t="inlineStr">
        <is>
          <t>IBM Cloud Cost Estimator</t>
        </is>
      </c>
      <c r="D1544" t="inlineStr">
        <is>
          <t>Adopcion</t>
        </is>
      </c>
      <c r="E1544" t="inlineStr">
        <is>
          <t>AD1</t>
        </is>
      </c>
      <c r="F1544" t="inlineStr">
        <is>
          <t>¿Soporta acceso/entrega para los roles del escenario?</t>
        </is>
      </c>
      <c r="G1544" t="inlineStr">
        <is>
          <t>NE</t>
        </is>
      </c>
      <c r="H1544" t="inlineStr">
        <is>
          <t>Pendiente</t>
        </is>
      </c>
      <c r="I1544" t="inlineStr">
        <is>
          <t>No se encontro documentacion oficial sobre roles y accesos diferenciados para los perfiles de este escenario (desarrollador, DevOps, arquitecto, revisor de IaC).</t>
        </is>
      </c>
      <c r="J1544" t="inlineStr"/>
      <c r="K1544" t="inlineStr"/>
      <c r="L1544"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45">
      <c r="A1545" t="inlineStr">
        <is>
          <t>E4</t>
        </is>
      </c>
      <c r="B1545" t="inlineStr">
        <is>
          <t>Cloud nativa</t>
        </is>
      </c>
      <c r="C1545" t="inlineStr">
        <is>
          <t>IBM Cloud Cost Estimator</t>
        </is>
      </c>
      <c r="D1545" t="inlineStr">
        <is>
          <t>Adopcion</t>
        </is>
      </c>
      <c r="E1545" t="inlineStr">
        <is>
          <t>AD2</t>
        </is>
      </c>
      <c r="F1545" t="inlineStr">
        <is>
          <t>¿Ofrece guías, ownership o mecanismos de seguimiento para uso sostenido?</t>
        </is>
      </c>
      <c r="G1545" t="inlineStr">
        <is>
          <t>NE</t>
        </is>
      </c>
      <c r="H1545" t="inlineStr">
        <is>
          <t>Pendiente</t>
        </is>
      </c>
      <c r="I1545" t="inlineStr">
        <is>
          <t>No se encontro guia oficial de habilitacion, ownership o seguimiento de uso sostenido asociada a la herramienta.</t>
        </is>
      </c>
      <c r="J1545" t="inlineStr"/>
      <c r="K1545" t="inlineStr"/>
      <c r="L1545"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46">
      <c r="A1546" t="inlineStr">
        <is>
          <t>E4</t>
        </is>
      </c>
      <c r="B1546" t="inlineStr">
        <is>
          <t>Cloud nativa</t>
        </is>
      </c>
      <c r="C1546" t="inlineStr">
        <is>
          <t>IBM Cloud Cost Estimator</t>
        </is>
      </c>
      <c r="D1546" t="inlineStr">
        <is>
          <t>Precio</t>
        </is>
      </c>
      <c r="E1546" t="inlineStr">
        <is>
          <t>P1</t>
        </is>
      </c>
      <c r="F1546" t="inlineStr">
        <is>
          <t>¿Expone precio, moneda, región, unidad, período y supuestos relevantes?</t>
        </is>
      </c>
      <c r="G1546" t="n">
        <v>2</v>
      </c>
      <c r="H1546" t="inlineStr">
        <is>
          <t>Oficial</t>
        </is>
      </c>
      <c r="I1546" t="inlineStr">
        <is>
          <t>Permite configurar plan de precios, uso, moneda y region, y «see how your pricing is determined». Los supuestos estan declarados de forma explicita: la estimacion «does not include all resources, usage, licenses, fees, discounts, or taxes» y esta «subject to change as the architecture is customized».</t>
        </is>
      </c>
      <c r="J1546" t="inlineStr">
        <is>
          <t>https://cloud.ibm.com/docs/secure-enterprise?topic=secure-enterprise-cost-estimate-project ; https://cloud.ibm.com/docs/account?topic=account-cost</t>
        </is>
      </c>
      <c r="K1546" t="inlineStr">
        <is>
          <t>2026-09-16</t>
        </is>
      </c>
      <c r="L1546"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47">
      <c r="A1547" t="inlineStr">
        <is>
          <t>E4</t>
        </is>
      </c>
      <c r="B1547" t="inlineStr">
        <is>
          <t>Cloud nativa</t>
        </is>
      </c>
      <c r="C1547" t="inlineStr">
        <is>
          <t>IBM Cloud Cost Estimator</t>
        </is>
      </c>
      <c r="D1547" t="inlineStr">
        <is>
          <t>Precio</t>
        </is>
      </c>
      <c r="E1547" t="inlineStr">
        <is>
          <t>P2</t>
        </is>
      </c>
      <c r="F1547" t="inlineStr">
        <is>
          <t>¿Permite estimar o comparar componentes sin ocultar límites de equivalencia?</t>
        </is>
      </c>
      <c r="G1547" t="n">
        <v>2</v>
      </c>
      <c r="H1547" t="inlineStr">
        <is>
          <t>Oficial</t>
        </is>
      </c>
      <c r="I1547" t="inlineStr">
        <is>
          <t>Permite comparar configuraciones alternativas antes de decidir, con el detalle de como se determina cada precio, que es la comparacion contextual que E4 evalua.</t>
        </is>
      </c>
      <c r="J1547" t="inlineStr">
        <is>
          <t>https://cloud.ibm.com/docs/account?topic=account-cost</t>
        </is>
      </c>
      <c r="K1547" t="inlineStr">
        <is>
          <t>2026-09-16</t>
        </is>
      </c>
      <c r="L1547"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48">
      <c r="A1548" t="inlineStr">
        <is>
          <t>E4</t>
        </is>
      </c>
      <c r="B1548" t="inlineStr">
        <is>
          <t>Cloud nativa</t>
        </is>
      </c>
      <c r="C1548" t="inlineStr">
        <is>
          <t>IBM Cloud Cost Estimator</t>
        </is>
      </c>
      <c r="D1548" t="inlineStr">
        <is>
          <t>Dependencia</t>
        </is>
      </c>
      <c r="E1548" t="inlineStr">
        <is>
          <t>D1</t>
        </is>
      </c>
      <c r="F1548" t="inlineStr">
        <is>
          <t>¿Exporta datos/resultados en formato utilizable y documentado?</t>
        </is>
      </c>
      <c r="G1548" t="n">
        <v>2</v>
      </c>
      <c r="H1548" t="inlineStr">
        <is>
          <t>Oficial</t>
        </is>
      </c>
      <c r="I1548" t="inlineStr">
        <is>
          <t>Las estimaciones se exportan y descargan como cotizacion desde la herramienta, en formato utilizable fuera de ella.</t>
        </is>
      </c>
      <c r="J1548" t="inlineStr">
        <is>
          <t>https://cloud.ibm.com/docs/account?topic=account-cost</t>
        </is>
      </c>
      <c r="K1548" t="inlineStr">
        <is>
          <t>2026-09-16</t>
        </is>
      </c>
      <c r="L1548"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row r="1549">
      <c r="A1549" t="inlineStr">
        <is>
          <t>E4</t>
        </is>
      </c>
      <c r="B1549" t="inlineStr">
        <is>
          <t>Cloud nativa</t>
        </is>
      </c>
      <c r="C1549" t="inlineStr">
        <is>
          <t>IBM Cloud Cost Estimator</t>
        </is>
      </c>
      <c r="D1549" t="inlineStr">
        <is>
          <t>Dependencia</t>
        </is>
      </c>
      <c r="E1549" t="inlineStr">
        <is>
          <t>D2</t>
        </is>
      </c>
      <c r="F1549" t="inlineStr">
        <is>
          <t>¿Documenta dependencias propietarias y un camino de salida/configuración reversible?</t>
        </is>
      </c>
      <c r="G1549" t="inlineStr">
        <is>
          <t>NE</t>
        </is>
      </c>
      <c r="H1549" t="inlineStr">
        <is>
          <t>Pendiente</t>
        </is>
      </c>
      <c r="I1549" t="inlineStr">
        <is>
          <t>No se encontro documentacion sobre dependencias propietarias ni camino de salida o configuracion reversible de las estimaciones almacenadas.</t>
        </is>
      </c>
      <c r="J1549" t="inlineStr"/>
      <c r="K1549" t="inlineStr"/>
      <c r="L1549" t="inlineStr">
        <is>
          <t>Producto incorporado a E4 (2026-09-16) por la condicion de elegibilidad de FP-177 §4, que admite herramientas nativas en este escenario «cuando soporten estimacion previa». No se reclasifica el producto: sigue siendo cloud nativa, y ahora tambien se evalua en el escenario donde FP-177 lo admite. Sus indicadores sin objeto antes del despliegue se marcan NA con el mismo criterio aplicado a Infracost y a las calculadoras de AWS y Azure.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K6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30"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40" customWidth="1" min="37" max="37"/>
  </cols>
  <sheetData>
    <row r="1">
      <c r="A1" s="3" t="inlineStr">
        <is>
          <t>Escenario</t>
        </is>
      </c>
      <c r="B1" s="3" t="inlineStr">
        <is>
          <t>Categoria</t>
        </is>
      </c>
      <c r="C1" s="3" t="inlineStr">
        <is>
          <t>Producto</t>
        </is>
      </c>
      <c r="D1" s="3" t="inlineStr">
        <is>
          <t>Visibilidad - Aplicable</t>
        </is>
      </c>
      <c r="E1" s="3" t="inlineStr">
        <is>
          <t>Visibilidad - Evidenciado</t>
        </is>
      </c>
      <c r="F1" s="3" t="inlineStr">
        <is>
          <t>Visibilidad - C_c</t>
        </is>
      </c>
      <c r="G1" s="3" t="inlineStr">
        <is>
          <t>Asignación - Aplicable</t>
        </is>
      </c>
      <c r="H1" s="3" t="inlineStr">
        <is>
          <t>Asignación - Evidenciado</t>
        </is>
      </c>
      <c r="I1" s="3" t="inlineStr">
        <is>
          <t>Asignación - C_c</t>
        </is>
      </c>
      <c r="J1" s="3" t="inlineStr">
        <is>
          <t>Optimización - Aplicable</t>
        </is>
      </c>
      <c r="K1" s="3" t="inlineStr">
        <is>
          <t>Optimización - Evidenciado</t>
        </is>
      </c>
      <c r="L1" s="3" t="inlineStr">
        <is>
          <t>Optimización - C_c</t>
        </is>
      </c>
      <c r="M1" s="3" t="inlineStr">
        <is>
          <t>Automatización - Aplicable</t>
        </is>
      </c>
      <c r="N1" s="3" t="inlineStr">
        <is>
          <t>Automatización - Evidenciado</t>
        </is>
      </c>
      <c r="O1" s="3" t="inlineStr">
        <is>
          <t>Automatización - C_c</t>
        </is>
      </c>
      <c r="P1" s="3" t="inlineStr">
        <is>
          <t>Multicloud - Aplicable</t>
        </is>
      </c>
      <c r="Q1" s="3" t="inlineStr">
        <is>
          <t>Multicloud - Evidenciado</t>
        </is>
      </c>
      <c r="R1" s="3" t="inlineStr">
        <is>
          <t>Multicloud - C_c</t>
        </is>
      </c>
      <c r="S1" s="3" t="inlineStr">
        <is>
          <t>Integración - Aplicable</t>
        </is>
      </c>
      <c r="T1" s="3" t="inlineStr">
        <is>
          <t>Integración - Evidenciado</t>
        </is>
      </c>
      <c r="U1" s="3" t="inlineStr">
        <is>
          <t>Integración - C_c</t>
        </is>
      </c>
      <c r="V1" s="3" t="inlineStr">
        <is>
          <t>Adopción - Aplicable</t>
        </is>
      </c>
      <c r="W1" s="3" t="inlineStr">
        <is>
          <t>Adopción - Evidenciado</t>
        </is>
      </c>
      <c r="X1" s="3" t="inlineStr">
        <is>
          <t>Adopción - C_c</t>
        </is>
      </c>
      <c r="Y1" s="3" t="inlineStr">
        <is>
          <t>Precio - Aplicable</t>
        </is>
      </c>
      <c r="Z1" s="3" t="inlineStr">
        <is>
          <t>Precio - Evidenciado</t>
        </is>
      </c>
      <c r="AA1" s="3" t="inlineStr">
        <is>
          <t>Precio - C_c</t>
        </is>
      </c>
      <c r="AB1" s="3" t="inlineStr">
        <is>
          <t>Dependencia - Aplicable</t>
        </is>
      </c>
      <c r="AC1" s="3" t="inlineStr">
        <is>
          <t>Dependencia - Evidenciado</t>
        </is>
      </c>
      <c r="AD1" s="3" t="inlineStr">
        <is>
          <t>Dependencia - C_c</t>
        </is>
      </c>
      <c r="AE1" s="3" t="inlineStr">
        <is>
          <t>Cobertura base (%)</t>
        </is>
      </c>
      <c r="AF1" s="3" t="inlineStr">
        <is>
          <t>Cobertura sensibilidad (%)</t>
        </is>
      </c>
      <c r="AG1" s="3" t="inlineStr">
        <is>
          <t>S linea base (0-100)</t>
        </is>
      </c>
      <c r="AH1" s="3" t="inlineStr">
        <is>
          <t>S sensibilidad (0-100)</t>
        </is>
      </c>
      <c r="AI1" s="3" t="inlineStr">
        <is>
          <t>Banda linea base</t>
        </is>
      </c>
      <c r="AJ1" s="3" t="inlineStr">
        <is>
          <t>Banda sensibilidad</t>
        </is>
      </c>
      <c r="AK1" s="3" t="inlineStr">
        <is>
          <t>Criterios criticos incumplidos (C_c&lt;1)</t>
        </is>
      </c>
    </row>
    <row r="2">
      <c r="A2" t="inlineStr">
        <is>
          <t>E1</t>
        </is>
      </c>
      <c r="B2" t="inlineStr">
        <is>
          <t>Cloud nativa</t>
        </is>
      </c>
      <c r="C2" t="inlineStr">
        <is>
          <t>AWS Cost Explorer</t>
        </is>
      </c>
      <c r="D2">
        <f>IF(COUNTIFS(Puntuacion!$A:$A,$A2,Puntuacion!$C:$C,$C2,Puntuacion!$D:$D,"Visibilidad",Puntuacion!$G:$G,"&lt;&gt;NA")&gt;0,1,0)</f>
        <v/>
      </c>
      <c r="E2">
        <f>IF(AND(D2=1,COUNTIFS(Puntuacion!$A:$A,$A2,Puntuacion!$C:$C,$C2,Puntuacion!$D:$D,"Visibilidad",Puntuacion!$G:$G,"NE")=0),1,0)</f>
        <v/>
      </c>
      <c r="F2" s="5">
        <f>IF(D2=0,"NA",IF(E2=0,"NE",AVERAGEIFS(Puntuacion!$G:$G,Puntuacion!$A:$A,$A2,Puntuacion!$C:$C,$C2,Puntuacion!$D:$D,"Visibilidad",Puntuacion!$G:$G,"&lt;&gt;NA",Puntuacion!$G:$G,"&lt;&gt;NE")))</f>
        <v/>
      </c>
      <c r="G2">
        <f>IF(COUNTIFS(Puntuacion!$A:$A,$A2,Puntuacion!$C:$C,$C2,Puntuacion!$D:$D,"Asignacion",Puntuacion!$G:$G,"&lt;&gt;NA")&gt;0,1,0)</f>
        <v/>
      </c>
      <c r="H2">
        <f>IF(AND(G2=1,COUNTIFS(Puntuacion!$A:$A,$A2,Puntuacion!$C:$C,$C2,Puntuacion!$D:$D,"Asignacion",Puntuacion!$G:$G,"NE")=0),1,0)</f>
        <v/>
      </c>
      <c r="I2" s="5">
        <f>IF(G2=0,"NA",IF(H2=0,"NE",AVERAGEIFS(Puntuacion!$G:$G,Puntuacion!$A:$A,$A2,Puntuacion!$C:$C,$C2,Puntuacion!$D:$D,"Asignacion",Puntuacion!$G:$G,"&lt;&gt;NA",Puntuacion!$G:$G,"&lt;&gt;NE")))</f>
        <v/>
      </c>
      <c r="J2">
        <f>IF(COUNTIFS(Puntuacion!$A:$A,$A2,Puntuacion!$C:$C,$C2,Puntuacion!$D:$D,"Optimizacion",Puntuacion!$G:$G,"&lt;&gt;NA")&gt;0,1,0)</f>
        <v/>
      </c>
      <c r="K2">
        <f>IF(AND(J2=1,COUNTIFS(Puntuacion!$A:$A,$A2,Puntuacion!$C:$C,$C2,Puntuacion!$D:$D,"Optimizacion",Puntuacion!$G:$G,"NE")=0),1,0)</f>
        <v/>
      </c>
      <c r="L2" s="5">
        <f>IF(J2=0,"NA",IF(K2=0,"NE",AVERAGEIFS(Puntuacion!$G:$G,Puntuacion!$A:$A,$A2,Puntuacion!$C:$C,$C2,Puntuacion!$D:$D,"Optimizacion",Puntuacion!$G:$G,"&lt;&gt;NA",Puntuacion!$G:$G,"&lt;&gt;NE")))</f>
        <v/>
      </c>
      <c r="M2">
        <f>IF(COUNTIFS(Puntuacion!$A:$A,$A2,Puntuacion!$C:$C,$C2,Puntuacion!$D:$D,"Automatizacion",Puntuacion!$G:$G,"&lt;&gt;NA")&gt;0,1,0)</f>
        <v/>
      </c>
      <c r="N2">
        <f>IF(AND(M2=1,COUNTIFS(Puntuacion!$A:$A,$A2,Puntuacion!$C:$C,$C2,Puntuacion!$D:$D,"Automatizacion",Puntuacion!$G:$G,"NE")=0),1,0)</f>
        <v/>
      </c>
      <c r="O2" s="5">
        <f>IF(M2=0,"NA",IF(N2=0,"NE",AVERAGEIFS(Puntuacion!$G:$G,Puntuacion!$A:$A,$A2,Puntuacion!$C:$C,$C2,Puntuacion!$D:$D,"Automatizacion",Puntuacion!$G:$G,"&lt;&gt;NA",Puntuacion!$G:$G,"&lt;&gt;NE")))</f>
        <v/>
      </c>
      <c r="P2">
        <f>IF(COUNTIFS(Puntuacion!$A:$A,$A2,Puntuacion!$C:$C,$C2,Puntuacion!$D:$D,"Multicloud",Puntuacion!$G:$G,"&lt;&gt;NA")&gt;0,1,0)</f>
        <v/>
      </c>
      <c r="Q2">
        <f>IF(AND(P2=1,COUNTIFS(Puntuacion!$A:$A,$A2,Puntuacion!$C:$C,$C2,Puntuacion!$D:$D,"Multicloud",Puntuacion!$G:$G,"NE")=0),1,0)</f>
        <v/>
      </c>
      <c r="R2" s="5">
        <f>IF(P2=0,"NA",IF(Q2=0,"NE",AVERAGEIFS(Puntuacion!$G:$G,Puntuacion!$A:$A,$A2,Puntuacion!$C:$C,$C2,Puntuacion!$D:$D,"Multicloud",Puntuacion!$G:$G,"&lt;&gt;NA",Puntuacion!$G:$G,"&lt;&gt;NE")))</f>
        <v/>
      </c>
      <c r="S2">
        <f>IF(COUNTIFS(Puntuacion!$A:$A,$A2,Puntuacion!$C:$C,$C2,Puntuacion!$D:$D,"Integracion",Puntuacion!$G:$G,"&lt;&gt;NA")&gt;0,1,0)</f>
        <v/>
      </c>
      <c r="T2">
        <f>IF(AND(S2=1,COUNTIFS(Puntuacion!$A:$A,$A2,Puntuacion!$C:$C,$C2,Puntuacion!$D:$D,"Integracion",Puntuacion!$G:$G,"NE")=0),1,0)</f>
        <v/>
      </c>
      <c r="U2" s="5">
        <f>IF(S2=0,"NA",IF(T2=0,"NE",AVERAGEIFS(Puntuacion!$G:$G,Puntuacion!$A:$A,$A2,Puntuacion!$C:$C,$C2,Puntuacion!$D:$D,"Integracion",Puntuacion!$G:$G,"&lt;&gt;NA",Puntuacion!$G:$G,"&lt;&gt;NE")))</f>
        <v/>
      </c>
      <c r="V2">
        <f>IF(COUNTIFS(Puntuacion!$A:$A,$A2,Puntuacion!$C:$C,$C2,Puntuacion!$D:$D,"Adopcion",Puntuacion!$G:$G,"&lt;&gt;NA")&gt;0,1,0)</f>
        <v/>
      </c>
      <c r="W2">
        <f>IF(AND(V2=1,COUNTIFS(Puntuacion!$A:$A,$A2,Puntuacion!$C:$C,$C2,Puntuacion!$D:$D,"Adopcion",Puntuacion!$G:$G,"NE")=0),1,0)</f>
        <v/>
      </c>
      <c r="X2" s="5">
        <f>IF(V2=0,"NA",IF(W2=0,"NE",AVERAGEIFS(Puntuacion!$G:$G,Puntuacion!$A:$A,$A2,Puntuacion!$C:$C,$C2,Puntuacion!$D:$D,"Adopcion",Puntuacion!$G:$G,"&lt;&gt;NA",Puntuacion!$G:$G,"&lt;&gt;NE")))</f>
        <v/>
      </c>
      <c r="Y2">
        <f>IF(COUNTIFS(Puntuacion!$A:$A,$A2,Puntuacion!$C:$C,$C2,Puntuacion!$D:$D,"Precio",Puntuacion!$G:$G,"&lt;&gt;NA")&gt;0,1,0)</f>
        <v/>
      </c>
      <c r="Z2">
        <f>IF(AND(Y2=1,COUNTIFS(Puntuacion!$A:$A,$A2,Puntuacion!$C:$C,$C2,Puntuacion!$D:$D,"Precio",Puntuacion!$G:$G,"NE")=0),1,0)</f>
        <v/>
      </c>
      <c r="AA2" s="5">
        <f>IF(Y2=0,"NA",IF(Z2=0,"NE",AVERAGEIFS(Puntuacion!$G:$G,Puntuacion!$A:$A,$A2,Puntuacion!$C:$C,$C2,Puntuacion!$D:$D,"Precio",Puntuacion!$G:$G,"&lt;&gt;NA",Puntuacion!$G:$G,"&lt;&gt;NE")))</f>
        <v/>
      </c>
      <c r="AB2">
        <f>IF(COUNTIFS(Puntuacion!$A:$A,$A2,Puntuacion!$C:$C,$C2,Puntuacion!$D:$D,"Dependencia",Puntuacion!$G:$G,"&lt;&gt;NA")&gt;0,1,0)</f>
        <v/>
      </c>
      <c r="AC2">
        <f>IF(AND(AB2=1,COUNTIFS(Puntuacion!$A:$A,$A2,Puntuacion!$C:$C,$C2,Puntuacion!$D:$D,"Dependencia",Puntuacion!$G:$G,"NE")=0),1,0)</f>
        <v/>
      </c>
      <c r="AD2" s="5">
        <f>IF(AB2=0,"NA",IF(AC2=0,"NE",AVERAGEIFS(Puntuacion!$G:$G,Puntuacion!$A:$A,$A2,Puntuacion!$C:$C,$C2,Puntuacion!$D:$D,"Dependencia",Puntuacion!$G:$G,"&lt;&gt;NA",Puntuacion!$G:$G,"&lt;&gt;NE")))</f>
        <v/>
      </c>
      <c r="AE2" s="5">
        <f>IFERROR(100*(E2*Pesos!$B$2+H2*Pesos!$B$3+K2*Pesos!$B$4+N2*Pesos!$B$5+Q2*Pesos!$B$6+T2*Pesos!$B$7+W2*Pesos!$B$8+Z2*Pesos!$B$9+AC2*Pesos!$B$10)/(D2*Pesos!$B$2+G2*Pesos!$B$3+J2*Pesos!$B$4+M2*Pesos!$B$5+P2*Pesos!$B$6+S2*Pesos!$B$7+V2*Pesos!$B$8+Y2*Pesos!$B$9+AB2*Pesos!$B$10),"Sin criterios aplicables")</f>
        <v/>
      </c>
      <c r="AF2" s="5">
        <f>IFERROR(100*(E2*Pesos!$C$2+H2*Pesos!$C$3+K2*Pesos!$C$4+N2*Pesos!$C$5+Q2*Pesos!$C$6+T2*Pesos!$C$7+W2*Pesos!$C$8+Z2*Pesos!$C$9+AC2*Pesos!$C$10)/(D2*Pesos!$C$2+G2*Pesos!$C$3+J2*Pesos!$C$4+M2*Pesos!$C$5+P2*Pesos!$C$6+S2*Pesos!$C$7+V2*Pesos!$C$8+Y2*Pesos!$C$9+AB2*Pesos!$C$10),"Sin criterios aplicables")</f>
        <v/>
      </c>
      <c r="AG2" s="5">
        <f>IF(OR(AE2="Sin criterios aplicables",AE2&lt;70),"Insufficient evidence",100*(Pesos!$B$2*IF(E2=1,F2,0)+Pesos!$B$3*IF(H2=1,I2,0)+Pesos!$B$4*IF(K2=1,L2,0)+Pesos!$B$5*IF(N2=1,O2,0)+Pesos!$B$6*IF(Q2=1,R2,0)+Pesos!$B$7*IF(T2=1,U2,0)+Pesos!$B$8*IF(W2=1,X2,0)+Pesos!$B$9*IF(Z2=1,AA2,0)+Pesos!$B$10*IF(AC2=1,AD2,0))/(3*(Pesos!$B$2*E2+Pesos!$B$3*H2+Pesos!$B$4*K2+Pesos!$B$5*N2+Pesos!$B$6*Q2+Pesos!$B$7*T2+Pesos!$B$8*W2+Pesos!$B$9*Z2+Pesos!$B$10*AC2)))</f>
        <v/>
      </c>
      <c r="AH2" s="5">
        <f>IF(OR(AF2="Sin criterios aplicables",AF2&lt;70),"Insufficient evidence",100*(Pesos!$C$2*IF(E2=1,F2,0)+Pesos!$C$3*IF(H2=1,I2,0)+Pesos!$C$4*IF(K2=1,L2,0)+Pesos!$C$5*IF(N2=1,O2,0)+Pesos!$C$6*IF(Q2=1,R2,0)+Pesos!$C$7*IF(T2=1,U2,0)+Pesos!$C$8*IF(W2=1,X2,0)+Pesos!$C$9*IF(Z2=1,AA2,0)+Pesos!$C$10*IF(AC2=1,AD2,0))/(3*(Pesos!$C$2*E2+Pesos!$C$3*H2+Pesos!$C$4*K2+Pesos!$C$5*N2+Pesos!$C$6*Q2+Pesos!$C$7*T2+Pesos!$C$8*W2+Pesos!$C$9*Z2+Pesos!$C$10*AC2)))</f>
        <v/>
      </c>
      <c r="AI2">
        <f>IF(AG2="Insufficient evidence","Insufficient evidence (cobertura&lt;70%)",IF(AG2&lt;50/3,"Insufficient",IF(AG2&lt;50,"Basic",IF(AG2&lt;250/3,"Solid","Advanced"))))</f>
        <v/>
      </c>
      <c r="AJ2">
        <f>IF(AH2="Insufficient evidence","Insufficient evidence (cobertura&lt;70%)",IF(AH2&lt;50/3,"Insufficient",IF(AH2&lt;50,"Basic",IF(AH2&lt;250/3,"Solid","Advanced"))))</f>
        <v/>
      </c>
      <c r="AK2">
        <f>IF(TRIM(IF(AND(ISNUMBER(F2),F2&lt;1),"Visibilidad","") &amp; " " &amp; IF(AND(ISNUMBER(I2),I2&lt;1),"Asignación",""))="","Ninguno",TRIM(IF(AND(ISNUMBER(F2),F2&lt;1),"Visibilidad","") &amp; " " &amp; IF(AND(ISNUMBER(I2),I2&lt;1),"Asignación","")))</f>
        <v/>
      </c>
    </row>
    <row r="3">
      <c r="A3" t="inlineStr">
        <is>
          <t>E1</t>
        </is>
      </c>
      <c r="B3" t="inlineStr">
        <is>
          <t>Cloud nativa</t>
        </is>
      </c>
      <c r="C3" t="inlineStr">
        <is>
          <t>AWS Cost Optimization Hub</t>
        </is>
      </c>
      <c r="D3">
        <f>IF(COUNTIFS(Puntuacion!$A:$A,$A3,Puntuacion!$C:$C,$C3,Puntuacion!$D:$D,"Visibilidad",Puntuacion!$G:$G,"&lt;&gt;NA")&gt;0,1,0)</f>
        <v/>
      </c>
      <c r="E3">
        <f>IF(AND(D3=1,COUNTIFS(Puntuacion!$A:$A,$A3,Puntuacion!$C:$C,$C3,Puntuacion!$D:$D,"Visibilidad",Puntuacion!$G:$G,"NE")=0),1,0)</f>
        <v/>
      </c>
      <c r="F3" s="5">
        <f>IF(D3=0,"NA",IF(E3=0,"NE",AVERAGEIFS(Puntuacion!$G:$G,Puntuacion!$A:$A,$A3,Puntuacion!$C:$C,$C3,Puntuacion!$D:$D,"Visibilidad",Puntuacion!$G:$G,"&lt;&gt;NA",Puntuacion!$G:$G,"&lt;&gt;NE")))</f>
        <v/>
      </c>
      <c r="G3">
        <f>IF(COUNTIFS(Puntuacion!$A:$A,$A3,Puntuacion!$C:$C,$C3,Puntuacion!$D:$D,"Asignacion",Puntuacion!$G:$G,"&lt;&gt;NA")&gt;0,1,0)</f>
        <v/>
      </c>
      <c r="H3">
        <f>IF(AND(G3=1,COUNTIFS(Puntuacion!$A:$A,$A3,Puntuacion!$C:$C,$C3,Puntuacion!$D:$D,"Asignacion",Puntuacion!$G:$G,"NE")=0),1,0)</f>
        <v/>
      </c>
      <c r="I3" s="5">
        <f>IF(G3=0,"NA",IF(H3=0,"NE",AVERAGEIFS(Puntuacion!$G:$G,Puntuacion!$A:$A,$A3,Puntuacion!$C:$C,$C3,Puntuacion!$D:$D,"Asignacion",Puntuacion!$G:$G,"&lt;&gt;NA",Puntuacion!$G:$G,"&lt;&gt;NE")))</f>
        <v/>
      </c>
      <c r="J3">
        <f>IF(COUNTIFS(Puntuacion!$A:$A,$A3,Puntuacion!$C:$C,$C3,Puntuacion!$D:$D,"Optimizacion",Puntuacion!$G:$G,"&lt;&gt;NA")&gt;0,1,0)</f>
        <v/>
      </c>
      <c r="K3">
        <f>IF(AND(J3=1,COUNTIFS(Puntuacion!$A:$A,$A3,Puntuacion!$C:$C,$C3,Puntuacion!$D:$D,"Optimizacion",Puntuacion!$G:$G,"NE")=0),1,0)</f>
        <v/>
      </c>
      <c r="L3" s="5">
        <f>IF(J3=0,"NA",IF(K3=0,"NE",AVERAGEIFS(Puntuacion!$G:$G,Puntuacion!$A:$A,$A3,Puntuacion!$C:$C,$C3,Puntuacion!$D:$D,"Optimizacion",Puntuacion!$G:$G,"&lt;&gt;NA",Puntuacion!$G:$G,"&lt;&gt;NE")))</f>
        <v/>
      </c>
      <c r="M3">
        <f>IF(COUNTIFS(Puntuacion!$A:$A,$A3,Puntuacion!$C:$C,$C3,Puntuacion!$D:$D,"Automatizacion",Puntuacion!$G:$G,"&lt;&gt;NA")&gt;0,1,0)</f>
        <v/>
      </c>
      <c r="N3">
        <f>IF(AND(M3=1,COUNTIFS(Puntuacion!$A:$A,$A3,Puntuacion!$C:$C,$C3,Puntuacion!$D:$D,"Automatizacion",Puntuacion!$G:$G,"NE")=0),1,0)</f>
        <v/>
      </c>
      <c r="O3" s="5">
        <f>IF(M3=0,"NA",IF(N3=0,"NE",AVERAGEIFS(Puntuacion!$G:$G,Puntuacion!$A:$A,$A3,Puntuacion!$C:$C,$C3,Puntuacion!$D:$D,"Automatizacion",Puntuacion!$G:$G,"&lt;&gt;NA",Puntuacion!$G:$G,"&lt;&gt;NE")))</f>
        <v/>
      </c>
      <c r="P3">
        <f>IF(COUNTIFS(Puntuacion!$A:$A,$A3,Puntuacion!$C:$C,$C3,Puntuacion!$D:$D,"Multicloud",Puntuacion!$G:$G,"&lt;&gt;NA")&gt;0,1,0)</f>
        <v/>
      </c>
      <c r="Q3">
        <f>IF(AND(P3=1,COUNTIFS(Puntuacion!$A:$A,$A3,Puntuacion!$C:$C,$C3,Puntuacion!$D:$D,"Multicloud",Puntuacion!$G:$G,"NE")=0),1,0)</f>
        <v/>
      </c>
      <c r="R3" s="5">
        <f>IF(P3=0,"NA",IF(Q3=0,"NE",AVERAGEIFS(Puntuacion!$G:$G,Puntuacion!$A:$A,$A3,Puntuacion!$C:$C,$C3,Puntuacion!$D:$D,"Multicloud",Puntuacion!$G:$G,"&lt;&gt;NA",Puntuacion!$G:$G,"&lt;&gt;NE")))</f>
        <v/>
      </c>
      <c r="S3">
        <f>IF(COUNTIFS(Puntuacion!$A:$A,$A3,Puntuacion!$C:$C,$C3,Puntuacion!$D:$D,"Integracion",Puntuacion!$G:$G,"&lt;&gt;NA")&gt;0,1,0)</f>
        <v/>
      </c>
      <c r="T3">
        <f>IF(AND(S3=1,COUNTIFS(Puntuacion!$A:$A,$A3,Puntuacion!$C:$C,$C3,Puntuacion!$D:$D,"Integracion",Puntuacion!$G:$G,"NE")=0),1,0)</f>
        <v/>
      </c>
      <c r="U3" s="5">
        <f>IF(S3=0,"NA",IF(T3=0,"NE",AVERAGEIFS(Puntuacion!$G:$G,Puntuacion!$A:$A,$A3,Puntuacion!$C:$C,$C3,Puntuacion!$D:$D,"Integracion",Puntuacion!$G:$G,"&lt;&gt;NA",Puntuacion!$G:$G,"&lt;&gt;NE")))</f>
        <v/>
      </c>
      <c r="V3">
        <f>IF(COUNTIFS(Puntuacion!$A:$A,$A3,Puntuacion!$C:$C,$C3,Puntuacion!$D:$D,"Adopcion",Puntuacion!$G:$G,"&lt;&gt;NA")&gt;0,1,0)</f>
        <v/>
      </c>
      <c r="W3">
        <f>IF(AND(V3=1,COUNTIFS(Puntuacion!$A:$A,$A3,Puntuacion!$C:$C,$C3,Puntuacion!$D:$D,"Adopcion",Puntuacion!$G:$G,"NE")=0),1,0)</f>
        <v/>
      </c>
      <c r="X3" s="5">
        <f>IF(V3=0,"NA",IF(W3=0,"NE",AVERAGEIFS(Puntuacion!$G:$G,Puntuacion!$A:$A,$A3,Puntuacion!$C:$C,$C3,Puntuacion!$D:$D,"Adopcion",Puntuacion!$G:$G,"&lt;&gt;NA",Puntuacion!$G:$G,"&lt;&gt;NE")))</f>
        <v/>
      </c>
      <c r="Y3">
        <f>IF(COUNTIFS(Puntuacion!$A:$A,$A3,Puntuacion!$C:$C,$C3,Puntuacion!$D:$D,"Precio",Puntuacion!$G:$G,"&lt;&gt;NA")&gt;0,1,0)</f>
        <v/>
      </c>
      <c r="Z3">
        <f>IF(AND(Y3=1,COUNTIFS(Puntuacion!$A:$A,$A3,Puntuacion!$C:$C,$C3,Puntuacion!$D:$D,"Precio",Puntuacion!$G:$G,"NE")=0),1,0)</f>
        <v/>
      </c>
      <c r="AA3" s="5">
        <f>IF(Y3=0,"NA",IF(Z3=0,"NE",AVERAGEIFS(Puntuacion!$G:$G,Puntuacion!$A:$A,$A3,Puntuacion!$C:$C,$C3,Puntuacion!$D:$D,"Precio",Puntuacion!$G:$G,"&lt;&gt;NA",Puntuacion!$G:$G,"&lt;&gt;NE")))</f>
        <v/>
      </c>
      <c r="AB3">
        <f>IF(COUNTIFS(Puntuacion!$A:$A,$A3,Puntuacion!$C:$C,$C3,Puntuacion!$D:$D,"Dependencia",Puntuacion!$G:$G,"&lt;&gt;NA")&gt;0,1,0)</f>
        <v/>
      </c>
      <c r="AC3">
        <f>IF(AND(AB3=1,COUNTIFS(Puntuacion!$A:$A,$A3,Puntuacion!$C:$C,$C3,Puntuacion!$D:$D,"Dependencia",Puntuacion!$G:$G,"NE")=0),1,0)</f>
        <v/>
      </c>
      <c r="AD3" s="5">
        <f>IF(AB3=0,"NA",IF(AC3=0,"NE",AVERAGEIFS(Puntuacion!$G:$G,Puntuacion!$A:$A,$A3,Puntuacion!$C:$C,$C3,Puntuacion!$D:$D,"Dependencia",Puntuacion!$G:$G,"&lt;&gt;NA",Puntuacion!$G:$G,"&lt;&gt;NE")))</f>
        <v/>
      </c>
      <c r="AE3" s="5">
        <f>IFERROR(100*(E3*Pesos!$B$2+H3*Pesos!$B$3+K3*Pesos!$B$4+N3*Pesos!$B$5+Q3*Pesos!$B$6+T3*Pesos!$B$7+W3*Pesos!$B$8+Z3*Pesos!$B$9+AC3*Pesos!$B$10)/(D3*Pesos!$B$2+G3*Pesos!$B$3+J3*Pesos!$B$4+M3*Pesos!$B$5+P3*Pesos!$B$6+S3*Pesos!$B$7+V3*Pesos!$B$8+Y3*Pesos!$B$9+AB3*Pesos!$B$10),"Sin criterios aplicables")</f>
        <v/>
      </c>
      <c r="AF3" s="5">
        <f>IFERROR(100*(E3*Pesos!$C$2+H3*Pesos!$C$3+K3*Pesos!$C$4+N3*Pesos!$C$5+Q3*Pesos!$C$6+T3*Pesos!$C$7+W3*Pesos!$C$8+Z3*Pesos!$C$9+AC3*Pesos!$C$10)/(D3*Pesos!$C$2+G3*Pesos!$C$3+J3*Pesos!$C$4+M3*Pesos!$C$5+P3*Pesos!$C$6+S3*Pesos!$C$7+V3*Pesos!$C$8+Y3*Pesos!$C$9+AB3*Pesos!$C$10),"Sin criterios aplicables")</f>
        <v/>
      </c>
      <c r="AG3" s="5">
        <f>IF(OR(AE3="Sin criterios aplicables",AE3&lt;70),"Insufficient evidence",100*(Pesos!$B$2*IF(E3=1,F3,0)+Pesos!$B$3*IF(H3=1,I3,0)+Pesos!$B$4*IF(K3=1,L3,0)+Pesos!$B$5*IF(N3=1,O3,0)+Pesos!$B$6*IF(Q3=1,R3,0)+Pesos!$B$7*IF(T3=1,U3,0)+Pesos!$B$8*IF(W3=1,X3,0)+Pesos!$B$9*IF(Z3=1,AA3,0)+Pesos!$B$10*IF(AC3=1,AD3,0))/(3*(Pesos!$B$2*E3+Pesos!$B$3*H3+Pesos!$B$4*K3+Pesos!$B$5*N3+Pesos!$B$6*Q3+Pesos!$B$7*T3+Pesos!$B$8*W3+Pesos!$B$9*Z3+Pesos!$B$10*AC3)))</f>
        <v/>
      </c>
      <c r="AH3" s="5">
        <f>IF(OR(AF3="Sin criterios aplicables",AF3&lt;70),"Insufficient evidence",100*(Pesos!$C$2*IF(E3=1,F3,0)+Pesos!$C$3*IF(H3=1,I3,0)+Pesos!$C$4*IF(K3=1,L3,0)+Pesos!$C$5*IF(N3=1,O3,0)+Pesos!$C$6*IF(Q3=1,R3,0)+Pesos!$C$7*IF(T3=1,U3,0)+Pesos!$C$8*IF(W3=1,X3,0)+Pesos!$C$9*IF(Z3=1,AA3,0)+Pesos!$C$10*IF(AC3=1,AD3,0))/(3*(Pesos!$C$2*E3+Pesos!$C$3*H3+Pesos!$C$4*K3+Pesos!$C$5*N3+Pesos!$C$6*Q3+Pesos!$C$7*T3+Pesos!$C$8*W3+Pesos!$C$9*Z3+Pesos!$C$10*AC3)))</f>
        <v/>
      </c>
      <c r="AI3">
        <f>IF(AG3="Insufficient evidence","Insufficient evidence (cobertura&lt;70%)",IF(AG3&lt;50/3,"Insufficient",IF(AG3&lt;50,"Basic",IF(AG3&lt;250/3,"Solid","Advanced"))))</f>
        <v/>
      </c>
      <c r="AJ3">
        <f>IF(AH3="Insufficient evidence","Insufficient evidence (cobertura&lt;70%)",IF(AH3&lt;50/3,"Insufficient",IF(AH3&lt;50,"Basic",IF(AH3&lt;250/3,"Solid","Advanced"))))</f>
        <v/>
      </c>
      <c r="AK3">
        <f>IF(TRIM(IF(AND(ISNUMBER(F3),F3&lt;1),"Visibilidad","") &amp; " " &amp; IF(AND(ISNUMBER(I3),I3&lt;1),"Asignación",""))="","Ninguno",TRIM(IF(AND(ISNUMBER(F3),F3&lt;1),"Visibilidad","") &amp; " " &amp; IF(AND(ISNUMBER(I3),I3&lt;1),"Asignación","")))</f>
        <v/>
      </c>
    </row>
    <row r="4">
      <c r="A4" t="inlineStr">
        <is>
          <t>E1</t>
        </is>
      </c>
      <c r="B4" t="inlineStr">
        <is>
          <t>Cloud nativa</t>
        </is>
      </c>
      <c r="C4" t="inlineStr">
        <is>
          <t>Azure Cost Management</t>
        </is>
      </c>
      <c r="D4">
        <f>IF(COUNTIFS(Puntuacion!$A:$A,$A4,Puntuacion!$C:$C,$C4,Puntuacion!$D:$D,"Visibilidad",Puntuacion!$G:$G,"&lt;&gt;NA")&gt;0,1,0)</f>
        <v/>
      </c>
      <c r="E4">
        <f>IF(AND(D4=1,COUNTIFS(Puntuacion!$A:$A,$A4,Puntuacion!$C:$C,$C4,Puntuacion!$D:$D,"Visibilidad",Puntuacion!$G:$G,"NE")=0),1,0)</f>
        <v/>
      </c>
      <c r="F4" s="5">
        <f>IF(D4=0,"NA",IF(E4=0,"NE",AVERAGEIFS(Puntuacion!$G:$G,Puntuacion!$A:$A,$A4,Puntuacion!$C:$C,$C4,Puntuacion!$D:$D,"Visibilidad",Puntuacion!$G:$G,"&lt;&gt;NA",Puntuacion!$G:$G,"&lt;&gt;NE")))</f>
        <v/>
      </c>
      <c r="G4">
        <f>IF(COUNTIFS(Puntuacion!$A:$A,$A4,Puntuacion!$C:$C,$C4,Puntuacion!$D:$D,"Asignacion",Puntuacion!$G:$G,"&lt;&gt;NA")&gt;0,1,0)</f>
        <v/>
      </c>
      <c r="H4">
        <f>IF(AND(G4=1,COUNTIFS(Puntuacion!$A:$A,$A4,Puntuacion!$C:$C,$C4,Puntuacion!$D:$D,"Asignacion",Puntuacion!$G:$G,"NE")=0),1,0)</f>
        <v/>
      </c>
      <c r="I4" s="5">
        <f>IF(G4=0,"NA",IF(H4=0,"NE",AVERAGEIFS(Puntuacion!$G:$G,Puntuacion!$A:$A,$A4,Puntuacion!$C:$C,$C4,Puntuacion!$D:$D,"Asignacion",Puntuacion!$G:$G,"&lt;&gt;NA",Puntuacion!$G:$G,"&lt;&gt;NE")))</f>
        <v/>
      </c>
      <c r="J4">
        <f>IF(COUNTIFS(Puntuacion!$A:$A,$A4,Puntuacion!$C:$C,$C4,Puntuacion!$D:$D,"Optimizacion",Puntuacion!$G:$G,"&lt;&gt;NA")&gt;0,1,0)</f>
        <v/>
      </c>
      <c r="K4">
        <f>IF(AND(J4=1,COUNTIFS(Puntuacion!$A:$A,$A4,Puntuacion!$C:$C,$C4,Puntuacion!$D:$D,"Optimizacion",Puntuacion!$G:$G,"NE")=0),1,0)</f>
        <v/>
      </c>
      <c r="L4" s="5">
        <f>IF(J4=0,"NA",IF(K4=0,"NE",AVERAGEIFS(Puntuacion!$G:$G,Puntuacion!$A:$A,$A4,Puntuacion!$C:$C,$C4,Puntuacion!$D:$D,"Optimizacion",Puntuacion!$G:$G,"&lt;&gt;NA",Puntuacion!$G:$G,"&lt;&gt;NE")))</f>
        <v/>
      </c>
      <c r="M4">
        <f>IF(COUNTIFS(Puntuacion!$A:$A,$A4,Puntuacion!$C:$C,$C4,Puntuacion!$D:$D,"Automatizacion",Puntuacion!$G:$G,"&lt;&gt;NA")&gt;0,1,0)</f>
        <v/>
      </c>
      <c r="N4">
        <f>IF(AND(M4=1,COUNTIFS(Puntuacion!$A:$A,$A4,Puntuacion!$C:$C,$C4,Puntuacion!$D:$D,"Automatizacion",Puntuacion!$G:$G,"NE")=0),1,0)</f>
        <v/>
      </c>
      <c r="O4" s="5">
        <f>IF(M4=0,"NA",IF(N4=0,"NE",AVERAGEIFS(Puntuacion!$G:$G,Puntuacion!$A:$A,$A4,Puntuacion!$C:$C,$C4,Puntuacion!$D:$D,"Automatizacion",Puntuacion!$G:$G,"&lt;&gt;NA",Puntuacion!$G:$G,"&lt;&gt;NE")))</f>
        <v/>
      </c>
      <c r="P4">
        <f>IF(COUNTIFS(Puntuacion!$A:$A,$A4,Puntuacion!$C:$C,$C4,Puntuacion!$D:$D,"Multicloud",Puntuacion!$G:$G,"&lt;&gt;NA")&gt;0,1,0)</f>
        <v/>
      </c>
      <c r="Q4">
        <f>IF(AND(P4=1,COUNTIFS(Puntuacion!$A:$A,$A4,Puntuacion!$C:$C,$C4,Puntuacion!$D:$D,"Multicloud",Puntuacion!$G:$G,"NE")=0),1,0)</f>
        <v/>
      </c>
      <c r="R4" s="5">
        <f>IF(P4=0,"NA",IF(Q4=0,"NE",AVERAGEIFS(Puntuacion!$G:$G,Puntuacion!$A:$A,$A4,Puntuacion!$C:$C,$C4,Puntuacion!$D:$D,"Multicloud",Puntuacion!$G:$G,"&lt;&gt;NA",Puntuacion!$G:$G,"&lt;&gt;NE")))</f>
        <v/>
      </c>
      <c r="S4">
        <f>IF(COUNTIFS(Puntuacion!$A:$A,$A4,Puntuacion!$C:$C,$C4,Puntuacion!$D:$D,"Integracion",Puntuacion!$G:$G,"&lt;&gt;NA")&gt;0,1,0)</f>
        <v/>
      </c>
      <c r="T4">
        <f>IF(AND(S4=1,COUNTIFS(Puntuacion!$A:$A,$A4,Puntuacion!$C:$C,$C4,Puntuacion!$D:$D,"Integracion",Puntuacion!$G:$G,"NE")=0),1,0)</f>
        <v/>
      </c>
      <c r="U4" s="5">
        <f>IF(S4=0,"NA",IF(T4=0,"NE",AVERAGEIFS(Puntuacion!$G:$G,Puntuacion!$A:$A,$A4,Puntuacion!$C:$C,$C4,Puntuacion!$D:$D,"Integracion",Puntuacion!$G:$G,"&lt;&gt;NA",Puntuacion!$G:$G,"&lt;&gt;NE")))</f>
        <v/>
      </c>
      <c r="V4">
        <f>IF(COUNTIFS(Puntuacion!$A:$A,$A4,Puntuacion!$C:$C,$C4,Puntuacion!$D:$D,"Adopcion",Puntuacion!$G:$G,"&lt;&gt;NA")&gt;0,1,0)</f>
        <v/>
      </c>
      <c r="W4">
        <f>IF(AND(V4=1,COUNTIFS(Puntuacion!$A:$A,$A4,Puntuacion!$C:$C,$C4,Puntuacion!$D:$D,"Adopcion",Puntuacion!$G:$G,"NE")=0),1,0)</f>
        <v/>
      </c>
      <c r="X4" s="5">
        <f>IF(V4=0,"NA",IF(W4=0,"NE",AVERAGEIFS(Puntuacion!$G:$G,Puntuacion!$A:$A,$A4,Puntuacion!$C:$C,$C4,Puntuacion!$D:$D,"Adopcion",Puntuacion!$G:$G,"&lt;&gt;NA",Puntuacion!$G:$G,"&lt;&gt;NE")))</f>
        <v/>
      </c>
      <c r="Y4">
        <f>IF(COUNTIFS(Puntuacion!$A:$A,$A4,Puntuacion!$C:$C,$C4,Puntuacion!$D:$D,"Precio",Puntuacion!$G:$G,"&lt;&gt;NA")&gt;0,1,0)</f>
        <v/>
      </c>
      <c r="Z4">
        <f>IF(AND(Y4=1,COUNTIFS(Puntuacion!$A:$A,$A4,Puntuacion!$C:$C,$C4,Puntuacion!$D:$D,"Precio",Puntuacion!$G:$G,"NE")=0),1,0)</f>
        <v/>
      </c>
      <c r="AA4" s="5">
        <f>IF(Y4=0,"NA",IF(Z4=0,"NE",AVERAGEIFS(Puntuacion!$G:$G,Puntuacion!$A:$A,$A4,Puntuacion!$C:$C,$C4,Puntuacion!$D:$D,"Precio",Puntuacion!$G:$G,"&lt;&gt;NA",Puntuacion!$G:$G,"&lt;&gt;NE")))</f>
        <v/>
      </c>
      <c r="AB4">
        <f>IF(COUNTIFS(Puntuacion!$A:$A,$A4,Puntuacion!$C:$C,$C4,Puntuacion!$D:$D,"Dependencia",Puntuacion!$G:$G,"&lt;&gt;NA")&gt;0,1,0)</f>
        <v/>
      </c>
      <c r="AC4">
        <f>IF(AND(AB4=1,COUNTIFS(Puntuacion!$A:$A,$A4,Puntuacion!$C:$C,$C4,Puntuacion!$D:$D,"Dependencia",Puntuacion!$G:$G,"NE")=0),1,0)</f>
        <v/>
      </c>
      <c r="AD4" s="5">
        <f>IF(AB4=0,"NA",IF(AC4=0,"NE",AVERAGEIFS(Puntuacion!$G:$G,Puntuacion!$A:$A,$A4,Puntuacion!$C:$C,$C4,Puntuacion!$D:$D,"Dependencia",Puntuacion!$G:$G,"&lt;&gt;NA",Puntuacion!$G:$G,"&lt;&gt;NE")))</f>
        <v/>
      </c>
      <c r="AE4" s="5">
        <f>IFERROR(100*(E4*Pesos!$B$2+H4*Pesos!$B$3+K4*Pesos!$B$4+N4*Pesos!$B$5+Q4*Pesos!$B$6+T4*Pesos!$B$7+W4*Pesos!$B$8+Z4*Pesos!$B$9+AC4*Pesos!$B$10)/(D4*Pesos!$B$2+G4*Pesos!$B$3+J4*Pesos!$B$4+M4*Pesos!$B$5+P4*Pesos!$B$6+S4*Pesos!$B$7+V4*Pesos!$B$8+Y4*Pesos!$B$9+AB4*Pesos!$B$10),"Sin criterios aplicables")</f>
        <v/>
      </c>
      <c r="AF4" s="5">
        <f>IFERROR(100*(E4*Pesos!$C$2+H4*Pesos!$C$3+K4*Pesos!$C$4+N4*Pesos!$C$5+Q4*Pesos!$C$6+T4*Pesos!$C$7+W4*Pesos!$C$8+Z4*Pesos!$C$9+AC4*Pesos!$C$10)/(D4*Pesos!$C$2+G4*Pesos!$C$3+J4*Pesos!$C$4+M4*Pesos!$C$5+P4*Pesos!$C$6+S4*Pesos!$C$7+V4*Pesos!$C$8+Y4*Pesos!$C$9+AB4*Pesos!$C$10),"Sin criterios aplicables")</f>
        <v/>
      </c>
      <c r="AG4" s="5">
        <f>IF(OR(AE4="Sin criterios aplicables",AE4&lt;70),"Insufficient evidence",100*(Pesos!$B$2*IF(E4=1,F4,0)+Pesos!$B$3*IF(H4=1,I4,0)+Pesos!$B$4*IF(K4=1,L4,0)+Pesos!$B$5*IF(N4=1,O4,0)+Pesos!$B$6*IF(Q4=1,R4,0)+Pesos!$B$7*IF(T4=1,U4,0)+Pesos!$B$8*IF(W4=1,X4,0)+Pesos!$B$9*IF(Z4=1,AA4,0)+Pesos!$B$10*IF(AC4=1,AD4,0))/(3*(Pesos!$B$2*E4+Pesos!$B$3*H4+Pesos!$B$4*K4+Pesos!$B$5*N4+Pesos!$B$6*Q4+Pesos!$B$7*T4+Pesos!$B$8*W4+Pesos!$B$9*Z4+Pesos!$B$10*AC4)))</f>
        <v/>
      </c>
      <c r="AH4" s="5">
        <f>IF(OR(AF4="Sin criterios aplicables",AF4&lt;70),"Insufficient evidence",100*(Pesos!$C$2*IF(E4=1,F4,0)+Pesos!$C$3*IF(H4=1,I4,0)+Pesos!$C$4*IF(K4=1,L4,0)+Pesos!$C$5*IF(N4=1,O4,0)+Pesos!$C$6*IF(Q4=1,R4,0)+Pesos!$C$7*IF(T4=1,U4,0)+Pesos!$C$8*IF(W4=1,X4,0)+Pesos!$C$9*IF(Z4=1,AA4,0)+Pesos!$C$10*IF(AC4=1,AD4,0))/(3*(Pesos!$C$2*E4+Pesos!$C$3*H4+Pesos!$C$4*K4+Pesos!$C$5*N4+Pesos!$C$6*Q4+Pesos!$C$7*T4+Pesos!$C$8*W4+Pesos!$C$9*Z4+Pesos!$C$10*AC4)))</f>
        <v/>
      </c>
      <c r="AI4">
        <f>IF(AG4="Insufficient evidence","Insufficient evidence (cobertura&lt;70%)",IF(AG4&lt;50/3,"Insufficient",IF(AG4&lt;50,"Basic",IF(AG4&lt;250/3,"Solid","Advanced"))))</f>
        <v/>
      </c>
      <c r="AJ4">
        <f>IF(AH4="Insufficient evidence","Insufficient evidence (cobertura&lt;70%)",IF(AH4&lt;50/3,"Insufficient",IF(AH4&lt;50,"Basic",IF(AH4&lt;250/3,"Solid","Advanced"))))</f>
        <v/>
      </c>
      <c r="AK4">
        <f>IF(TRIM(IF(AND(ISNUMBER(F4),F4&lt;1),"Visibilidad","") &amp; " " &amp; IF(AND(ISNUMBER(I4),I4&lt;1),"Asignación",""))="","Ninguno",TRIM(IF(AND(ISNUMBER(F4),F4&lt;1),"Visibilidad","") &amp; " " &amp; IF(AND(ISNUMBER(I4),I4&lt;1),"Asignación","")))</f>
        <v/>
      </c>
    </row>
    <row r="5">
      <c r="A5" t="inlineStr">
        <is>
          <t>E1</t>
        </is>
      </c>
      <c r="B5" t="inlineStr">
        <is>
          <t>Cloud nativa</t>
        </is>
      </c>
      <c r="C5" t="inlineStr">
        <is>
          <t>Google Cloud Billing</t>
        </is>
      </c>
      <c r="D5">
        <f>IF(COUNTIFS(Puntuacion!$A:$A,$A5,Puntuacion!$C:$C,$C5,Puntuacion!$D:$D,"Visibilidad",Puntuacion!$G:$G,"&lt;&gt;NA")&gt;0,1,0)</f>
        <v/>
      </c>
      <c r="E5">
        <f>IF(AND(D5=1,COUNTIFS(Puntuacion!$A:$A,$A5,Puntuacion!$C:$C,$C5,Puntuacion!$D:$D,"Visibilidad",Puntuacion!$G:$G,"NE")=0),1,0)</f>
        <v/>
      </c>
      <c r="F5" s="5">
        <f>IF(D5=0,"NA",IF(E5=0,"NE",AVERAGEIFS(Puntuacion!$G:$G,Puntuacion!$A:$A,$A5,Puntuacion!$C:$C,$C5,Puntuacion!$D:$D,"Visibilidad",Puntuacion!$G:$G,"&lt;&gt;NA",Puntuacion!$G:$G,"&lt;&gt;NE")))</f>
        <v/>
      </c>
      <c r="G5">
        <f>IF(COUNTIFS(Puntuacion!$A:$A,$A5,Puntuacion!$C:$C,$C5,Puntuacion!$D:$D,"Asignacion",Puntuacion!$G:$G,"&lt;&gt;NA")&gt;0,1,0)</f>
        <v/>
      </c>
      <c r="H5">
        <f>IF(AND(G5=1,COUNTIFS(Puntuacion!$A:$A,$A5,Puntuacion!$C:$C,$C5,Puntuacion!$D:$D,"Asignacion",Puntuacion!$G:$G,"NE")=0),1,0)</f>
        <v/>
      </c>
      <c r="I5" s="5">
        <f>IF(G5=0,"NA",IF(H5=0,"NE",AVERAGEIFS(Puntuacion!$G:$G,Puntuacion!$A:$A,$A5,Puntuacion!$C:$C,$C5,Puntuacion!$D:$D,"Asignacion",Puntuacion!$G:$G,"&lt;&gt;NA",Puntuacion!$G:$G,"&lt;&gt;NE")))</f>
        <v/>
      </c>
      <c r="J5">
        <f>IF(COUNTIFS(Puntuacion!$A:$A,$A5,Puntuacion!$C:$C,$C5,Puntuacion!$D:$D,"Optimizacion",Puntuacion!$G:$G,"&lt;&gt;NA")&gt;0,1,0)</f>
        <v/>
      </c>
      <c r="K5">
        <f>IF(AND(J5=1,COUNTIFS(Puntuacion!$A:$A,$A5,Puntuacion!$C:$C,$C5,Puntuacion!$D:$D,"Optimizacion",Puntuacion!$G:$G,"NE")=0),1,0)</f>
        <v/>
      </c>
      <c r="L5" s="5">
        <f>IF(J5=0,"NA",IF(K5=0,"NE",AVERAGEIFS(Puntuacion!$G:$G,Puntuacion!$A:$A,$A5,Puntuacion!$C:$C,$C5,Puntuacion!$D:$D,"Optimizacion",Puntuacion!$G:$G,"&lt;&gt;NA",Puntuacion!$G:$G,"&lt;&gt;NE")))</f>
        <v/>
      </c>
      <c r="M5">
        <f>IF(COUNTIFS(Puntuacion!$A:$A,$A5,Puntuacion!$C:$C,$C5,Puntuacion!$D:$D,"Automatizacion",Puntuacion!$G:$G,"&lt;&gt;NA")&gt;0,1,0)</f>
        <v/>
      </c>
      <c r="N5">
        <f>IF(AND(M5=1,COUNTIFS(Puntuacion!$A:$A,$A5,Puntuacion!$C:$C,$C5,Puntuacion!$D:$D,"Automatizacion",Puntuacion!$G:$G,"NE")=0),1,0)</f>
        <v/>
      </c>
      <c r="O5" s="5">
        <f>IF(M5=0,"NA",IF(N5=0,"NE",AVERAGEIFS(Puntuacion!$G:$G,Puntuacion!$A:$A,$A5,Puntuacion!$C:$C,$C5,Puntuacion!$D:$D,"Automatizacion",Puntuacion!$G:$G,"&lt;&gt;NA",Puntuacion!$G:$G,"&lt;&gt;NE")))</f>
        <v/>
      </c>
      <c r="P5">
        <f>IF(COUNTIFS(Puntuacion!$A:$A,$A5,Puntuacion!$C:$C,$C5,Puntuacion!$D:$D,"Multicloud",Puntuacion!$G:$G,"&lt;&gt;NA")&gt;0,1,0)</f>
        <v/>
      </c>
      <c r="Q5">
        <f>IF(AND(P5=1,COUNTIFS(Puntuacion!$A:$A,$A5,Puntuacion!$C:$C,$C5,Puntuacion!$D:$D,"Multicloud",Puntuacion!$G:$G,"NE")=0),1,0)</f>
        <v/>
      </c>
      <c r="R5" s="5">
        <f>IF(P5=0,"NA",IF(Q5=0,"NE",AVERAGEIFS(Puntuacion!$G:$G,Puntuacion!$A:$A,$A5,Puntuacion!$C:$C,$C5,Puntuacion!$D:$D,"Multicloud",Puntuacion!$G:$G,"&lt;&gt;NA",Puntuacion!$G:$G,"&lt;&gt;NE")))</f>
        <v/>
      </c>
      <c r="S5">
        <f>IF(COUNTIFS(Puntuacion!$A:$A,$A5,Puntuacion!$C:$C,$C5,Puntuacion!$D:$D,"Integracion",Puntuacion!$G:$G,"&lt;&gt;NA")&gt;0,1,0)</f>
        <v/>
      </c>
      <c r="T5">
        <f>IF(AND(S5=1,COUNTIFS(Puntuacion!$A:$A,$A5,Puntuacion!$C:$C,$C5,Puntuacion!$D:$D,"Integracion",Puntuacion!$G:$G,"NE")=0),1,0)</f>
        <v/>
      </c>
      <c r="U5" s="5">
        <f>IF(S5=0,"NA",IF(T5=0,"NE",AVERAGEIFS(Puntuacion!$G:$G,Puntuacion!$A:$A,$A5,Puntuacion!$C:$C,$C5,Puntuacion!$D:$D,"Integracion",Puntuacion!$G:$G,"&lt;&gt;NA",Puntuacion!$G:$G,"&lt;&gt;NE")))</f>
        <v/>
      </c>
      <c r="V5">
        <f>IF(COUNTIFS(Puntuacion!$A:$A,$A5,Puntuacion!$C:$C,$C5,Puntuacion!$D:$D,"Adopcion",Puntuacion!$G:$G,"&lt;&gt;NA")&gt;0,1,0)</f>
        <v/>
      </c>
      <c r="W5">
        <f>IF(AND(V5=1,COUNTIFS(Puntuacion!$A:$A,$A5,Puntuacion!$C:$C,$C5,Puntuacion!$D:$D,"Adopcion",Puntuacion!$G:$G,"NE")=0),1,0)</f>
        <v/>
      </c>
      <c r="X5" s="5">
        <f>IF(V5=0,"NA",IF(W5=0,"NE",AVERAGEIFS(Puntuacion!$G:$G,Puntuacion!$A:$A,$A5,Puntuacion!$C:$C,$C5,Puntuacion!$D:$D,"Adopcion",Puntuacion!$G:$G,"&lt;&gt;NA",Puntuacion!$G:$G,"&lt;&gt;NE")))</f>
        <v/>
      </c>
      <c r="Y5">
        <f>IF(COUNTIFS(Puntuacion!$A:$A,$A5,Puntuacion!$C:$C,$C5,Puntuacion!$D:$D,"Precio",Puntuacion!$G:$G,"&lt;&gt;NA")&gt;0,1,0)</f>
        <v/>
      </c>
      <c r="Z5">
        <f>IF(AND(Y5=1,COUNTIFS(Puntuacion!$A:$A,$A5,Puntuacion!$C:$C,$C5,Puntuacion!$D:$D,"Precio",Puntuacion!$G:$G,"NE")=0),1,0)</f>
        <v/>
      </c>
      <c r="AA5" s="5">
        <f>IF(Y5=0,"NA",IF(Z5=0,"NE",AVERAGEIFS(Puntuacion!$G:$G,Puntuacion!$A:$A,$A5,Puntuacion!$C:$C,$C5,Puntuacion!$D:$D,"Precio",Puntuacion!$G:$G,"&lt;&gt;NA",Puntuacion!$G:$G,"&lt;&gt;NE")))</f>
        <v/>
      </c>
      <c r="AB5">
        <f>IF(COUNTIFS(Puntuacion!$A:$A,$A5,Puntuacion!$C:$C,$C5,Puntuacion!$D:$D,"Dependencia",Puntuacion!$G:$G,"&lt;&gt;NA")&gt;0,1,0)</f>
        <v/>
      </c>
      <c r="AC5">
        <f>IF(AND(AB5=1,COUNTIFS(Puntuacion!$A:$A,$A5,Puntuacion!$C:$C,$C5,Puntuacion!$D:$D,"Dependencia",Puntuacion!$G:$G,"NE")=0),1,0)</f>
        <v/>
      </c>
      <c r="AD5" s="5">
        <f>IF(AB5=0,"NA",IF(AC5=0,"NE",AVERAGEIFS(Puntuacion!$G:$G,Puntuacion!$A:$A,$A5,Puntuacion!$C:$C,$C5,Puntuacion!$D:$D,"Dependencia",Puntuacion!$G:$G,"&lt;&gt;NA",Puntuacion!$G:$G,"&lt;&gt;NE")))</f>
        <v/>
      </c>
      <c r="AE5" s="5">
        <f>IFERROR(100*(E5*Pesos!$B$2+H5*Pesos!$B$3+K5*Pesos!$B$4+N5*Pesos!$B$5+Q5*Pesos!$B$6+T5*Pesos!$B$7+W5*Pesos!$B$8+Z5*Pesos!$B$9+AC5*Pesos!$B$10)/(D5*Pesos!$B$2+G5*Pesos!$B$3+J5*Pesos!$B$4+M5*Pesos!$B$5+P5*Pesos!$B$6+S5*Pesos!$B$7+V5*Pesos!$B$8+Y5*Pesos!$B$9+AB5*Pesos!$B$10),"Sin criterios aplicables")</f>
        <v/>
      </c>
      <c r="AF5" s="5">
        <f>IFERROR(100*(E5*Pesos!$C$2+H5*Pesos!$C$3+K5*Pesos!$C$4+N5*Pesos!$C$5+Q5*Pesos!$C$6+T5*Pesos!$C$7+W5*Pesos!$C$8+Z5*Pesos!$C$9+AC5*Pesos!$C$10)/(D5*Pesos!$C$2+G5*Pesos!$C$3+J5*Pesos!$C$4+M5*Pesos!$C$5+P5*Pesos!$C$6+S5*Pesos!$C$7+V5*Pesos!$C$8+Y5*Pesos!$C$9+AB5*Pesos!$C$10),"Sin criterios aplicables")</f>
        <v/>
      </c>
      <c r="AG5" s="5">
        <f>IF(OR(AE5="Sin criterios aplicables",AE5&lt;70),"Insufficient evidence",100*(Pesos!$B$2*IF(E5=1,F5,0)+Pesos!$B$3*IF(H5=1,I5,0)+Pesos!$B$4*IF(K5=1,L5,0)+Pesos!$B$5*IF(N5=1,O5,0)+Pesos!$B$6*IF(Q5=1,R5,0)+Pesos!$B$7*IF(T5=1,U5,0)+Pesos!$B$8*IF(W5=1,X5,0)+Pesos!$B$9*IF(Z5=1,AA5,0)+Pesos!$B$10*IF(AC5=1,AD5,0))/(3*(Pesos!$B$2*E5+Pesos!$B$3*H5+Pesos!$B$4*K5+Pesos!$B$5*N5+Pesos!$B$6*Q5+Pesos!$B$7*T5+Pesos!$B$8*W5+Pesos!$B$9*Z5+Pesos!$B$10*AC5)))</f>
        <v/>
      </c>
      <c r="AH5" s="5">
        <f>IF(OR(AF5="Sin criterios aplicables",AF5&lt;70),"Insufficient evidence",100*(Pesos!$C$2*IF(E5=1,F5,0)+Pesos!$C$3*IF(H5=1,I5,0)+Pesos!$C$4*IF(K5=1,L5,0)+Pesos!$C$5*IF(N5=1,O5,0)+Pesos!$C$6*IF(Q5=1,R5,0)+Pesos!$C$7*IF(T5=1,U5,0)+Pesos!$C$8*IF(W5=1,X5,0)+Pesos!$C$9*IF(Z5=1,AA5,0)+Pesos!$C$10*IF(AC5=1,AD5,0))/(3*(Pesos!$C$2*E5+Pesos!$C$3*H5+Pesos!$C$4*K5+Pesos!$C$5*N5+Pesos!$C$6*Q5+Pesos!$C$7*T5+Pesos!$C$8*W5+Pesos!$C$9*Z5+Pesos!$C$10*AC5)))</f>
        <v/>
      </c>
      <c r="AI5">
        <f>IF(AG5="Insufficient evidence","Insufficient evidence (cobertura&lt;70%)",IF(AG5&lt;50/3,"Insufficient",IF(AG5&lt;50,"Basic",IF(AG5&lt;250/3,"Solid","Advanced"))))</f>
        <v/>
      </c>
      <c r="AJ5">
        <f>IF(AH5="Insufficient evidence","Insufficient evidence (cobertura&lt;70%)",IF(AH5&lt;50/3,"Insufficient",IF(AH5&lt;50,"Basic",IF(AH5&lt;250/3,"Solid","Advanced"))))</f>
        <v/>
      </c>
      <c r="AK5">
        <f>IF(TRIM(IF(AND(ISNUMBER(F5),F5&lt;1),"Visibilidad","") &amp; " " &amp; IF(AND(ISNUMBER(I5),I5&lt;1),"Asignación",""))="","Ninguno",TRIM(IF(AND(ISNUMBER(F5),F5&lt;1),"Visibilidad","") &amp; " " &amp; IF(AND(ISNUMBER(I5),I5&lt;1),"Asignación","")))</f>
        <v/>
      </c>
    </row>
    <row r="6">
      <c r="A6" t="inlineStr">
        <is>
          <t>E1</t>
        </is>
      </c>
      <c r="B6" t="inlineStr">
        <is>
          <t>Cloud nativa</t>
        </is>
      </c>
      <c r="C6" t="inlineStr">
        <is>
          <t>Google Cloud FinOps Hub</t>
        </is>
      </c>
      <c r="D6">
        <f>IF(COUNTIFS(Puntuacion!$A:$A,$A6,Puntuacion!$C:$C,$C6,Puntuacion!$D:$D,"Visibilidad",Puntuacion!$G:$G,"&lt;&gt;NA")&gt;0,1,0)</f>
        <v/>
      </c>
      <c r="E6">
        <f>IF(AND(D6=1,COUNTIFS(Puntuacion!$A:$A,$A6,Puntuacion!$C:$C,$C6,Puntuacion!$D:$D,"Visibilidad",Puntuacion!$G:$G,"NE")=0),1,0)</f>
        <v/>
      </c>
      <c r="F6" s="5">
        <f>IF(D6=0,"NA",IF(E6=0,"NE",AVERAGEIFS(Puntuacion!$G:$G,Puntuacion!$A:$A,$A6,Puntuacion!$C:$C,$C6,Puntuacion!$D:$D,"Visibilidad",Puntuacion!$G:$G,"&lt;&gt;NA",Puntuacion!$G:$G,"&lt;&gt;NE")))</f>
        <v/>
      </c>
      <c r="G6">
        <f>IF(COUNTIFS(Puntuacion!$A:$A,$A6,Puntuacion!$C:$C,$C6,Puntuacion!$D:$D,"Asignacion",Puntuacion!$G:$G,"&lt;&gt;NA")&gt;0,1,0)</f>
        <v/>
      </c>
      <c r="H6">
        <f>IF(AND(G6=1,COUNTIFS(Puntuacion!$A:$A,$A6,Puntuacion!$C:$C,$C6,Puntuacion!$D:$D,"Asignacion",Puntuacion!$G:$G,"NE")=0),1,0)</f>
        <v/>
      </c>
      <c r="I6" s="5">
        <f>IF(G6=0,"NA",IF(H6=0,"NE",AVERAGEIFS(Puntuacion!$G:$G,Puntuacion!$A:$A,$A6,Puntuacion!$C:$C,$C6,Puntuacion!$D:$D,"Asignacion",Puntuacion!$G:$G,"&lt;&gt;NA",Puntuacion!$G:$G,"&lt;&gt;NE")))</f>
        <v/>
      </c>
      <c r="J6">
        <f>IF(COUNTIFS(Puntuacion!$A:$A,$A6,Puntuacion!$C:$C,$C6,Puntuacion!$D:$D,"Optimizacion",Puntuacion!$G:$G,"&lt;&gt;NA")&gt;0,1,0)</f>
        <v/>
      </c>
      <c r="K6">
        <f>IF(AND(J6=1,COUNTIFS(Puntuacion!$A:$A,$A6,Puntuacion!$C:$C,$C6,Puntuacion!$D:$D,"Optimizacion",Puntuacion!$G:$G,"NE")=0),1,0)</f>
        <v/>
      </c>
      <c r="L6" s="5">
        <f>IF(J6=0,"NA",IF(K6=0,"NE",AVERAGEIFS(Puntuacion!$G:$G,Puntuacion!$A:$A,$A6,Puntuacion!$C:$C,$C6,Puntuacion!$D:$D,"Optimizacion",Puntuacion!$G:$G,"&lt;&gt;NA",Puntuacion!$G:$G,"&lt;&gt;NE")))</f>
        <v/>
      </c>
      <c r="M6">
        <f>IF(COUNTIFS(Puntuacion!$A:$A,$A6,Puntuacion!$C:$C,$C6,Puntuacion!$D:$D,"Automatizacion",Puntuacion!$G:$G,"&lt;&gt;NA")&gt;0,1,0)</f>
        <v/>
      </c>
      <c r="N6">
        <f>IF(AND(M6=1,COUNTIFS(Puntuacion!$A:$A,$A6,Puntuacion!$C:$C,$C6,Puntuacion!$D:$D,"Automatizacion",Puntuacion!$G:$G,"NE")=0),1,0)</f>
        <v/>
      </c>
      <c r="O6" s="5">
        <f>IF(M6=0,"NA",IF(N6=0,"NE",AVERAGEIFS(Puntuacion!$G:$G,Puntuacion!$A:$A,$A6,Puntuacion!$C:$C,$C6,Puntuacion!$D:$D,"Automatizacion",Puntuacion!$G:$G,"&lt;&gt;NA",Puntuacion!$G:$G,"&lt;&gt;NE")))</f>
        <v/>
      </c>
      <c r="P6">
        <f>IF(COUNTIFS(Puntuacion!$A:$A,$A6,Puntuacion!$C:$C,$C6,Puntuacion!$D:$D,"Multicloud",Puntuacion!$G:$G,"&lt;&gt;NA")&gt;0,1,0)</f>
        <v/>
      </c>
      <c r="Q6">
        <f>IF(AND(P6=1,COUNTIFS(Puntuacion!$A:$A,$A6,Puntuacion!$C:$C,$C6,Puntuacion!$D:$D,"Multicloud",Puntuacion!$G:$G,"NE")=0),1,0)</f>
        <v/>
      </c>
      <c r="R6" s="5">
        <f>IF(P6=0,"NA",IF(Q6=0,"NE",AVERAGEIFS(Puntuacion!$G:$G,Puntuacion!$A:$A,$A6,Puntuacion!$C:$C,$C6,Puntuacion!$D:$D,"Multicloud",Puntuacion!$G:$G,"&lt;&gt;NA",Puntuacion!$G:$G,"&lt;&gt;NE")))</f>
        <v/>
      </c>
      <c r="S6">
        <f>IF(COUNTIFS(Puntuacion!$A:$A,$A6,Puntuacion!$C:$C,$C6,Puntuacion!$D:$D,"Integracion",Puntuacion!$G:$G,"&lt;&gt;NA")&gt;0,1,0)</f>
        <v/>
      </c>
      <c r="T6">
        <f>IF(AND(S6=1,COUNTIFS(Puntuacion!$A:$A,$A6,Puntuacion!$C:$C,$C6,Puntuacion!$D:$D,"Integracion",Puntuacion!$G:$G,"NE")=0),1,0)</f>
        <v/>
      </c>
      <c r="U6" s="5">
        <f>IF(S6=0,"NA",IF(T6=0,"NE",AVERAGEIFS(Puntuacion!$G:$G,Puntuacion!$A:$A,$A6,Puntuacion!$C:$C,$C6,Puntuacion!$D:$D,"Integracion",Puntuacion!$G:$G,"&lt;&gt;NA",Puntuacion!$G:$G,"&lt;&gt;NE")))</f>
        <v/>
      </c>
      <c r="V6">
        <f>IF(COUNTIFS(Puntuacion!$A:$A,$A6,Puntuacion!$C:$C,$C6,Puntuacion!$D:$D,"Adopcion",Puntuacion!$G:$G,"&lt;&gt;NA")&gt;0,1,0)</f>
        <v/>
      </c>
      <c r="W6">
        <f>IF(AND(V6=1,COUNTIFS(Puntuacion!$A:$A,$A6,Puntuacion!$C:$C,$C6,Puntuacion!$D:$D,"Adopcion",Puntuacion!$G:$G,"NE")=0),1,0)</f>
        <v/>
      </c>
      <c r="X6" s="5">
        <f>IF(V6=0,"NA",IF(W6=0,"NE",AVERAGEIFS(Puntuacion!$G:$G,Puntuacion!$A:$A,$A6,Puntuacion!$C:$C,$C6,Puntuacion!$D:$D,"Adopcion",Puntuacion!$G:$G,"&lt;&gt;NA",Puntuacion!$G:$G,"&lt;&gt;NE")))</f>
        <v/>
      </c>
      <c r="Y6">
        <f>IF(COUNTIFS(Puntuacion!$A:$A,$A6,Puntuacion!$C:$C,$C6,Puntuacion!$D:$D,"Precio",Puntuacion!$G:$G,"&lt;&gt;NA")&gt;0,1,0)</f>
        <v/>
      </c>
      <c r="Z6">
        <f>IF(AND(Y6=1,COUNTIFS(Puntuacion!$A:$A,$A6,Puntuacion!$C:$C,$C6,Puntuacion!$D:$D,"Precio",Puntuacion!$G:$G,"NE")=0),1,0)</f>
        <v/>
      </c>
      <c r="AA6" s="5">
        <f>IF(Y6=0,"NA",IF(Z6=0,"NE",AVERAGEIFS(Puntuacion!$G:$G,Puntuacion!$A:$A,$A6,Puntuacion!$C:$C,$C6,Puntuacion!$D:$D,"Precio",Puntuacion!$G:$G,"&lt;&gt;NA",Puntuacion!$G:$G,"&lt;&gt;NE")))</f>
        <v/>
      </c>
      <c r="AB6">
        <f>IF(COUNTIFS(Puntuacion!$A:$A,$A6,Puntuacion!$C:$C,$C6,Puntuacion!$D:$D,"Dependencia",Puntuacion!$G:$G,"&lt;&gt;NA")&gt;0,1,0)</f>
        <v/>
      </c>
      <c r="AC6">
        <f>IF(AND(AB6=1,COUNTIFS(Puntuacion!$A:$A,$A6,Puntuacion!$C:$C,$C6,Puntuacion!$D:$D,"Dependencia",Puntuacion!$G:$G,"NE")=0),1,0)</f>
        <v/>
      </c>
      <c r="AD6" s="5">
        <f>IF(AB6=0,"NA",IF(AC6=0,"NE",AVERAGEIFS(Puntuacion!$G:$G,Puntuacion!$A:$A,$A6,Puntuacion!$C:$C,$C6,Puntuacion!$D:$D,"Dependencia",Puntuacion!$G:$G,"&lt;&gt;NA",Puntuacion!$G:$G,"&lt;&gt;NE")))</f>
        <v/>
      </c>
      <c r="AE6" s="5">
        <f>IFERROR(100*(E6*Pesos!$B$2+H6*Pesos!$B$3+K6*Pesos!$B$4+N6*Pesos!$B$5+Q6*Pesos!$B$6+T6*Pesos!$B$7+W6*Pesos!$B$8+Z6*Pesos!$B$9+AC6*Pesos!$B$10)/(D6*Pesos!$B$2+G6*Pesos!$B$3+J6*Pesos!$B$4+M6*Pesos!$B$5+P6*Pesos!$B$6+S6*Pesos!$B$7+V6*Pesos!$B$8+Y6*Pesos!$B$9+AB6*Pesos!$B$10),"Sin criterios aplicables")</f>
        <v/>
      </c>
      <c r="AF6" s="5">
        <f>IFERROR(100*(E6*Pesos!$C$2+H6*Pesos!$C$3+K6*Pesos!$C$4+N6*Pesos!$C$5+Q6*Pesos!$C$6+T6*Pesos!$C$7+W6*Pesos!$C$8+Z6*Pesos!$C$9+AC6*Pesos!$C$10)/(D6*Pesos!$C$2+G6*Pesos!$C$3+J6*Pesos!$C$4+M6*Pesos!$C$5+P6*Pesos!$C$6+S6*Pesos!$C$7+V6*Pesos!$C$8+Y6*Pesos!$C$9+AB6*Pesos!$C$10),"Sin criterios aplicables")</f>
        <v/>
      </c>
      <c r="AG6" s="5">
        <f>IF(OR(AE6="Sin criterios aplicables",AE6&lt;70),"Insufficient evidence",100*(Pesos!$B$2*IF(E6=1,F6,0)+Pesos!$B$3*IF(H6=1,I6,0)+Pesos!$B$4*IF(K6=1,L6,0)+Pesos!$B$5*IF(N6=1,O6,0)+Pesos!$B$6*IF(Q6=1,R6,0)+Pesos!$B$7*IF(T6=1,U6,0)+Pesos!$B$8*IF(W6=1,X6,0)+Pesos!$B$9*IF(Z6=1,AA6,0)+Pesos!$B$10*IF(AC6=1,AD6,0))/(3*(Pesos!$B$2*E6+Pesos!$B$3*H6+Pesos!$B$4*K6+Pesos!$B$5*N6+Pesos!$B$6*Q6+Pesos!$B$7*T6+Pesos!$B$8*W6+Pesos!$B$9*Z6+Pesos!$B$10*AC6)))</f>
        <v/>
      </c>
      <c r="AH6" s="5">
        <f>IF(OR(AF6="Sin criterios aplicables",AF6&lt;70),"Insufficient evidence",100*(Pesos!$C$2*IF(E6=1,F6,0)+Pesos!$C$3*IF(H6=1,I6,0)+Pesos!$C$4*IF(K6=1,L6,0)+Pesos!$C$5*IF(N6=1,O6,0)+Pesos!$C$6*IF(Q6=1,R6,0)+Pesos!$C$7*IF(T6=1,U6,0)+Pesos!$C$8*IF(W6=1,X6,0)+Pesos!$C$9*IF(Z6=1,AA6,0)+Pesos!$C$10*IF(AC6=1,AD6,0))/(3*(Pesos!$C$2*E6+Pesos!$C$3*H6+Pesos!$C$4*K6+Pesos!$C$5*N6+Pesos!$C$6*Q6+Pesos!$C$7*T6+Pesos!$C$8*W6+Pesos!$C$9*Z6+Pesos!$C$10*AC6)))</f>
        <v/>
      </c>
      <c r="AI6">
        <f>IF(AG6="Insufficient evidence","Insufficient evidence (cobertura&lt;70%)",IF(AG6&lt;50/3,"Insufficient",IF(AG6&lt;50,"Basic",IF(AG6&lt;250/3,"Solid","Advanced"))))</f>
        <v/>
      </c>
      <c r="AJ6">
        <f>IF(AH6="Insufficient evidence","Insufficient evidence (cobertura&lt;70%)",IF(AH6&lt;50/3,"Insufficient",IF(AH6&lt;50,"Basic",IF(AH6&lt;250/3,"Solid","Advanced"))))</f>
        <v/>
      </c>
      <c r="AK6">
        <f>IF(TRIM(IF(AND(ISNUMBER(F6),F6&lt;1),"Visibilidad","") &amp; " " &amp; IF(AND(ISNUMBER(I6),I6&lt;1),"Asignación",""))="","Ninguno",TRIM(IF(AND(ISNUMBER(F6),F6&lt;1),"Visibilidad","") &amp; " " &amp; IF(AND(ISNUMBER(I6),I6&lt;1),"Asignación","")))</f>
        <v/>
      </c>
    </row>
    <row r="7">
      <c r="A7" t="inlineStr">
        <is>
          <t>E1</t>
        </is>
      </c>
      <c r="B7" t="inlineStr">
        <is>
          <t>Multicloud</t>
        </is>
      </c>
      <c r="C7" t="inlineStr">
        <is>
          <t>CloudHealth</t>
        </is>
      </c>
      <c r="D7">
        <f>IF(COUNTIFS(Puntuacion!$A:$A,$A7,Puntuacion!$C:$C,$C7,Puntuacion!$D:$D,"Visibilidad",Puntuacion!$G:$G,"&lt;&gt;NA")&gt;0,1,0)</f>
        <v/>
      </c>
      <c r="E7">
        <f>IF(AND(D7=1,COUNTIFS(Puntuacion!$A:$A,$A7,Puntuacion!$C:$C,$C7,Puntuacion!$D:$D,"Visibilidad",Puntuacion!$G:$G,"NE")=0),1,0)</f>
        <v/>
      </c>
      <c r="F7" s="5">
        <f>IF(D7=0,"NA",IF(E7=0,"NE",AVERAGEIFS(Puntuacion!$G:$G,Puntuacion!$A:$A,$A7,Puntuacion!$C:$C,$C7,Puntuacion!$D:$D,"Visibilidad",Puntuacion!$G:$G,"&lt;&gt;NA",Puntuacion!$G:$G,"&lt;&gt;NE")))</f>
        <v/>
      </c>
      <c r="G7">
        <f>IF(COUNTIFS(Puntuacion!$A:$A,$A7,Puntuacion!$C:$C,$C7,Puntuacion!$D:$D,"Asignacion",Puntuacion!$G:$G,"&lt;&gt;NA")&gt;0,1,0)</f>
        <v/>
      </c>
      <c r="H7">
        <f>IF(AND(G7=1,COUNTIFS(Puntuacion!$A:$A,$A7,Puntuacion!$C:$C,$C7,Puntuacion!$D:$D,"Asignacion",Puntuacion!$G:$G,"NE")=0),1,0)</f>
        <v/>
      </c>
      <c r="I7" s="5">
        <f>IF(G7=0,"NA",IF(H7=0,"NE",AVERAGEIFS(Puntuacion!$G:$G,Puntuacion!$A:$A,$A7,Puntuacion!$C:$C,$C7,Puntuacion!$D:$D,"Asignacion",Puntuacion!$G:$G,"&lt;&gt;NA",Puntuacion!$G:$G,"&lt;&gt;NE")))</f>
        <v/>
      </c>
      <c r="J7">
        <f>IF(COUNTIFS(Puntuacion!$A:$A,$A7,Puntuacion!$C:$C,$C7,Puntuacion!$D:$D,"Optimizacion",Puntuacion!$G:$G,"&lt;&gt;NA")&gt;0,1,0)</f>
        <v/>
      </c>
      <c r="K7">
        <f>IF(AND(J7=1,COUNTIFS(Puntuacion!$A:$A,$A7,Puntuacion!$C:$C,$C7,Puntuacion!$D:$D,"Optimizacion",Puntuacion!$G:$G,"NE")=0),1,0)</f>
        <v/>
      </c>
      <c r="L7" s="5">
        <f>IF(J7=0,"NA",IF(K7=0,"NE",AVERAGEIFS(Puntuacion!$G:$G,Puntuacion!$A:$A,$A7,Puntuacion!$C:$C,$C7,Puntuacion!$D:$D,"Optimizacion",Puntuacion!$G:$G,"&lt;&gt;NA",Puntuacion!$G:$G,"&lt;&gt;NE")))</f>
        <v/>
      </c>
      <c r="M7">
        <f>IF(COUNTIFS(Puntuacion!$A:$A,$A7,Puntuacion!$C:$C,$C7,Puntuacion!$D:$D,"Automatizacion",Puntuacion!$G:$G,"&lt;&gt;NA")&gt;0,1,0)</f>
        <v/>
      </c>
      <c r="N7">
        <f>IF(AND(M7=1,COUNTIFS(Puntuacion!$A:$A,$A7,Puntuacion!$C:$C,$C7,Puntuacion!$D:$D,"Automatizacion",Puntuacion!$G:$G,"NE")=0),1,0)</f>
        <v/>
      </c>
      <c r="O7" s="5">
        <f>IF(M7=0,"NA",IF(N7=0,"NE",AVERAGEIFS(Puntuacion!$G:$G,Puntuacion!$A:$A,$A7,Puntuacion!$C:$C,$C7,Puntuacion!$D:$D,"Automatizacion",Puntuacion!$G:$G,"&lt;&gt;NA",Puntuacion!$G:$G,"&lt;&gt;NE")))</f>
        <v/>
      </c>
      <c r="P7">
        <f>IF(COUNTIFS(Puntuacion!$A:$A,$A7,Puntuacion!$C:$C,$C7,Puntuacion!$D:$D,"Multicloud",Puntuacion!$G:$G,"&lt;&gt;NA")&gt;0,1,0)</f>
        <v/>
      </c>
      <c r="Q7">
        <f>IF(AND(P7=1,COUNTIFS(Puntuacion!$A:$A,$A7,Puntuacion!$C:$C,$C7,Puntuacion!$D:$D,"Multicloud",Puntuacion!$G:$G,"NE")=0),1,0)</f>
        <v/>
      </c>
      <c r="R7" s="5">
        <f>IF(P7=0,"NA",IF(Q7=0,"NE",AVERAGEIFS(Puntuacion!$G:$G,Puntuacion!$A:$A,$A7,Puntuacion!$C:$C,$C7,Puntuacion!$D:$D,"Multicloud",Puntuacion!$G:$G,"&lt;&gt;NA",Puntuacion!$G:$G,"&lt;&gt;NE")))</f>
        <v/>
      </c>
      <c r="S7">
        <f>IF(COUNTIFS(Puntuacion!$A:$A,$A7,Puntuacion!$C:$C,$C7,Puntuacion!$D:$D,"Integracion",Puntuacion!$G:$G,"&lt;&gt;NA")&gt;0,1,0)</f>
        <v/>
      </c>
      <c r="T7">
        <f>IF(AND(S7=1,COUNTIFS(Puntuacion!$A:$A,$A7,Puntuacion!$C:$C,$C7,Puntuacion!$D:$D,"Integracion",Puntuacion!$G:$G,"NE")=0),1,0)</f>
        <v/>
      </c>
      <c r="U7" s="5">
        <f>IF(S7=0,"NA",IF(T7=0,"NE",AVERAGEIFS(Puntuacion!$G:$G,Puntuacion!$A:$A,$A7,Puntuacion!$C:$C,$C7,Puntuacion!$D:$D,"Integracion",Puntuacion!$G:$G,"&lt;&gt;NA",Puntuacion!$G:$G,"&lt;&gt;NE")))</f>
        <v/>
      </c>
      <c r="V7">
        <f>IF(COUNTIFS(Puntuacion!$A:$A,$A7,Puntuacion!$C:$C,$C7,Puntuacion!$D:$D,"Adopcion",Puntuacion!$G:$G,"&lt;&gt;NA")&gt;0,1,0)</f>
        <v/>
      </c>
      <c r="W7">
        <f>IF(AND(V7=1,COUNTIFS(Puntuacion!$A:$A,$A7,Puntuacion!$C:$C,$C7,Puntuacion!$D:$D,"Adopcion",Puntuacion!$G:$G,"NE")=0),1,0)</f>
        <v/>
      </c>
      <c r="X7" s="5">
        <f>IF(V7=0,"NA",IF(W7=0,"NE",AVERAGEIFS(Puntuacion!$G:$G,Puntuacion!$A:$A,$A7,Puntuacion!$C:$C,$C7,Puntuacion!$D:$D,"Adopcion",Puntuacion!$G:$G,"&lt;&gt;NA",Puntuacion!$G:$G,"&lt;&gt;NE")))</f>
        <v/>
      </c>
      <c r="Y7">
        <f>IF(COUNTIFS(Puntuacion!$A:$A,$A7,Puntuacion!$C:$C,$C7,Puntuacion!$D:$D,"Precio",Puntuacion!$G:$G,"&lt;&gt;NA")&gt;0,1,0)</f>
        <v/>
      </c>
      <c r="Z7">
        <f>IF(AND(Y7=1,COUNTIFS(Puntuacion!$A:$A,$A7,Puntuacion!$C:$C,$C7,Puntuacion!$D:$D,"Precio",Puntuacion!$G:$G,"NE")=0),1,0)</f>
        <v/>
      </c>
      <c r="AA7" s="5">
        <f>IF(Y7=0,"NA",IF(Z7=0,"NE",AVERAGEIFS(Puntuacion!$G:$G,Puntuacion!$A:$A,$A7,Puntuacion!$C:$C,$C7,Puntuacion!$D:$D,"Precio",Puntuacion!$G:$G,"&lt;&gt;NA",Puntuacion!$G:$G,"&lt;&gt;NE")))</f>
        <v/>
      </c>
      <c r="AB7">
        <f>IF(COUNTIFS(Puntuacion!$A:$A,$A7,Puntuacion!$C:$C,$C7,Puntuacion!$D:$D,"Dependencia",Puntuacion!$G:$G,"&lt;&gt;NA")&gt;0,1,0)</f>
        <v/>
      </c>
      <c r="AC7">
        <f>IF(AND(AB7=1,COUNTIFS(Puntuacion!$A:$A,$A7,Puntuacion!$C:$C,$C7,Puntuacion!$D:$D,"Dependencia",Puntuacion!$G:$G,"NE")=0),1,0)</f>
        <v/>
      </c>
      <c r="AD7" s="5">
        <f>IF(AB7=0,"NA",IF(AC7=0,"NE",AVERAGEIFS(Puntuacion!$G:$G,Puntuacion!$A:$A,$A7,Puntuacion!$C:$C,$C7,Puntuacion!$D:$D,"Dependencia",Puntuacion!$G:$G,"&lt;&gt;NA",Puntuacion!$G:$G,"&lt;&gt;NE")))</f>
        <v/>
      </c>
      <c r="AE7" s="5">
        <f>IFERROR(100*(E7*Pesos!$B$2+H7*Pesos!$B$3+K7*Pesos!$B$4+N7*Pesos!$B$5+Q7*Pesos!$B$6+T7*Pesos!$B$7+W7*Pesos!$B$8+Z7*Pesos!$B$9+AC7*Pesos!$B$10)/(D7*Pesos!$B$2+G7*Pesos!$B$3+J7*Pesos!$B$4+M7*Pesos!$B$5+P7*Pesos!$B$6+S7*Pesos!$B$7+V7*Pesos!$B$8+Y7*Pesos!$B$9+AB7*Pesos!$B$10),"Sin criterios aplicables")</f>
        <v/>
      </c>
      <c r="AF7" s="5">
        <f>IFERROR(100*(E7*Pesos!$C$2+H7*Pesos!$C$3+K7*Pesos!$C$4+N7*Pesos!$C$5+Q7*Pesos!$C$6+T7*Pesos!$C$7+W7*Pesos!$C$8+Z7*Pesos!$C$9+AC7*Pesos!$C$10)/(D7*Pesos!$C$2+G7*Pesos!$C$3+J7*Pesos!$C$4+M7*Pesos!$C$5+P7*Pesos!$C$6+S7*Pesos!$C$7+V7*Pesos!$C$8+Y7*Pesos!$C$9+AB7*Pesos!$C$10),"Sin criterios aplicables")</f>
        <v/>
      </c>
      <c r="AG7" s="5">
        <f>IF(OR(AE7="Sin criterios aplicables",AE7&lt;70),"Insufficient evidence",100*(Pesos!$B$2*IF(E7=1,F7,0)+Pesos!$B$3*IF(H7=1,I7,0)+Pesos!$B$4*IF(K7=1,L7,0)+Pesos!$B$5*IF(N7=1,O7,0)+Pesos!$B$6*IF(Q7=1,R7,0)+Pesos!$B$7*IF(T7=1,U7,0)+Pesos!$B$8*IF(W7=1,X7,0)+Pesos!$B$9*IF(Z7=1,AA7,0)+Pesos!$B$10*IF(AC7=1,AD7,0))/(3*(Pesos!$B$2*E7+Pesos!$B$3*H7+Pesos!$B$4*K7+Pesos!$B$5*N7+Pesos!$B$6*Q7+Pesos!$B$7*T7+Pesos!$B$8*W7+Pesos!$B$9*Z7+Pesos!$B$10*AC7)))</f>
        <v/>
      </c>
      <c r="AH7" s="5">
        <f>IF(OR(AF7="Sin criterios aplicables",AF7&lt;70),"Insufficient evidence",100*(Pesos!$C$2*IF(E7=1,F7,0)+Pesos!$C$3*IF(H7=1,I7,0)+Pesos!$C$4*IF(K7=1,L7,0)+Pesos!$C$5*IF(N7=1,O7,0)+Pesos!$C$6*IF(Q7=1,R7,0)+Pesos!$C$7*IF(T7=1,U7,0)+Pesos!$C$8*IF(W7=1,X7,0)+Pesos!$C$9*IF(Z7=1,AA7,0)+Pesos!$C$10*IF(AC7=1,AD7,0))/(3*(Pesos!$C$2*E7+Pesos!$C$3*H7+Pesos!$C$4*K7+Pesos!$C$5*N7+Pesos!$C$6*Q7+Pesos!$C$7*T7+Pesos!$C$8*W7+Pesos!$C$9*Z7+Pesos!$C$10*AC7)))</f>
        <v/>
      </c>
      <c r="AI7">
        <f>IF(AG7="Insufficient evidence","Insufficient evidence (cobertura&lt;70%)",IF(AG7&lt;50/3,"Insufficient",IF(AG7&lt;50,"Basic",IF(AG7&lt;250/3,"Solid","Advanced"))))</f>
        <v/>
      </c>
      <c r="AJ7">
        <f>IF(AH7="Insufficient evidence","Insufficient evidence (cobertura&lt;70%)",IF(AH7&lt;50/3,"Insufficient",IF(AH7&lt;50,"Basic",IF(AH7&lt;250/3,"Solid","Advanced"))))</f>
        <v/>
      </c>
      <c r="AK7">
        <f>IF(TRIM(IF(AND(ISNUMBER(F7),F7&lt;1),"Visibilidad","") &amp; " " &amp; IF(AND(ISNUMBER(I7),I7&lt;1),"Asignación",""))="","Ninguno",TRIM(IF(AND(ISNUMBER(F7),F7&lt;1),"Visibilidad","") &amp; " " &amp; IF(AND(ISNUMBER(I7),I7&lt;1),"Asignación","")))</f>
        <v/>
      </c>
    </row>
    <row r="8">
      <c r="A8" t="inlineStr">
        <is>
          <t>E1</t>
        </is>
      </c>
      <c r="B8" t="inlineStr">
        <is>
          <t>Multicloud</t>
        </is>
      </c>
      <c r="C8" t="inlineStr">
        <is>
          <t>CloudZero</t>
        </is>
      </c>
      <c r="D8">
        <f>IF(COUNTIFS(Puntuacion!$A:$A,$A8,Puntuacion!$C:$C,$C8,Puntuacion!$D:$D,"Visibilidad",Puntuacion!$G:$G,"&lt;&gt;NA")&gt;0,1,0)</f>
        <v/>
      </c>
      <c r="E8">
        <f>IF(AND(D8=1,COUNTIFS(Puntuacion!$A:$A,$A8,Puntuacion!$C:$C,$C8,Puntuacion!$D:$D,"Visibilidad",Puntuacion!$G:$G,"NE")=0),1,0)</f>
        <v/>
      </c>
      <c r="F8" s="5">
        <f>IF(D8=0,"NA",IF(E8=0,"NE",AVERAGEIFS(Puntuacion!$G:$G,Puntuacion!$A:$A,$A8,Puntuacion!$C:$C,$C8,Puntuacion!$D:$D,"Visibilidad",Puntuacion!$G:$G,"&lt;&gt;NA",Puntuacion!$G:$G,"&lt;&gt;NE")))</f>
        <v/>
      </c>
      <c r="G8">
        <f>IF(COUNTIFS(Puntuacion!$A:$A,$A8,Puntuacion!$C:$C,$C8,Puntuacion!$D:$D,"Asignacion",Puntuacion!$G:$G,"&lt;&gt;NA")&gt;0,1,0)</f>
        <v/>
      </c>
      <c r="H8">
        <f>IF(AND(G8=1,COUNTIFS(Puntuacion!$A:$A,$A8,Puntuacion!$C:$C,$C8,Puntuacion!$D:$D,"Asignacion",Puntuacion!$G:$G,"NE")=0),1,0)</f>
        <v/>
      </c>
      <c r="I8" s="5">
        <f>IF(G8=0,"NA",IF(H8=0,"NE",AVERAGEIFS(Puntuacion!$G:$G,Puntuacion!$A:$A,$A8,Puntuacion!$C:$C,$C8,Puntuacion!$D:$D,"Asignacion",Puntuacion!$G:$G,"&lt;&gt;NA",Puntuacion!$G:$G,"&lt;&gt;NE")))</f>
        <v/>
      </c>
      <c r="J8">
        <f>IF(COUNTIFS(Puntuacion!$A:$A,$A8,Puntuacion!$C:$C,$C8,Puntuacion!$D:$D,"Optimizacion",Puntuacion!$G:$G,"&lt;&gt;NA")&gt;0,1,0)</f>
        <v/>
      </c>
      <c r="K8">
        <f>IF(AND(J8=1,COUNTIFS(Puntuacion!$A:$A,$A8,Puntuacion!$C:$C,$C8,Puntuacion!$D:$D,"Optimizacion",Puntuacion!$G:$G,"NE")=0),1,0)</f>
        <v/>
      </c>
      <c r="L8" s="5">
        <f>IF(J8=0,"NA",IF(K8=0,"NE",AVERAGEIFS(Puntuacion!$G:$G,Puntuacion!$A:$A,$A8,Puntuacion!$C:$C,$C8,Puntuacion!$D:$D,"Optimizacion",Puntuacion!$G:$G,"&lt;&gt;NA",Puntuacion!$G:$G,"&lt;&gt;NE")))</f>
        <v/>
      </c>
      <c r="M8">
        <f>IF(COUNTIFS(Puntuacion!$A:$A,$A8,Puntuacion!$C:$C,$C8,Puntuacion!$D:$D,"Automatizacion",Puntuacion!$G:$G,"&lt;&gt;NA")&gt;0,1,0)</f>
        <v/>
      </c>
      <c r="N8">
        <f>IF(AND(M8=1,COUNTIFS(Puntuacion!$A:$A,$A8,Puntuacion!$C:$C,$C8,Puntuacion!$D:$D,"Automatizacion",Puntuacion!$G:$G,"NE")=0),1,0)</f>
        <v/>
      </c>
      <c r="O8" s="5">
        <f>IF(M8=0,"NA",IF(N8=0,"NE",AVERAGEIFS(Puntuacion!$G:$G,Puntuacion!$A:$A,$A8,Puntuacion!$C:$C,$C8,Puntuacion!$D:$D,"Automatizacion",Puntuacion!$G:$G,"&lt;&gt;NA",Puntuacion!$G:$G,"&lt;&gt;NE")))</f>
        <v/>
      </c>
      <c r="P8">
        <f>IF(COUNTIFS(Puntuacion!$A:$A,$A8,Puntuacion!$C:$C,$C8,Puntuacion!$D:$D,"Multicloud",Puntuacion!$G:$G,"&lt;&gt;NA")&gt;0,1,0)</f>
        <v/>
      </c>
      <c r="Q8">
        <f>IF(AND(P8=1,COUNTIFS(Puntuacion!$A:$A,$A8,Puntuacion!$C:$C,$C8,Puntuacion!$D:$D,"Multicloud",Puntuacion!$G:$G,"NE")=0),1,0)</f>
        <v/>
      </c>
      <c r="R8" s="5">
        <f>IF(P8=0,"NA",IF(Q8=0,"NE",AVERAGEIFS(Puntuacion!$G:$G,Puntuacion!$A:$A,$A8,Puntuacion!$C:$C,$C8,Puntuacion!$D:$D,"Multicloud",Puntuacion!$G:$G,"&lt;&gt;NA",Puntuacion!$G:$G,"&lt;&gt;NE")))</f>
        <v/>
      </c>
      <c r="S8">
        <f>IF(COUNTIFS(Puntuacion!$A:$A,$A8,Puntuacion!$C:$C,$C8,Puntuacion!$D:$D,"Integracion",Puntuacion!$G:$G,"&lt;&gt;NA")&gt;0,1,0)</f>
        <v/>
      </c>
      <c r="T8">
        <f>IF(AND(S8=1,COUNTIFS(Puntuacion!$A:$A,$A8,Puntuacion!$C:$C,$C8,Puntuacion!$D:$D,"Integracion",Puntuacion!$G:$G,"NE")=0),1,0)</f>
        <v/>
      </c>
      <c r="U8" s="5">
        <f>IF(S8=0,"NA",IF(T8=0,"NE",AVERAGEIFS(Puntuacion!$G:$G,Puntuacion!$A:$A,$A8,Puntuacion!$C:$C,$C8,Puntuacion!$D:$D,"Integracion",Puntuacion!$G:$G,"&lt;&gt;NA",Puntuacion!$G:$G,"&lt;&gt;NE")))</f>
        <v/>
      </c>
      <c r="V8">
        <f>IF(COUNTIFS(Puntuacion!$A:$A,$A8,Puntuacion!$C:$C,$C8,Puntuacion!$D:$D,"Adopcion",Puntuacion!$G:$G,"&lt;&gt;NA")&gt;0,1,0)</f>
        <v/>
      </c>
      <c r="W8">
        <f>IF(AND(V8=1,COUNTIFS(Puntuacion!$A:$A,$A8,Puntuacion!$C:$C,$C8,Puntuacion!$D:$D,"Adopcion",Puntuacion!$G:$G,"NE")=0),1,0)</f>
        <v/>
      </c>
      <c r="X8" s="5">
        <f>IF(V8=0,"NA",IF(W8=0,"NE",AVERAGEIFS(Puntuacion!$G:$G,Puntuacion!$A:$A,$A8,Puntuacion!$C:$C,$C8,Puntuacion!$D:$D,"Adopcion",Puntuacion!$G:$G,"&lt;&gt;NA",Puntuacion!$G:$G,"&lt;&gt;NE")))</f>
        <v/>
      </c>
      <c r="Y8">
        <f>IF(COUNTIFS(Puntuacion!$A:$A,$A8,Puntuacion!$C:$C,$C8,Puntuacion!$D:$D,"Precio",Puntuacion!$G:$G,"&lt;&gt;NA")&gt;0,1,0)</f>
        <v/>
      </c>
      <c r="Z8">
        <f>IF(AND(Y8=1,COUNTIFS(Puntuacion!$A:$A,$A8,Puntuacion!$C:$C,$C8,Puntuacion!$D:$D,"Precio",Puntuacion!$G:$G,"NE")=0),1,0)</f>
        <v/>
      </c>
      <c r="AA8" s="5">
        <f>IF(Y8=0,"NA",IF(Z8=0,"NE",AVERAGEIFS(Puntuacion!$G:$G,Puntuacion!$A:$A,$A8,Puntuacion!$C:$C,$C8,Puntuacion!$D:$D,"Precio",Puntuacion!$G:$G,"&lt;&gt;NA",Puntuacion!$G:$G,"&lt;&gt;NE")))</f>
        <v/>
      </c>
      <c r="AB8">
        <f>IF(COUNTIFS(Puntuacion!$A:$A,$A8,Puntuacion!$C:$C,$C8,Puntuacion!$D:$D,"Dependencia",Puntuacion!$G:$G,"&lt;&gt;NA")&gt;0,1,0)</f>
        <v/>
      </c>
      <c r="AC8">
        <f>IF(AND(AB8=1,COUNTIFS(Puntuacion!$A:$A,$A8,Puntuacion!$C:$C,$C8,Puntuacion!$D:$D,"Dependencia",Puntuacion!$G:$G,"NE")=0),1,0)</f>
        <v/>
      </c>
      <c r="AD8" s="5">
        <f>IF(AB8=0,"NA",IF(AC8=0,"NE",AVERAGEIFS(Puntuacion!$G:$G,Puntuacion!$A:$A,$A8,Puntuacion!$C:$C,$C8,Puntuacion!$D:$D,"Dependencia",Puntuacion!$G:$G,"&lt;&gt;NA",Puntuacion!$G:$G,"&lt;&gt;NE")))</f>
        <v/>
      </c>
      <c r="AE8" s="5">
        <f>IFERROR(100*(E8*Pesos!$B$2+H8*Pesos!$B$3+K8*Pesos!$B$4+N8*Pesos!$B$5+Q8*Pesos!$B$6+T8*Pesos!$B$7+W8*Pesos!$B$8+Z8*Pesos!$B$9+AC8*Pesos!$B$10)/(D8*Pesos!$B$2+G8*Pesos!$B$3+J8*Pesos!$B$4+M8*Pesos!$B$5+P8*Pesos!$B$6+S8*Pesos!$B$7+V8*Pesos!$B$8+Y8*Pesos!$B$9+AB8*Pesos!$B$10),"Sin criterios aplicables")</f>
        <v/>
      </c>
      <c r="AF8" s="5">
        <f>IFERROR(100*(E8*Pesos!$C$2+H8*Pesos!$C$3+K8*Pesos!$C$4+N8*Pesos!$C$5+Q8*Pesos!$C$6+T8*Pesos!$C$7+W8*Pesos!$C$8+Z8*Pesos!$C$9+AC8*Pesos!$C$10)/(D8*Pesos!$C$2+G8*Pesos!$C$3+J8*Pesos!$C$4+M8*Pesos!$C$5+P8*Pesos!$C$6+S8*Pesos!$C$7+V8*Pesos!$C$8+Y8*Pesos!$C$9+AB8*Pesos!$C$10),"Sin criterios aplicables")</f>
        <v/>
      </c>
      <c r="AG8" s="5">
        <f>IF(OR(AE8="Sin criterios aplicables",AE8&lt;70),"Insufficient evidence",100*(Pesos!$B$2*IF(E8=1,F8,0)+Pesos!$B$3*IF(H8=1,I8,0)+Pesos!$B$4*IF(K8=1,L8,0)+Pesos!$B$5*IF(N8=1,O8,0)+Pesos!$B$6*IF(Q8=1,R8,0)+Pesos!$B$7*IF(T8=1,U8,0)+Pesos!$B$8*IF(W8=1,X8,0)+Pesos!$B$9*IF(Z8=1,AA8,0)+Pesos!$B$10*IF(AC8=1,AD8,0))/(3*(Pesos!$B$2*E8+Pesos!$B$3*H8+Pesos!$B$4*K8+Pesos!$B$5*N8+Pesos!$B$6*Q8+Pesos!$B$7*T8+Pesos!$B$8*W8+Pesos!$B$9*Z8+Pesos!$B$10*AC8)))</f>
        <v/>
      </c>
      <c r="AH8" s="5">
        <f>IF(OR(AF8="Sin criterios aplicables",AF8&lt;70),"Insufficient evidence",100*(Pesos!$C$2*IF(E8=1,F8,0)+Pesos!$C$3*IF(H8=1,I8,0)+Pesos!$C$4*IF(K8=1,L8,0)+Pesos!$C$5*IF(N8=1,O8,0)+Pesos!$C$6*IF(Q8=1,R8,0)+Pesos!$C$7*IF(T8=1,U8,0)+Pesos!$C$8*IF(W8=1,X8,0)+Pesos!$C$9*IF(Z8=1,AA8,0)+Pesos!$C$10*IF(AC8=1,AD8,0))/(3*(Pesos!$C$2*E8+Pesos!$C$3*H8+Pesos!$C$4*K8+Pesos!$C$5*N8+Pesos!$C$6*Q8+Pesos!$C$7*T8+Pesos!$C$8*W8+Pesos!$C$9*Z8+Pesos!$C$10*AC8)))</f>
        <v/>
      </c>
      <c r="AI8">
        <f>IF(AG8="Insufficient evidence","Insufficient evidence (cobertura&lt;70%)",IF(AG8&lt;50/3,"Insufficient",IF(AG8&lt;50,"Basic",IF(AG8&lt;250/3,"Solid","Advanced"))))</f>
        <v/>
      </c>
      <c r="AJ8">
        <f>IF(AH8="Insufficient evidence","Insufficient evidence (cobertura&lt;70%)",IF(AH8&lt;50/3,"Insufficient",IF(AH8&lt;50,"Basic",IF(AH8&lt;250/3,"Solid","Advanced"))))</f>
        <v/>
      </c>
      <c r="AK8">
        <f>IF(TRIM(IF(AND(ISNUMBER(F8),F8&lt;1),"Visibilidad","") &amp; " " &amp; IF(AND(ISNUMBER(I8),I8&lt;1),"Asignación",""))="","Ninguno",TRIM(IF(AND(ISNUMBER(F8),F8&lt;1),"Visibilidad","") &amp; " " &amp; IF(AND(ISNUMBER(I8),I8&lt;1),"Asignación","")))</f>
        <v/>
      </c>
    </row>
    <row r="9">
      <c r="A9" t="inlineStr">
        <is>
          <t>E1</t>
        </is>
      </c>
      <c r="B9" t="inlineStr">
        <is>
          <t>Multicloud</t>
        </is>
      </c>
      <c r="C9" t="inlineStr">
        <is>
          <t>Cloudability</t>
        </is>
      </c>
      <c r="D9">
        <f>IF(COUNTIFS(Puntuacion!$A:$A,$A9,Puntuacion!$C:$C,$C9,Puntuacion!$D:$D,"Visibilidad",Puntuacion!$G:$G,"&lt;&gt;NA")&gt;0,1,0)</f>
        <v/>
      </c>
      <c r="E9">
        <f>IF(AND(D9=1,COUNTIFS(Puntuacion!$A:$A,$A9,Puntuacion!$C:$C,$C9,Puntuacion!$D:$D,"Visibilidad",Puntuacion!$G:$G,"NE")=0),1,0)</f>
        <v/>
      </c>
      <c r="F9" s="5">
        <f>IF(D9=0,"NA",IF(E9=0,"NE",AVERAGEIFS(Puntuacion!$G:$G,Puntuacion!$A:$A,$A9,Puntuacion!$C:$C,$C9,Puntuacion!$D:$D,"Visibilidad",Puntuacion!$G:$G,"&lt;&gt;NA",Puntuacion!$G:$G,"&lt;&gt;NE")))</f>
        <v/>
      </c>
      <c r="G9">
        <f>IF(COUNTIFS(Puntuacion!$A:$A,$A9,Puntuacion!$C:$C,$C9,Puntuacion!$D:$D,"Asignacion",Puntuacion!$G:$G,"&lt;&gt;NA")&gt;0,1,0)</f>
        <v/>
      </c>
      <c r="H9">
        <f>IF(AND(G9=1,COUNTIFS(Puntuacion!$A:$A,$A9,Puntuacion!$C:$C,$C9,Puntuacion!$D:$D,"Asignacion",Puntuacion!$G:$G,"NE")=0),1,0)</f>
        <v/>
      </c>
      <c r="I9" s="5">
        <f>IF(G9=0,"NA",IF(H9=0,"NE",AVERAGEIFS(Puntuacion!$G:$G,Puntuacion!$A:$A,$A9,Puntuacion!$C:$C,$C9,Puntuacion!$D:$D,"Asignacion",Puntuacion!$G:$G,"&lt;&gt;NA",Puntuacion!$G:$G,"&lt;&gt;NE")))</f>
        <v/>
      </c>
      <c r="J9">
        <f>IF(COUNTIFS(Puntuacion!$A:$A,$A9,Puntuacion!$C:$C,$C9,Puntuacion!$D:$D,"Optimizacion",Puntuacion!$G:$G,"&lt;&gt;NA")&gt;0,1,0)</f>
        <v/>
      </c>
      <c r="K9">
        <f>IF(AND(J9=1,COUNTIFS(Puntuacion!$A:$A,$A9,Puntuacion!$C:$C,$C9,Puntuacion!$D:$D,"Optimizacion",Puntuacion!$G:$G,"NE")=0),1,0)</f>
        <v/>
      </c>
      <c r="L9" s="5">
        <f>IF(J9=0,"NA",IF(K9=0,"NE",AVERAGEIFS(Puntuacion!$G:$G,Puntuacion!$A:$A,$A9,Puntuacion!$C:$C,$C9,Puntuacion!$D:$D,"Optimizacion",Puntuacion!$G:$G,"&lt;&gt;NA",Puntuacion!$G:$G,"&lt;&gt;NE")))</f>
        <v/>
      </c>
      <c r="M9">
        <f>IF(COUNTIFS(Puntuacion!$A:$A,$A9,Puntuacion!$C:$C,$C9,Puntuacion!$D:$D,"Automatizacion",Puntuacion!$G:$G,"&lt;&gt;NA")&gt;0,1,0)</f>
        <v/>
      </c>
      <c r="N9">
        <f>IF(AND(M9=1,COUNTIFS(Puntuacion!$A:$A,$A9,Puntuacion!$C:$C,$C9,Puntuacion!$D:$D,"Automatizacion",Puntuacion!$G:$G,"NE")=0),1,0)</f>
        <v/>
      </c>
      <c r="O9" s="5">
        <f>IF(M9=0,"NA",IF(N9=0,"NE",AVERAGEIFS(Puntuacion!$G:$G,Puntuacion!$A:$A,$A9,Puntuacion!$C:$C,$C9,Puntuacion!$D:$D,"Automatizacion",Puntuacion!$G:$G,"&lt;&gt;NA",Puntuacion!$G:$G,"&lt;&gt;NE")))</f>
        <v/>
      </c>
      <c r="P9">
        <f>IF(COUNTIFS(Puntuacion!$A:$A,$A9,Puntuacion!$C:$C,$C9,Puntuacion!$D:$D,"Multicloud",Puntuacion!$G:$G,"&lt;&gt;NA")&gt;0,1,0)</f>
        <v/>
      </c>
      <c r="Q9">
        <f>IF(AND(P9=1,COUNTIFS(Puntuacion!$A:$A,$A9,Puntuacion!$C:$C,$C9,Puntuacion!$D:$D,"Multicloud",Puntuacion!$G:$G,"NE")=0),1,0)</f>
        <v/>
      </c>
      <c r="R9" s="5">
        <f>IF(P9=0,"NA",IF(Q9=0,"NE",AVERAGEIFS(Puntuacion!$G:$G,Puntuacion!$A:$A,$A9,Puntuacion!$C:$C,$C9,Puntuacion!$D:$D,"Multicloud",Puntuacion!$G:$G,"&lt;&gt;NA",Puntuacion!$G:$G,"&lt;&gt;NE")))</f>
        <v/>
      </c>
      <c r="S9">
        <f>IF(COUNTIFS(Puntuacion!$A:$A,$A9,Puntuacion!$C:$C,$C9,Puntuacion!$D:$D,"Integracion",Puntuacion!$G:$G,"&lt;&gt;NA")&gt;0,1,0)</f>
        <v/>
      </c>
      <c r="T9">
        <f>IF(AND(S9=1,COUNTIFS(Puntuacion!$A:$A,$A9,Puntuacion!$C:$C,$C9,Puntuacion!$D:$D,"Integracion",Puntuacion!$G:$G,"NE")=0),1,0)</f>
        <v/>
      </c>
      <c r="U9" s="5">
        <f>IF(S9=0,"NA",IF(T9=0,"NE",AVERAGEIFS(Puntuacion!$G:$G,Puntuacion!$A:$A,$A9,Puntuacion!$C:$C,$C9,Puntuacion!$D:$D,"Integracion",Puntuacion!$G:$G,"&lt;&gt;NA",Puntuacion!$G:$G,"&lt;&gt;NE")))</f>
        <v/>
      </c>
      <c r="V9">
        <f>IF(COUNTIFS(Puntuacion!$A:$A,$A9,Puntuacion!$C:$C,$C9,Puntuacion!$D:$D,"Adopcion",Puntuacion!$G:$G,"&lt;&gt;NA")&gt;0,1,0)</f>
        <v/>
      </c>
      <c r="W9">
        <f>IF(AND(V9=1,COUNTIFS(Puntuacion!$A:$A,$A9,Puntuacion!$C:$C,$C9,Puntuacion!$D:$D,"Adopcion",Puntuacion!$G:$G,"NE")=0),1,0)</f>
        <v/>
      </c>
      <c r="X9" s="5">
        <f>IF(V9=0,"NA",IF(W9=0,"NE",AVERAGEIFS(Puntuacion!$G:$G,Puntuacion!$A:$A,$A9,Puntuacion!$C:$C,$C9,Puntuacion!$D:$D,"Adopcion",Puntuacion!$G:$G,"&lt;&gt;NA",Puntuacion!$G:$G,"&lt;&gt;NE")))</f>
        <v/>
      </c>
      <c r="Y9">
        <f>IF(COUNTIFS(Puntuacion!$A:$A,$A9,Puntuacion!$C:$C,$C9,Puntuacion!$D:$D,"Precio",Puntuacion!$G:$G,"&lt;&gt;NA")&gt;0,1,0)</f>
        <v/>
      </c>
      <c r="Z9">
        <f>IF(AND(Y9=1,COUNTIFS(Puntuacion!$A:$A,$A9,Puntuacion!$C:$C,$C9,Puntuacion!$D:$D,"Precio",Puntuacion!$G:$G,"NE")=0),1,0)</f>
        <v/>
      </c>
      <c r="AA9" s="5">
        <f>IF(Y9=0,"NA",IF(Z9=0,"NE",AVERAGEIFS(Puntuacion!$G:$G,Puntuacion!$A:$A,$A9,Puntuacion!$C:$C,$C9,Puntuacion!$D:$D,"Precio",Puntuacion!$G:$G,"&lt;&gt;NA",Puntuacion!$G:$G,"&lt;&gt;NE")))</f>
        <v/>
      </c>
      <c r="AB9">
        <f>IF(COUNTIFS(Puntuacion!$A:$A,$A9,Puntuacion!$C:$C,$C9,Puntuacion!$D:$D,"Dependencia",Puntuacion!$G:$G,"&lt;&gt;NA")&gt;0,1,0)</f>
        <v/>
      </c>
      <c r="AC9">
        <f>IF(AND(AB9=1,COUNTIFS(Puntuacion!$A:$A,$A9,Puntuacion!$C:$C,$C9,Puntuacion!$D:$D,"Dependencia",Puntuacion!$G:$G,"NE")=0),1,0)</f>
        <v/>
      </c>
      <c r="AD9" s="5">
        <f>IF(AB9=0,"NA",IF(AC9=0,"NE",AVERAGEIFS(Puntuacion!$G:$G,Puntuacion!$A:$A,$A9,Puntuacion!$C:$C,$C9,Puntuacion!$D:$D,"Dependencia",Puntuacion!$G:$G,"&lt;&gt;NA",Puntuacion!$G:$G,"&lt;&gt;NE")))</f>
        <v/>
      </c>
      <c r="AE9" s="5">
        <f>IFERROR(100*(E9*Pesos!$B$2+H9*Pesos!$B$3+K9*Pesos!$B$4+N9*Pesos!$B$5+Q9*Pesos!$B$6+T9*Pesos!$B$7+W9*Pesos!$B$8+Z9*Pesos!$B$9+AC9*Pesos!$B$10)/(D9*Pesos!$B$2+G9*Pesos!$B$3+J9*Pesos!$B$4+M9*Pesos!$B$5+P9*Pesos!$B$6+S9*Pesos!$B$7+V9*Pesos!$B$8+Y9*Pesos!$B$9+AB9*Pesos!$B$10),"Sin criterios aplicables")</f>
        <v/>
      </c>
      <c r="AF9" s="5">
        <f>IFERROR(100*(E9*Pesos!$C$2+H9*Pesos!$C$3+K9*Pesos!$C$4+N9*Pesos!$C$5+Q9*Pesos!$C$6+T9*Pesos!$C$7+W9*Pesos!$C$8+Z9*Pesos!$C$9+AC9*Pesos!$C$10)/(D9*Pesos!$C$2+G9*Pesos!$C$3+J9*Pesos!$C$4+M9*Pesos!$C$5+P9*Pesos!$C$6+S9*Pesos!$C$7+V9*Pesos!$C$8+Y9*Pesos!$C$9+AB9*Pesos!$C$10),"Sin criterios aplicables")</f>
        <v/>
      </c>
      <c r="AG9" s="5">
        <f>IF(OR(AE9="Sin criterios aplicables",AE9&lt;70),"Insufficient evidence",100*(Pesos!$B$2*IF(E9=1,F9,0)+Pesos!$B$3*IF(H9=1,I9,0)+Pesos!$B$4*IF(K9=1,L9,0)+Pesos!$B$5*IF(N9=1,O9,0)+Pesos!$B$6*IF(Q9=1,R9,0)+Pesos!$B$7*IF(T9=1,U9,0)+Pesos!$B$8*IF(W9=1,X9,0)+Pesos!$B$9*IF(Z9=1,AA9,0)+Pesos!$B$10*IF(AC9=1,AD9,0))/(3*(Pesos!$B$2*E9+Pesos!$B$3*H9+Pesos!$B$4*K9+Pesos!$B$5*N9+Pesos!$B$6*Q9+Pesos!$B$7*T9+Pesos!$B$8*W9+Pesos!$B$9*Z9+Pesos!$B$10*AC9)))</f>
        <v/>
      </c>
      <c r="AH9" s="5">
        <f>IF(OR(AF9="Sin criterios aplicables",AF9&lt;70),"Insufficient evidence",100*(Pesos!$C$2*IF(E9=1,F9,0)+Pesos!$C$3*IF(H9=1,I9,0)+Pesos!$C$4*IF(K9=1,L9,0)+Pesos!$C$5*IF(N9=1,O9,0)+Pesos!$C$6*IF(Q9=1,R9,0)+Pesos!$C$7*IF(T9=1,U9,0)+Pesos!$C$8*IF(W9=1,X9,0)+Pesos!$C$9*IF(Z9=1,AA9,0)+Pesos!$C$10*IF(AC9=1,AD9,0))/(3*(Pesos!$C$2*E9+Pesos!$C$3*H9+Pesos!$C$4*K9+Pesos!$C$5*N9+Pesos!$C$6*Q9+Pesos!$C$7*T9+Pesos!$C$8*W9+Pesos!$C$9*Z9+Pesos!$C$10*AC9)))</f>
        <v/>
      </c>
      <c r="AI9">
        <f>IF(AG9="Insufficient evidence","Insufficient evidence (cobertura&lt;70%)",IF(AG9&lt;50/3,"Insufficient",IF(AG9&lt;50,"Basic",IF(AG9&lt;250/3,"Solid","Advanced"))))</f>
        <v/>
      </c>
      <c r="AJ9">
        <f>IF(AH9="Insufficient evidence","Insufficient evidence (cobertura&lt;70%)",IF(AH9&lt;50/3,"Insufficient",IF(AH9&lt;50,"Basic",IF(AH9&lt;250/3,"Solid","Advanced"))))</f>
        <v/>
      </c>
      <c r="AK9">
        <f>IF(TRIM(IF(AND(ISNUMBER(F9),F9&lt;1),"Visibilidad","") &amp; " " &amp; IF(AND(ISNUMBER(I9),I9&lt;1),"Asignación",""))="","Ninguno",TRIM(IF(AND(ISNUMBER(F9),F9&lt;1),"Visibilidad","") &amp; " " &amp; IF(AND(ISNUMBER(I9),I9&lt;1),"Asignación","")))</f>
        <v/>
      </c>
    </row>
    <row r="10">
      <c r="A10" t="inlineStr">
        <is>
          <t>E1</t>
        </is>
      </c>
      <c r="B10" t="inlineStr">
        <is>
          <t>Multicloud</t>
        </is>
      </c>
      <c r="C10" t="inlineStr">
        <is>
          <t>Finout</t>
        </is>
      </c>
      <c r="D10">
        <f>IF(COUNTIFS(Puntuacion!$A:$A,$A10,Puntuacion!$C:$C,$C10,Puntuacion!$D:$D,"Visibilidad",Puntuacion!$G:$G,"&lt;&gt;NA")&gt;0,1,0)</f>
        <v/>
      </c>
      <c r="E10">
        <f>IF(AND(D10=1,COUNTIFS(Puntuacion!$A:$A,$A10,Puntuacion!$C:$C,$C10,Puntuacion!$D:$D,"Visibilidad",Puntuacion!$G:$G,"NE")=0),1,0)</f>
        <v/>
      </c>
      <c r="F10" s="5">
        <f>IF(D10=0,"NA",IF(E10=0,"NE",AVERAGEIFS(Puntuacion!$G:$G,Puntuacion!$A:$A,$A10,Puntuacion!$C:$C,$C10,Puntuacion!$D:$D,"Visibilidad",Puntuacion!$G:$G,"&lt;&gt;NA",Puntuacion!$G:$G,"&lt;&gt;NE")))</f>
        <v/>
      </c>
      <c r="G10">
        <f>IF(COUNTIFS(Puntuacion!$A:$A,$A10,Puntuacion!$C:$C,$C10,Puntuacion!$D:$D,"Asignacion",Puntuacion!$G:$G,"&lt;&gt;NA")&gt;0,1,0)</f>
        <v/>
      </c>
      <c r="H10">
        <f>IF(AND(G10=1,COUNTIFS(Puntuacion!$A:$A,$A10,Puntuacion!$C:$C,$C10,Puntuacion!$D:$D,"Asignacion",Puntuacion!$G:$G,"NE")=0),1,0)</f>
        <v/>
      </c>
      <c r="I10" s="5">
        <f>IF(G10=0,"NA",IF(H10=0,"NE",AVERAGEIFS(Puntuacion!$G:$G,Puntuacion!$A:$A,$A10,Puntuacion!$C:$C,$C10,Puntuacion!$D:$D,"Asignacion",Puntuacion!$G:$G,"&lt;&gt;NA",Puntuacion!$G:$G,"&lt;&gt;NE")))</f>
        <v/>
      </c>
      <c r="J10">
        <f>IF(COUNTIFS(Puntuacion!$A:$A,$A10,Puntuacion!$C:$C,$C10,Puntuacion!$D:$D,"Optimizacion",Puntuacion!$G:$G,"&lt;&gt;NA")&gt;0,1,0)</f>
        <v/>
      </c>
      <c r="K10">
        <f>IF(AND(J10=1,COUNTIFS(Puntuacion!$A:$A,$A10,Puntuacion!$C:$C,$C10,Puntuacion!$D:$D,"Optimizacion",Puntuacion!$G:$G,"NE")=0),1,0)</f>
        <v/>
      </c>
      <c r="L10" s="5">
        <f>IF(J10=0,"NA",IF(K10=0,"NE",AVERAGEIFS(Puntuacion!$G:$G,Puntuacion!$A:$A,$A10,Puntuacion!$C:$C,$C10,Puntuacion!$D:$D,"Optimizacion",Puntuacion!$G:$G,"&lt;&gt;NA",Puntuacion!$G:$G,"&lt;&gt;NE")))</f>
        <v/>
      </c>
      <c r="M10">
        <f>IF(COUNTIFS(Puntuacion!$A:$A,$A10,Puntuacion!$C:$C,$C10,Puntuacion!$D:$D,"Automatizacion",Puntuacion!$G:$G,"&lt;&gt;NA")&gt;0,1,0)</f>
        <v/>
      </c>
      <c r="N10">
        <f>IF(AND(M10=1,COUNTIFS(Puntuacion!$A:$A,$A10,Puntuacion!$C:$C,$C10,Puntuacion!$D:$D,"Automatizacion",Puntuacion!$G:$G,"NE")=0),1,0)</f>
        <v/>
      </c>
      <c r="O10" s="5">
        <f>IF(M10=0,"NA",IF(N10=0,"NE",AVERAGEIFS(Puntuacion!$G:$G,Puntuacion!$A:$A,$A10,Puntuacion!$C:$C,$C10,Puntuacion!$D:$D,"Automatizacion",Puntuacion!$G:$G,"&lt;&gt;NA",Puntuacion!$G:$G,"&lt;&gt;NE")))</f>
        <v/>
      </c>
      <c r="P10">
        <f>IF(COUNTIFS(Puntuacion!$A:$A,$A10,Puntuacion!$C:$C,$C10,Puntuacion!$D:$D,"Multicloud",Puntuacion!$G:$G,"&lt;&gt;NA")&gt;0,1,0)</f>
        <v/>
      </c>
      <c r="Q10">
        <f>IF(AND(P10=1,COUNTIFS(Puntuacion!$A:$A,$A10,Puntuacion!$C:$C,$C10,Puntuacion!$D:$D,"Multicloud",Puntuacion!$G:$G,"NE")=0),1,0)</f>
        <v/>
      </c>
      <c r="R10" s="5">
        <f>IF(P10=0,"NA",IF(Q10=0,"NE",AVERAGEIFS(Puntuacion!$G:$G,Puntuacion!$A:$A,$A10,Puntuacion!$C:$C,$C10,Puntuacion!$D:$D,"Multicloud",Puntuacion!$G:$G,"&lt;&gt;NA",Puntuacion!$G:$G,"&lt;&gt;NE")))</f>
        <v/>
      </c>
      <c r="S10">
        <f>IF(COUNTIFS(Puntuacion!$A:$A,$A10,Puntuacion!$C:$C,$C10,Puntuacion!$D:$D,"Integracion",Puntuacion!$G:$G,"&lt;&gt;NA")&gt;0,1,0)</f>
        <v/>
      </c>
      <c r="T10">
        <f>IF(AND(S10=1,COUNTIFS(Puntuacion!$A:$A,$A10,Puntuacion!$C:$C,$C10,Puntuacion!$D:$D,"Integracion",Puntuacion!$G:$G,"NE")=0),1,0)</f>
        <v/>
      </c>
      <c r="U10" s="5">
        <f>IF(S10=0,"NA",IF(T10=0,"NE",AVERAGEIFS(Puntuacion!$G:$G,Puntuacion!$A:$A,$A10,Puntuacion!$C:$C,$C10,Puntuacion!$D:$D,"Integracion",Puntuacion!$G:$G,"&lt;&gt;NA",Puntuacion!$G:$G,"&lt;&gt;NE")))</f>
        <v/>
      </c>
      <c r="V10">
        <f>IF(COUNTIFS(Puntuacion!$A:$A,$A10,Puntuacion!$C:$C,$C10,Puntuacion!$D:$D,"Adopcion",Puntuacion!$G:$G,"&lt;&gt;NA")&gt;0,1,0)</f>
        <v/>
      </c>
      <c r="W10">
        <f>IF(AND(V10=1,COUNTIFS(Puntuacion!$A:$A,$A10,Puntuacion!$C:$C,$C10,Puntuacion!$D:$D,"Adopcion",Puntuacion!$G:$G,"NE")=0),1,0)</f>
        <v/>
      </c>
      <c r="X10" s="5">
        <f>IF(V10=0,"NA",IF(W10=0,"NE",AVERAGEIFS(Puntuacion!$G:$G,Puntuacion!$A:$A,$A10,Puntuacion!$C:$C,$C10,Puntuacion!$D:$D,"Adopcion",Puntuacion!$G:$G,"&lt;&gt;NA",Puntuacion!$G:$G,"&lt;&gt;NE")))</f>
        <v/>
      </c>
      <c r="Y10">
        <f>IF(COUNTIFS(Puntuacion!$A:$A,$A10,Puntuacion!$C:$C,$C10,Puntuacion!$D:$D,"Precio",Puntuacion!$G:$G,"&lt;&gt;NA")&gt;0,1,0)</f>
        <v/>
      </c>
      <c r="Z10">
        <f>IF(AND(Y10=1,COUNTIFS(Puntuacion!$A:$A,$A10,Puntuacion!$C:$C,$C10,Puntuacion!$D:$D,"Precio",Puntuacion!$G:$G,"NE")=0),1,0)</f>
        <v/>
      </c>
      <c r="AA10" s="5">
        <f>IF(Y10=0,"NA",IF(Z10=0,"NE",AVERAGEIFS(Puntuacion!$G:$G,Puntuacion!$A:$A,$A10,Puntuacion!$C:$C,$C10,Puntuacion!$D:$D,"Precio",Puntuacion!$G:$G,"&lt;&gt;NA",Puntuacion!$G:$G,"&lt;&gt;NE")))</f>
        <v/>
      </c>
      <c r="AB10">
        <f>IF(COUNTIFS(Puntuacion!$A:$A,$A10,Puntuacion!$C:$C,$C10,Puntuacion!$D:$D,"Dependencia",Puntuacion!$G:$G,"&lt;&gt;NA")&gt;0,1,0)</f>
        <v/>
      </c>
      <c r="AC10">
        <f>IF(AND(AB10=1,COUNTIFS(Puntuacion!$A:$A,$A10,Puntuacion!$C:$C,$C10,Puntuacion!$D:$D,"Dependencia",Puntuacion!$G:$G,"NE")=0),1,0)</f>
        <v/>
      </c>
      <c r="AD10" s="5">
        <f>IF(AB10=0,"NA",IF(AC10=0,"NE",AVERAGEIFS(Puntuacion!$G:$G,Puntuacion!$A:$A,$A10,Puntuacion!$C:$C,$C10,Puntuacion!$D:$D,"Dependencia",Puntuacion!$G:$G,"&lt;&gt;NA",Puntuacion!$G:$G,"&lt;&gt;NE")))</f>
        <v/>
      </c>
      <c r="AE10" s="5">
        <f>IFERROR(100*(E10*Pesos!$B$2+H10*Pesos!$B$3+K10*Pesos!$B$4+N10*Pesos!$B$5+Q10*Pesos!$B$6+T10*Pesos!$B$7+W10*Pesos!$B$8+Z10*Pesos!$B$9+AC10*Pesos!$B$10)/(D10*Pesos!$B$2+G10*Pesos!$B$3+J10*Pesos!$B$4+M10*Pesos!$B$5+P10*Pesos!$B$6+S10*Pesos!$B$7+V10*Pesos!$B$8+Y10*Pesos!$B$9+AB10*Pesos!$B$10),"Sin criterios aplicables")</f>
        <v/>
      </c>
      <c r="AF10" s="5">
        <f>IFERROR(100*(E10*Pesos!$C$2+H10*Pesos!$C$3+K10*Pesos!$C$4+N10*Pesos!$C$5+Q10*Pesos!$C$6+T10*Pesos!$C$7+W10*Pesos!$C$8+Z10*Pesos!$C$9+AC10*Pesos!$C$10)/(D10*Pesos!$C$2+G10*Pesos!$C$3+J10*Pesos!$C$4+M10*Pesos!$C$5+P10*Pesos!$C$6+S10*Pesos!$C$7+V10*Pesos!$C$8+Y10*Pesos!$C$9+AB10*Pesos!$C$10),"Sin criterios aplicables")</f>
        <v/>
      </c>
      <c r="AG10" s="5">
        <f>IF(OR(AE10="Sin criterios aplicables",AE10&lt;70),"Insufficient evidence",100*(Pesos!$B$2*IF(E10=1,F10,0)+Pesos!$B$3*IF(H10=1,I10,0)+Pesos!$B$4*IF(K10=1,L10,0)+Pesos!$B$5*IF(N10=1,O10,0)+Pesos!$B$6*IF(Q10=1,R10,0)+Pesos!$B$7*IF(T10=1,U10,0)+Pesos!$B$8*IF(W10=1,X10,0)+Pesos!$B$9*IF(Z10=1,AA10,0)+Pesos!$B$10*IF(AC10=1,AD10,0))/(3*(Pesos!$B$2*E10+Pesos!$B$3*H10+Pesos!$B$4*K10+Pesos!$B$5*N10+Pesos!$B$6*Q10+Pesos!$B$7*T10+Pesos!$B$8*W10+Pesos!$B$9*Z10+Pesos!$B$10*AC10)))</f>
        <v/>
      </c>
      <c r="AH10" s="5">
        <f>IF(OR(AF10="Sin criterios aplicables",AF10&lt;70),"Insufficient evidence",100*(Pesos!$C$2*IF(E10=1,F10,0)+Pesos!$C$3*IF(H10=1,I10,0)+Pesos!$C$4*IF(K10=1,L10,0)+Pesos!$C$5*IF(N10=1,O10,0)+Pesos!$C$6*IF(Q10=1,R10,0)+Pesos!$C$7*IF(T10=1,U10,0)+Pesos!$C$8*IF(W10=1,X10,0)+Pesos!$C$9*IF(Z10=1,AA10,0)+Pesos!$C$10*IF(AC10=1,AD10,0))/(3*(Pesos!$C$2*E10+Pesos!$C$3*H10+Pesos!$C$4*K10+Pesos!$C$5*N10+Pesos!$C$6*Q10+Pesos!$C$7*T10+Pesos!$C$8*W10+Pesos!$C$9*Z10+Pesos!$C$10*AC10)))</f>
        <v/>
      </c>
      <c r="AI10">
        <f>IF(AG10="Insufficient evidence","Insufficient evidence (cobertura&lt;70%)",IF(AG10&lt;50/3,"Insufficient",IF(AG10&lt;50,"Basic",IF(AG10&lt;250/3,"Solid","Advanced"))))</f>
        <v/>
      </c>
      <c r="AJ10">
        <f>IF(AH10="Insufficient evidence","Insufficient evidence (cobertura&lt;70%)",IF(AH10&lt;50/3,"Insufficient",IF(AH10&lt;50,"Basic",IF(AH10&lt;250/3,"Solid","Advanced"))))</f>
        <v/>
      </c>
      <c r="AK10">
        <f>IF(TRIM(IF(AND(ISNUMBER(F10),F10&lt;1),"Visibilidad","") &amp; " " &amp; IF(AND(ISNUMBER(I10),I10&lt;1),"Asignación",""))="","Ninguno",TRIM(IF(AND(ISNUMBER(F10),F10&lt;1),"Visibilidad","") &amp; " " &amp; IF(AND(ISNUMBER(I10),I10&lt;1),"Asignación","")))</f>
        <v/>
      </c>
    </row>
    <row r="11">
      <c r="A11" t="inlineStr">
        <is>
          <t>E1</t>
        </is>
      </c>
      <c r="B11" t="inlineStr">
        <is>
          <t>Multicloud</t>
        </is>
      </c>
      <c r="C11" t="inlineStr">
        <is>
          <t>Vantage</t>
        </is>
      </c>
      <c r="D11">
        <f>IF(COUNTIFS(Puntuacion!$A:$A,$A11,Puntuacion!$C:$C,$C11,Puntuacion!$D:$D,"Visibilidad",Puntuacion!$G:$G,"&lt;&gt;NA")&gt;0,1,0)</f>
        <v/>
      </c>
      <c r="E11">
        <f>IF(AND(D11=1,COUNTIFS(Puntuacion!$A:$A,$A11,Puntuacion!$C:$C,$C11,Puntuacion!$D:$D,"Visibilidad",Puntuacion!$G:$G,"NE")=0),1,0)</f>
        <v/>
      </c>
      <c r="F11" s="5">
        <f>IF(D11=0,"NA",IF(E11=0,"NE",AVERAGEIFS(Puntuacion!$G:$G,Puntuacion!$A:$A,$A11,Puntuacion!$C:$C,$C11,Puntuacion!$D:$D,"Visibilidad",Puntuacion!$G:$G,"&lt;&gt;NA",Puntuacion!$G:$G,"&lt;&gt;NE")))</f>
        <v/>
      </c>
      <c r="G11">
        <f>IF(COUNTIFS(Puntuacion!$A:$A,$A11,Puntuacion!$C:$C,$C11,Puntuacion!$D:$D,"Asignacion",Puntuacion!$G:$G,"&lt;&gt;NA")&gt;0,1,0)</f>
        <v/>
      </c>
      <c r="H11">
        <f>IF(AND(G11=1,COUNTIFS(Puntuacion!$A:$A,$A11,Puntuacion!$C:$C,$C11,Puntuacion!$D:$D,"Asignacion",Puntuacion!$G:$G,"NE")=0),1,0)</f>
        <v/>
      </c>
      <c r="I11" s="5">
        <f>IF(G11=0,"NA",IF(H11=0,"NE",AVERAGEIFS(Puntuacion!$G:$G,Puntuacion!$A:$A,$A11,Puntuacion!$C:$C,$C11,Puntuacion!$D:$D,"Asignacion",Puntuacion!$G:$G,"&lt;&gt;NA",Puntuacion!$G:$G,"&lt;&gt;NE")))</f>
        <v/>
      </c>
      <c r="J11">
        <f>IF(COUNTIFS(Puntuacion!$A:$A,$A11,Puntuacion!$C:$C,$C11,Puntuacion!$D:$D,"Optimizacion",Puntuacion!$G:$G,"&lt;&gt;NA")&gt;0,1,0)</f>
        <v/>
      </c>
      <c r="K11">
        <f>IF(AND(J11=1,COUNTIFS(Puntuacion!$A:$A,$A11,Puntuacion!$C:$C,$C11,Puntuacion!$D:$D,"Optimizacion",Puntuacion!$G:$G,"NE")=0),1,0)</f>
        <v/>
      </c>
      <c r="L11" s="5">
        <f>IF(J11=0,"NA",IF(K11=0,"NE",AVERAGEIFS(Puntuacion!$G:$G,Puntuacion!$A:$A,$A11,Puntuacion!$C:$C,$C11,Puntuacion!$D:$D,"Optimizacion",Puntuacion!$G:$G,"&lt;&gt;NA",Puntuacion!$G:$G,"&lt;&gt;NE")))</f>
        <v/>
      </c>
      <c r="M11">
        <f>IF(COUNTIFS(Puntuacion!$A:$A,$A11,Puntuacion!$C:$C,$C11,Puntuacion!$D:$D,"Automatizacion",Puntuacion!$G:$G,"&lt;&gt;NA")&gt;0,1,0)</f>
        <v/>
      </c>
      <c r="N11">
        <f>IF(AND(M11=1,COUNTIFS(Puntuacion!$A:$A,$A11,Puntuacion!$C:$C,$C11,Puntuacion!$D:$D,"Automatizacion",Puntuacion!$G:$G,"NE")=0),1,0)</f>
        <v/>
      </c>
      <c r="O11" s="5">
        <f>IF(M11=0,"NA",IF(N11=0,"NE",AVERAGEIFS(Puntuacion!$G:$G,Puntuacion!$A:$A,$A11,Puntuacion!$C:$C,$C11,Puntuacion!$D:$D,"Automatizacion",Puntuacion!$G:$G,"&lt;&gt;NA",Puntuacion!$G:$G,"&lt;&gt;NE")))</f>
        <v/>
      </c>
      <c r="P11">
        <f>IF(COUNTIFS(Puntuacion!$A:$A,$A11,Puntuacion!$C:$C,$C11,Puntuacion!$D:$D,"Multicloud",Puntuacion!$G:$G,"&lt;&gt;NA")&gt;0,1,0)</f>
        <v/>
      </c>
      <c r="Q11">
        <f>IF(AND(P11=1,COUNTIFS(Puntuacion!$A:$A,$A11,Puntuacion!$C:$C,$C11,Puntuacion!$D:$D,"Multicloud",Puntuacion!$G:$G,"NE")=0),1,0)</f>
        <v/>
      </c>
      <c r="R11" s="5">
        <f>IF(P11=0,"NA",IF(Q11=0,"NE",AVERAGEIFS(Puntuacion!$G:$G,Puntuacion!$A:$A,$A11,Puntuacion!$C:$C,$C11,Puntuacion!$D:$D,"Multicloud",Puntuacion!$G:$G,"&lt;&gt;NA",Puntuacion!$G:$G,"&lt;&gt;NE")))</f>
        <v/>
      </c>
      <c r="S11">
        <f>IF(COUNTIFS(Puntuacion!$A:$A,$A11,Puntuacion!$C:$C,$C11,Puntuacion!$D:$D,"Integracion",Puntuacion!$G:$G,"&lt;&gt;NA")&gt;0,1,0)</f>
        <v/>
      </c>
      <c r="T11">
        <f>IF(AND(S11=1,COUNTIFS(Puntuacion!$A:$A,$A11,Puntuacion!$C:$C,$C11,Puntuacion!$D:$D,"Integracion",Puntuacion!$G:$G,"NE")=0),1,0)</f>
        <v/>
      </c>
      <c r="U11" s="5">
        <f>IF(S11=0,"NA",IF(T11=0,"NE",AVERAGEIFS(Puntuacion!$G:$G,Puntuacion!$A:$A,$A11,Puntuacion!$C:$C,$C11,Puntuacion!$D:$D,"Integracion",Puntuacion!$G:$G,"&lt;&gt;NA",Puntuacion!$G:$G,"&lt;&gt;NE")))</f>
        <v/>
      </c>
      <c r="V11">
        <f>IF(COUNTIFS(Puntuacion!$A:$A,$A11,Puntuacion!$C:$C,$C11,Puntuacion!$D:$D,"Adopcion",Puntuacion!$G:$G,"&lt;&gt;NA")&gt;0,1,0)</f>
        <v/>
      </c>
      <c r="W11">
        <f>IF(AND(V11=1,COUNTIFS(Puntuacion!$A:$A,$A11,Puntuacion!$C:$C,$C11,Puntuacion!$D:$D,"Adopcion",Puntuacion!$G:$G,"NE")=0),1,0)</f>
        <v/>
      </c>
      <c r="X11" s="5">
        <f>IF(V11=0,"NA",IF(W11=0,"NE",AVERAGEIFS(Puntuacion!$G:$G,Puntuacion!$A:$A,$A11,Puntuacion!$C:$C,$C11,Puntuacion!$D:$D,"Adopcion",Puntuacion!$G:$G,"&lt;&gt;NA",Puntuacion!$G:$G,"&lt;&gt;NE")))</f>
        <v/>
      </c>
      <c r="Y11">
        <f>IF(COUNTIFS(Puntuacion!$A:$A,$A11,Puntuacion!$C:$C,$C11,Puntuacion!$D:$D,"Precio",Puntuacion!$G:$G,"&lt;&gt;NA")&gt;0,1,0)</f>
        <v/>
      </c>
      <c r="Z11">
        <f>IF(AND(Y11=1,COUNTIFS(Puntuacion!$A:$A,$A11,Puntuacion!$C:$C,$C11,Puntuacion!$D:$D,"Precio",Puntuacion!$G:$G,"NE")=0),1,0)</f>
        <v/>
      </c>
      <c r="AA11" s="5">
        <f>IF(Y11=0,"NA",IF(Z11=0,"NE",AVERAGEIFS(Puntuacion!$G:$G,Puntuacion!$A:$A,$A11,Puntuacion!$C:$C,$C11,Puntuacion!$D:$D,"Precio",Puntuacion!$G:$G,"&lt;&gt;NA",Puntuacion!$G:$G,"&lt;&gt;NE")))</f>
        <v/>
      </c>
      <c r="AB11">
        <f>IF(COUNTIFS(Puntuacion!$A:$A,$A11,Puntuacion!$C:$C,$C11,Puntuacion!$D:$D,"Dependencia",Puntuacion!$G:$G,"&lt;&gt;NA")&gt;0,1,0)</f>
        <v/>
      </c>
      <c r="AC11">
        <f>IF(AND(AB11=1,COUNTIFS(Puntuacion!$A:$A,$A11,Puntuacion!$C:$C,$C11,Puntuacion!$D:$D,"Dependencia",Puntuacion!$G:$G,"NE")=0),1,0)</f>
        <v/>
      </c>
      <c r="AD11" s="5">
        <f>IF(AB11=0,"NA",IF(AC11=0,"NE",AVERAGEIFS(Puntuacion!$G:$G,Puntuacion!$A:$A,$A11,Puntuacion!$C:$C,$C11,Puntuacion!$D:$D,"Dependencia",Puntuacion!$G:$G,"&lt;&gt;NA",Puntuacion!$G:$G,"&lt;&gt;NE")))</f>
        <v/>
      </c>
      <c r="AE11" s="5">
        <f>IFERROR(100*(E11*Pesos!$B$2+H11*Pesos!$B$3+K11*Pesos!$B$4+N11*Pesos!$B$5+Q11*Pesos!$B$6+T11*Pesos!$B$7+W11*Pesos!$B$8+Z11*Pesos!$B$9+AC11*Pesos!$B$10)/(D11*Pesos!$B$2+G11*Pesos!$B$3+J11*Pesos!$B$4+M11*Pesos!$B$5+P11*Pesos!$B$6+S11*Pesos!$B$7+V11*Pesos!$B$8+Y11*Pesos!$B$9+AB11*Pesos!$B$10),"Sin criterios aplicables")</f>
        <v/>
      </c>
      <c r="AF11" s="5">
        <f>IFERROR(100*(E11*Pesos!$C$2+H11*Pesos!$C$3+K11*Pesos!$C$4+N11*Pesos!$C$5+Q11*Pesos!$C$6+T11*Pesos!$C$7+W11*Pesos!$C$8+Z11*Pesos!$C$9+AC11*Pesos!$C$10)/(D11*Pesos!$C$2+G11*Pesos!$C$3+J11*Pesos!$C$4+M11*Pesos!$C$5+P11*Pesos!$C$6+S11*Pesos!$C$7+V11*Pesos!$C$8+Y11*Pesos!$C$9+AB11*Pesos!$C$10),"Sin criterios aplicables")</f>
        <v/>
      </c>
      <c r="AG11" s="5">
        <f>IF(OR(AE11="Sin criterios aplicables",AE11&lt;70),"Insufficient evidence",100*(Pesos!$B$2*IF(E11=1,F11,0)+Pesos!$B$3*IF(H11=1,I11,0)+Pesos!$B$4*IF(K11=1,L11,0)+Pesos!$B$5*IF(N11=1,O11,0)+Pesos!$B$6*IF(Q11=1,R11,0)+Pesos!$B$7*IF(T11=1,U11,0)+Pesos!$B$8*IF(W11=1,X11,0)+Pesos!$B$9*IF(Z11=1,AA11,0)+Pesos!$B$10*IF(AC11=1,AD11,0))/(3*(Pesos!$B$2*E11+Pesos!$B$3*H11+Pesos!$B$4*K11+Pesos!$B$5*N11+Pesos!$B$6*Q11+Pesos!$B$7*T11+Pesos!$B$8*W11+Pesos!$B$9*Z11+Pesos!$B$10*AC11)))</f>
        <v/>
      </c>
      <c r="AH11" s="5">
        <f>IF(OR(AF11="Sin criterios aplicables",AF11&lt;70),"Insufficient evidence",100*(Pesos!$C$2*IF(E11=1,F11,0)+Pesos!$C$3*IF(H11=1,I11,0)+Pesos!$C$4*IF(K11=1,L11,0)+Pesos!$C$5*IF(N11=1,O11,0)+Pesos!$C$6*IF(Q11=1,R11,0)+Pesos!$C$7*IF(T11=1,U11,0)+Pesos!$C$8*IF(W11=1,X11,0)+Pesos!$C$9*IF(Z11=1,AA11,0)+Pesos!$C$10*IF(AC11=1,AD11,0))/(3*(Pesos!$C$2*E11+Pesos!$C$3*H11+Pesos!$C$4*K11+Pesos!$C$5*N11+Pesos!$C$6*Q11+Pesos!$C$7*T11+Pesos!$C$8*W11+Pesos!$C$9*Z11+Pesos!$C$10*AC11)))</f>
        <v/>
      </c>
      <c r="AI11">
        <f>IF(AG11="Insufficient evidence","Insufficient evidence (cobertura&lt;70%)",IF(AG11&lt;50/3,"Insufficient",IF(AG11&lt;50,"Basic",IF(AG11&lt;250/3,"Solid","Advanced"))))</f>
        <v/>
      </c>
      <c r="AJ11">
        <f>IF(AH11="Insufficient evidence","Insufficient evidence (cobertura&lt;70%)",IF(AH11&lt;50/3,"Insufficient",IF(AH11&lt;50,"Basic",IF(AH11&lt;250/3,"Solid","Advanced"))))</f>
        <v/>
      </c>
      <c r="AK11">
        <f>IF(TRIM(IF(AND(ISNUMBER(F11),F11&lt;1),"Visibilidad","") &amp; " " &amp; IF(AND(ISNUMBER(I11),I11&lt;1),"Asignación",""))="","Ninguno",TRIM(IF(AND(ISNUMBER(F11),F11&lt;1),"Visibilidad","") &amp; " " &amp; IF(AND(ISNUMBER(I11),I11&lt;1),"Asignación","")))</f>
        <v/>
      </c>
    </row>
    <row r="12">
      <c r="A12" t="inlineStr">
        <is>
          <t>E1</t>
        </is>
      </c>
      <c r="B12" t="inlineStr">
        <is>
          <t>Multicloud</t>
        </is>
      </c>
      <c r="C12" t="inlineStr">
        <is>
          <t>nOps</t>
        </is>
      </c>
      <c r="D12">
        <f>IF(COUNTIFS(Puntuacion!$A:$A,$A12,Puntuacion!$C:$C,$C12,Puntuacion!$D:$D,"Visibilidad",Puntuacion!$G:$G,"&lt;&gt;NA")&gt;0,1,0)</f>
        <v/>
      </c>
      <c r="E12">
        <f>IF(AND(D12=1,COUNTIFS(Puntuacion!$A:$A,$A12,Puntuacion!$C:$C,$C12,Puntuacion!$D:$D,"Visibilidad",Puntuacion!$G:$G,"NE")=0),1,0)</f>
        <v/>
      </c>
      <c r="F12" s="5">
        <f>IF(D12=0,"NA",IF(E12=0,"NE",AVERAGEIFS(Puntuacion!$G:$G,Puntuacion!$A:$A,$A12,Puntuacion!$C:$C,$C12,Puntuacion!$D:$D,"Visibilidad",Puntuacion!$G:$G,"&lt;&gt;NA",Puntuacion!$G:$G,"&lt;&gt;NE")))</f>
        <v/>
      </c>
      <c r="G12">
        <f>IF(COUNTIFS(Puntuacion!$A:$A,$A12,Puntuacion!$C:$C,$C12,Puntuacion!$D:$D,"Asignacion",Puntuacion!$G:$G,"&lt;&gt;NA")&gt;0,1,0)</f>
        <v/>
      </c>
      <c r="H12">
        <f>IF(AND(G12=1,COUNTIFS(Puntuacion!$A:$A,$A12,Puntuacion!$C:$C,$C12,Puntuacion!$D:$D,"Asignacion",Puntuacion!$G:$G,"NE")=0),1,0)</f>
        <v/>
      </c>
      <c r="I12" s="5">
        <f>IF(G12=0,"NA",IF(H12=0,"NE",AVERAGEIFS(Puntuacion!$G:$G,Puntuacion!$A:$A,$A12,Puntuacion!$C:$C,$C12,Puntuacion!$D:$D,"Asignacion",Puntuacion!$G:$G,"&lt;&gt;NA",Puntuacion!$G:$G,"&lt;&gt;NE")))</f>
        <v/>
      </c>
      <c r="J12">
        <f>IF(COUNTIFS(Puntuacion!$A:$A,$A12,Puntuacion!$C:$C,$C12,Puntuacion!$D:$D,"Optimizacion",Puntuacion!$G:$G,"&lt;&gt;NA")&gt;0,1,0)</f>
        <v/>
      </c>
      <c r="K12">
        <f>IF(AND(J12=1,COUNTIFS(Puntuacion!$A:$A,$A12,Puntuacion!$C:$C,$C12,Puntuacion!$D:$D,"Optimizacion",Puntuacion!$G:$G,"NE")=0),1,0)</f>
        <v/>
      </c>
      <c r="L12" s="5">
        <f>IF(J12=0,"NA",IF(K12=0,"NE",AVERAGEIFS(Puntuacion!$G:$G,Puntuacion!$A:$A,$A12,Puntuacion!$C:$C,$C12,Puntuacion!$D:$D,"Optimizacion",Puntuacion!$G:$G,"&lt;&gt;NA",Puntuacion!$G:$G,"&lt;&gt;NE")))</f>
        <v/>
      </c>
      <c r="M12">
        <f>IF(COUNTIFS(Puntuacion!$A:$A,$A12,Puntuacion!$C:$C,$C12,Puntuacion!$D:$D,"Automatizacion",Puntuacion!$G:$G,"&lt;&gt;NA")&gt;0,1,0)</f>
        <v/>
      </c>
      <c r="N12">
        <f>IF(AND(M12=1,COUNTIFS(Puntuacion!$A:$A,$A12,Puntuacion!$C:$C,$C12,Puntuacion!$D:$D,"Automatizacion",Puntuacion!$G:$G,"NE")=0),1,0)</f>
        <v/>
      </c>
      <c r="O12" s="5">
        <f>IF(M12=0,"NA",IF(N12=0,"NE",AVERAGEIFS(Puntuacion!$G:$G,Puntuacion!$A:$A,$A12,Puntuacion!$C:$C,$C12,Puntuacion!$D:$D,"Automatizacion",Puntuacion!$G:$G,"&lt;&gt;NA",Puntuacion!$G:$G,"&lt;&gt;NE")))</f>
        <v/>
      </c>
      <c r="P12">
        <f>IF(COUNTIFS(Puntuacion!$A:$A,$A12,Puntuacion!$C:$C,$C12,Puntuacion!$D:$D,"Multicloud",Puntuacion!$G:$G,"&lt;&gt;NA")&gt;0,1,0)</f>
        <v/>
      </c>
      <c r="Q12">
        <f>IF(AND(P12=1,COUNTIFS(Puntuacion!$A:$A,$A12,Puntuacion!$C:$C,$C12,Puntuacion!$D:$D,"Multicloud",Puntuacion!$G:$G,"NE")=0),1,0)</f>
        <v/>
      </c>
      <c r="R12" s="5">
        <f>IF(P12=0,"NA",IF(Q12=0,"NE",AVERAGEIFS(Puntuacion!$G:$G,Puntuacion!$A:$A,$A12,Puntuacion!$C:$C,$C12,Puntuacion!$D:$D,"Multicloud",Puntuacion!$G:$G,"&lt;&gt;NA",Puntuacion!$G:$G,"&lt;&gt;NE")))</f>
        <v/>
      </c>
      <c r="S12">
        <f>IF(COUNTIFS(Puntuacion!$A:$A,$A12,Puntuacion!$C:$C,$C12,Puntuacion!$D:$D,"Integracion",Puntuacion!$G:$G,"&lt;&gt;NA")&gt;0,1,0)</f>
        <v/>
      </c>
      <c r="T12">
        <f>IF(AND(S12=1,COUNTIFS(Puntuacion!$A:$A,$A12,Puntuacion!$C:$C,$C12,Puntuacion!$D:$D,"Integracion",Puntuacion!$G:$G,"NE")=0),1,0)</f>
        <v/>
      </c>
      <c r="U12" s="5">
        <f>IF(S12=0,"NA",IF(T12=0,"NE",AVERAGEIFS(Puntuacion!$G:$G,Puntuacion!$A:$A,$A12,Puntuacion!$C:$C,$C12,Puntuacion!$D:$D,"Integracion",Puntuacion!$G:$G,"&lt;&gt;NA",Puntuacion!$G:$G,"&lt;&gt;NE")))</f>
        <v/>
      </c>
      <c r="V12">
        <f>IF(COUNTIFS(Puntuacion!$A:$A,$A12,Puntuacion!$C:$C,$C12,Puntuacion!$D:$D,"Adopcion",Puntuacion!$G:$G,"&lt;&gt;NA")&gt;0,1,0)</f>
        <v/>
      </c>
      <c r="W12">
        <f>IF(AND(V12=1,COUNTIFS(Puntuacion!$A:$A,$A12,Puntuacion!$C:$C,$C12,Puntuacion!$D:$D,"Adopcion",Puntuacion!$G:$G,"NE")=0),1,0)</f>
        <v/>
      </c>
      <c r="X12" s="5">
        <f>IF(V12=0,"NA",IF(W12=0,"NE",AVERAGEIFS(Puntuacion!$G:$G,Puntuacion!$A:$A,$A12,Puntuacion!$C:$C,$C12,Puntuacion!$D:$D,"Adopcion",Puntuacion!$G:$G,"&lt;&gt;NA",Puntuacion!$G:$G,"&lt;&gt;NE")))</f>
        <v/>
      </c>
      <c r="Y12">
        <f>IF(COUNTIFS(Puntuacion!$A:$A,$A12,Puntuacion!$C:$C,$C12,Puntuacion!$D:$D,"Precio",Puntuacion!$G:$G,"&lt;&gt;NA")&gt;0,1,0)</f>
        <v/>
      </c>
      <c r="Z12">
        <f>IF(AND(Y12=1,COUNTIFS(Puntuacion!$A:$A,$A12,Puntuacion!$C:$C,$C12,Puntuacion!$D:$D,"Precio",Puntuacion!$G:$G,"NE")=0),1,0)</f>
        <v/>
      </c>
      <c r="AA12" s="5">
        <f>IF(Y12=0,"NA",IF(Z12=0,"NE",AVERAGEIFS(Puntuacion!$G:$G,Puntuacion!$A:$A,$A12,Puntuacion!$C:$C,$C12,Puntuacion!$D:$D,"Precio",Puntuacion!$G:$G,"&lt;&gt;NA",Puntuacion!$G:$G,"&lt;&gt;NE")))</f>
        <v/>
      </c>
      <c r="AB12">
        <f>IF(COUNTIFS(Puntuacion!$A:$A,$A12,Puntuacion!$C:$C,$C12,Puntuacion!$D:$D,"Dependencia",Puntuacion!$G:$G,"&lt;&gt;NA")&gt;0,1,0)</f>
        <v/>
      </c>
      <c r="AC12">
        <f>IF(AND(AB12=1,COUNTIFS(Puntuacion!$A:$A,$A12,Puntuacion!$C:$C,$C12,Puntuacion!$D:$D,"Dependencia",Puntuacion!$G:$G,"NE")=0),1,0)</f>
        <v/>
      </c>
      <c r="AD12" s="5">
        <f>IF(AB12=0,"NA",IF(AC12=0,"NE",AVERAGEIFS(Puntuacion!$G:$G,Puntuacion!$A:$A,$A12,Puntuacion!$C:$C,$C12,Puntuacion!$D:$D,"Dependencia",Puntuacion!$G:$G,"&lt;&gt;NA",Puntuacion!$G:$G,"&lt;&gt;NE")))</f>
        <v/>
      </c>
      <c r="AE12" s="5">
        <f>IFERROR(100*(E12*Pesos!$B$2+H12*Pesos!$B$3+K12*Pesos!$B$4+N12*Pesos!$B$5+Q12*Pesos!$B$6+T12*Pesos!$B$7+W12*Pesos!$B$8+Z12*Pesos!$B$9+AC12*Pesos!$B$10)/(D12*Pesos!$B$2+G12*Pesos!$B$3+J12*Pesos!$B$4+M12*Pesos!$B$5+P12*Pesos!$B$6+S12*Pesos!$B$7+V12*Pesos!$B$8+Y12*Pesos!$B$9+AB12*Pesos!$B$10),"Sin criterios aplicables")</f>
        <v/>
      </c>
      <c r="AF12" s="5">
        <f>IFERROR(100*(E12*Pesos!$C$2+H12*Pesos!$C$3+K12*Pesos!$C$4+N12*Pesos!$C$5+Q12*Pesos!$C$6+T12*Pesos!$C$7+W12*Pesos!$C$8+Z12*Pesos!$C$9+AC12*Pesos!$C$10)/(D12*Pesos!$C$2+G12*Pesos!$C$3+J12*Pesos!$C$4+M12*Pesos!$C$5+P12*Pesos!$C$6+S12*Pesos!$C$7+V12*Pesos!$C$8+Y12*Pesos!$C$9+AB12*Pesos!$C$10),"Sin criterios aplicables")</f>
        <v/>
      </c>
      <c r="AG12" s="5">
        <f>IF(OR(AE12="Sin criterios aplicables",AE12&lt;70),"Insufficient evidence",100*(Pesos!$B$2*IF(E12=1,F12,0)+Pesos!$B$3*IF(H12=1,I12,0)+Pesos!$B$4*IF(K12=1,L12,0)+Pesos!$B$5*IF(N12=1,O12,0)+Pesos!$B$6*IF(Q12=1,R12,0)+Pesos!$B$7*IF(T12=1,U12,0)+Pesos!$B$8*IF(W12=1,X12,0)+Pesos!$B$9*IF(Z12=1,AA12,0)+Pesos!$B$10*IF(AC12=1,AD12,0))/(3*(Pesos!$B$2*E12+Pesos!$B$3*H12+Pesos!$B$4*K12+Pesos!$B$5*N12+Pesos!$B$6*Q12+Pesos!$B$7*T12+Pesos!$B$8*W12+Pesos!$B$9*Z12+Pesos!$B$10*AC12)))</f>
        <v/>
      </c>
      <c r="AH12" s="5">
        <f>IF(OR(AF12="Sin criterios aplicables",AF12&lt;70),"Insufficient evidence",100*(Pesos!$C$2*IF(E12=1,F12,0)+Pesos!$C$3*IF(H12=1,I12,0)+Pesos!$C$4*IF(K12=1,L12,0)+Pesos!$C$5*IF(N12=1,O12,0)+Pesos!$C$6*IF(Q12=1,R12,0)+Pesos!$C$7*IF(T12=1,U12,0)+Pesos!$C$8*IF(W12=1,X12,0)+Pesos!$C$9*IF(Z12=1,AA12,0)+Pesos!$C$10*IF(AC12=1,AD12,0))/(3*(Pesos!$C$2*E12+Pesos!$C$3*H12+Pesos!$C$4*K12+Pesos!$C$5*N12+Pesos!$C$6*Q12+Pesos!$C$7*T12+Pesos!$C$8*W12+Pesos!$C$9*Z12+Pesos!$C$10*AC12)))</f>
        <v/>
      </c>
      <c r="AI12">
        <f>IF(AG12="Insufficient evidence","Insufficient evidence (cobertura&lt;70%)",IF(AG12&lt;50/3,"Insufficient",IF(AG12&lt;50,"Basic",IF(AG12&lt;250/3,"Solid","Advanced"))))</f>
        <v/>
      </c>
      <c r="AJ12">
        <f>IF(AH12="Insufficient evidence","Insufficient evidence (cobertura&lt;70%)",IF(AH12&lt;50/3,"Insufficient",IF(AH12&lt;50,"Basic",IF(AH12&lt;250/3,"Solid","Advanced"))))</f>
        <v/>
      </c>
      <c r="AK12">
        <f>IF(TRIM(IF(AND(ISNUMBER(F12),F12&lt;1),"Visibilidad","") &amp; " " &amp; IF(AND(ISNUMBER(I12),I12&lt;1),"Asignación",""))="","Ninguno",TRIM(IF(AND(ISNUMBER(F12),F12&lt;1),"Visibilidad","") &amp; " " &amp; IF(AND(ISNUMBER(I12),I12&lt;1),"Asignación","")))</f>
        <v/>
      </c>
    </row>
    <row r="13">
      <c r="A13" t="inlineStr">
        <is>
          <t>E2</t>
        </is>
      </c>
      <c r="B13" t="inlineStr">
        <is>
          <t>Cloud nativa</t>
        </is>
      </c>
      <c r="C13" t="inlineStr">
        <is>
          <t>AWS Cost Explorer</t>
        </is>
      </c>
      <c r="D13">
        <f>IF(COUNTIFS(Puntuacion!$A:$A,$A13,Puntuacion!$C:$C,$C13,Puntuacion!$D:$D,"Visibilidad",Puntuacion!$G:$G,"&lt;&gt;NA")&gt;0,1,0)</f>
        <v/>
      </c>
      <c r="E13">
        <f>IF(AND(D13=1,COUNTIFS(Puntuacion!$A:$A,$A13,Puntuacion!$C:$C,$C13,Puntuacion!$D:$D,"Visibilidad",Puntuacion!$G:$G,"NE")=0),1,0)</f>
        <v/>
      </c>
      <c r="F13" s="5">
        <f>IF(D13=0,"NA",IF(E13=0,"NE",AVERAGEIFS(Puntuacion!$G:$G,Puntuacion!$A:$A,$A13,Puntuacion!$C:$C,$C13,Puntuacion!$D:$D,"Visibilidad",Puntuacion!$G:$G,"&lt;&gt;NA",Puntuacion!$G:$G,"&lt;&gt;NE")))</f>
        <v/>
      </c>
      <c r="G13">
        <f>IF(COUNTIFS(Puntuacion!$A:$A,$A13,Puntuacion!$C:$C,$C13,Puntuacion!$D:$D,"Asignacion",Puntuacion!$G:$G,"&lt;&gt;NA")&gt;0,1,0)</f>
        <v/>
      </c>
      <c r="H13">
        <f>IF(AND(G13=1,COUNTIFS(Puntuacion!$A:$A,$A13,Puntuacion!$C:$C,$C13,Puntuacion!$D:$D,"Asignacion",Puntuacion!$G:$G,"NE")=0),1,0)</f>
        <v/>
      </c>
      <c r="I13" s="5">
        <f>IF(G13=0,"NA",IF(H13=0,"NE",AVERAGEIFS(Puntuacion!$G:$G,Puntuacion!$A:$A,$A13,Puntuacion!$C:$C,$C13,Puntuacion!$D:$D,"Asignacion",Puntuacion!$G:$G,"&lt;&gt;NA",Puntuacion!$G:$G,"&lt;&gt;NE")))</f>
        <v/>
      </c>
      <c r="J13">
        <f>IF(COUNTIFS(Puntuacion!$A:$A,$A13,Puntuacion!$C:$C,$C13,Puntuacion!$D:$D,"Optimizacion",Puntuacion!$G:$G,"&lt;&gt;NA")&gt;0,1,0)</f>
        <v/>
      </c>
      <c r="K13">
        <f>IF(AND(J13=1,COUNTIFS(Puntuacion!$A:$A,$A13,Puntuacion!$C:$C,$C13,Puntuacion!$D:$D,"Optimizacion",Puntuacion!$G:$G,"NE")=0),1,0)</f>
        <v/>
      </c>
      <c r="L13" s="5">
        <f>IF(J13=0,"NA",IF(K13=0,"NE",AVERAGEIFS(Puntuacion!$G:$G,Puntuacion!$A:$A,$A13,Puntuacion!$C:$C,$C13,Puntuacion!$D:$D,"Optimizacion",Puntuacion!$G:$G,"&lt;&gt;NA",Puntuacion!$G:$G,"&lt;&gt;NE")))</f>
        <v/>
      </c>
      <c r="M13">
        <f>IF(COUNTIFS(Puntuacion!$A:$A,$A13,Puntuacion!$C:$C,$C13,Puntuacion!$D:$D,"Automatizacion",Puntuacion!$G:$G,"&lt;&gt;NA")&gt;0,1,0)</f>
        <v/>
      </c>
      <c r="N13">
        <f>IF(AND(M13=1,COUNTIFS(Puntuacion!$A:$A,$A13,Puntuacion!$C:$C,$C13,Puntuacion!$D:$D,"Automatizacion",Puntuacion!$G:$G,"NE")=0),1,0)</f>
        <v/>
      </c>
      <c r="O13" s="5">
        <f>IF(M13=0,"NA",IF(N13=0,"NE",AVERAGEIFS(Puntuacion!$G:$G,Puntuacion!$A:$A,$A13,Puntuacion!$C:$C,$C13,Puntuacion!$D:$D,"Automatizacion",Puntuacion!$G:$G,"&lt;&gt;NA",Puntuacion!$G:$G,"&lt;&gt;NE")))</f>
        <v/>
      </c>
      <c r="P13">
        <f>IF(COUNTIFS(Puntuacion!$A:$A,$A13,Puntuacion!$C:$C,$C13,Puntuacion!$D:$D,"Multicloud",Puntuacion!$G:$G,"&lt;&gt;NA")&gt;0,1,0)</f>
        <v/>
      </c>
      <c r="Q13">
        <f>IF(AND(P13=1,COUNTIFS(Puntuacion!$A:$A,$A13,Puntuacion!$C:$C,$C13,Puntuacion!$D:$D,"Multicloud",Puntuacion!$G:$G,"NE")=0),1,0)</f>
        <v/>
      </c>
      <c r="R13" s="5">
        <f>IF(P13=0,"NA",IF(Q13=0,"NE",AVERAGEIFS(Puntuacion!$G:$G,Puntuacion!$A:$A,$A13,Puntuacion!$C:$C,$C13,Puntuacion!$D:$D,"Multicloud",Puntuacion!$G:$G,"&lt;&gt;NA",Puntuacion!$G:$G,"&lt;&gt;NE")))</f>
        <v/>
      </c>
      <c r="S13">
        <f>IF(COUNTIFS(Puntuacion!$A:$A,$A13,Puntuacion!$C:$C,$C13,Puntuacion!$D:$D,"Integracion",Puntuacion!$G:$G,"&lt;&gt;NA")&gt;0,1,0)</f>
        <v/>
      </c>
      <c r="T13">
        <f>IF(AND(S13=1,COUNTIFS(Puntuacion!$A:$A,$A13,Puntuacion!$C:$C,$C13,Puntuacion!$D:$D,"Integracion",Puntuacion!$G:$G,"NE")=0),1,0)</f>
        <v/>
      </c>
      <c r="U13" s="5">
        <f>IF(S13=0,"NA",IF(T13=0,"NE",AVERAGEIFS(Puntuacion!$G:$G,Puntuacion!$A:$A,$A13,Puntuacion!$C:$C,$C13,Puntuacion!$D:$D,"Integracion",Puntuacion!$G:$G,"&lt;&gt;NA",Puntuacion!$G:$G,"&lt;&gt;NE")))</f>
        <v/>
      </c>
      <c r="V13">
        <f>IF(COUNTIFS(Puntuacion!$A:$A,$A13,Puntuacion!$C:$C,$C13,Puntuacion!$D:$D,"Adopcion",Puntuacion!$G:$G,"&lt;&gt;NA")&gt;0,1,0)</f>
        <v/>
      </c>
      <c r="W13">
        <f>IF(AND(V13=1,COUNTIFS(Puntuacion!$A:$A,$A13,Puntuacion!$C:$C,$C13,Puntuacion!$D:$D,"Adopcion",Puntuacion!$G:$G,"NE")=0),1,0)</f>
        <v/>
      </c>
      <c r="X13" s="5">
        <f>IF(V13=0,"NA",IF(W13=0,"NE",AVERAGEIFS(Puntuacion!$G:$G,Puntuacion!$A:$A,$A13,Puntuacion!$C:$C,$C13,Puntuacion!$D:$D,"Adopcion",Puntuacion!$G:$G,"&lt;&gt;NA",Puntuacion!$G:$G,"&lt;&gt;NE")))</f>
        <v/>
      </c>
      <c r="Y13">
        <f>IF(COUNTIFS(Puntuacion!$A:$A,$A13,Puntuacion!$C:$C,$C13,Puntuacion!$D:$D,"Precio",Puntuacion!$G:$G,"&lt;&gt;NA")&gt;0,1,0)</f>
        <v/>
      </c>
      <c r="Z13">
        <f>IF(AND(Y13=1,COUNTIFS(Puntuacion!$A:$A,$A13,Puntuacion!$C:$C,$C13,Puntuacion!$D:$D,"Precio",Puntuacion!$G:$G,"NE")=0),1,0)</f>
        <v/>
      </c>
      <c r="AA13" s="5">
        <f>IF(Y13=0,"NA",IF(Z13=0,"NE",AVERAGEIFS(Puntuacion!$G:$G,Puntuacion!$A:$A,$A13,Puntuacion!$C:$C,$C13,Puntuacion!$D:$D,"Precio",Puntuacion!$G:$G,"&lt;&gt;NA",Puntuacion!$G:$G,"&lt;&gt;NE")))</f>
        <v/>
      </c>
      <c r="AB13">
        <f>IF(COUNTIFS(Puntuacion!$A:$A,$A13,Puntuacion!$C:$C,$C13,Puntuacion!$D:$D,"Dependencia",Puntuacion!$G:$G,"&lt;&gt;NA")&gt;0,1,0)</f>
        <v/>
      </c>
      <c r="AC13">
        <f>IF(AND(AB13=1,COUNTIFS(Puntuacion!$A:$A,$A13,Puntuacion!$C:$C,$C13,Puntuacion!$D:$D,"Dependencia",Puntuacion!$G:$G,"NE")=0),1,0)</f>
        <v/>
      </c>
      <c r="AD13" s="5">
        <f>IF(AB13=0,"NA",IF(AC13=0,"NE",AVERAGEIFS(Puntuacion!$G:$G,Puntuacion!$A:$A,$A13,Puntuacion!$C:$C,$C13,Puntuacion!$D:$D,"Dependencia",Puntuacion!$G:$G,"&lt;&gt;NA",Puntuacion!$G:$G,"&lt;&gt;NE")))</f>
        <v/>
      </c>
      <c r="AE13" s="5">
        <f>IFERROR(100*(E13*Pesos!$B$2+H13*Pesos!$B$3+K13*Pesos!$B$4+N13*Pesos!$B$5+Q13*Pesos!$B$6+T13*Pesos!$B$7+W13*Pesos!$B$8+Z13*Pesos!$B$9+AC13*Pesos!$B$10)/(D13*Pesos!$B$2+G13*Pesos!$B$3+J13*Pesos!$B$4+M13*Pesos!$B$5+P13*Pesos!$B$6+S13*Pesos!$B$7+V13*Pesos!$B$8+Y13*Pesos!$B$9+AB13*Pesos!$B$10),"Sin criterios aplicables")</f>
        <v/>
      </c>
      <c r="AF13" s="5">
        <f>IFERROR(100*(E13*Pesos!$C$2+H13*Pesos!$C$3+K13*Pesos!$C$4+N13*Pesos!$C$5+Q13*Pesos!$C$6+T13*Pesos!$C$7+W13*Pesos!$C$8+Z13*Pesos!$C$9+AC13*Pesos!$C$10)/(D13*Pesos!$C$2+G13*Pesos!$C$3+J13*Pesos!$C$4+M13*Pesos!$C$5+P13*Pesos!$C$6+S13*Pesos!$C$7+V13*Pesos!$C$8+Y13*Pesos!$C$9+AB13*Pesos!$C$10),"Sin criterios aplicables")</f>
        <v/>
      </c>
      <c r="AG13" s="5">
        <f>IF(OR(AE13="Sin criterios aplicables",AE13&lt;70),"Insufficient evidence",100*(Pesos!$B$2*IF(E13=1,F13,0)+Pesos!$B$3*IF(H13=1,I13,0)+Pesos!$B$4*IF(K13=1,L13,0)+Pesos!$B$5*IF(N13=1,O13,0)+Pesos!$B$6*IF(Q13=1,R13,0)+Pesos!$B$7*IF(T13=1,U13,0)+Pesos!$B$8*IF(W13=1,X13,0)+Pesos!$B$9*IF(Z13=1,AA13,0)+Pesos!$B$10*IF(AC13=1,AD13,0))/(3*(Pesos!$B$2*E13+Pesos!$B$3*H13+Pesos!$B$4*K13+Pesos!$B$5*N13+Pesos!$B$6*Q13+Pesos!$B$7*T13+Pesos!$B$8*W13+Pesos!$B$9*Z13+Pesos!$B$10*AC13)))</f>
        <v/>
      </c>
      <c r="AH13" s="5">
        <f>IF(OR(AF13="Sin criterios aplicables",AF13&lt;70),"Insufficient evidence",100*(Pesos!$C$2*IF(E13=1,F13,0)+Pesos!$C$3*IF(H13=1,I13,0)+Pesos!$C$4*IF(K13=1,L13,0)+Pesos!$C$5*IF(N13=1,O13,0)+Pesos!$C$6*IF(Q13=1,R13,0)+Pesos!$C$7*IF(T13=1,U13,0)+Pesos!$C$8*IF(W13=1,X13,0)+Pesos!$C$9*IF(Z13=1,AA13,0)+Pesos!$C$10*IF(AC13=1,AD13,0))/(3*(Pesos!$C$2*E13+Pesos!$C$3*H13+Pesos!$C$4*K13+Pesos!$C$5*N13+Pesos!$C$6*Q13+Pesos!$C$7*T13+Pesos!$C$8*W13+Pesos!$C$9*Z13+Pesos!$C$10*AC13)))</f>
        <v/>
      </c>
      <c r="AI13">
        <f>IF(AG13="Insufficient evidence","Insufficient evidence (cobertura&lt;70%)",IF(AG13&lt;50/3,"Insufficient",IF(AG13&lt;50,"Basic",IF(AG13&lt;250/3,"Solid","Advanced"))))</f>
        <v/>
      </c>
      <c r="AJ13">
        <f>IF(AH13="Insufficient evidence","Insufficient evidence (cobertura&lt;70%)",IF(AH13&lt;50/3,"Insufficient",IF(AH13&lt;50,"Basic",IF(AH13&lt;250/3,"Solid","Advanced"))))</f>
        <v/>
      </c>
      <c r="AK13">
        <f>IF(TRIM(IF(AND(ISNUMBER(R13),R13&lt;1),"Multicloud","") &amp; " " &amp; IF(AND(ISNUMBER(AA13),AA13&lt;1),"Precio",""))="","Ninguno",TRIM(IF(AND(ISNUMBER(R13),R13&lt;1),"Multicloud","") &amp; " " &amp; IF(AND(ISNUMBER(AA13),AA13&lt;1),"Precio","")))</f>
        <v/>
      </c>
    </row>
    <row r="14">
      <c r="A14" t="inlineStr">
        <is>
          <t>E2</t>
        </is>
      </c>
      <c r="B14" t="inlineStr">
        <is>
          <t>Cloud nativa</t>
        </is>
      </c>
      <c r="C14" t="inlineStr">
        <is>
          <t>AWS Cost Optimization Hub</t>
        </is>
      </c>
      <c r="D14">
        <f>IF(COUNTIFS(Puntuacion!$A:$A,$A14,Puntuacion!$C:$C,$C14,Puntuacion!$D:$D,"Visibilidad",Puntuacion!$G:$G,"&lt;&gt;NA")&gt;0,1,0)</f>
        <v/>
      </c>
      <c r="E14">
        <f>IF(AND(D14=1,COUNTIFS(Puntuacion!$A:$A,$A14,Puntuacion!$C:$C,$C14,Puntuacion!$D:$D,"Visibilidad",Puntuacion!$G:$G,"NE")=0),1,0)</f>
        <v/>
      </c>
      <c r="F14" s="5">
        <f>IF(D14=0,"NA",IF(E14=0,"NE",AVERAGEIFS(Puntuacion!$G:$G,Puntuacion!$A:$A,$A14,Puntuacion!$C:$C,$C14,Puntuacion!$D:$D,"Visibilidad",Puntuacion!$G:$G,"&lt;&gt;NA",Puntuacion!$G:$G,"&lt;&gt;NE")))</f>
        <v/>
      </c>
      <c r="G14">
        <f>IF(COUNTIFS(Puntuacion!$A:$A,$A14,Puntuacion!$C:$C,$C14,Puntuacion!$D:$D,"Asignacion",Puntuacion!$G:$G,"&lt;&gt;NA")&gt;0,1,0)</f>
        <v/>
      </c>
      <c r="H14">
        <f>IF(AND(G14=1,COUNTIFS(Puntuacion!$A:$A,$A14,Puntuacion!$C:$C,$C14,Puntuacion!$D:$D,"Asignacion",Puntuacion!$G:$G,"NE")=0),1,0)</f>
        <v/>
      </c>
      <c r="I14" s="5">
        <f>IF(G14=0,"NA",IF(H14=0,"NE",AVERAGEIFS(Puntuacion!$G:$G,Puntuacion!$A:$A,$A14,Puntuacion!$C:$C,$C14,Puntuacion!$D:$D,"Asignacion",Puntuacion!$G:$G,"&lt;&gt;NA",Puntuacion!$G:$G,"&lt;&gt;NE")))</f>
        <v/>
      </c>
      <c r="J14">
        <f>IF(COUNTIFS(Puntuacion!$A:$A,$A14,Puntuacion!$C:$C,$C14,Puntuacion!$D:$D,"Optimizacion",Puntuacion!$G:$G,"&lt;&gt;NA")&gt;0,1,0)</f>
        <v/>
      </c>
      <c r="K14">
        <f>IF(AND(J14=1,COUNTIFS(Puntuacion!$A:$A,$A14,Puntuacion!$C:$C,$C14,Puntuacion!$D:$D,"Optimizacion",Puntuacion!$G:$G,"NE")=0),1,0)</f>
        <v/>
      </c>
      <c r="L14" s="5">
        <f>IF(J14=0,"NA",IF(K14=0,"NE",AVERAGEIFS(Puntuacion!$G:$G,Puntuacion!$A:$A,$A14,Puntuacion!$C:$C,$C14,Puntuacion!$D:$D,"Optimizacion",Puntuacion!$G:$G,"&lt;&gt;NA",Puntuacion!$G:$G,"&lt;&gt;NE")))</f>
        <v/>
      </c>
      <c r="M14">
        <f>IF(COUNTIFS(Puntuacion!$A:$A,$A14,Puntuacion!$C:$C,$C14,Puntuacion!$D:$D,"Automatizacion",Puntuacion!$G:$G,"&lt;&gt;NA")&gt;0,1,0)</f>
        <v/>
      </c>
      <c r="N14">
        <f>IF(AND(M14=1,COUNTIFS(Puntuacion!$A:$A,$A14,Puntuacion!$C:$C,$C14,Puntuacion!$D:$D,"Automatizacion",Puntuacion!$G:$G,"NE")=0),1,0)</f>
        <v/>
      </c>
      <c r="O14" s="5">
        <f>IF(M14=0,"NA",IF(N14=0,"NE",AVERAGEIFS(Puntuacion!$G:$G,Puntuacion!$A:$A,$A14,Puntuacion!$C:$C,$C14,Puntuacion!$D:$D,"Automatizacion",Puntuacion!$G:$G,"&lt;&gt;NA",Puntuacion!$G:$G,"&lt;&gt;NE")))</f>
        <v/>
      </c>
      <c r="P14">
        <f>IF(COUNTIFS(Puntuacion!$A:$A,$A14,Puntuacion!$C:$C,$C14,Puntuacion!$D:$D,"Multicloud",Puntuacion!$G:$G,"&lt;&gt;NA")&gt;0,1,0)</f>
        <v/>
      </c>
      <c r="Q14">
        <f>IF(AND(P14=1,COUNTIFS(Puntuacion!$A:$A,$A14,Puntuacion!$C:$C,$C14,Puntuacion!$D:$D,"Multicloud",Puntuacion!$G:$G,"NE")=0),1,0)</f>
        <v/>
      </c>
      <c r="R14" s="5">
        <f>IF(P14=0,"NA",IF(Q14=0,"NE",AVERAGEIFS(Puntuacion!$G:$G,Puntuacion!$A:$A,$A14,Puntuacion!$C:$C,$C14,Puntuacion!$D:$D,"Multicloud",Puntuacion!$G:$G,"&lt;&gt;NA",Puntuacion!$G:$G,"&lt;&gt;NE")))</f>
        <v/>
      </c>
      <c r="S14">
        <f>IF(COUNTIFS(Puntuacion!$A:$A,$A14,Puntuacion!$C:$C,$C14,Puntuacion!$D:$D,"Integracion",Puntuacion!$G:$G,"&lt;&gt;NA")&gt;0,1,0)</f>
        <v/>
      </c>
      <c r="T14">
        <f>IF(AND(S14=1,COUNTIFS(Puntuacion!$A:$A,$A14,Puntuacion!$C:$C,$C14,Puntuacion!$D:$D,"Integracion",Puntuacion!$G:$G,"NE")=0),1,0)</f>
        <v/>
      </c>
      <c r="U14" s="5">
        <f>IF(S14=0,"NA",IF(T14=0,"NE",AVERAGEIFS(Puntuacion!$G:$G,Puntuacion!$A:$A,$A14,Puntuacion!$C:$C,$C14,Puntuacion!$D:$D,"Integracion",Puntuacion!$G:$G,"&lt;&gt;NA",Puntuacion!$G:$G,"&lt;&gt;NE")))</f>
        <v/>
      </c>
      <c r="V14">
        <f>IF(COUNTIFS(Puntuacion!$A:$A,$A14,Puntuacion!$C:$C,$C14,Puntuacion!$D:$D,"Adopcion",Puntuacion!$G:$G,"&lt;&gt;NA")&gt;0,1,0)</f>
        <v/>
      </c>
      <c r="W14">
        <f>IF(AND(V14=1,COUNTIFS(Puntuacion!$A:$A,$A14,Puntuacion!$C:$C,$C14,Puntuacion!$D:$D,"Adopcion",Puntuacion!$G:$G,"NE")=0),1,0)</f>
        <v/>
      </c>
      <c r="X14" s="5">
        <f>IF(V14=0,"NA",IF(W14=0,"NE",AVERAGEIFS(Puntuacion!$G:$G,Puntuacion!$A:$A,$A14,Puntuacion!$C:$C,$C14,Puntuacion!$D:$D,"Adopcion",Puntuacion!$G:$G,"&lt;&gt;NA",Puntuacion!$G:$G,"&lt;&gt;NE")))</f>
        <v/>
      </c>
      <c r="Y14">
        <f>IF(COUNTIFS(Puntuacion!$A:$A,$A14,Puntuacion!$C:$C,$C14,Puntuacion!$D:$D,"Precio",Puntuacion!$G:$G,"&lt;&gt;NA")&gt;0,1,0)</f>
        <v/>
      </c>
      <c r="Z14">
        <f>IF(AND(Y14=1,COUNTIFS(Puntuacion!$A:$A,$A14,Puntuacion!$C:$C,$C14,Puntuacion!$D:$D,"Precio",Puntuacion!$G:$G,"NE")=0),1,0)</f>
        <v/>
      </c>
      <c r="AA14" s="5">
        <f>IF(Y14=0,"NA",IF(Z14=0,"NE",AVERAGEIFS(Puntuacion!$G:$G,Puntuacion!$A:$A,$A14,Puntuacion!$C:$C,$C14,Puntuacion!$D:$D,"Precio",Puntuacion!$G:$G,"&lt;&gt;NA",Puntuacion!$G:$G,"&lt;&gt;NE")))</f>
        <v/>
      </c>
      <c r="AB14">
        <f>IF(COUNTIFS(Puntuacion!$A:$A,$A14,Puntuacion!$C:$C,$C14,Puntuacion!$D:$D,"Dependencia",Puntuacion!$G:$G,"&lt;&gt;NA")&gt;0,1,0)</f>
        <v/>
      </c>
      <c r="AC14">
        <f>IF(AND(AB14=1,COUNTIFS(Puntuacion!$A:$A,$A14,Puntuacion!$C:$C,$C14,Puntuacion!$D:$D,"Dependencia",Puntuacion!$G:$G,"NE")=0),1,0)</f>
        <v/>
      </c>
      <c r="AD14" s="5">
        <f>IF(AB14=0,"NA",IF(AC14=0,"NE",AVERAGEIFS(Puntuacion!$G:$G,Puntuacion!$A:$A,$A14,Puntuacion!$C:$C,$C14,Puntuacion!$D:$D,"Dependencia",Puntuacion!$G:$G,"&lt;&gt;NA",Puntuacion!$G:$G,"&lt;&gt;NE")))</f>
        <v/>
      </c>
      <c r="AE14" s="5">
        <f>IFERROR(100*(E14*Pesos!$B$2+H14*Pesos!$B$3+K14*Pesos!$B$4+N14*Pesos!$B$5+Q14*Pesos!$B$6+T14*Pesos!$B$7+W14*Pesos!$B$8+Z14*Pesos!$B$9+AC14*Pesos!$B$10)/(D14*Pesos!$B$2+G14*Pesos!$B$3+J14*Pesos!$B$4+M14*Pesos!$B$5+P14*Pesos!$B$6+S14*Pesos!$B$7+V14*Pesos!$B$8+Y14*Pesos!$B$9+AB14*Pesos!$B$10),"Sin criterios aplicables")</f>
        <v/>
      </c>
      <c r="AF14" s="5">
        <f>IFERROR(100*(E14*Pesos!$C$2+H14*Pesos!$C$3+K14*Pesos!$C$4+N14*Pesos!$C$5+Q14*Pesos!$C$6+T14*Pesos!$C$7+W14*Pesos!$C$8+Z14*Pesos!$C$9+AC14*Pesos!$C$10)/(D14*Pesos!$C$2+G14*Pesos!$C$3+J14*Pesos!$C$4+M14*Pesos!$C$5+P14*Pesos!$C$6+S14*Pesos!$C$7+V14*Pesos!$C$8+Y14*Pesos!$C$9+AB14*Pesos!$C$10),"Sin criterios aplicables")</f>
        <v/>
      </c>
      <c r="AG14" s="5">
        <f>IF(OR(AE14="Sin criterios aplicables",AE14&lt;70),"Insufficient evidence",100*(Pesos!$B$2*IF(E14=1,F14,0)+Pesos!$B$3*IF(H14=1,I14,0)+Pesos!$B$4*IF(K14=1,L14,0)+Pesos!$B$5*IF(N14=1,O14,0)+Pesos!$B$6*IF(Q14=1,R14,0)+Pesos!$B$7*IF(T14=1,U14,0)+Pesos!$B$8*IF(W14=1,X14,0)+Pesos!$B$9*IF(Z14=1,AA14,0)+Pesos!$B$10*IF(AC14=1,AD14,0))/(3*(Pesos!$B$2*E14+Pesos!$B$3*H14+Pesos!$B$4*K14+Pesos!$B$5*N14+Pesos!$B$6*Q14+Pesos!$B$7*T14+Pesos!$B$8*W14+Pesos!$B$9*Z14+Pesos!$B$10*AC14)))</f>
        <v/>
      </c>
      <c r="AH14" s="5">
        <f>IF(OR(AF14="Sin criterios aplicables",AF14&lt;70),"Insufficient evidence",100*(Pesos!$C$2*IF(E14=1,F14,0)+Pesos!$C$3*IF(H14=1,I14,0)+Pesos!$C$4*IF(K14=1,L14,0)+Pesos!$C$5*IF(N14=1,O14,0)+Pesos!$C$6*IF(Q14=1,R14,0)+Pesos!$C$7*IF(T14=1,U14,0)+Pesos!$C$8*IF(W14=1,X14,0)+Pesos!$C$9*IF(Z14=1,AA14,0)+Pesos!$C$10*IF(AC14=1,AD14,0))/(3*(Pesos!$C$2*E14+Pesos!$C$3*H14+Pesos!$C$4*K14+Pesos!$C$5*N14+Pesos!$C$6*Q14+Pesos!$C$7*T14+Pesos!$C$8*W14+Pesos!$C$9*Z14+Pesos!$C$10*AC14)))</f>
        <v/>
      </c>
      <c r="AI14">
        <f>IF(AG14="Insufficient evidence","Insufficient evidence (cobertura&lt;70%)",IF(AG14&lt;50/3,"Insufficient",IF(AG14&lt;50,"Basic",IF(AG14&lt;250/3,"Solid","Advanced"))))</f>
        <v/>
      </c>
      <c r="AJ14">
        <f>IF(AH14="Insufficient evidence","Insufficient evidence (cobertura&lt;70%)",IF(AH14&lt;50/3,"Insufficient",IF(AH14&lt;50,"Basic",IF(AH14&lt;250/3,"Solid","Advanced"))))</f>
        <v/>
      </c>
      <c r="AK14">
        <f>IF(TRIM(IF(AND(ISNUMBER(R14),R14&lt;1),"Multicloud","") &amp; " " &amp; IF(AND(ISNUMBER(AA14),AA14&lt;1),"Precio",""))="","Ninguno",TRIM(IF(AND(ISNUMBER(R14),R14&lt;1),"Multicloud","") &amp; " " &amp; IF(AND(ISNUMBER(AA14),AA14&lt;1),"Precio","")))</f>
        <v/>
      </c>
    </row>
    <row r="15">
      <c r="A15" t="inlineStr">
        <is>
          <t>E2</t>
        </is>
      </c>
      <c r="B15" t="inlineStr">
        <is>
          <t>Cloud nativa</t>
        </is>
      </c>
      <c r="C15" t="inlineStr">
        <is>
          <t>Azure Cost Management</t>
        </is>
      </c>
      <c r="D15">
        <f>IF(COUNTIFS(Puntuacion!$A:$A,$A15,Puntuacion!$C:$C,$C15,Puntuacion!$D:$D,"Visibilidad",Puntuacion!$G:$G,"&lt;&gt;NA")&gt;0,1,0)</f>
        <v/>
      </c>
      <c r="E15">
        <f>IF(AND(D15=1,COUNTIFS(Puntuacion!$A:$A,$A15,Puntuacion!$C:$C,$C15,Puntuacion!$D:$D,"Visibilidad",Puntuacion!$G:$G,"NE")=0),1,0)</f>
        <v/>
      </c>
      <c r="F15" s="5">
        <f>IF(D15=0,"NA",IF(E15=0,"NE",AVERAGEIFS(Puntuacion!$G:$G,Puntuacion!$A:$A,$A15,Puntuacion!$C:$C,$C15,Puntuacion!$D:$D,"Visibilidad",Puntuacion!$G:$G,"&lt;&gt;NA",Puntuacion!$G:$G,"&lt;&gt;NE")))</f>
        <v/>
      </c>
      <c r="G15">
        <f>IF(COUNTIFS(Puntuacion!$A:$A,$A15,Puntuacion!$C:$C,$C15,Puntuacion!$D:$D,"Asignacion",Puntuacion!$G:$G,"&lt;&gt;NA")&gt;0,1,0)</f>
        <v/>
      </c>
      <c r="H15">
        <f>IF(AND(G15=1,COUNTIFS(Puntuacion!$A:$A,$A15,Puntuacion!$C:$C,$C15,Puntuacion!$D:$D,"Asignacion",Puntuacion!$G:$G,"NE")=0),1,0)</f>
        <v/>
      </c>
      <c r="I15" s="5">
        <f>IF(G15=0,"NA",IF(H15=0,"NE",AVERAGEIFS(Puntuacion!$G:$G,Puntuacion!$A:$A,$A15,Puntuacion!$C:$C,$C15,Puntuacion!$D:$D,"Asignacion",Puntuacion!$G:$G,"&lt;&gt;NA",Puntuacion!$G:$G,"&lt;&gt;NE")))</f>
        <v/>
      </c>
      <c r="J15">
        <f>IF(COUNTIFS(Puntuacion!$A:$A,$A15,Puntuacion!$C:$C,$C15,Puntuacion!$D:$D,"Optimizacion",Puntuacion!$G:$G,"&lt;&gt;NA")&gt;0,1,0)</f>
        <v/>
      </c>
      <c r="K15">
        <f>IF(AND(J15=1,COUNTIFS(Puntuacion!$A:$A,$A15,Puntuacion!$C:$C,$C15,Puntuacion!$D:$D,"Optimizacion",Puntuacion!$G:$G,"NE")=0),1,0)</f>
        <v/>
      </c>
      <c r="L15" s="5">
        <f>IF(J15=0,"NA",IF(K15=0,"NE",AVERAGEIFS(Puntuacion!$G:$G,Puntuacion!$A:$A,$A15,Puntuacion!$C:$C,$C15,Puntuacion!$D:$D,"Optimizacion",Puntuacion!$G:$G,"&lt;&gt;NA",Puntuacion!$G:$G,"&lt;&gt;NE")))</f>
        <v/>
      </c>
      <c r="M15">
        <f>IF(COUNTIFS(Puntuacion!$A:$A,$A15,Puntuacion!$C:$C,$C15,Puntuacion!$D:$D,"Automatizacion",Puntuacion!$G:$G,"&lt;&gt;NA")&gt;0,1,0)</f>
        <v/>
      </c>
      <c r="N15">
        <f>IF(AND(M15=1,COUNTIFS(Puntuacion!$A:$A,$A15,Puntuacion!$C:$C,$C15,Puntuacion!$D:$D,"Automatizacion",Puntuacion!$G:$G,"NE")=0),1,0)</f>
        <v/>
      </c>
      <c r="O15" s="5">
        <f>IF(M15=0,"NA",IF(N15=0,"NE",AVERAGEIFS(Puntuacion!$G:$G,Puntuacion!$A:$A,$A15,Puntuacion!$C:$C,$C15,Puntuacion!$D:$D,"Automatizacion",Puntuacion!$G:$G,"&lt;&gt;NA",Puntuacion!$G:$G,"&lt;&gt;NE")))</f>
        <v/>
      </c>
      <c r="P15">
        <f>IF(COUNTIFS(Puntuacion!$A:$A,$A15,Puntuacion!$C:$C,$C15,Puntuacion!$D:$D,"Multicloud",Puntuacion!$G:$G,"&lt;&gt;NA")&gt;0,1,0)</f>
        <v/>
      </c>
      <c r="Q15">
        <f>IF(AND(P15=1,COUNTIFS(Puntuacion!$A:$A,$A15,Puntuacion!$C:$C,$C15,Puntuacion!$D:$D,"Multicloud",Puntuacion!$G:$G,"NE")=0),1,0)</f>
        <v/>
      </c>
      <c r="R15" s="5">
        <f>IF(P15=0,"NA",IF(Q15=0,"NE",AVERAGEIFS(Puntuacion!$G:$G,Puntuacion!$A:$A,$A15,Puntuacion!$C:$C,$C15,Puntuacion!$D:$D,"Multicloud",Puntuacion!$G:$G,"&lt;&gt;NA",Puntuacion!$G:$G,"&lt;&gt;NE")))</f>
        <v/>
      </c>
      <c r="S15">
        <f>IF(COUNTIFS(Puntuacion!$A:$A,$A15,Puntuacion!$C:$C,$C15,Puntuacion!$D:$D,"Integracion",Puntuacion!$G:$G,"&lt;&gt;NA")&gt;0,1,0)</f>
        <v/>
      </c>
      <c r="T15">
        <f>IF(AND(S15=1,COUNTIFS(Puntuacion!$A:$A,$A15,Puntuacion!$C:$C,$C15,Puntuacion!$D:$D,"Integracion",Puntuacion!$G:$G,"NE")=0),1,0)</f>
        <v/>
      </c>
      <c r="U15" s="5">
        <f>IF(S15=0,"NA",IF(T15=0,"NE",AVERAGEIFS(Puntuacion!$G:$G,Puntuacion!$A:$A,$A15,Puntuacion!$C:$C,$C15,Puntuacion!$D:$D,"Integracion",Puntuacion!$G:$G,"&lt;&gt;NA",Puntuacion!$G:$G,"&lt;&gt;NE")))</f>
        <v/>
      </c>
      <c r="V15">
        <f>IF(COUNTIFS(Puntuacion!$A:$A,$A15,Puntuacion!$C:$C,$C15,Puntuacion!$D:$D,"Adopcion",Puntuacion!$G:$G,"&lt;&gt;NA")&gt;0,1,0)</f>
        <v/>
      </c>
      <c r="W15">
        <f>IF(AND(V15=1,COUNTIFS(Puntuacion!$A:$A,$A15,Puntuacion!$C:$C,$C15,Puntuacion!$D:$D,"Adopcion",Puntuacion!$G:$G,"NE")=0),1,0)</f>
        <v/>
      </c>
      <c r="X15" s="5">
        <f>IF(V15=0,"NA",IF(W15=0,"NE",AVERAGEIFS(Puntuacion!$G:$G,Puntuacion!$A:$A,$A15,Puntuacion!$C:$C,$C15,Puntuacion!$D:$D,"Adopcion",Puntuacion!$G:$G,"&lt;&gt;NA",Puntuacion!$G:$G,"&lt;&gt;NE")))</f>
        <v/>
      </c>
      <c r="Y15">
        <f>IF(COUNTIFS(Puntuacion!$A:$A,$A15,Puntuacion!$C:$C,$C15,Puntuacion!$D:$D,"Precio",Puntuacion!$G:$G,"&lt;&gt;NA")&gt;0,1,0)</f>
        <v/>
      </c>
      <c r="Z15">
        <f>IF(AND(Y15=1,COUNTIFS(Puntuacion!$A:$A,$A15,Puntuacion!$C:$C,$C15,Puntuacion!$D:$D,"Precio",Puntuacion!$G:$G,"NE")=0),1,0)</f>
        <v/>
      </c>
      <c r="AA15" s="5">
        <f>IF(Y15=0,"NA",IF(Z15=0,"NE",AVERAGEIFS(Puntuacion!$G:$G,Puntuacion!$A:$A,$A15,Puntuacion!$C:$C,$C15,Puntuacion!$D:$D,"Precio",Puntuacion!$G:$G,"&lt;&gt;NA",Puntuacion!$G:$G,"&lt;&gt;NE")))</f>
        <v/>
      </c>
      <c r="AB15">
        <f>IF(COUNTIFS(Puntuacion!$A:$A,$A15,Puntuacion!$C:$C,$C15,Puntuacion!$D:$D,"Dependencia",Puntuacion!$G:$G,"&lt;&gt;NA")&gt;0,1,0)</f>
        <v/>
      </c>
      <c r="AC15">
        <f>IF(AND(AB15=1,COUNTIFS(Puntuacion!$A:$A,$A15,Puntuacion!$C:$C,$C15,Puntuacion!$D:$D,"Dependencia",Puntuacion!$G:$G,"NE")=0),1,0)</f>
        <v/>
      </c>
      <c r="AD15" s="5">
        <f>IF(AB15=0,"NA",IF(AC15=0,"NE",AVERAGEIFS(Puntuacion!$G:$G,Puntuacion!$A:$A,$A15,Puntuacion!$C:$C,$C15,Puntuacion!$D:$D,"Dependencia",Puntuacion!$G:$G,"&lt;&gt;NA",Puntuacion!$G:$G,"&lt;&gt;NE")))</f>
        <v/>
      </c>
      <c r="AE15" s="5">
        <f>IFERROR(100*(E15*Pesos!$B$2+H15*Pesos!$B$3+K15*Pesos!$B$4+N15*Pesos!$B$5+Q15*Pesos!$B$6+T15*Pesos!$B$7+W15*Pesos!$B$8+Z15*Pesos!$B$9+AC15*Pesos!$B$10)/(D15*Pesos!$B$2+G15*Pesos!$B$3+J15*Pesos!$B$4+M15*Pesos!$B$5+P15*Pesos!$B$6+S15*Pesos!$B$7+V15*Pesos!$B$8+Y15*Pesos!$B$9+AB15*Pesos!$B$10),"Sin criterios aplicables")</f>
        <v/>
      </c>
      <c r="AF15" s="5">
        <f>IFERROR(100*(E15*Pesos!$C$2+H15*Pesos!$C$3+K15*Pesos!$C$4+N15*Pesos!$C$5+Q15*Pesos!$C$6+T15*Pesos!$C$7+W15*Pesos!$C$8+Z15*Pesos!$C$9+AC15*Pesos!$C$10)/(D15*Pesos!$C$2+G15*Pesos!$C$3+J15*Pesos!$C$4+M15*Pesos!$C$5+P15*Pesos!$C$6+S15*Pesos!$C$7+V15*Pesos!$C$8+Y15*Pesos!$C$9+AB15*Pesos!$C$10),"Sin criterios aplicables")</f>
        <v/>
      </c>
      <c r="AG15" s="5">
        <f>IF(OR(AE15="Sin criterios aplicables",AE15&lt;70),"Insufficient evidence",100*(Pesos!$B$2*IF(E15=1,F15,0)+Pesos!$B$3*IF(H15=1,I15,0)+Pesos!$B$4*IF(K15=1,L15,0)+Pesos!$B$5*IF(N15=1,O15,0)+Pesos!$B$6*IF(Q15=1,R15,0)+Pesos!$B$7*IF(T15=1,U15,0)+Pesos!$B$8*IF(W15=1,X15,0)+Pesos!$B$9*IF(Z15=1,AA15,0)+Pesos!$B$10*IF(AC15=1,AD15,0))/(3*(Pesos!$B$2*E15+Pesos!$B$3*H15+Pesos!$B$4*K15+Pesos!$B$5*N15+Pesos!$B$6*Q15+Pesos!$B$7*T15+Pesos!$B$8*W15+Pesos!$B$9*Z15+Pesos!$B$10*AC15)))</f>
        <v/>
      </c>
      <c r="AH15" s="5">
        <f>IF(OR(AF15="Sin criterios aplicables",AF15&lt;70),"Insufficient evidence",100*(Pesos!$C$2*IF(E15=1,F15,0)+Pesos!$C$3*IF(H15=1,I15,0)+Pesos!$C$4*IF(K15=1,L15,0)+Pesos!$C$5*IF(N15=1,O15,0)+Pesos!$C$6*IF(Q15=1,R15,0)+Pesos!$C$7*IF(T15=1,U15,0)+Pesos!$C$8*IF(W15=1,X15,0)+Pesos!$C$9*IF(Z15=1,AA15,0)+Pesos!$C$10*IF(AC15=1,AD15,0))/(3*(Pesos!$C$2*E15+Pesos!$C$3*H15+Pesos!$C$4*K15+Pesos!$C$5*N15+Pesos!$C$6*Q15+Pesos!$C$7*T15+Pesos!$C$8*W15+Pesos!$C$9*Z15+Pesos!$C$10*AC15)))</f>
        <v/>
      </c>
      <c r="AI15">
        <f>IF(AG15="Insufficient evidence","Insufficient evidence (cobertura&lt;70%)",IF(AG15&lt;50/3,"Insufficient",IF(AG15&lt;50,"Basic",IF(AG15&lt;250/3,"Solid","Advanced"))))</f>
        <v/>
      </c>
      <c r="AJ15">
        <f>IF(AH15="Insufficient evidence","Insufficient evidence (cobertura&lt;70%)",IF(AH15&lt;50/3,"Insufficient",IF(AH15&lt;50,"Basic",IF(AH15&lt;250/3,"Solid","Advanced"))))</f>
        <v/>
      </c>
      <c r="AK15">
        <f>IF(TRIM(IF(AND(ISNUMBER(R15),R15&lt;1),"Multicloud","") &amp; " " &amp; IF(AND(ISNUMBER(AA15),AA15&lt;1),"Precio",""))="","Ninguno",TRIM(IF(AND(ISNUMBER(R15),R15&lt;1),"Multicloud","") &amp; " " &amp; IF(AND(ISNUMBER(AA15),AA15&lt;1),"Precio","")))</f>
        <v/>
      </c>
    </row>
    <row r="16">
      <c r="A16" t="inlineStr">
        <is>
          <t>E2</t>
        </is>
      </c>
      <c r="B16" t="inlineStr">
        <is>
          <t>Cloud nativa</t>
        </is>
      </c>
      <c r="C16" t="inlineStr">
        <is>
          <t>Google Cloud Billing</t>
        </is>
      </c>
      <c r="D16">
        <f>IF(COUNTIFS(Puntuacion!$A:$A,$A16,Puntuacion!$C:$C,$C16,Puntuacion!$D:$D,"Visibilidad",Puntuacion!$G:$G,"&lt;&gt;NA")&gt;0,1,0)</f>
        <v/>
      </c>
      <c r="E16">
        <f>IF(AND(D16=1,COUNTIFS(Puntuacion!$A:$A,$A16,Puntuacion!$C:$C,$C16,Puntuacion!$D:$D,"Visibilidad",Puntuacion!$G:$G,"NE")=0),1,0)</f>
        <v/>
      </c>
      <c r="F16" s="5">
        <f>IF(D16=0,"NA",IF(E16=0,"NE",AVERAGEIFS(Puntuacion!$G:$G,Puntuacion!$A:$A,$A16,Puntuacion!$C:$C,$C16,Puntuacion!$D:$D,"Visibilidad",Puntuacion!$G:$G,"&lt;&gt;NA",Puntuacion!$G:$G,"&lt;&gt;NE")))</f>
        <v/>
      </c>
      <c r="G16">
        <f>IF(COUNTIFS(Puntuacion!$A:$A,$A16,Puntuacion!$C:$C,$C16,Puntuacion!$D:$D,"Asignacion",Puntuacion!$G:$G,"&lt;&gt;NA")&gt;0,1,0)</f>
        <v/>
      </c>
      <c r="H16">
        <f>IF(AND(G16=1,COUNTIFS(Puntuacion!$A:$A,$A16,Puntuacion!$C:$C,$C16,Puntuacion!$D:$D,"Asignacion",Puntuacion!$G:$G,"NE")=0),1,0)</f>
        <v/>
      </c>
      <c r="I16" s="5">
        <f>IF(G16=0,"NA",IF(H16=0,"NE",AVERAGEIFS(Puntuacion!$G:$G,Puntuacion!$A:$A,$A16,Puntuacion!$C:$C,$C16,Puntuacion!$D:$D,"Asignacion",Puntuacion!$G:$G,"&lt;&gt;NA",Puntuacion!$G:$G,"&lt;&gt;NE")))</f>
        <v/>
      </c>
      <c r="J16">
        <f>IF(COUNTIFS(Puntuacion!$A:$A,$A16,Puntuacion!$C:$C,$C16,Puntuacion!$D:$D,"Optimizacion",Puntuacion!$G:$G,"&lt;&gt;NA")&gt;0,1,0)</f>
        <v/>
      </c>
      <c r="K16">
        <f>IF(AND(J16=1,COUNTIFS(Puntuacion!$A:$A,$A16,Puntuacion!$C:$C,$C16,Puntuacion!$D:$D,"Optimizacion",Puntuacion!$G:$G,"NE")=0),1,0)</f>
        <v/>
      </c>
      <c r="L16" s="5">
        <f>IF(J16=0,"NA",IF(K16=0,"NE",AVERAGEIFS(Puntuacion!$G:$G,Puntuacion!$A:$A,$A16,Puntuacion!$C:$C,$C16,Puntuacion!$D:$D,"Optimizacion",Puntuacion!$G:$G,"&lt;&gt;NA",Puntuacion!$G:$G,"&lt;&gt;NE")))</f>
        <v/>
      </c>
      <c r="M16">
        <f>IF(COUNTIFS(Puntuacion!$A:$A,$A16,Puntuacion!$C:$C,$C16,Puntuacion!$D:$D,"Automatizacion",Puntuacion!$G:$G,"&lt;&gt;NA")&gt;0,1,0)</f>
        <v/>
      </c>
      <c r="N16">
        <f>IF(AND(M16=1,COUNTIFS(Puntuacion!$A:$A,$A16,Puntuacion!$C:$C,$C16,Puntuacion!$D:$D,"Automatizacion",Puntuacion!$G:$G,"NE")=0),1,0)</f>
        <v/>
      </c>
      <c r="O16" s="5">
        <f>IF(M16=0,"NA",IF(N16=0,"NE",AVERAGEIFS(Puntuacion!$G:$G,Puntuacion!$A:$A,$A16,Puntuacion!$C:$C,$C16,Puntuacion!$D:$D,"Automatizacion",Puntuacion!$G:$G,"&lt;&gt;NA",Puntuacion!$G:$G,"&lt;&gt;NE")))</f>
        <v/>
      </c>
      <c r="P16">
        <f>IF(COUNTIFS(Puntuacion!$A:$A,$A16,Puntuacion!$C:$C,$C16,Puntuacion!$D:$D,"Multicloud",Puntuacion!$G:$G,"&lt;&gt;NA")&gt;0,1,0)</f>
        <v/>
      </c>
      <c r="Q16">
        <f>IF(AND(P16=1,COUNTIFS(Puntuacion!$A:$A,$A16,Puntuacion!$C:$C,$C16,Puntuacion!$D:$D,"Multicloud",Puntuacion!$G:$G,"NE")=0),1,0)</f>
        <v/>
      </c>
      <c r="R16" s="5">
        <f>IF(P16=0,"NA",IF(Q16=0,"NE",AVERAGEIFS(Puntuacion!$G:$G,Puntuacion!$A:$A,$A16,Puntuacion!$C:$C,$C16,Puntuacion!$D:$D,"Multicloud",Puntuacion!$G:$G,"&lt;&gt;NA",Puntuacion!$G:$G,"&lt;&gt;NE")))</f>
        <v/>
      </c>
      <c r="S16">
        <f>IF(COUNTIFS(Puntuacion!$A:$A,$A16,Puntuacion!$C:$C,$C16,Puntuacion!$D:$D,"Integracion",Puntuacion!$G:$G,"&lt;&gt;NA")&gt;0,1,0)</f>
        <v/>
      </c>
      <c r="T16">
        <f>IF(AND(S16=1,COUNTIFS(Puntuacion!$A:$A,$A16,Puntuacion!$C:$C,$C16,Puntuacion!$D:$D,"Integracion",Puntuacion!$G:$G,"NE")=0),1,0)</f>
        <v/>
      </c>
      <c r="U16" s="5">
        <f>IF(S16=0,"NA",IF(T16=0,"NE",AVERAGEIFS(Puntuacion!$G:$G,Puntuacion!$A:$A,$A16,Puntuacion!$C:$C,$C16,Puntuacion!$D:$D,"Integracion",Puntuacion!$G:$G,"&lt;&gt;NA",Puntuacion!$G:$G,"&lt;&gt;NE")))</f>
        <v/>
      </c>
      <c r="V16">
        <f>IF(COUNTIFS(Puntuacion!$A:$A,$A16,Puntuacion!$C:$C,$C16,Puntuacion!$D:$D,"Adopcion",Puntuacion!$G:$G,"&lt;&gt;NA")&gt;0,1,0)</f>
        <v/>
      </c>
      <c r="W16">
        <f>IF(AND(V16=1,COUNTIFS(Puntuacion!$A:$A,$A16,Puntuacion!$C:$C,$C16,Puntuacion!$D:$D,"Adopcion",Puntuacion!$G:$G,"NE")=0),1,0)</f>
        <v/>
      </c>
      <c r="X16" s="5">
        <f>IF(V16=0,"NA",IF(W16=0,"NE",AVERAGEIFS(Puntuacion!$G:$G,Puntuacion!$A:$A,$A16,Puntuacion!$C:$C,$C16,Puntuacion!$D:$D,"Adopcion",Puntuacion!$G:$G,"&lt;&gt;NA",Puntuacion!$G:$G,"&lt;&gt;NE")))</f>
        <v/>
      </c>
      <c r="Y16">
        <f>IF(COUNTIFS(Puntuacion!$A:$A,$A16,Puntuacion!$C:$C,$C16,Puntuacion!$D:$D,"Precio",Puntuacion!$G:$G,"&lt;&gt;NA")&gt;0,1,0)</f>
        <v/>
      </c>
      <c r="Z16">
        <f>IF(AND(Y16=1,COUNTIFS(Puntuacion!$A:$A,$A16,Puntuacion!$C:$C,$C16,Puntuacion!$D:$D,"Precio",Puntuacion!$G:$G,"NE")=0),1,0)</f>
        <v/>
      </c>
      <c r="AA16" s="5">
        <f>IF(Y16=0,"NA",IF(Z16=0,"NE",AVERAGEIFS(Puntuacion!$G:$G,Puntuacion!$A:$A,$A16,Puntuacion!$C:$C,$C16,Puntuacion!$D:$D,"Precio",Puntuacion!$G:$G,"&lt;&gt;NA",Puntuacion!$G:$G,"&lt;&gt;NE")))</f>
        <v/>
      </c>
      <c r="AB16">
        <f>IF(COUNTIFS(Puntuacion!$A:$A,$A16,Puntuacion!$C:$C,$C16,Puntuacion!$D:$D,"Dependencia",Puntuacion!$G:$G,"&lt;&gt;NA")&gt;0,1,0)</f>
        <v/>
      </c>
      <c r="AC16">
        <f>IF(AND(AB16=1,COUNTIFS(Puntuacion!$A:$A,$A16,Puntuacion!$C:$C,$C16,Puntuacion!$D:$D,"Dependencia",Puntuacion!$G:$G,"NE")=0),1,0)</f>
        <v/>
      </c>
      <c r="AD16" s="5">
        <f>IF(AB16=0,"NA",IF(AC16=0,"NE",AVERAGEIFS(Puntuacion!$G:$G,Puntuacion!$A:$A,$A16,Puntuacion!$C:$C,$C16,Puntuacion!$D:$D,"Dependencia",Puntuacion!$G:$G,"&lt;&gt;NA",Puntuacion!$G:$G,"&lt;&gt;NE")))</f>
        <v/>
      </c>
      <c r="AE16" s="5">
        <f>IFERROR(100*(E16*Pesos!$B$2+H16*Pesos!$B$3+K16*Pesos!$B$4+N16*Pesos!$B$5+Q16*Pesos!$B$6+T16*Pesos!$B$7+W16*Pesos!$B$8+Z16*Pesos!$B$9+AC16*Pesos!$B$10)/(D16*Pesos!$B$2+G16*Pesos!$B$3+J16*Pesos!$B$4+M16*Pesos!$B$5+P16*Pesos!$B$6+S16*Pesos!$B$7+V16*Pesos!$B$8+Y16*Pesos!$B$9+AB16*Pesos!$B$10),"Sin criterios aplicables")</f>
        <v/>
      </c>
      <c r="AF16" s="5">
        <f>IFERROR(100*(E16*Pesos!$C$2+H16*Pesos!$C$3+K16*Pesos!$C$4+N16*Pesos!$C$5+Q16*Pesos!$C$6+T16*Pesos!$C$7+W16*Pesos!$C$8+Z16*Pesos!$C$9+AC16*Pesos!$C$10)/(D16*Pesos!$C$2+G16*Pesos!$C$3+J16*Pesos!$C$4+M16*Pesos!$C$5+P16*Pesos!$C$6+S16*Pesos!$C$7+V16*Pesos!$C$8+Y16*Pesos!$C$9+AB16*Pesos!$C$10),"Sin criterios aplicables")</f>
        <v/>
      </c>
      <c r="AG16" s="5">
        <f>IF(OR(AE16="Sin criterios aplicables",AE16&lt;70),"Insufficient evidence",100*(Pesos!$B$2*IF(E16=1,F16,0)+Pesos!$B$3*IF(H16=1,I16,0)+Pesos!$B$4*IF(K16=1,L16,0)+Pesos!$B$5*IF(N16=1,O16,0)+Pesos!$B$6*IF(Q16=1,R16,0)+Pesos!$B$7*IF(T16=1,U16,0)+Pesos!$B$8*IF(W16=1,X16,0)+Pesos!$B$9*IF(Z16=1,AA16,0)+Pesos!$B$10*IF(AC16=1,AD16,0))/(3*(Pesos!$B$2*E16+Pesos!$B$3*H16+Pesos!$B$4*K16+Pesos!$B$5*N16+Pesos!$B$6*Q16+Pesos!$B$7*T16+Pesos!$B$8*W16+Pesos!$B$9*Z16+Pesos!$B$10*AC16)))</f>
        <v/>
      </c>
      <c r="AH16" s="5">
        <f>IF(OR(AF16="Sin criterios aplicables",AF16&lt;70),"Insufficient evidence",100*(Pesos!$C$2*IF(E16=1,F16,0)+Pesos!$C$3*IF(H16=1,I16,0)+Pesos!$C$4*IF(K16=1,L16,0)+Pesos!$C$5*IF(N16=1,O16,0)+Pesos!$C$6*IF(Q16=1,R16,0)+Pesos!$C$7*IF(T16=1,U16,0)+Pesos!$C$8*IF(W16=1,X16,0)+Pesos!$C$9*IF(Z16=1,AA16,0)+Pesos!$C$10*IF(AC16=1,AD16,0))/(3*(Pesos!$C$2*E16+Pesos!$C$3*H16+Pesos!$C$4*K16+Pesos!$C$5*N16+Pesos!$C$6*Q16+Pesos!$C$7*T16+Pesos!$C$8*W16+Pesos!$C$9*Z16+Pesos!$C$10*AC16)))</f>
        <v/>
      </c>
      <c r="AI16">
        <f>IF(AG16="Insufficient evidence","Insufficient evidence (cobertura&lt;70%)",IF(AG16&lt;50/3,"Insufficient",IF(AG16&lt;50,"Basic",IF(AG16&lt;250/3,"Solid","Advanced"))))</f>
        <v/>
      </c>
      <c r="AJ16">
        <f>IF(AH16="Insufficient evidence","Insufficient evidence (cobertura&lt;70%)",IF(AH16&lt;50/3,"Insufficient",IF(AH16&lt;50,"Basic",IF(AH16&lt;250/3,"Solid","Advanced"))))</f>
        <v/>
      </c>
      <c r="AK16">
        <f>IF(TRIM(IF(AND(ISNUMBER(R16),R16&lt;1),"Multicloud","") &amp; " " &amp; IF(AND(ISNUMBER(AA16),AA16&lt;1),"Precio",""))="","Ninguno",TRIM(IF(AND(ISNUMBER(R16),R16&lt;1),"Multicloud","") &amp; " " &amp; IF(AND(ISNUMBER(AA16),AA16&lt;1),"Precio","")))</f>
        <v/>
      </c>
    </row>
    <row r="17">
      <c r="A17" t="inlineStr">
        <is>
          <t>E2</t>
        </is>
      </c>
      <c r="B17" t="inlineStr">
        <is>
          <t>Cloud nativa</t>
        </is>
      </c>
      <c r="C17" t="inlineStr">
        <is>
          <t>Google Cloud FinOps Hub</t>
        </is>
      </c>
      <c r="D17">
        <f>IF(COUNTIFS(Puntuacion!$A:$A,$A17,Puntuacion!$C:$C,$C17,Puntuacion!$D:$D,"Visibilidad",Puntuacion!$G:$G,"&lt;&gt;NA")&gt;0,1,0)</f>
        <v/>
      </c>
      <c r="E17">
        <f>IF(AND(D17=1,COUNTIFS(Puntuacion!$A:$A,$A17,Puntuacion!$C:$C,$C17,Puntuacion!$D:$D,"Visibilidad",Puntuacion!$G:$G,"NE")=0),1,0)</f>
        <v/>
      </c>
      <c r="F17" s="5">
        <f>IF(D17=0,"NA",IF(E17=0,"NE",AVERAGEIFS(Puntuacion!$G:$G,Puntuacion!$A:$A,$A17,Puntuacion!$C:$C,$C17,Puntuacion!$D:$D,"Visibilidad",Puntuacion!$G:$G,"&lt;&gt;NA",Puntuacion!$G:$G,"&lt;&gt;NE")))</f>
        <v/>
      </c>
      <c r="G17">
        <f>IF(COUNTIFS(Puntuacion!$A:$A,$A17,Puntuacion!$C:$C,$C17,Puntuacion!$D:$D,"Asignacion",Puntuacion!$G:$G,"&lt;&gt;NA")&gt;0,1,0)</f>
        <v/>
      </c>
      <c r="H17">
        <f>IF(AND(G17=1,COUNTIFS(Puntuacion!$A:$A,$A17,Puntuacion!$C:$C,$C17,Puntuacion!$D:$D,"Asignacion",Puntuacion!$G:$G,"NE")=0),1,0)</f>
        <v/>
      </c>
      <c r="I17" s="5">
        <f>IF(G17=0,"NA",IF(H17=0,"NE",AVERAGEIFS(Puntuacion!$G:$G,Puntuacion!$A:$A,$A17,Puntuacion!$C:$C,$C17,Puntuacion!$D:$D,"Asignacion",Puntuacion!$G:$G,"&lt;&gt;NA",Puntuacion!$G:$G,"&lt;&gt;NE")))</f>
        <v/>
      </c>
      <c r="J17">
        <f>IF(COUNTIFS(Puntuacion!$A:$A,$A17,Puntuacion!$C:$C,$C17,Puntuacion!$D:$D,"Optimizacion",Puntuacion!$G:$G,"&lt;&gt;NA")&gt;0,1,0)</f>
        <v/>
      </c>
      <c r="K17">
        <f>IF(AND(J17=1,COUNTIFS(Puntuacion!$A:$A,$A17,Puntuacion!$C:$C,$C17,Puntuacion!$D:$D,"Optimizacion",Puntuacion!$G:$G,"NE")=0),1,0)</f>
        <v/>
      </c>
      <c r="L17" s="5">
        <f>IF(J17=0,"NA",IF(K17=0,"NE",AVERAGEIFS(Puntuacion!$G:$G,Puntuacion!$A:$A,$A17,Puntuacion!$C:$C,$C17,Puntuacion!$D:$D,"Optimizacion",Puntuacion!$G:$G,"&lt;&gt;NA",Puntuacion!$G:$G,"&lt;&gt;NE")))</f>
        <v/>
      </c>
      <c r="M17">
        <f>IF(COUNTIFS(Puntuacion!$A:$A,$A17,Puntuacion!$C:$C,$C17,Puntuacion!$D:$D,"Automatizacion",Puntuacion!$G:$G,"&lt;&gt;NA")&gt;0,1,0)</f>
        <v/>
      </c>
      <c r="N17">
        <f>IF(AND(M17=1,COUNTIFS(Puntuacion!$A:$A,$A17,Puntuacion!$C:$C,$C17,Puntuacion!$D:$D,"Automatizacion",Puntuacion!$G:$G,"NE")=0),1,0)</f>
        <v/>
      </c>
      <c r="O17" s="5">
        <f>IF(M17=0,"NA",IF(N17=0,"NE",AVERAGEIFS(Puntuacion!$G:$G,Puntuacion!$A:$A,$A17,Puntuacion!$C:$C,$C17,Puntuacion!$D:$D,"Automatizacion",Puntuacion!$G:$G,"&lt;&gt;NA",Puntuacion!$G:$G,"&lt;&gt;NE")))</f>
        <v/>
      </c>
      <c r="P17">
        <f>IF(COUNTIFS(Puntuacion!$A:$A,$A17,Puntuacion!$C:$C,$C17,Puntuacion!$D:$D,"Multicloud",Puntuacion!$G:$G,"&lt;&gt;NA")&gt;0,1,0)</f>
        <v/>
      </c>
      <c r="Q17">
        <f>IF(AND(P17=1,COUNTIFS(Puntuacion!$A:$A,$A17,Puntuacion!$C:$C,$C17,Puntuacion!$D:$D,"Multicloud",Puntuacion!$G:$G,"NE")=0),1,0)</f>
        <v/>
      </c>
      <c r="R17" s="5">
        <f>IF(P17=0,"NA",IF(Q17=0,"NE",AVERAGEIFS(Puntuacion!$G:$G,Puntuacion!$A:$A,$A17,Puntuacion!$C:$C,$C17,Puntuacion!$D:$D,"Multicloud",Puntuacion!$G:$G,"&lt;&gt;NA",Puntuacion!$G:$G,"&lt;&gt;NE")))</f>
        <v/>
      </c>
      <c r="S17">
        <f>IF(COUNTIFS(Puntuacion!$A:$A,$A17,Puntuacion!$C:$C,$C17,Puntuacion!$D:$D,"Integracion",Puntuacion!$G:$G,"&lt;&gt;NA")&gt;0,1,0)</f>
        <v/>
      </c>
      <c r="T17">
        <f>IF(AND(S17=1,COUNTIFS(Puntuacion!$A:$A,$A17,Puntuacion!$C:$C,$C17,Puntuacion!$D:$D,"Integracion",Puntuacion!$G:$G,"NE")=0),1,0)</f>
        <v/>
      </c>
      <c r="U17" s="5">
        <f>IF(S17=0,"NA",IF(T17=0,"NE",AVERAGEIFS(Puntuacion!$G:$G,Puntuacion!$A:$A,$A17,Puntuacion!$C:$C,$C17,Puntuacion!$D:$D,"Integracion",Puntuacion!$G:$G,"&lt;&gt;NA",Puntuacion!$G:$G,"&lt;&gt;NE")))</f>
        <v/>
      </c>
      <c r="V17">
        <f>IF(COUNTIFS(Puntuacion!$A:$A,$A17,Puntuacion!$C:$C,$C17,Puntuacion!$D:$D,"Adopcion",Puntuacion!$G:$G,"&lt;&gt;NA")&gt;0,1,0)</f>
        <v/>
      </c>
      <c r="W17">
        <f>IF(AND(V17=1,COUNTIFS(Puntuacion!$A:$A,$A17,Puntuacion!$C:$C,$C17,Puntuacion!$D:$D,"Adopcion",Puntuacion!$G:$G,"NE")=0),1,0)</f>
        <v/>
      </c>
      <c r="X17" s="5">
        <f>IF(V17=0,"NA",IF(W17=0,"NE",AVERAGEIFS(Puntuacion!$G:$G,Puntuacion!$A:$A,$A17,Puntuacion!$C:$C,$C17,Puntuacion!$D:$D,"Adopcion",Puntuacion!$G:$G,"&lt;&gt;NA",Puntuacion!$G:$G,"&lt;&gt;NE")))</f>
        <v/>
      </c>
      <c r="Y17">
        <f>IF(COUNTIFS(Puntuacion!$A:$A,$A17,Puntuacion!$C:$C,$C17,Puntuacion!$D:$D,"Precio",Puntuacion!$G:$G,"&lt;&gt;NA")&gt;0,1,0)</f>
        <v/>
      </c>
      <c r="Z17">
        <f>IF(AND(Y17=1,COUNTIFS(Puntuacion!$A:$A,$A17,Puntuacion!$C:$C,$C17,Puntuacion!$D:$D,"Precio",Puntuacion!$G:$G,"NE")=0),1,0)</f>
        <v/>
      </c>
      <c r="AA17" s="5">
        <f>IF(Y17=0,"NA",IF(Z17=0,"NE",AVERAGEIFS(Puntuacion!$G:$G,Puntuacion!$A:$A,$A17,Puntuacion!$C:$C,$C17,Puntuacion!$D:$D,"Precio",Puntuacion!$G:$G,"&lt;&gt;NA",Puntuacion!$G:$G,"&lt;&gt;NE")))</f>
        <v/>
      </c>
      <c r="AB17">
        <f>IF(COUNTIFS(Puntuacion!$A:$A,$A17,Puntuacion!$C:$C,$C17,Puntuacion!$D:$D,"Dependencia",Puntuacion!$G:$G,"&lt;&gt;NA")&gt;0,1,0)</f>
        <v/>
      </c>
      <c r="AC17">
        <f>IF(AND(AB17=1,COUNTIFS(Puntuacion!$A:$A,$A17,Puntuacion!$C:$C,$C17,Puntuacion!$D:$D,"Dependencia",Puntuacion!$G:$G,"NE")=0),1,0)</f>
        <v/>
      </c>
      <c r="AD17" s="5">
        <f>IF(AB17=0,"NA",IF(AC17=0,"NE",AVERAGEIFS(Puntuacion!$G:$G,Puntuacion!$A:$A,$A17,Puntuacion!$C:$C,$C17,Puntuacion!$D:$D,"Dependencia",Puntuacion!$G:$G,"&lt;&gt;NA",Puntuacion!$G:$G,"&lt;&gt;NE")))</f>
        <v/>
      </c>
      <c r="AE17" s="5">
        <f>IFERROR(100*(E17*Pesos!$B$2+H17*Pesos!$B$3+K17*Pesos!$B$4+N17*Pesos!$B$5+Q17*Pesos!$B$6+T17*Pesos!$B$7+W17*Pesos!$B$8+Z17*Pesos!$B$9+AC17*Pesos!$B$10)/(D17*Pesos!$B$2+G17*Pesos!$B$3+J17*Pesos!$B$4+M17*Pesos!$B$5+P17*Pesos!$B$6+S17*Pesos!$B$7+V17*Pesos!$B$8+Y17*Pesos!$B$9+AB17*Pesos!$B$10),"Sin criterios aplicables")</f>
        <v/>
      </c>
      <c r="AF17" s="5">
        <f>IFERROR(100*(E17*Pesos!$C$2+H17*Pesos!$C$3+K17*Pesos!$C$4+N17*Pesos!$C$5+Q17*Pesos!$C$6+T17*Pesos!$C$7+W17*Pesos!$C$8+Z17*Pesos!$C$9+AC17*Pesos!$C$10)/(D17*Pesos!$C$2+G17*Pesos!$C$3+J17*Pesos!$C$4+M17*Pesos!$C$5+P17*Pesos!$C$6+S17*Pesos!$C$7+V17*Pesos!$C$8+Y17*Pesos!$C$9+AB17*Pesos!$C$10),"Sin criterios aplicables")</f>
        <v/>
      </c>
      <c r="AG17" s="5">
        <f>IF(OR(AE17="Sin criterios aplicables",AE17&lt;70),"Insufficient evidence",100*(Pesos!$B$2*IF(E17=1,F17,0)+Pesos!$B$3*IF(H17=1,I17,0)+Pesos!$B$4*IF(K17=1,L17,0)+Pesos!$B$5*IF(N17=1,O17,0)+Pesos!$B$6*IF(Q17=1,R17,0)+Pesos!$B$7*IF(T17=1,U17,0)+Pesos!$B$8*IF(W17=1,X17,0)+Pesos!$B$9*IF(Z17=1,AA17,0)+Pesos!$B$10*IF(AC17=1,AD17,0))/(3*(Pesos!$B$2*E17+Pesos!$B$3*H17+Pesos!$B$4*K17+Pesos!$B$5*N17+Pesos!$B$6*Q17+Pesos!$B$7*T17+Pesos!$B$8*W17+Pesos!$B$9*Z17+Pesos!$B$10*AC17)))</f>
        <v/>
      </c>
      <c r="AH17" s="5">
        <f>IF(OR(AF17="Sin criterios aplicables",AF17&lt;70),"Insufficient evidence",100*(Pesos!$C$2*IF(E17=1,F17,0)+Pesos!$C$3*IF(H17=1,I17,0)+Pesos!$C$4*IF(K17=1,L17,0)+Pesos!$C$5*IF(N17=1,O17,0)+Pesos!$C$6*IF(Q17=1,R17,0)+Pesos!$C$7*IF(T17=1,U17,0)+Pesos!$C$8*IF(W17=1,X17,0)+Pesos!$C$9*IF(Z17=1,AA17,0)+Pesos!$C$10*IF(AC17=1,AD17,0))/(3*(Pesos!$C$2*E17+Pesos!$C$3*H17+Pesos!$C$4*K17+Pesos!$C$5*N17+Pesos!$C$6*Q17+Pesos!$C$7*T17+Pesos!$C$8*W17+Pesos!$C$9*Z17+Pesos!$C$10*AC17)))</f>
        <v/>
      </c>
      <c r="AI17">
        <f>IF(AG17="Insufficient evidence","Insufficient evidence (cobertura&lt;70%)",IF(AG17&lt;50/3,"Insufficient",IF(AG17&lt;50,"Basic",IF(AG17&lt;250/3,"Solid","Advanced"))))</f>
        <v/>
      </c>
      <c r="AJ17">
        <f>IF(AH17="Insufficient evidence","Insufficient evidence (cobertura&lt;70%)",IF(AH17&lt;50/3,"Insufficient",IF(AH17&lt;50,"Basic",IF(AH17&lt;250/3,"Solid","Advanced"))))</f>
        <v/>
      </c>
      <c r="AK17">
        <f>IF(TRIM(IF(AND(ISNUMBER(R17),R17&lt;1),"Multicloud","") &amp; " " &amp; IF(AND(ISNUMBER(AA17),AA17&lt;1),"Precio",""))="","Ninguno",TRIM(IF(AND(ISNUMBER(R17),R17&lt;1),"Multicloud","") &amp; " " &amp; IF(AND(ISNUMBER(AA17),AA17&lt;1),"Precio","")))</f>
        <v/>
      </c>
    </row>
    <row r="18">
      <c r="A18" t="inlineStr">
        <is>
          <t>E2</t>
        </is>
      </c>
      <c r="B18" t="inlineStr">
        <is>
          <t>Multicloud</t>
        </is>
      </c>
      <c r="C18" t="inlineStr">
        <is>
          <t>CloudHealth</t>
        </is>
      </c>
      <c r="D18">
        <f>IF(COUNTIFS(Puntuacion!$A:$A,$A18,Puntuacion!$C:$C,$C18,Puntuacion!$D:$D,"Visibilidad",Puntuacion!$G:$G,"&lt;&gt;NA")&gt;0,1,0)</f>
        <v/>
      </c>
      <c r="E18">
        <f>IF(AND(D18=1,COUNTIFS(Puntuacion!$A:$A,$A18,Puntuacion!$C:$C,$C18,Puntuacion!$D:$D,"Visibilidad",Puntuacion!$G:$G,"NE")=0),1,0)</f>
        <v/>
      </c>
      <c r="F18" s="5">
        <f>IF(D18=0,"NA",IF(E18=0,"NE",AVERAGEIFS(Puntuacion!$G:$G,Puntuacion!$A:$A,$A18,Puntuacion!$C:$C,$C18,Puntuacion!$D:$D,"Visibilidad",Puntuacion!$G:$G,"&lt;&gt;NA",Puntuacion!$G:$G,"&lt;&gt;NE")))</f>
        <v/>
      </c>
      <c r="G18">
        <f>IF(COUNTIFS(Puntuacion!$A:$A,$A18,Puntuacion!$C:$C,$C18,Puntuacion!$D:$D,"Asignacion",Puntuacion!$G:$G,"&lt;&gt;NA")&gt;0,1,0)</f>
        <v/>
      </c>
      <c r="H18">
        <f>IF(AND(G18=1,COUNTIFS(Puntuacion!$A:$A,$A18,Puntuacion!$C:$C,$C18,Puntuacion!$D:$D,"Asignacion",Puntuacion!$G:$G,"NE")=0),1,0)</f>
        <v/>
      </c>
      <c r="I18" s="5">
        <f>IF(G18=0,"NA",IF(H18=0,"NE",AVERAGEIFS(Puntuacion!$G:$G,Puntuacion!$A:$A,$A18,Puntuacion!$C:$C,$C18,Puntuacion!$D:$D,"Asignacion",Puntuacion!$G:$G,"&lt;&gt;NA",Puntuacion!$G:$G,"&lt;&gt;NE")))</f>
        <v/>
      </c>
      <c r="J18">
        <f>IF(COUNTIFS(Puntuacion!$A:$A,$A18,Puntuacion!$C:$C,$C18,Puntuacion!$D:$D,"Optimizacion",Puntuacion!$G:$G,"&lt;&gt;NA")&gt;0,1,0)</f>
        <v/>
      </c>
      <c r="K18">
        <f>IF(AND(J18=1,COUNTIFS(Puntuacion!$A:$A,$A18,Puntuacion!$C:$C,$C18,Puntuacion!$D:$D,"Optimizacion",Puntuacion!$G:$G,"NE")=0),1,0)</f>
        <v/>
      </c>
      <c r="L18" s="5">
        <f>IF(J18=0,"NA",IF(K18=0,"NE",AVERAGEIFS(Puntuacion!$G:$G,Puntuacion!$A:$A,$A18,Puntuacion!$C:$C,$C18,Puntuacion!$D:$D,"Optimizacion",Puntuacion!$G:$G,"&lt;&gt;NA",Puntuacion!$G:$G,"&lt;&gt;NE")))</f>
        <v/>
      </c>
      <c r="M18">
        <f>IF(COUNTIFS(Puntuacion!$A:$A,$A18,Puntuacion!$C:$C,$C18,Puntuacion!$D:$D,"Automatizacion",Puntuacion!$G:$G,"&lt;&gt;NA")&gt;0,1,0)</f>
        <v/>
      </c>
      <c r="N18">
        <f>IF(AND(M18=1,COUNTIFS(Puntuacion!$A:$A,$A18,Puntuacion!$C:$C,$C18,Puntuacion!$D:$D,"Automatizacion",Puntuacion!$G:$G,"NE")=0),1,0)</f>
        <v/>
      </c>
      <c r="O18" s="5">
        <f>IF(M18=0,"NA",IF(N18=0,"NE",AVERAGEIFS(Puntuacion!$G:$G,Puntuacion!$A:$A,$A18,Puntuacion!$C:$C,$C18,Puntuacion!$D:$D,"Automatizacion",Puntuacion!$G:$G,"&lt;&gt;NA",Puntuacion!$G:$G,"&lt;&gt;NE")))</f>
        <v/>
      </c>
      <c r="P18">
        <f>IF(COUNTIFS(Puntuacion!$A:$A,$A18,Puntuacion!$C:$C,$C18,Puntuacion!$D:$D,"Multicloud",Puntuacion!$G:$G,"&lt;&gt;NA")&gt;0,1,0)</f>
        <v/>
      </c>
      <c r="Q18">
        <f>IF(AND(P18=1,COUNTIFS(Puntuacion!$A:$A,$A18,Puntuacion!$C:$C,$C18,Puntuacion!$D:$D,"Multicloud",Puntuacion!$G:$G,"NE")=0),1,0)</f>
        <v/>
      </c>
      <c r="R18" s="5">
        <f>IF(P18=0,"NA",IF(Q18=0,"NE",AVERAGEIFS(Puntuacion!$G:$G,Puntuacion!$A:$A,$A18,Puntuacion!$C:$C,$C18,Puntuacion!$D:$D,"Multicloud",Puntuacion!$G:$G,"&lt;&gt;NA",Puntuacion!$G:$G,"&lt;&gt;NE")))</f>
        <v/>
      </c>
      <c r="S18">
        <f>IF(COUNTIFS(Puntuacion!$A:$A,$A18,Puntuacion!$C:$C,$C18,Puntuacion!$D:$D,"Integracion",Puntuacion!$G:$G,"&lt;&gt;NA")&gt;0,1,0)</f>
        <v/>
      </c>
      <c r="T18">
        <f>IF(AND(S18=1,COUNTIFS(Puntuacion!$A:$A,$A18,Puntuacion!$C:$C,$C18,Puntuacion!$D:$D,"Integracion",Puntuacion!$G:$G,"NE")=0),1,0)</f>
        <v/>
      </c>
      <c r="U18" s="5">
        <f>IF(S18=0,"NA",IF(T18=0,"NE",AVERAGEIFS(Puntuacion!$G:$G,Puntuacion!$A:$A,$A18,Puntuacion!$C:$C,$C18,Puntuacion!$D:$D,"Integracion",Puntuacion!$G:$G,"&lt;&gt;NA",Puntuacion!$G:$G,"&lt;&gt;NE")))</f>
        <v/>
      </c>
      <c r="V18">
        <f>IF(COUNTIFS(Puntuacion!$A:$A,$A18,Puntuacion!$C:$C,$C18,Puntuacion!$D:$D,"Adopcion",Puntuacion!$G:$G,"&lt;&gt;NA")&gt;0,1,0)</f>
        <v/>
      </c>
      <c r="W18">
        <f>IF(AND(V18=1,COUNTIFS(Puntuacion!$A:$A,$A18,Puntuacion!$C:$C,$C18,Puntuacion!$D:$D,"Adopcion",Puntuacion!$G:$G,"NE")=0),1,0)</f>
        <v/>
      </c>
      <c r="X18" s="5">
        <f>IF(V18=0,"NA",IF(W18=0,"NE",AVERAGEIFS(Puntuacion!$G:$G,Puntuacion!$A:$A,$A18,Puntuacion!$C:$C,$C18,Puntuacion!$D:$D,"Adopcion",Puntuacion!$G:$G,"&lt;&gt;NA",Puntuacion!$G:$G,"&lt;&gt;NE")))</f>
        <v/>
      </c>
      <c r="Y18">
        <f>IF(COUNTIFS(Puntuacion!$A:$A,$A18,Puntuacion!$C:$C,$C18,Puntuacion!$D:$D,"Precio",Puntuacion!$G:$G,"&lt;&gt;NA")&gt;0,1,0)</f>
        <v/>
      </c>
      <c r="Z18">
        <f>IF(AND(Y18=1,COUNTIFS(Puntuacion!$A:$A,$A18,Puntuacion!$C:$C,$C18,Puntuacion!$D:$D,"Precio",Puntuacion!$G:$G,"NE")=0),1,0)</f>
        <v/>
      </c>
      <c r="AA18" s="5">
        <f>IF(Y18=0,"NA",IF(Z18=0,"NE",AVERAGEIFS(Puntuacion!$G:$G,Puntuacion!$A:$A,$A18,Puntuacion!$C:$C,$C18,Puntuacion!$D:$D,"Precio",Puntuacion!$G:$G,"&lt;&gt;NA",Puntuacion!$G:$G,"&lt;&gt;NE")))</f>
        <v/>
      </c>
      <c r="AB18">
        <f>IF(COUNTIFS(Puntuacion!$A:$A,$A18,Puntuacion!$C:$C,$C18,Puntuacion!$D:$D,"Dependencia",Puntuacion!$G:$G,"&lt;&gt;NA")&gt;0,1,0)</f>
        <v/>
      </c>
      <c r="AC18">
        <f>IF(AND(AB18=1,COUNTIFS(Puntuacion!$A:$A,$A18,Puntuacion!$C:$C,$C18,Puntuacion!$D:$D,"Dependencia",Puntuacion!$G:$G,"NE")=0),1,0)</f>
        <v/>
      </c>
      <c r="AD18" s="5">
        <f>IF(AB18=0,"NA",IF(AC18=0,"NE",AVERAGEIFS(Puntuacion!$G:$G,Puntuacion!$A:$A,$A18,Puntuacion!$C:$C,$C18,Puntuacion!$D:$D,"Dependencia",Puntuacion!$G:$G,"&lt;&gt;NA",Puntuacion!$G:$G,"&lt;&gt;NE")))</f>
        <v/>
      </c>
      <c r="AE18" s="5">
        <f>IFERROR(100*(E18*Pesos!$B$2+H18*Pesos!$B$3+K18*Pesos!$B$4+N18*Pesos!$B$5+Q18*Pesos!$B$6+T18*Pesos!$B$7+W18*Pesos!$B$8+Z18*Pesos!$B$9+AC18*Pesos!$B$10)/(D18*Pesos!$B$2+G18*Pesos!$B$3+J18*Pesos!$B$4+M18*Pesos!$B$5+P18*Pesos!$B$6+S18*Pesos!$B$7+V18*Pesos!$B$8+Y18*Pesos!$B$9+AB18*Pesos!$B$10),"Sin criterios aplicables")</f>
        <v/>
      </c>
      <c r="AF18" s="5">
        <f>IFERROR(100*(E18*Pesos!$C$2+H18*Pesos!$C$3+K18*Pesos!$C$4+N18*Pesos!$C$5+Q18*Pesos!$C$6+T18*Pesos!$C$7+W18*Pesos!$C$8+Z18*Pesos!$C$9+AC18*Pesos!$C$10)/(D18*Pesos!$C$2+G18*Pesos!$C$3+J18*Pesos!$C$4+M18*Pesos!$C$5+P18*Pesos!$C$6+S18*Pesos!$C$7+V18*Pesos!$C$8+Y18*Pesos!$C$9+AB18*Pesos!$C$10),"Sin criterios aplicables")</f>
        <v/>
      </c>
      <c r="AG18" s="5">
        <f>IF(OR(AE18="Sin criterios aplicables",AE18&lt;70),"Insufficient evidence",100*(Pesos!$B$2*IF(E18=1,F18,0)+Pesos!$B$3*IF(H18=1,I18,0)+Pesos!$B$4*IF(K18=1,L18,0)+Pesos!$B$5*IF(N18=1,O18,0)+Pesos!$B$6*IF(Q18=1,R18,0)+Pesos!$B$7*IF(T18=1,U18,0)+Pesos!$B$8*IF(W18=1,X18,0)+Pesos!$B$9*IF(Z18=1,AA18,0)+Pesos!$B$10*IF(AC18=1,AD18,0))/(3*(Pesos!$B$2*E18+Pesos!$B$3*H18+Pesos!$B$4*K18+Pesos!$B$5*N18+Pesos!$B$6*Q18+Pesos!$B$7*T18+Pesos!$B$8*W18+Pesos!$B$9*Z18+Pesos!$B$10*AC18)))</f>
        <v/>
      </c>
      <c r="AH18" s="5">
        <f>IF(OR(AF18="Sin criterios aplicables",AF18&lt;70),"Insufficient evidence",100*(Pesos!$C$2*IF(E18=1,F18,0)+Pesos!$C$3*IF(H18=1,I18,0)+Pesos!$C$4*IF(K18=1,L18,0)+Pesos!$C$5*IF(N18=1,O18,0)+Pesos!$C$6*IF(Q18=1,R18,0)+Pesos!$C$7*IF(T18=1,U18,0)+Pesos!$C$8*IF(W18=1,X18,0)+Pesos!$C$9*IF(Z18=1,AA18,0)+Pesos!$C$10*IF(AC18=1,AD18,0))/(3*(Pesos!$C$2*E18+Pesos!$C$3*H18+Pesos!$C$4*K18+Pesos!$C$5*N18+Pesos!$C$6*Q18+Pesos!$C$7*T18+Pesos!$C$8*W18+Pesos!$C$9*Z18+Pesos!$C$10*AC18)))</f>
        <v/>
      </c>
      <c r="AI18">
        <f>IF(AG18="Insufficient evidence","Insufficient evidence (cobertura&lt;70%)",IF(AG18&lt;50/3,"Insufficient",IF(AG18&lt;50,"Basic",IF(AG18&lt;250/3,"Solid","Advanced"))))</f>
        <v/>
      </c>
      <c r="AJ18">
        <f>IF(AH18="Insufficient evidence","Insufficient evidence (cobertura&lt;70%)",IF(AH18&lt;50/3,"Insufficient",IF(AH18&lt;50,"Basic",IF(AH18&lt;250/3,"Solid","Advanced"))))</f>
        <v/>
      </c>
      <c r="AK18">
        <f>IF(TRIM(IF(AND(ISNUMBER(R18),R18&lt;1),"Multicloud","") &amp; " " &amp; IF(AND(ISNUMBER(AA18),AA18&lt;1),"Precio",""))="","Ninguno",TRIM(IF(AND(ISNUMBER(R18),R18&lt;1),"Multicloud","") &amp; " " &amp; IF(AND(ISNUMBER(AA18),AA18&lt;1),"Precio","")))</f>
        <v/>
      </c>
    </row>
    <row r="19">
      <c r="A19" t="inlineStr">
        <is>
          <t>E2</t>
        </is>
      </c>
      <c r="B19" t="inlineStr">
        <is>
          <t>Multicloud</t>
        </is>
      </c>
      <c r="C19" t="inlineStr">
        <is>
          <t>CloudZero</t>
        </is>
      </c>
      <c r="D19">
        <f>IF(COUNTIFS(Puntuacion!$A:$A,$A19,Puntuacion!$C:$C,$C19,Puntuacion!$D:$D,"Visibilidad",Puntuacion!$G:$G,"&lt;&gt;NA")&gt;0,1,0)</f>
        <v/>
      </c>
      <c r="E19">
        <f>IF(AND(D19=1,COUNTIFS(Puntuacion!$A:$A,$A19,Puntuacion!$C:$C,$C19,Puntuacion!$D:$D,"Visibilidad",Puntuacion!$G:$G,"NE")=0),1,0)</f>
        <v/>
      </c>
      <c r="F19" s="5">
        <f>IF(D19=0,"NA",IF(E19=0,"NE",AVERAGEIFS(Puntuacion!$G:$G,Puntuacion!$A:$A,$A19,Puntuacion!$C:$C,$C19,Puntuacion!$D:$D,"Visibilidad",Puntuacion!$G:$G,"&lt;&gt;NA",Puntuacion!$G:$G,"&lt;&gt;NE")))</f>
        <v/>
      </c>
      <c r="G19">
        <f>IF(COUNTIFS(Puntuacion!$A:$A,$A19,Puntuacion!$C:$C,$C19,Puntuacion!$D:$D,"Asignacion",Puntuacion!$G:$G,"&lt;&gt;NA")&gt;0,1,0)</f>
        <v/>
      </c>
      <c r="H19">
        <f>IF(AND(G19=1,COUNTIFS(Puntuacion!$A:$A,$A19,Puntuacion!$C:$C,$C19,Puntuacion!$D:$D,"Asignacion",Puntuacion!$G:$G,"NE")=0),1,0)</f>
        <v/>
      </c>
      <c r="I19" s="5">
        <f>IF(G19=0,"NA",IF(H19=0,"NE",AVERAGEIFS(Puntuacion!$G:$G,Puntuacion!$A:$A,$A19,Puntuacion!$C:$C,$C19,Puntuacion!$D:$D,"Asignacion",Puntuacion!$G:$G,"&lt;&gt;NA",Puntuacion!$G:$G,"&lt;&gt;NE")))</f>
        <v/>
      </c>
      <c r="J19">
        <f>IF(COUNTIFS(Puntuacion!$A:$A,$A19,Puntuacion!$C:$C,$C19,Puntuacion!$D:$D,"Optimizacion",Puntuacion!$G:$G,"&lt;&gt;NA")&gt;0,1,0)</f>
        <v/>
      </c>
      <c r="K19">
        <f>IF(AND(J19=1,COUNTIFS(Puntuacion!$A:$A,$A19,Puntuacion!$C:$C,$C19,Puntuacion!$D:$D,"Optimizacion",Puntuacion!$G:$G,"NE")=0),1,0)</f>
        <v/>
      </c>
      <c r="L19" s="5">
        <f>IF(J19=0,"NA",IF(K19=0,"NE",AVERAGEIFS(Puntuacion!$G:$G,Puntuacion!$A:$A,$A19,Puntuacion!$C:$C,$C19,Puntuacion!$D:$D,"Optimizacion",Puntuacion!$G:$G,"&lt;&gt;NA",Puntuacion!$G:$G,"&lt;&gt;NE")))</f>
        <v/>
      </c>
      <c r="M19">
        <f>IF(COUNTIFS(Puntuacion!$A:$A,$A19,Puntuacion!$C:$C,$C19,Puntuacion!$D:$D,"Automatizacion",Puntuacion!$G:$G,"&lt;&gt;NA")&gt;0,1,0)</f>
        <v/>
      </c>
      <c r="N19">
        <f>IF(AND(M19=1,COUNTIFS(Puntuacion!$A:$A,$A19,Puntuacion!$C:$C,$C19,Puntuacion!$D:$D,"Automatizacion",Puntuacion!$G:$G,"NE")=0),1,0)</f>
        <v/>
      </c>
      <c r="O19" s="5">
        <f>IF(M19=0,"NA",IF(N19=0,"NE",AVERAGEIFS(Puntuacion!$G:$G,Puntuacion!$A:$A,$A19,Puntuacion!$C:$C,$C19,Puntuacion!$D:$D,"Automatizacion",Puntuacion!$G:$G,"&lt;&gt;NA",Puntuacion!$G:$G,"&lt;&gt;NE")))</f>
        <v/>
      </c>
      <c r="P19">
        <f>IF(COUNTIFS(Puntuacion!$A:$A,$A19,Puntuacion!$C:$C,$C19,Puntuacion!$D:$D,"Multicloud",Puntuacion!$G:$G,"&lt;&gt;NA")&gt;0,1,0)</f>
        <v/>
      </c>
      <c r="Q19">
        <f>IF(AND(P19=1,COUNTIFS(Puntuacion!$A:$A,$A19,Puntuacion!$C:$C,$C19,Puntuacion!$D:$D,"Multicloud",Puntuacion!$G:$G,"NE")=0),1,0)</f>
        <v/>
      </c>
      <c r="R19" s="5">
        <f>IF(P19=0,"NA",IF(Q19=0,"NE",AVERAGEIFS(Puntuacion!$G:$G,Puntuacion!$A:$A,$A19,Puntuacion!$C:$C,$C19,Puntuacion!$D:$D,"Multicloud",Puntuacion!$G:$G,"&lt;&gt;NA",Puntuacion!$G:$G,"&lt;&gt;NE")))</f>
        <v/>
      </c>
      <c r="S19">
        <f>IF(COUNTIFS(Puntuacion!$A:$A,$A19,Puntuacion!$C:$C,$C19,Puntuacion!$D:$D,"Integracion",Puntuacion!$G:$G,"&lt;&gt;NA")&gt;0,1,0)</f>
        <v/>
      </c>
      <c r="T19">
        <f>IF(AND(S19=1,COUNTIFS(Puntuacion!$A:$A,$A19,Puntuacion!$C:$C,$C19,Puntuacion!$D:$D,"Integracion",Puntuacion!$G:$G,"NE")=0),1,0)</f>
        <v/>
      </c>
      <c r="U19" s="5">
        <f>IF(S19=0,"NA",IF(T19=0,"NE",AVERAGEIFS(Puntuacion!$G:$G,Puntuacion!$A:$A,$A19,Puntuacion!$C:$C,$C19,Puntuacion!$D:$D,"Integracion",Puntuacion!$G:$G,"&lt;&gt;NA",Puntuacion!$G:$G,"&lt;&gt;NE")))</f>
        <v/>
      </c>
      <c r="V19">
        <f>IF(COUNTIFS(Puntuacion!$A:$A,$A19,Puntuacion!$C:$C,$C19,Puntuacion!$D:$D,"Adopcion",Puntuacion!$G:$G,"&lt;&gt;NA")&gt;0,1,0)</f>
        <v/>
      </c>
      <c r="W19">
        <f>IF(AND(V19=1,COUNTIFS(Puntuacion!$A:$A,$A19,Puntuacion!$C:$C,$C19,Puntuacion!$D:$D,"Adopcion",Puntuacion!$G:$G,"NE")=0),1,0)</f>
        <v/>
      </c>
      <c r="X19" s="5">
        <f>IF(V19=0,"NA",IF(W19=0,"NE",AVERAGEIFS(Puntuacion!$G:$G,Puntuacion!$A:$A,$A19,Puntuacion!$C:$C,$C19,Puntuacion!$D:$D,"Adopcion",Puntuacion!$G:$G,"&lt;&gt;NA",Puntuacion!$G:$G,"&lt;&gt;NE")))</f>
        <v/>
      </c>
      <c r="Y19">
        <f>IF(COUNTIFS(Puntuacion!$A:$A,$A19,Puntuacion!$C:$C,$C19,Puntuacion!$D:$D,"Precio",Puntuacion!$G:$G,"&lt;&gt;NA")&gt;0,1,0)</f>
        <v/>
      </c>
      <c r="Z19">
        <f>IF(AND(Y19=1,COUNTIFS(Puntuacion!$A:$A,$A19,Puntuacion!$C:$C,$C19,Puntuacion!$D:$D,"Precio",Puntuacion!$G:$G,"NE")=0),1,0)</f>
        <v/>
      </c>
      <c r="AA19" s="5">
        <f>IF(Y19=0,"NA",IF(Z19=0,"NE",AVERAGEIFS(Puntuacion!$G:$G,Puntuacion!$A:$A,$A19,Puntuacion!$C:$C,$C19,Puntuacion!$D:$D,"Precio",Puntuacion!$G:$G,"&lt;&gt;NA",Puntuacion!$G:$G,"&lt;&gt;NE")))</f>
        <v/>
      </c>
      <c r="AB19">
        <f>IF(COUNTIFS(Puntuacion!$A:$A,$A19,Puntuacion!$C:$C,$C19,Puntuacion!$D:$D,"Dependencia",Puntuacion!$G:$G,"&lt;&gt;NA")&gt;0,1,0)</f>
        <v/>
      </c>
      <c r="AC19">
        <f>IF(AND(AB19=1,COUNTIFS(Puntuacion!$A:$A,$A19,Puntuacion!$C:$C,$C19,Puntuacion!$D:$D,"Dependencia",Puntuacion!$G:$G,"NE")=0),1,0)</f>
        <v/>
      </c>
      <c r="AD19" s="5">
        <f>IF(AB19=0,"NA",IF(AC19=0,"NE",AVERAGEIFS(Puntuacion!$G:$G,Puntuacion!$A:$A,$A19,Puntuacion!$C:$C,$C19,Puntuacion!$D:$D,"Dependencia",Puntuacion!$G:$G,"&lt;&gt;NA",Puntuacion!$G:$G,"&lt;&gt;NE")))</f>
        <v/>
      </c>
      <c r="AE19" s="5">
        <f>IFERROR(100*(E19*Pesos!$B$2+H19*Pesos!$B$3+K19*Pesos!$B$4+N19*Pesos!$B$5+Q19*Pesos!$B$6+T19*Pesos!$B$7+W19*Pesos!$B$8+Z19*Pesos!$B$9+AC19*Pesos!$B$10)/(D19*Pesos!$B$2+G19*Pesos!$B$3+J19*Pesos!$B$4+M19*Pesos!$B$5+P19*Pesos!$B$6+S19*Pesos!$B$7+V19*Pesos!$B$8+Y19*Pesos!$B$9+AB19*Pesos!$B$10),"Sin criterios aplicables")</f>
        <v/>
      </c>
      <c r="AF19" s="5">
        <f>IFERROR(100*(E19*Pesos!$C$2+H19*Pesos!$C$3+K19*Pesos!$C$4+N19*Pesos!$C$5+Q19*Pesos!$C$6+T19*Pesos!$C$7+W19*Pesos!$C$8+Z19*Pesos!$C$9+AC19*Pesos!$C$10)/(D19*Pesos!$C$2+G19*Pesos!$C$3+J19*Pesos!$C$4+M19*Pesos!$C$5+P19*Pesos!$C$6+S19*Pesos!$C$7+V19*Pesos!$C$8+Y19*Pesos!$C$9+AB19*Pesos!$C$10),"Sin criterios aplicables")</f>
        <v/>
      </c>
      <c r="AG19" s="5">
        <f>IF(OR(AE19="Sin criterios aplicables",AE19&lt;70),"Insufficient evidence",100*(Pesos!$B$2*IF(E19=1,F19,0)+Pesos!$B$3*IF(H19=1,I19,0)+Pesos!$B$4*IF(K19=1,L19,0)+Pesos!$B$5*IF(N19=1,O19,0)+Pesos!$B$6*IF(Q19=1,R19,0)+Pesos!$B$7*IF(T19=1,U19,0)+Pesos!$B$8*IF(W19=1,X19,0)+Pesos!$B$9*IF(Z19=1,AA19,0)+Pesos!$B$10*IF(AC19=1,AD19,0))/(3*(Pesos!$B$2*E19+Pesos!$B$3*H19+Pesos!$B$4*K19+Pesos!$B$5*N19+Pesos!$B$6*Q19+Pesos!$B$7*T19+Pesos!$B$8*W19+Pesos!$B$9*Z19+Pesos!$B$10*AC19)))</f>
        <v/>
      </c>
      <c r="AH19" s="5">
        <f>IF(OR(AF19="Sin criterios aplicables",AF19&lt;70),"Insufficient evidence",100*(Pesos!$C$2*IF(E19=1,F19,0)+Pesos!$C$3*IF(H19=1,I19,0)+Pesos!$C$4*IF(K19=1,L19,0)+Pesos!$C$5*IF(N19=1,O19,0)+Pesos!$C$6*IF(Q19=1,R19,0)+Pesos!$C$7*IF(T19=1,U19,0)+Pesos!$C$8*IF(W19=1,X19,0)+Pesos!$C$9*IF(Z19=1,AA19,0)+Pesos!$C$10*IF(AC19=1,AD19,0))/(3*(Pesos!$C$2*E19+Pesos!$C$3*H19+Pesos!$C$4*K19+Pesos!$C$5*N19+Pesos!$C$6*Q19+Pesos!$C$7*T19+Pesos!$C$8*W19+Pesos!$C$9*Z19+Pesos!$C$10*AC19)))</f>
        <v/>
      </c>
      <c r="AI19">
        <f>IF(AG19="Insufficient evidence","Insufficient evidence (cobertura&lt;70%)",IF(AG19&lt;50/3,"Insufficient",IF(AG19&lt;50,"Basic",IF(AG19&lt;250/3,"Solid","Advanced"))))</f>
        <v/>
      </c>
      <c r="AJ19">
        <f>IF(AH19="Insufficient evidence","Insufficient evidence (cobertura&lt;70%)",IF(AH19&lt;50/3,"Insufficient",IF(AH19&lt;50,"Basic",IF(AH19&lt;250/3,"Solid","Advanced"))))</f>
        <v/>
      </c>
      <c r="AK19">
        <f>IF(TRIM(IF(AND(ISNUMBER(R19),R19&lt;1),"Multicloud","") &amp; " " &amp; IF(AND(ISNUMBER(AA19),AA19&lt;1),"Precio",""))="","Ninguno",TRIM(IF(AND(ISNUMBER(R19),R19&lt;1),"Multicloud","") &amp; " " &amp; IF(AND(ISNUMBER(AA19),AA19&lt;1),"Precio","")))</f>
        <v/>
      </c>
    </row>
    <row r="20">
      <c r="A20" t="inlineStr">
        <is>
          <t>E2</t>
        </is>
      </c>
      <c r="B20" t="inlineStr">
        <is>
          <t>Multicloud</t>
        </is>
      </c>
      <c r="C20" t="inlineStr">
        <is>
          <t>Cloudability</t>
        </is>
      </c>
      <c r="D20">
        <f>IF(COUNTIFS(Puntuacion!$A:$A,$A20,Puntuacion!$C:$C,$C20,Puntuacion!$D:$D,"Visibilidad",Puntuacion!$G:$G,"&lt;&gt;NA")&gt;0,1,0)</f>
        <v/>
      </c>
      <c r="E20">
        <f>IF(AND(D20=1,COUNTIFS(Puntuacion!$A:$A,$A20,Puntuacion!$C:$C,$C20,Puntuacion!$D:$D,"Visibilidad",Puntuacion!$G:$G,"NE")=0),1,0)</f>
        <v/>
      </c>
      <c r="F20" s="5">
        <f>IF(D20=0,"NA",IF(E20=0,"NE",AVERAGEIFS(Puntuacion!$G:$G,Puntuacion!$A:$A,$A20,Puntuacion!$C:$C,$C20,Puntuacion!$D:$D,"Visibilidad",Puntuacion!$G:$G,"&lt;&gt;NA",Puntuacion!$G:$G,"&lt;&gt;NE")))</f>
        <v/>
      </c>
      <c r="G20">
        <f>IF(COUNTIFS(Puntuacion!$A:$A,$A20,Puntuacion!$C:$C,$C20,Puntuacion!$D:$D,"Asignacion",Puntuacion!$G:$G,"&lt;&gt;NA")&gt;0,1,0)</f>
        <v/>
      </c>
      <c r="H20">
        <f>IF(AND(G20=1,COUNTIFS(Puntuacion!$A:$A,$A20,Puntuacion!$C:$C,$C20,Puntuacion!$D:$D,"Asignacion",Puntuacion!$G:$G,"NE")=0),1,0)</f>
        <v/>
      </c>
      <c r="I20" s="5">
        <f>IF(G20=0,"NA",IF(H20=0,"NE",AVERAGEIFS(Puntuacion!$G:$G,Puntuacion!$A:$A,$A20,Puntuacion!$C:$C,$C20,Puntuacion!$D:$D,"Asignacion",Puntuacion!$G:$G,"&lt;&gt;NA",Puntuacion!$G:$G,"&lt;&gt;NE")))</f>
        <v/>
      </c>
      <c r="J20">
        <f>IF(COUNTIFS(Puntuacion!$A:$A,$A20,Puntuacion!$C:$C,$C20,Puntuacion!$D:$D,"Optimizacion",Puntuacion!$G:$G,"&lt;&gt;NA")&gt;0,1,0)</f>
        <v/>
      </c>
      <c r="K20">
        <f>IF(AND(J20=1,COUNTIFS(Puntuacion!$A:$A,$A20,Puntuacion!$C:$C,$C20,Puntuacion!$D:$D,"Optimizacion",Puntuacion!$G:$G,"NE")=0),1,0)</f>
        <v/>
      </c>
      <c r="L20" s="5">
        <f>IF(J20=0,"NA",IF(K20=0,"NE",AVERAGEIFS(Puntuacion!$G:$G,Puntuacion!$A:$A,$A20,Puntuacion!$C:$C,$C20,Puntuacion!$D:$D,"Optimizacion",Puntuacion!$G:$G,"&lt;&gt;NA",Puntuacion!$G:$G,"&lt;&gt;NE")))</f>
        <v/>
      </c>
      <c r="M20">
        <f>IF(COUNTIFS(Puntuacion!$A:$A,$A20,Puntuacion!$C:$C,$C20,Puntuacion!$D:$D,"Automatizacion",Puntuacion!$G:$G,"&lt;&gt;NA")&gt;0,1,0)</f>
        <v/>
      </c>
      <c r="N20">
        <f>IF(AND(M20=1,COUNTIFS(Puntuacion!$A:$A,$A20,Puntuacion!$C:$C,$C20,Puntuacion!$D:$D,"Automatizacion",Puntuacion!$G:$G,"NE")=0),1,0)</f>
        <v/>
      </c>
      <c r="O20" s="5">
        <f>IF(M20=0,"NA",IF(N20=0,"NE",AVERAGEIFS(Puntuacion!$G:$G,Puntuacion!$A:$A,$A20,Puntuacion!$C:$C,$C20,Puntuacion!$D:$D,"Automatizacion",Puntuacion!$G:$G,"&lt;&gt;NA",Puntuacion!$G:$G,"&lt;&gt;NE")))</f>
        <v/>
      </c>
      <c r="P20">
        <f>IF(COUNTIFS(Puntuacion!$A:$A,$A20,Puntuacion!$C:$C,$C20,Puntuacion!$D:$D,"Multicloud",Puntuacion!$G:$G,"&lt;&gt;NA")&gt;0,1,0)</f>
        <v/>
      </c>
      <c r="Q20">
        <f>IF(AND(P20=1,COUNTIFS(Puntuacion!$A:$A,$A20,Puntuacion!$C:$C,$C20,Puntuacion!$D:$D,"Multicloud",Puntuacion!$G:$G,"NE")=0),1,0)</f>
        <v/>
      </c>
      <c r="R20" s="5">
        <f>IF(P20=0,"NA",IF(Q20=0,"NE",AVERAGEIFS(Puntuacion!$G:$G,Puntuacion!$A:$A,$A20,Puntuacion!$C:$C,$C20,Puntuacion!$D:$D,"Multicloud",Puntuacion!$G:$G,"&lt;&gt;NA",Puntuacion!$G:$G,"&lt;&gt;NE")))</f>
        <v/>
      </c>
      <c r="S20">
        <f>IF(COUNTIFS(Puntuacion!$A:$A,$A20,Puntuacion!$C:$C,$C20,Puntuacion!$D:$D,"Integracion",Puntuacion!$G:$G,"&lt;&gt;NA")&gt;0,1,0)</f>
        <v/>
      </c>
      <c r="T20">
        <f>IF(AND(S20=1,COUNTIFS(Puntuacion!$A:$A,$A20,Puntuacion!$C:$C,$C20,Puntuacion!$D:$D,"Integracion",Puntuacion!$G:$G,"NE")=0),1,0)</f>
        <v/>
      </c>
      <c r="U20" s="5">
        <f>IF(S20=0,"NA",IF(T20=0,"NE",AVERAGEIFS(Puntuacion!$G:$G,Puntuacion!$A:$A,$A20,Puntuacion!$C:$C,$C20,Puntuacion!$D:$D,"Integracion",Puntuacion!$G:$G,"&lt;&gt;NA",Puntuacion!$G:$G,"&lt;&gt;NE")))</f>
        <v/>
      </c>
      <c r="V20">
        <f>IF(COUNTIFS(Puntuacion!$A:$A,$A20,Puntuacion!$C:$C,$C20,Puntuacion!$D:$D,"Adopcion",Puntuacion!$G:$G,"&lt;&gt;NA")&gt;0,1,0)</f>
        <v/>
      </c>
      <c r="W20">
        <f>IF(AND(V20=1,COUNTIFS(Puntuacion!$A:$A,$A20,Puntuacion!$C:$C,$C20,Puntuacion!$D:$D,"Adopcion",Puntuacion!$G:$G,"NE")=0),1,0)</f>
        <v/>
      </c>
      <c r="X20" s="5">
        <f>IF(V20=0,"NA",IF(W20=0,"NE",AVERAGEIFS(Puntuacion!$G:$G,Puntuacion!$A:$A,$A20,Puntuacion!$C:$C,$C20,Puntuacion!$D:$D,"Adopcion",Puntuacion!$G:$G,"&lt;&gt;NA",Puntuacion!$G:$G,"&lt;&gt;NE")))</f>
        <v/>
      </c>
      <c r="Y20">
        <f>IF(COUNTIFS(Puntuacion!$A:$A,$A20,Puntuacion!$C:$C,$C20,Puntuacion!$D:$D,"Precio",Puntuacion!$G:$G,"&lt;&gt;NA")&gt;0,1,0)</f>
        <v/>
      </c>
      <c r="Z20">
        <f>IF(AND(Y20=1,COUNTIFS(Puntuacion!$A:$A,$A20,Puntuacion!$C:$C,$C20,Puntuacion!$D:$D,"Precio",Puntuacion!$G:$G,"NE")=0),1,0)</f>
        <v/>
      </c>
      <c r="AA20" s="5">
        <f>IF(Y20=0,"NA",IF(Z20=0,"NE",AVERAGEIFS(Puntuacion!$G:$G,Puntuacion!$A:$A,$A20,Puntuacion!$C:$C,$C20,Puntuacion!$D:$D,"Precio",Puntuacion!$G:$G,"&lt;&gt;NA",Puntuacion!$G:$G,"&lt;&gt;NE")))</f>
        <v/>
      </c>
      <c r="AB20">
        <f>IF(COUNTIFS(Puntuacion!$A:$A,$A20,Puntuacion!$C:$C,$C20,Puntuacion!$D:$D,"Dependencia",Puntuacion!$G:$G,"&lt;&gt;NA")&gt;0,1,0)</f>
        <v/>
      </c>
      <c r="AC20">
        <f>IF(AND(AB20=1,COUNTIFS(Puntuacion!$A:$A,$A20,Puntuacion!$C:$C,$C20,Puntuacion!$D:$D,"Dependencia",Puntuacion!$G:$G,"NE")=0),1,0)</f>
        <v/>
      </c>
      <c r="AD20" s="5">
        <f>IF(AB20=0,"NA",IF(AC20=0,"NE",AVERAGEIFS(Puntuacion!$G:$G,Puntuacion!$A:$A,$A20,Puntuacion!$C:$C,$C20,Puntuacion!$D:$D,"Dependencia",Puntuacion!$G:$G,"&lt;&gt;NA",Puntuacion!$G:$G,"&lt;&gt;NE")))</f>
        <v/>
      </c>
      <c r="AE20" s="5">
        <f>IFERROR(100*(E20*Pesos!$B$2+H20*Pesos!$B$3+K20*Pesos!$B$4+N20*Pesos!$B$5+Q20*Pesos!$B$6+T20*Pesos!$B$7+W20*Pesos!$B$8+Z20*Pesos!$B$9+AC20*Pesos!$B$10)/(D20*Pesos!$B$2+G20*Pesos!$B$3+J20*Pesos!$B$4+M20*Pesos!$B$5+P20*Pesos!$B$6+S20*Pesos!$B$7+V20*Pesos!$B$8+Y20*Pesos!$B$9+AB20*Pesos!$B$10),"Sin criterios aplicables")</f>
        <v/>
      </c>
      <c r="AF20" s="5">
        <f>IFERROR(100*(E20*Pesos!$C$2+H20*Pesos!$C$3+K20*Pesos!$C$4+N20*Pesos!$C$5+Q20*Pesos!$C$6+T20*Pesos!$C$7+W20*Pesos!$C$8+Z20*Pesos!$C$9+AC20*Pesos!$C$10)/(D20*Pesos!$C$2+G20*Pesos!$C$3+J20*Pesos!$C$4+M20*Pesos!$C$5+P20*Pesos!$C$6+S20*Pesos!$C$7+V20*Pesos!$C$8+Y20*Pesos!$C$9+AB20*Pesos!$C$10),"Sin criterios aplicables")</f>
        <v/>
      </c>
      <c r="AG20" s="5">
        <f>IF(OR(AE20="Sin criterios aplicables",AE20&lt;70),"Insufficient evidence",100*(Pesos!$B$2*IF(E20=1,F20,0)+Pesos!$B$3*IF(H20=1,I20,0)+Pesos!$B$4*IF(K20=1,L20,0)+Pesos!$B$5*IF(N20=1,O20,0)+Pesos!$B$6*IF(Q20=1,R20,0)+Pesos!$B$7*IF(T20=1,U20,0)+Pesos!$B$8*IF(W20=1,X20,0)+Pesos!$B$9*IF(Z20=1,AA20,0)+Pesos!$B$10*IF(AC20=1,AD20,0))/(3*(Pesos!$B$2*E20+Pesos!$B$3*H20+Pesos!$B$4*K20+Pesos!$B$5*N20+Pesos!$B$6*Q20+Pesos!$B$7*T20+Pesos!$B$8*W20+Pesos!$B$9*Z20+Pesos!$B$10*AC20)))</f>
        <v/>
      </c>
      <c r="AH20" s="5">
        <f>IF(OR(AF20="Sin criterios aplicables",AF20&lt;70),"Insufficient evidence",100*(Pesos!$C$2*IF(E20=1,F20,0)+Pesos!$C$3*IF(H20=1,I20,0)+Pesos!$C$4*IF(K20=1,L20,0)+Pesos!$C$5*IF(N20=1,O20,0)+Pesos!$C$6*IF(Q20=1,R20,0)+Pesos!$C$7*IF(T20=1,U20,0)+Pesos!$C$8*IF(W20=1,X20,0)+Pesos!$C$9*IF(Z20=1,AA20,0)+Pesos!$C$10*IF(AC20=1,AD20,0))/(3*(Pesos!$C$2*E20+Pesos!$C$3*H20+Pesos!$C$4*K20+Pesos!$C$5*N20+Pesos!$C$6*Q20+Pesos!$C$7*T20+Pesos!$C$8*W20+Pesos!$C$9*Z20+Pesos!$C$10*AC20)))</f>
        <v/>
      </c>
      <c r="AI20">
        <f>IF(AG20="Insufficient evidence","Insufficient evidence (cobertura&lt;70%)",IF(AG20&lt;50/3,"Insufficient",IF(AG20&lt;50,"Basic",IF(AG20&lt;250/3,"Solid","Advanced"))))</f>
        <v/>
      </c>
      <c r="AJ20">
        <f>IF(AH20="Insufficient evidence","Insufficient evidence (cobertura&lt;70%)",IF(AH20&lt;50/3,"Insufficient",IF(AH20&lt;50,"Basic",IF(AH20&lt;250/3,"Solid","Advanced"))))</f>
        <v/>
      </c>
      <c r="AK20">
        <f>IF(TRIM(IF(AND(ISNUMBER(R20),R20&lt;1),"Multicloud","") &amp; " " &amp; IF(AND(ISNUMBER(AA20),AA20&lt;1),"Precio",""))="","Ninguno",TRIM(IF(AND(ISNUMBER(R20),R20&lt;1),"Multicloud","") &amp; " " &amp; IF(AND(ISNUMBER(AA20),AA20&lt;1),"Precio","")))</f>
        <v/>
      </c>
    </row>
    <row r="21">
      <c r="A21" t="inlineStr">
        <is>
          <t>E2</t>
        </is>
      </c>
      <c r="B21" t="inlineStr">
        <is>
          <t>Multicloud</t>
        </is>
      </c>
      <c r="C21" t="inlineStr">
        <is>
          <t>Finout</t>
        </is>
      </c>
      <c r="D21">
        <f>IF(COUNTIFS(Puntuacion!$A:$A,$A21,Puntuacion!$C:$C,$C21,Puntuacion!$D:$D,"Visibilidad",Puntuacion!$G:$G,"&lt;&gt;NA")&gt;0,1,0)</f>
        <v/>
      </c>
      <c r="E21">
        <f>IF(AND(D21=1,COUNTIFS(Puntuacion!$A:$A,$A21,Puntuacion!$C:$C,$C21,Puntuacion!$D:$D,"Visibilidad",Puntuacion!$G:$G,"NE")=0),1,0)</f>
        <v/>
      </c>
      <c r="F21" s="5">
        <f>IF(D21=0,"NA",IF(E21=0,"NE",AVERAGEIFS(Puntuacion!$G:$G,Puntuacion!$A:$A,$A21,Puntuacion!$C:$C,$C21,Puntuacion!$D:$D,"Visibilidad",Puntuacion!$G:$G,"&lt;&gt;NA",Puntuacion!$G:$G,"&lt;&gt;NE")))</f>
        <v/>
      </c>
      <c r="G21">
        <f>IF(COUNTIFS(Puntuacion!$A:$A,$A21,Puntuacion!$C:$C,$C21,Puntuacion!$D:$D,"Asignacion",Puntuacion!$G:$G,"&lt;&gt;NA")&gt;0,1,0)</f>
        <v/>
      </c>
      <c r="H21">
        <f>IF(AND(G21=1,COUNTIFS(Puntuacion!$A:$A,$A21,Puntuacion!$C:$C,$C21,Puntuacion!$D:$D,"Asignacion",Puntuacion!$G:$G,"NE")=0),1,0)</f>
        <v/>
      </c>
      <c r="I21" s="5">
        <f>IF(G21=0,"NA",IF(H21=0,"NE",AVERAGEIFS(Puntuacion!$G:$G,Puntuacion!$A:$A,$A21,Puntuacion!$C:$C,$C21,Puntuacion!$D:$D,"Asignacion",Puntuacion!$G:$G,"&lt;&gt;NA",Puntuacion!$G:$G,"&lt;&gt;NE")))</f>
        <v/>
      </c>
      <c r="J21">
        <f>IF(COUNTIFS(Puntuacion!$A:$A,$A21,Puntuacion!$C:$C,$C21,Puntuacion!$D:$D,"Optimizacion",Puntuacion!$G:$G,"&lt;&gt;NA")&gt;0,1,0)</f>
        <v/>
      </c>
      <c r="K21">
        <f>IF(AND(J21=1,COUNTIFS(Puntuacion!$A:$A,$A21,Puntuacion!$C:$C,$C21,Puntuacion!$D:$D,"Optimizacion",Puntuacion!$G:$G,"NE")=0),1,0)</f>
        <v/>
      </c>
      <c r="L21" s="5">
        <f>IF(J21=0,"NA",IF(K21=0,"NE",AVERAGEIFS(Puntuacion!$G:$G,Puntuacion!$A:$A,$A21,Puntuacion!$C:$C,$C21,Puntuacion!$D:$D,"Optimizacion",Puntuacion!$G:$G,"&lt;&gt;NA",Puntuacion!$G:$G,"&lt;&gt;NE")))</f>
        <v/>
      </c>
      <c r="M21">
        <f>IF(COUNTIFS(Puntuacion!$A:$A,$A21,Puntuacion!$C:$C,$C21,Puntuacion!$D:$D,"Automatizacion",Puntuacion!$G:$G,"&lt;&gt;NA")&gt;0,1,0)</f>
        <v/>
      </c>
      <c r="N21">
        <f>IF(AND(M21=1,COUNTIFS(Puntuacion!$A:$A,$A21,Puntuacion!$C:$C,$C21,Puntuacion!$D:$D,"Automatizacion",Puntuacion!$G:$G,"NE")=0),1,0)</f>
        <v/>
      </c>
      <c r="O21" s="5">
        <f>IF(M21=0,"NA",IF(N21=0,"NE",AVERAGEIFS(Puntuacion!$G:$G,Puntuacion!$A:$A,$A21,Puntuacion!$C:$C,$C21,Puntuacion!$D:$D,"Automatizacion",Puntuacion!$G:$G,"&lt;&gt;NA",Puntuacion!$G:$G,"&lt;&gt;NE")))</f>
        <v/>
      </c>
      <c r="P21">
        <f>IF(COUNTIFS(Puntuacion!$A:$A,$A21,Puntuacion!$C:$C,$C21,Puntuacion!$D:$D,"Multicloud",Puntuacion!$G:$G,"&lt;&gt;NA")&gt;0,1,0)</f>
        <v/>
      </c>
      <c r="Q21">
        <f>IF(AND(P21=1,COUNTIFS(Puntuacion!$A:$A,$A21,Puntuacion!$C:$C,$C21,Puntuacion!$D:$D,"Multicloud",Puntuacion!$G:$G,"NE")=0),1,0)</f>
        <v/>
      </c>
      <c r="R21" s="5">
        <f>IF(P21=0,"NA",IF(Q21=0,"NE",AVERAGEIFS(Puntuacion!$G:$G,Puntuacion!$A:$A,$A21,Puntuacion!$C:$C,$C21,Puntuacion!$D:$D,"Multicloud",Puntuacion!$G:$G,"&lt;&gt;NA",Puntuacion!$G:$G,"&lt;&gt;NE")))</f>
        <v/>
      </c>
      <c r="S21">
        <f>IF(COUNTIFS(Puntuacion!$A:$A,$A21,Puntuacion!$C:$C,$C21,Puntuacion!$D:$D,"Integracion",Puntuacion!$G:$G,"&lt;&gt;NA")&gt;0,1,0)</f>
        <v/>
      </c>
      <c r="T21">
        <f>IF(AND(S21=1,COUNTIFS(Puntuacion!$A:$A,$A21,Puntuacion!$C:$C,$C21,Puntuacion!$D:$D,"Integracion",Puntuacion!$G:$G,"NE")=0),1,0)</f>
        <v/>
      </c>
      <c r="U21" s="5">
        <f>IF(S21=0,"NA",IF(T21=0,"NE",AVERAGEIFS(Puntuacion!$G:$G,Puntuacion!$A:$A,$A21,Puntuacion!$C:$C,$C21,Puntuacion!$D:$D,"Integracion",Puntuacion!$G:$G,"&lt;&gt;NA",Puntuacion!$G:$G,"&lt;&gt;NE")))</f>
        <v/>
      </c>
      <c r="V21">
        <f>IF(COUNTIFS(Puntuacion!$A:$A,$A21,Puntuacion!$C:$C,$C21,Puntuacion!$D:$D,"Adopcion",Puntuacion!$G:$G,"&lt;&gt;NA")&gt;0,1,0)</f>
        <v/>
      </c>
      <c r="W21">
        <f>IF(AND(V21=1,COUNTIFS(Puntuacion!$A:$A,$A21,Puntuacion!$C:$C,$C21,Puntuacion!$D:$D,"Adopcion",Puntuacion!$G:$G,"NE")=0),1,0)</f>
        <v/>
      </c>
      <c r="X21" s="5">
        <f>IF(V21=0,"NA",IF(W21=0,"NE",AVERAGEIFS(Puntuacion!$G:$G,Puntuacion!$A:$A,$A21,Puntuacion!$C:$C,$C21,Puntuacion!$D:$D,"Adopcion",Puntuacion!$G:$G,"&lt;&gt;NA",Puntuacion!$G:$G,"&lt;&gt;NE")))</f>
        <v/>
      </c>
      <c r="Y21">
        <f>IF(COUNTIFS(Puntuacion!$A:$A,$A21,Puntuacion!$C:$C,$C21,Puntuacion!$D:$D,"Precio",Puntuacion!$G:$G,"&lt;&gt;NA")&gt;0,1,0)</f>
        <v/>
      </c>
      <c r="Z21">
        <f>IF(AND(Y21=1,COUNTIFS(Puntuacion!$A:$A,$A21,Puntuacion!$C:$C,$C21,Puntuacion!$D:$D,"Precio",Puntuacion!$G:$G,"NE")=0),1,0)</f>
        <v/>
      </c>
      <c r="AA21" s="5">
        <f>IF(Y21=0,"NA",IF(Z21=0,"NE",AVERAGEIFS(Puntuacion!$G:$G,Puntuacion!$A:$A,$A21,Puntuacion!$C:$C,$C21,Puntuacion!$D:$D,"Precio",Puntuacion!$G:$G,"&lt;&gt;NA",Puntuacion!$G:$G,"&lt;&gt;NE")))</f>
        <v/>
      </c>
      <c r="AB21">
        <f>IF(COUNTIFS(Puntuacion!$A:$A,$A21,Puntuacion!$C:$C,$C21,Puntuacion!$D:$D,"Dependencia",Puntuacion!$G:$G,"&lt;&gt;NA")&gt;0,1,0)</f>
        <v/>
      </c>
      <c r="AC21">
        <f>IF(AND(AB21=1,COUNTIFS(Puntuacion!$A:$A,$A21,Puntuacion!$C:$C,$C21,Puntuacion!$D:$D,"Dependencia",Puntuacion!$G:$G,"NE")=0),1,0)</f>
        <v/>
      </c>
      <c r="AD21" s="5">
        <f>IF(AB21=0,"NA",IF(AC21=0,"NE",AVERAGEIFS(Puntuacion!$G:$G,Puntuacion!$A:$A,$A21,Puntuacion!$C:$C,$C21,Puntuacion!$D:$D,"Dependencia",Puntuacion!$G:$G,"&lt;&gt;NA",Puntuacion!$G:$G,"&lt;&gt;NE")))</f>
        <v/>
      </c>
      <c r="AE21" s="5">
        <f>IFERROR(100*(E21*Pesos!$B$2+H21*Pesos!$B$3+K21*Pesos!$B$4+N21*Pesos!$B$5+Q21*Pesos!$B$6+T21*Pesos!$B$7+W21*Pesos!$B$8+Z21*Pesos!$B$9+AC21*Pesos!$B$10)/(D21*Pesos!$B$2+G21*Pesos!$B$3+J21*Pesos!$B$4+M21*Pesos!$B$5+P21*Pesos!$B$6+S21*Pesos!$B$7+V21*Pesos!$B$8+Y21*Pesos!$B$9+AB21*Pesos!$B$10),"Sin criterios aplicables")</f>
        <v/>
      </c>
      <c r="AF21" s="5">
        <f>IFERROR(100*(E21*Pesos!$C$2+H21*Pesos!$C$3+K21*Pesos!$C$4+N21*Pesos!$C$5+Q21*Pesos!$C$6+T21*Pesos!$C$7+W21*Pesos!$C$8+Z21*Pesos!$C$9+AC21*Pesos!$C$10)/(D21*Pesos!$C$2+G21*Pesos!$C$3+J21*Pesos!$C$4+M21*Pesos!$C$5+P21*Pesos!$C$6+S21*Pesos!$C$7+V21*Pesos!$C$8+Y21*Pesos!$C$9+AB21*Pesos!$C$10),"Sin criterios aplicables")</f>
        <v/>
      </c>
      <c r="AG21" s="5">
        <f>IF(OR(AE21="Sin criterios aplicables",AE21&lt;70),"Insufficient evidence",100*(Pesos!$B$2*IF(E21=1,F21,0)+Pesos!$B$3*IF(H21=1,I21,0)+Pesos!$B$4*IF(K21=1,L21,0)+Pesos!$B$5*IF(N21=1,O21,0)+Pesos!$B$6*IF(Q21=1,R21,0)+Pesos!$B$7*IF(T21=1,U21,0)+Pesos!$B$8*IF(W21=1,X21,0)+Pesos!$B$9*IF(Z21=1,AA21,0)+Pesos!$B$10*IF(AC21=1,AD21,0))/(3*(Pesos!$B$2*E21+Pesos!$B$3*H21+Pesos!$B$4*K21+Pesos!$B$5*N21+Pesos!$B$6*Q21+Pesos!$B$7*T21+Pesos!$B$8*W21+Pesos!$B$9*Z21+Pesos!$B$10*AC21)))</f>
        <v/>
      </c>
      <c r="AH21" s="5">
        <f>IF(OR(AF21="Sin criterios aplicables",AF21&lt;70),"Insufficient evidence",100*(Pesos!$C$2*IF(E21=1,F21,0)+Pesos!$C$3*IF(H21=1,I21,0)+Pesos!$C$4*IF(K21=1,L21,0)+Pesos!$C$5*IF(N21=1,O21,0)+Pesos!$C$6*IF(Q21=1,R21,0)+Pesos!$C$7*IF(T21=1,U21,0)+Pesos!$C$8*IF(W21=1,X21,0)+Pesos!$C$9*IF(Z21=1,AA21,0)+Pesos!$C$10*IF(AC21=1,AD21,0))/(3*(Pesos!$C$2*E21+Pesos!$C$3*H21+Pesos!$C$4*K21+Pesos!$C$5*N21+Pesos!$C$6*Q21+Pesos!$C$7*T21+Pesos!$C$8*W21+Pesos!$C$9*Z21+Pesos!$C$10*AC21)))</f>
        <v/>
      </c>
      <c r="AI21">
        <f>IF(AG21="Insufficient evidence","Insufficient evidence (cobertura&lt;70%)",IF(AG21&lt;50/3,"Insufficient",IF(AG21&lt;50,"Basic",IF(AG21&lt;250/3,"Solid","Advanced"))))</f>
        <v/>
      </c>
      <c r="AJ21">
        <f>IF(AH21="Insufficient evidence","Insufficient evidence (cobertura&lt;70%)",IF(AH21&lt;50/3,"Insufficient",IF(AH21&lt;50,"Basic",IF(AH21&lt;250/3,"Solid","Advanced"))))</f>
        <v/>
      </c>
      <c r="AK21">
        <f>IF(TRIM(IF(AND(ISNUMBER(R21),R21&lt;1),"Multicloud","") &amp; " " &amp; IF(AND(ISNUMBER(AA21),AA21&lt;1),"Precio",""))="","Ninguno",TRIM(IF(AND(ISNUMBER(R21),R21&lt;1),"Multicloud","") &amp; " " &amp; IF(AND(ISNUMBER(AA21),AA21&lt;1),"Precio","")))</f>
        <v/>
      </c>
    </row>
    <row r="22">
      <c r="A22" t="inlineStr">
        <is>
          <t>E2</t>
        </is>
      </c>
      <c r="B22" t="inlineStr">
        <is>
          <t>Multicloud</t>
        </is>
      </c>
      <c r="C22" t="inlineStr">
        <is>
          <t>Vantage</t>
        </is>
      </c>
      <c r="D22">
        <f>IF(COUNTIFS(Puntuacion!$A:$A,$A22,Puntuacion!$C:$C,$C22,Puntuacion!$D:$D,"Visibilidad",Puntuacion!$G:$G,"&lt;&gt;NA")&gt;0,1,0)</f>
        <v/>
      </c>
      <c r="E22">
        <f>IF(AND(D22=1,COUNTIFS(Puntuacion!$A:$A,$A22,Puntuacion!$C:$C,$C22,Puntuacion!$D:$D,"Visibilidad",Puntuacion!$G:$G,"NE")=0),1,0)</f>
        <v/>
      </c>
      <c r="F22" s="5">
        <f>IF(D22=0,"NA",IF(E22=0,"NE",AVERAGEIFS(Puntuacion!$G:$G,Puntuacion!$A:$A,$A22,Puntuacion!$C:$C,$C22,Puntuacion!$D:$D,"Visibilidad",Puntuacion!$G:$G,"&lt;&gt;NA",Puntuacion!$G:$G,"&lt;&gt;NE")))</f>
        <v/>
      </c>
      <c r="G22">
        <f>IF(COUNTIFS(Puntuacion!$A:$A,$A22,Puntuacion!$C:$C,$C22,Puntuacion!$D:$D,"Asignacion",Puntuacion!$G:$G,"&lt;&gt;NA")&gt;0,1,0)</f>
        <v/>
      </c>
      <c r="H22">
        <f>IF(AND(G22=1,COUNTIFS(Puntuacion!$A:$A,$A22,Puntuacion!$C:$C,$C22,Puntuacion!$D:$D,"Asignacion",Puntuacion!$G:$G,"NE")=0),1,0)</f>
        <v/>
      </c>
      <c r="I22" s="5">
        <f>IF(G22=0,"NA",IF(H22=0,"NE",AVERAGEIFS(Puntuacion!$G:$G,Puntuacion!$A:$A,$A22,Puntuacion!$C:$C,$C22,Puntuacion!$D:$D,"Asignacion",Puntuacion!$G:$G,"&lt;&gt;NA",Puntuacion!$G:$G,"&lt;&gt;NE")))</f>
        <v/>
      </c>
      <c r="J22">
        <f>IF(COUNTIFS(Puntuacion!$A:$A,$A22,Puntuacion!$C:$C,$C22,Puntuacion!$D:$D,"Optimizacion",Puntuacion!$G:$G,"&lt;&gt;NA")&gt;0,1,0)</f>
        <v/>
      </c>
      <c r="K22">
        <f>IF(AND(J22=1,COUNTIFS(Puntuacion!$A:$A,$A22,Puntuacion!$C:$C,$C22,Puntuacion!$D:$D,"Optimizacion",Puntuacion!$G:$G,"NE")=0),1,0)</f>
        <v/>
      </c>
      <c r="L22" s="5">
        <f>IF(J22=0,"NA",IF(K22=0,"NE",AVERAGEIFS(Puntuacion!$G:$G,Puntuacion!$A:$A,$A22,Puntuacion!$C:$C,$C22,Puntuacion!$D:$D,"Optimizacion",Puntuacion!$G:$G,"&lt;&gt;NA",Puntuacion!$G:$G,"&lt;&gt;NE")))</f>
        <v/>
      </c>
      <c r="M22">
        <f>IF(COUNTIFS(Puntuacion!$A:$A,$A22,Puntuacion!$C:$C,$C22,Puntuacion!$D:$D,"Automatizacion",Puntuacion!$G:$G,"&lt;&gt;NA")&gt;0,1,0)</f>
        <v/>
      </c>
      <c r="N22">
        <f>IF(AND(M22=1,COUNTIFS(Puntuacion!$A:$A,$A22,Puntuacion!$C:$C,$C22,Puntuacion!$D:$D,"Automatizacion",Puntuacion!$G:$G,"NE")=0),1,0)</f>
        <v/>
      </c>
      <c r="O22" s="5">
        <f>IF(M22=0,"NA",IF(N22=0,"NE",AVERAGEIFS(Puntuacion!$G:$G,Puntuacion!$A:$A,$A22,Puntuacion!$C:$C,$C22,Puntuacion!$D:$D,"Automatizacion",Puntuacion!$G:$G,"&lt;&gt;NA",Puntuacion!$G:$G,"&lt;&gt;NE")))</f>
        <v/>
      </c>
      <c r="P22">
        <f>IF(COUNTIFS(Puntuacion!$A:$A,$A22,Puntuacion!$C:$C,$C22,Puntuacion!$D:$D,"Multicloud",Puntuacion!$G:$G,"&lt;&gt;NA")&gt;0,1,0)</f>
        <v/>
      </c>
      <c r="Q22">
        <f>IF(AND(P22=1,COUNTIFS(Puntuacion!$A:$A,$A22,Puntuacion!$C:$C,$C22,Puntuacion!$D:$D,"Multicloud",Puntuacion!$G:$G,"NE")=0),1,0)</f>
        <v/>
      </c>
      <c r="R22" s="5">
        <f>IF(P22=0,"NA",IF(Q22=0,"NE",AVERAGEIFS(Puntuacion!$G:$G,Puntuacion!$A:$A,$A22,Puntuacion!$C:$C,$C22,Puntuacion!$D:$D,"Multicloud",Puntuacion!$G:$G,"&lt;&gt;NA",Puntuacion!$G:$G,"&lt;&gt;NE")))</f>
        <v/>
      </c>
      <c r="S22">
        <f>IF(COUNTIFS(Puntuacion!$A:$A,$A22,Puntuacion!$C:$C,$C22,Puntuacion!$D:$D,"Integracion",Puntuacion!$G:$G,"&lt;&gt;NA")&gt;0,1,0)</f>
        <v/>
      </c>
      <c r="T22">
        <f>IF(AND(S22=1,COUNTIFS(Puntuacion!$A:$A,$A22,Puntuacion!$C:$C,$C22,Puntuacion!$D:$D,"Integracion",Puntuacion!$G:$G,"NE")=0),1,0)</f>
        <v/>
      </c>
      <c r="U22" s="5">
        <f>IF(S22=0,"NA",IF(T22=0,"NE",AVERAGEIFS(Puntuacion!$G:$G,Puntuacion!$A:$A,$A22,Puntuacion!$C:$C,$C22,Puntuacion!$D:$D,"Integracion",Puntuacion!$G:$G,"&lt;&gt;NA",Puntuacion!$G:$G,"&lt;&gt;NE")))</f>
        <v/>
      </c>
      <c r="V22">
        <f>IF(COUNTIFS(Puntuacion!$A:$A,$A22,Puntuacion!$C:$C,$C22,Puntuacion!$D:$D,"Adopcion",Puntuacion!$G:$G,"&lt;&gt;NA")&gt;0,1,0)</f>
        <v/>
      </c>
      <c r="W22">
        <f>IF(AND(V22=1,COUNTIFS(Puntuacion!$A:$A,$A22,Puntuacion!$C:$C,$C22,Puntuacion!$D:$D,"Adopcion",Puntuacion!$G:$G,"NE")=0),1,0)</f>
        <v/>
      </c>
      <c r="X22" s="5">
        <f>IF(V22=0,"NA",IF(W22=0,"NE",AVERAGEIFS(Puntuacion!$G:$G,Puntuacion!$A:$A,$A22,Puntuacion!$C:$C,$C22,Puntuacion!$D:$D,"Adopcion",Puntuacion!$G:$G,"&lt;&gt;NA",Puntuacion!$G:$G,"&lt;&gt;NE")))</f>
        <v/>
      </c>
      <c r="Y22">
        <f>IF(COUNTIFS(Puntuacion!$A:$A,$A22,Puntuacion!$C:$C,$C22,Puntuacion!$D:$D,"Precio",Puntuacion!$G:$G,"&lt;&gt;NA")&gt;0,1,0)</f>
        <v/>
      </c>
      <c r="Z22">
        <f>IF(AND(Y22=1,COUNTIFS(Puntuacion!$A:$A,$A22,Puntuacion!$C:$C,$C22,Puntuacion!$D:$D,"Precio",Puntuacion!$G:$G,"NE")=0),1,0)</f>
        <v/>
      </c>
      <c r="AA22" s="5">
        <f>IF(Y22=0,"NA",IF(Z22=0,"NE",AVERAGEIFS(Puntuacion!$G:$G,Puntuacion!$A:$A,$A22,Puntuacion!$C:$C,$C22,Puntuacion!$D:$D,"Precio",Puntuacion!$G:$G,"&lt;&gt;NA",Puntuacion!$G:$G,"&lt;&gt;NE")))</f>
        <v/>
      </c>
      <c r="AB22">
        <f>IF(COUNTIFS(Puntuacion!$A:$A,$A22,Puntuacion!$C:$C,$C22,Puntuacion!$D:$D,"Dependencia",Puntuacion!$G:$G,"&lt;&gt;NA")&gt;0,1,0)</f>
        <v/>
      </c>
      <c r="AC22">
        <f>IF(AND(AB22=1,COUNTIFS(Puntuacion!$A:$A,$A22,Puntuacion!$C:$C,$C22,Puntuacion!$D:$D,"Dependencia",Puntuacion!$G:$G,"NE")=0),1,0)</f>
        <v/>
      </c>
      <c r="AD22" s="5">
        <f>IF(AB22=0,"NA",IF(AC22=0,"NE",AVERAGEIFS(Puntuacion!$G:$G,Puntuacion!$A:$A,$A22,Puntuacion!$C:$C,$C22,Puntuacion!$D:$D,"Dependencia",Puntuacion!$G:$G,"&lt;&gt;NA",Puntuacion!$G:$G,"&lt;&gt;NE")))</f>
        <v/>
      </c>
      <c r="AE22" s="5">
        <f>IFERROR(100*(E22*Pesos!$B$2+H22*Pesos!$B$3+K22*Pesos!$B$4+N22*Pesos!$B$5+Q22*Pesos!$B$6+T22*Pesos!$B$7+W22*Pesos!$B$8+Z22*Pesos!$B$9+AC22*Pesos!$B$10)/(D22*Pesos!$B$2+G22*Pesos!$B$3+J22*Pesos!$B$4+M22*Pesos!$B$5+P22*Pesos!$B$6+S22*Pesos!$B$7+V22*Pesos!$B$8+Y22*Pesos!$B$9+AB22*Pesos!$B$10),"Sin criterios aplicables")</f>
        <v/>
      </c>
      <c r="AF22" s="5">
        <f>IFERROR(100*(E22*Pesos!$C$2+H22*Pesos!$C$3+K22*Pesos!$C$4+N22*Pesos!$C$5+Q22*Pesos!$C$6+T22*Pesos!$C$7+W22*Pesos!$C$8+Z22*Pesos!$C$9+AC22*Pesos!$C$10)/(D22*Pesos!$C$2+G22*Pesos!$C$3+J22*Pesos!$C$4+M22*Pesos!$C$5+P22*Pesos!$C$6+S22*Pesos!$C$7+V22*Pesos!$C$8+Y22*Pesos!$C$9+AB22*Pesos!$C$10),"Sin criterios aplicables")</f>
        <v/>
      </c>
      <c r="AG22" s="5">
        <f>IF(OR(AE22="Sin criterios aplicables",AE22&lt;70),"Insufficient evidence",100*(Pesos!$B$2*IF(E22=1,F22,0)+Pesos!$B$3*IF(H22=1,I22,0)+Pesos!$B$4*IF(K22=1,L22,0)+Pesos!$B$5*IF(N22=1,O22,0)+Pesos!$B$6*IF(Q22=1,R22,0)+Pesos!$B$7*IF(T22=1,U22,0)+Pesos!$B$8*IF(W22=1,X22,0)+Pesos!$B$9*IF(Z22=1,AA22,0)+Pesos!$B$10*IF(AC22=1,AD22,0))/(3*(Pesos!$B$2*E22+Pesos!$B$3*H22+Pesos!$B$4*K22+Pesos!$B$5*N22+Pesos!$B$6*Q22+Pesos!$B$7*T22+Pesos!$B$8*W22+Pesos!$B$9*Z22+Pesos!$B$10*AC22)))</f>
        <v/>
      </c>
      <c r="AH22" s="5">
        <f>IF(OR(AF22="Sin criterios aplicables",AF22&lt;70),"Insufficient evidence",100*(Pesos!$C$2*IF(E22=1,F22,0)+Pesos!$C$3*IF(H22=1,I22,0)+Pesos!$C$4*IF(K22=1,L22,0)+Pesos!$C$5*IF(N22=1,O22,0)+Pesos!$C$6*IF(Q22=1,R22,0)+Pesos!$C$7*IF(T22=1,U22,0)+Pesos!$C$8*IF(W22=1,X22,0)+Pesos!$C$9*IF(Z22=1,AA22,0)+Pesos!$C$10*IF(AC22=1,AD22,0))/(3*(Pesos!$C$2*E22+Pesos!$C$3*H22+Pesos!$C$4*K22+Pesos!$C$5*N22+Pesos!$C$6*Q22+Pesos!$C$7*T22+Pesos!$C$8*W22+Pesos!$C$9*Z22+Pesos!$C$10*AC22)))</f>
        <v/>
      </c>
      <c r="AI22">
        <f>IF(AG22="Insufficient evidence","Insufficient evidence (cobertura&lt;70%)",IF(AG22&lt;50/3,"Insufficient",IF(AG22&lt;50,"Basic",IF(AG22&lt;250/3,"Solid","Advanced"))))</f>
        <v/>
      </c>
      <c r="AJ22">
        <f>IF(AH22="Insufficient evidence","Insufficient evidence (cobertura&lt;70%)",IF(AH22&lt;50/3,"Insufficient",IF(AH22&lt;50,"Basic",IF(AH22&lt;250/3,"Solid","Advanced"))))</f>
        <v/>
      </c>
      <c r="AK22">
        <f>IF(TRIM(IF(AND(ISNUMBER(R22),R22&lt;1),"Multicloud","") &amp; " " &amp; IF(AND(ISNUMBER(AA22),AA22&lt;1),"Precio",""))="","Ninguno",TRIM(IF(AND(ISNUMBER(R22),R22&lt;1),"Multicloud","") &amp; " " &amp; IF(AND(ISNUMBER(AA22),AA22&lt;1),"Precio","")))</f>
        <v/>
      </c>
    </row>
    <row r="23">
      <c r="A23" t="inlineStr">
        <is>
          <t>E2</t>
        </is>
      </c>
      <c r="B23" t="inlineStr">
        <is>
          <t>Multicloud</t>
        </is>
      </c>
      <c r="C23" t="inlineStr">
        <is>
          <t>nOps</t>
        </is>
      </c>
      <c r="D23">
        <f>IF(COUNTIFS(Puntuacion!$A:$A,$A23,Puntuacion!$C:$C,$C23,Puntuacion!$D:$D,"Visibilidad",Puntuacion!$G:$G,"&lt;&gt;NA")&gt;0,1,0)</f>
        <v/>
      </c>
      <c r="E23">
        <f>IF(AND(D23=1,COUNTIFS(Puntuacion!$A:$A,$A23,Puntuacion!$C:$C,$C23,Puntuacion!$D:$D,"Visibilidad",Puntuacion!$G:$G,"NE")=0),1,0)</f>
        <v/>
      </c>
      <c r="F23" s="5">
        <f>IF(D23=0,"NA",IF(E23=0,"NE",AVERAGEIFS(Puntuacion!$G:$G,Puntuacion!$A:$A,$A23,Puntuacion!$C:$C,$C23,Puntuacion!$D:$D,"Visibilidad",Puntuacion!$G:$G,"&lt;&gt;NA",Puntuacion!$G:$G,"&lt;&gt;NE")))</f>
        <v/>
      </c>
      <c r="G23">
        <f>IF(COUNTIFS(Puntuacion!$A:$A,$A23,Puntuacion!$C:$C,$C23,Puntuacion!$D:$D,"Asignacion",Puntuacion!$G:$G,"&lt;&gt;NA")&gt;0,1,0)</f>
        <v/>
      </c>
      <c r="H23">
        <f>IF(AND(G23=1,COUNTIFS(Puntuacion!$A:$A,$A23,Puntuacion!$C:$C,$C23,Puntuacion!$D:$D,"Asignacion",Puntuacion!$G:$G,"NE")=0),1,0)</f>
        <v/>
      </c>
      <c r="I23" s="5">
        <f>IF(G23=0,"NA",IF(H23=0,"NE",AVERAGEIFS(Puntuacion!$G:$G,Puntuacion!$A:$A,$A23,Puntuacion!$C:$C,$C23,Puntuacion!$D:$D,"Asignacion",Puntuacion!$G:$G,"&lt;&gt;NA",Puntuacion!$G:$G,"&lt;&gt;NE")))</f>
        <v/>
      </c>
      <c r="J23">
        <f>IF(COUNTIFS(Puntuacion!$A:$A,$A23,Puntuacion!$C:$C,$C23,Puntuacion!$D:$D,"Optimizacion",Puntuacion!$G:$G,"&lt;&gt;NA")&gt;0,1,0)</f>
        <v/>
      </c>
      <c r="K23">
        <f>IF(AND(J23=1,COUNTIFS(Puntuacion!$A:$A,$A23,Puntuacion!$C:$C,$C23,Puntuacion!$D:$D,"Optimizacion",Puntuacion!$G:$G,"NE")=0),1,0)</f>
        <v/>
      </c>
      <c r="L23" s="5">
        <f>IF(J23=0,"NA",IF(K23=0,"NE",AVERAGEIFS(Puntuacion!$G:$G,Puntuacion!$A:$A,$A23,Puntuacion!$C:$C,$C23,Puntuacion!$D:$D,"Optimizacion",Puntuacion!$G:$G,"&lt;&gt;NA",Puntuacion!$G:$G,"&lt;&gt;NE")))</f>
        <v/>
      </c>
      <c r="M23">
        <f>IF(COUNTIFS(Puntuacion!$A:$A,$A23,Puntuacion!$C:$C,$C23,Puntuacion!$D:$D,"Automatizacion",Puntuacion!$G:$G,"&lt;&gt;NA")&gt;0,1,0)</f>
        <v/>
      </c>
      <c r="N23">
        <f>IF(AND(M23=1,COUNTIFS(Puntuacion!$A:$A,$A23,Puntuacion!$C:$C,$C23,Puntuacion!$D:$D,"Automatizacion",Puntuacion!$G:$G,"NE")=0),1,0)</f>
        <v/>
      </c>
      <c r="O23" s="5">
        <f>IF(M23=0,"NA",IF(N23=0,"NE",AVERAGEIFS(Puntuacion!$G:$G,Puntuacion!$A:$A,$A23,Puntuacion!$C:$C,$C23,Puntuacion!$D:$D,"Automatizacion",Puntuacion!$G:$G,"&lt;&gt;NA",Puntuacion!$G:$G,"&lt;&gt;NE")))</f>
        <v/>
      </c>
      <c r="P23">
        <f>IF(COUNTIFS(Puntuacion!$A:$A,$A23,Puntuacion!$C:$C,$C23,Puntuacion!$D:$D,"Multicloud",Puntuacion!$G:$G,"&lt;&gt;NA")&gt;0,1,0)</f>
        <v/>
      </c>
      <c r="Q23">
        <f>IF(AND(P23=1,COUNTIFS(Puntuacion!$A:$A,$A23,Puntuacion!$C:$C,$C23,Puntuacion!$D:$D,"Multicloud",Puntuacion!$G:$G,"NE")=0),1,0)</f>
        <v/>
      </c>
      <c r="R23" s="5">
        <f>IF(P23=0,"NA",IF(Q23=0,"NE",AVERAGEIFS(Puntuacion!$G:$G,Puntuacion!$A:$A,$A23,Puntuacion!$C:$C,$C23,Puntuacion!$D:$D,"Multicloud",Puntuacion!$G:$G,"&lt;&gt;NA",Puntuacion!$G:$G,"&lt;&gt;NE")))</f>
        <v/>
      </c>
      <c r="S23">
        <f>IF(COUNTIFS(Puntuacion!$A:$A,$A23,Puntuacion!$C:$C,$C23,Puntuacion!$D:$D,"Integracion",Puntuacion!$G:$G,"&lt;&gt;NA")&gt;0,1,0)</f>
        <v/>
      </c>
      <c r="T23">
        <f>IF(AND(S23=1,COUNTIFS(Puntuacion!$A:$A,$A23,Puntuacion!$C:$C,$C23,Puntuacion!$D:$D,"Integracion",Puntuacion!$G:$G,"NE")=0),1,0)</f>
        <v/>
      </c>
      <c r="U23" s="5">
        <f>IF(S23=0,"NA",IF(T23=0,"NE",AVERAGEIFS(Puntuacion!$G:$G,Puntuacion!$A:$A,$A23,Puntuacion!$C:$C,$C23,Puntuacion!$D:$D,"Integracion",Puntuacion!$G:$G,"&lt;&gt;NA",Puntuacion!$G:$G,"&lt;&gt;NE")))</f>
        <v/>
      </c>
      <c r="V23">
        <f>IF(COUNTIFS(Puntuacion!$A:$A,$A23,Puntuacion!$C:$C,$C23,Puntuacion!$D:$D,"Adopcion",Puntuacion!$G:$G,"&lt;&gt;NA")&gt;0,1,0)</f>
        <v/>
      </c>
      <c r="W23">
        <f>IF(AND(V23=1,COUNTIFS(Puntuacion!$A:$A,$A23,Puntuacion!$C:$C,$C23,Puntuacion!$D:$D,"Adopcion",Puntuacion!$G:$G,"NE")=0),1,0)</f>
        <v/>
      </c>
      <c r="X23" s="5">
        <f>IF(V23=0,"NA",IF(W23=0,"NE",AVERAGEIFS(Puntuacion!$G:$G,Puntuacion!$A:$A,$A23,Puntuacion!$C:$C,$C23,Puntuacion!$D:$D,"Adopcion",Puntuacion!$G:$G,"&lt;&gt;NA",Puntuacion!$G:$G,"&lt;&gt;NE")))</f>
        <v/>
      </c>
      <c r="Y23">
        <f>IF(COUNTIFS(Puntuacion!$A:$A,$A23,Puntuacion!$C:$C,$C23,Puntuacion!$D:$D,"Precio",Puntuacion!$G:$G,"&lt;&gt;NA")&gt;0,1,0)</f>
        <v/>
      </c>
      <c r="Z23">
        <f>IF(AND(Y23=1,COUNTIFS(Puntuacion!$A:$A,$A23,Puntuacion!$C:$C,$C23,Puntuacion!$D:$D,"Precio",Puntuacion!$G:$G,"NE")=0),1,0)</f>
        <v/>
      </c>
      <c r="AA23" s="5">
        <f>IF(Y23=0,"NA",IF(Z23=0,"NE",AVERAGEIFS(Puntuacion!$G:$G,Puntuacion!$A:$A,$A23,Puntuacion!$C:$C,$C23,Puntuacion!$D:$D,"Precio",Puntuacion!$G:$G,"&lt;&gt;NA",Puntuacion!$G:$G,"&lt;&gt;NE")))</f>
        <v/>
      </c>
      <c r="AB23">
        <f>IF(COUNTIFS(Puntuacion!$A:$A,$A23,Puntuacion!$C:$C,$C23,Puntuacion!$D:$D,"Dependencia",Puntuacion!$G:$G,"&lt;&gt;NA")&gt;0,1,0)</f>
        <v/>
      </c>
      <c r="AC23">
        <f>IF(AND(AB23=1,COUNTIFS(Puntuacion!$A:$A,$A23,Puntuacion!$C:$C,$C23,Puntuacion!$D:$D,"Dependencia",Puntuacion!$G:$G,"NE")=0),1,0)</f>
        <v/>
      </c>
      <c r="AD23" s="5">
        <f>IF(AB23=0,"NA",IF(AC23=0,"NE",AVERAGEIFS(Puntuacion!$G:$G,Puntuacion!$A:$A,$A23,Puntuacion!$C:$C,$C23,Puntuacion!$D:$D,"Dependencia",Puntuacion!$G:$G,"&lt;&gt;NA",Puntuacion!$G:$G,"&lt;&gt;NE")))</f>
        <v/>
      </c>
      <c r="AE23" s="5">
        <f>IFERROR(100*(E23*Pesos!$B$2+H23*Pesos!$B$3+K23*Pesos!$B$4+N23*Pesos!$B$5+Q23*Pesos!$B$6+T23*Pesos!$B$7+W23*Pesos!$B$8+Z23*Pesos!$B$9+AC23*Pesos!$B$10)/(D23*Pesos!$B$2+G23*Pesos!$B$3+J23*Pesos!$B$4+M23*Pesos!$B$5+P23*Pesos!$B$6+S23*Pesos!$B$7+V23*Pesos!$B$8+Y23*Pesos!$B$9+AB23*Pesos!$B$10),"Sin criterios aplicables")</f>
        <v/>
      </c>
      <c r="AF23" s="5">
        <f>IFERROR(100*(E23*Pesos!$C$2+H23*Pesos!$C$3+K23*Pesos!$C$4+N23*Pesos!$C$5+Q23*Pesos!$C$6+T23*Pesos!$C$7+W23*Pesos!$C$8+Z23*Pesos!$C$9+AC23*Pesos!$C$10)/(D23*Pesos!$C$2+G23*Pesos!$C$3+J23*Pesos!$C$4+M23*Pesos!$C$5+P23*Pesos!$C$6+S23*Pesos!$C$7+V23*Pesos!$C$8+Y23*Pesos!$C$9+AB23*Pesos!$C$10),"Sin criterios aplicables")</f>
        <v/>
      </c>
      <c r="AG23" s="5">
        <f>IF(OR(AE23="Sin criterios aplicables",AE23&lt;70),"Insufficient evidence",100*(Pesos!$B$2*IF(E23=1,F23,0)+Pesos!$B$3*IF(H23=1,I23,0)+Pesos!$B$4*IF(K23=1,L23,0)+Pesos!$B$5*IF(N23=1,O23,0)+Pesos!$B$6*IF(Q23=1,R23,0)+Pesos!$B$7*IF(T23=1,U23,0)+Pesos!$B$8*IF(W23=1,X23,0)+Pesos!$B$9*IF(Z23=1,AA23,0)+Pesos!$B$10*IF(AC23=1,AD23,0))/(3*(Pesos!$B$2*E23+Pesos!$B$3*H23+Pesos!$B$4*K23+Pesos!$B$5*N23+Pesos!$B$6*Q23+Pesos!$B$7*T23+Pesos!$B$8*W23+Pesos!$B$9*Z23+Pesos!$B$10*AC23)))</f>
        <v/>
      </c>
      <c r="AH23" s="5">
        <f>IF(OR(AF23="Sin criterios aplicables",AF23&lt;70),"Insufficient evidence",100*(Pesos!$C$2*IF(E23=1,F23,0)+Pesos!$C$3*IF(H23=1,I23,0)+Pesos!$C$4*IF(K23=1,L23,0)+Pesos!$C$5*IF(N23=1,O23,0)+Pesos!$C$6*IF(Q23=1,R23,0)+Pesos!$C$7*IF(T23=1,U23,0)+Pesos!$C$8*IF(W23=1,X23,0)+Pesos!$C$9*IF(Z23=1,AA23,0)+Pesos!$C$10*IF(AC23=1,AD23,0))/(3*(Pesos!$C$2*E23+Pesos!$C$3*H23+Pesos!$C$4*K23+Pesos!$C$5*N23+Pesos!$C$6*Q23+Pesos!$C$7*T23+Pesos!$C$8*W23+Pesos!$C$9*Z23+Pesos!$C$10*AC23)))</f>
        <v/>
      </c>
      <c r="AI23">
        <f>IF(AG23="Insufficient evidence","Insufficient evidence (cobertura&lt;70%)",IF(AG23&lt;50/3,"Insufficient",IF(AG23&lt;50,"Basic",IF(AG23&lt;250/3,"Solid","Advanced"))))</f>
        <v/>
      </c>
      <c r="AJ23">
        <f>IF(AH23="Insufficient evidence","Insufficient evidence (cobertura&lt;70%)",IF(AH23&lt;50/3,"Insufficient",IF(AH23&lt;50,"Basic",IF(AH23&lt;250/3,"Solid","Advanced"))))</f>
        <v/>
      </c>
      <c r="AK23">
        <f>IF(TRIM(IF(AND(ISNUMBER(R23),R23&lt;1),"Multicloud","") &amp; " " &amp; IF(AND(ISNUMBER(AA23),AA23&lt;1),"Precio",""))="","Ninguno",TRIM(IF(AND(ISNUMBER(R23),R23&lt;1),"Multicloud","") &amp; " " &amp; IF(AND(ISNUMBER(AA23),AA23&lt;1),"Precio","")))</f>
        <v/>
      </c>
    </row>
    <row r="24">
      <c r="A24" t="inlineStr">
        <is>
          <t>E3</t>
        </is>
      </c>
      <c r="B24" t="inlineStr">
        <is>
          <t>Cloud nativa</t>
        </is>
      </c>
      <c r="C24" t="inlineStr">
        <is>
          <t>AWS Cost Explorer</t>
        </is>
      </c>
      <c r="D24">
        <f>IF(COUNTIFS(Puntuacion!$A:$A,$A24,Puntuacion!$C:$C,$C24,Puntuacion!$D:$D,"Visibilidad",Puntuacion!$G:$G,"&lt;&gt;NA")&gt;0,1,0)</f>
        <v/>
      </c>
      <c r="E24">
        <f>IF(AND(D24=1,COUNTIFS(Puntuacion!$A:$A,$A24,Puntuacion!$C:$C,$C24,Puntuacion!$D:$D,"Visibilidad",Puntuacion!$G:$G,"NE")=0),1,0)</f>
        <v/>
      </c>
      <c r="F24" s="5">
        <f>IF(D24=0,"NA",IF(E24=0,"NE",AVERAGEIFS(Puntuacion!$G:$G,Puntuacion!$A:$A,$A24,Puntuacion!$C:$C,$C24,Puntuacion!$D:$D,"Visibilidad",Puntuacion!$G:$G,"&lt;&gt;NA",Puntuacion!$G:$G,"&lt;&gt;NE")))</f>
        <v/>
      </c>
      <c r="G24">
        <f>IF(COUNTIFS(Puntuacion!$A:$A,$A24,Puntuacion!$C:$C,$C24,Puntuacion!$D:$D,"Asignacion",Puntuacion!$G:$G,"&lt;&gt;NA")&gt;0,1,0)</f>
        <v/>
      </c>
      <c r="H24">
        <f>IF(AND(G24=1,COUNTIFS(Puntuacion!$A:$A,$A24,Puntuacion!$C:$C,$C24,Puntuacion!$D:$D,"Asignacion",Puntuacion!$G:$G,"NE")=0),1,0)</f>
        <v/>
      </c>
      <c r="I24" s="5">
        <f>IF(G24=0,"NA",IF(H24=0,"NE",AVERAGEIFS(Puntuacion!$G:$G,Puntuacion!$A:$A,$A24,Puntuacion!$C:$C,$C24,Puntuacion!$D:$D,"Asignacion",Puntuacion!$G:$G,"&lt;&gt;NA",Puntuacion!$G:$G,"&lt;&gt;NE")))</f>
        <v/>
      </c>
      <c r="J24">
        <f>IF(COUNTIFS(Puntuacion!$A:$A,$A24,Puntuacion!$C:$C,$C24,Puntuacion!$D:$D,"Optimizacion",Puntuacion!$G:$G,"&lt;&gt;NA")&gt;0,1,0)</f>
        <v/>
      </c>
      <c r="K24">
        <f>IF(AND(J24=1,COUNTIFS(Puntuacion!$A:$A,$A24,Puntuacion!$C:$C,$C24,Puntuacion!$D:$D,"Optimizacion",Puntuacion!$G:$G,"NE")=0),1,0)</f>
        <v/>
      </c>
      <c r="L24" s="5">
        <f>IF(J24=0,"NA",IF(K24=0,"NE",AVERAGEIFS(Puntuacion!$G:$G,Puntuacion!$A:$A,$A24,Puntuacion!$C:$C,$C24,Puntuacion!$D:$D,"Optimizacion",Puntuacion!$G:$G,"&lt;&gt;NA",Puntuacion!$G:$G,"&lt;&gt;NE")))</f>
        <v/>
      </c>
      <c r="M24">
        <f>IF(COUNTIFS(Puntuacion!$A:$A,$A24,Puntuacion!$C:$C,$C24,Puntuacion!$D:$D,"Automatizacion",Puntuacion!$G:$G,"&lt;&gt;NA")&gt;0,1,0)</f>
        <v/>
      </c>
      <c r="N24">
        <f>IF(AND(M24=1,COUNTIFS(Puntuacion!$A:$A,$A24,Puntuacion!$C:$C,$C24,Puntuacion!$D:$D,"Automatizacion",Puntuacion!$G:$G,"NE")=0),1,0)</f>
        <v/>
      </c>
      <c r="O24" s="5">
        <f>IF(M24=0,"NA",IF(N24=0,"NE",AVERAGEIFS(Puntuacion!$G:$G,Puntuacion!$A:$A,$A24,Puntuacion!$C:$C,$C24,Puntuacion!$D:$D,"Automatizacion",Puntuacion!$G:$G,"&lt;&gt;NA",Puntuacion!$G:$G,"&lt;&gt;NE")))</f>
        <v/>
      </c>
      <c r="P24">
        <f>IF(COUNTIFS(Puntuacion!$A:$A,$A24,Puntuacion!$C:$C,$C24,Puntuacion!$D:$D,"Multicloud",Puntuacion!$G:$G,"&lt;&gt;NA")&gt;0,1,0)</f>
        <v/>
      </c>
      <c r="Q24">
        <f>IF(AND(P24=1,COUNTIFS(Puntuacion!$A:$A,$A24,Puntuacion!$C:$C,$C24,Puntuacion!$D:$D,"Multicloud",Puntuacion!$G:$G,"NE")=0),1,0)</f>
        <v/>
      </c>
      <c r="R24" s="5">
        <f>IF(P24=0,"NA",IF(Q24=0,"NE",AVERAGEIFS(Puntuacion!$G:$G,Puntuacion!$A:$A,$A24,Puntuacion!$C:$C,$C24,Puntuacion!$D:$D,"Multicloud",Puntuacion!$G:$G,"&lt;&gt;NA",Puntuacion!$G:$G,"&lt;&gt;NE")))</f>
        <v/>
      </c>
      <c r="S24">
        <f>IF(COUNTIFS(Puntuacion!$A:$A,$A24,Puntuacion!$C:$C,$C24,Puntuacion!$D:$D,"Integracion",Puntuacion!$G:$G,"&lt;&gt;NA")&gt;0,1,0)</f>
        <v/>
      </c>
      <c r="T24">
        <f>IF(AND(S24=1,COUNTIFS(Puntuacion!$A:$A,$A24,Puntuacion!$C:$C,$C24,Puntuacion!$D:$D,"Integracion",Puntuacion!$G:$G,"NE")=0),1,0)</f>
        <v/>
      </c>
      <c r="U24" s="5">
        <f>IF(S24=0,"NA",IF(T24=0,"NE",AVERAGEIFS(Puntuacion!$G:$G,Puntuacion!$A:$A,$A24,Puntuacion!$C:$C,$C24,Puntuacion!$D:$D,"Integracion",Puntuacion!$G:$G,"&lt;&gt;NA",Puntuacion!$G:$G,"&lt;&gt;NE")))</f>
        <v/>
      </c>
      <c r="V24">
        <f>IF(COUNTIFS(Puntuacion!$A:$A,$A24,Puntuacion!$C:$C,$C24,Puntuacion!$D:$D,"Adopcion",Puntuacion!$G:$G,"&lt;&gt;NA")&gt;0,1,0)</f>
        <v/>
      </c>
      <c r="W24">
        <f>IF(AND(V24=1,COUNTIFS(Puntuacion!$A:$A,$A24,Puntuacion!$C:$C,$C24,Puntuacion!$D:$D,"Adopcion",Puntuacion!$G:$G,"NE")=0),1,0)</f>
        <v/>
      </c>
      <c r="X24" s="5">
        <f>IF(V24=0,"NA",IF(W24=0,"NE",AVERAGEIFS(Puntuacion!$G:$G,Puntuacion!$A:$A,$A24,Puntuacion!$C:$C,$C24,Puntuacion!$D:$D,"Adopcion",Puntuacion!$G:$G,"&lt;&gt;NA",Puntuacion!$G:$G,"&lt;&gt;NE")))</f>
        <v/>
      </c>
      <c r="Y24">
        <f>IF(COUNTIFS(Puntuacion!$A:$A,$A24,Puntuacion!$C:$C,$C24,Puntuacion!$D:$D,"Precio",Puntuacion!$G:$G,"&lt;&gt;NA")&gt;0,1,0)</f>
        <v/>
      </c>
      <c r="Z24">
        <f>IF(AND(Y24=1,COUNTIFS(Puntuacion!$A:$A,$A24,Puntuacion!$C:$C,$C24,Puntuacion!$D:$D,"Precio",Puntuacion!$G:$G,"NE")=0),1,0)</f>
        <v/>
      </c>
      <c r="AA24" s="5">
        <f>IF(Y24=0,"NA",IF(Z24=0,"NE",AVERAGEIFS(Puntuacion!$G:$G,Puntuacion!$A:$A,$A24,Puntuacion!$C:$C,$C24,Puntuacion!$D:$D,"Precio",Puntuacion!$G:$G,"&lt;&gt;NA",Puntuacion!$G:$G,"&lt;&gt;NE")))</f>
        <v/>
      </c>
      <c r="AB24">
        <f>IF(COUNTIFS(Puntuacion!$A:$A,$A24,Puntuacion!$C:$C,$C24,Puntuacion!$D:$D,"Dependencia",Puntuacion!$G:$G,"&lt;&gt;NA")&gt;0,1,0)</f>
        <v/>
      </c>
      <c r="AC24">
        <f>IF(AND(AB24=1,COUNTIFS(Puntuacion!$A:$A,$A24,Puntuacion!$C:$C,$C24,Puntuacion!$D:$D,"Dependencia",Puntuacion!$G:$G,"NE")=0),1,0)</f>
        <v/>
      </c>
      <c r="AD24" s="5">
        <f>IF(AB24=0,"NA",IF(AC24=0,"NE",AVERAGEIFS(Puntuacion!$G:$G,Puntuacion!$A:$A,$A24,Puntuacion!$C:$C,$C24,Puntuacion!$D:$D,"Dependencia",Puntuacion!$G:$G,"&lt;&gt;NA",Puntuacion!$G:$G,"&lt;&gt;NE")))</f>
        <v/>
      </c>
      <c r="AE24" s="5">
        <f>IFERROR(100*(E24*Pesos!$B$2+H24*Pesos!$B$3+K24*Pesos!$B$4+N24*Pesos!$B$5+Q24*Pesos!$B$6+T24*Pesos!$B$7+W24*Pesos!$B$8+Z24*Pesos!$B$9+AC24*Pesos!$B$10)/(D24*Pesos!$B$2+G24*Pesos!$B$3+J24*Pesos!$B$4+M24*Pesos!$B$5+P24*Pesos!$B$6+S24*Pesos!$B$7+V24*Pesos!$B$8+Y24*Pesos!$B$9+AB24*Pesos!$B$10),"Sin criterios aplicables")</f>
        <v/>
      </c>
      <c r="AF24" s="5">
        <f>IFERROR(100*(E24*Pesos!$C$2+H24*Pesos!$C$3+K24*Pesos!$C$4+N24*Pesos!$C$5+Q24*Pesos!$C$6+T24*Pesos!$C$7+W24*Pesos!$C$8+Z24*Pesos!$C$9+AC24*Pesos!$C$10)/(D24*Pesos!$C$2+G24*Pesos!$C$3+J24*Pesos!$C$4+M24*Pesos!$C$5+P24*Pesos!$C$6+S24*Pesos!$C$7+V24*Pesos!$C$8+Y24*Pesos!$C$9+AB24*Pesos!$C$10),"Sin criterios aplicables")</f>
        <v/>
      </c>
      <c r="AG24" s="5">
        <f>IF(OR(AE24="Sin criterios aplicables",AE24&lt;70),"Insufficient evidence",100*(Pesos!$B$2*IF(E24=1,F24,0)+Pesos!$B$3*IF(H24=1,I24,0)+Pesos!$B$4*IF(K24=1,L24,0)+Pesos!$B$5*IF(N24=1,O24,0)+Pesos!$B$6*IF(Q24=1,R24,0)+Pesos!$B$7*IF(T24=1,U24,0)+Pesos!$B$8*IF(W24=1,X24,0)+Pesos!$B$9*IF(Z24=1,AA24,0)+Pesos!$B$10*IF(AC24=1,AD24,0))/(3*(Pesos!$B$2*E24+Pesos!$B$3*H24+Pesos!$B$4*K24+Pesos!$B$5*N24+Pesos!$B$6*Q24+Pesos!$B$7*T24+Pesos!$B$8*W24+Pesos!$B$9*Z24+Pesos!$B$10*AC24)))</f>
        <v/>
      </c>
      <c r="AH24" s="5">
        <f>IF(OR(AF24="Sin criterios aplicables",AF24&lt;70),"Insufficient evidence",100*(Pesos!$C$2*IF(E24=1,F24,0)+Pesos!$C$3*IF(H24=1,I24,0)+Pesos!$C$4*IF(K24=1,L24,0)+Pesos!$C$5*IF(N24=1,O24,0)+Pesos!$C$6*IF(Q24=1,R24,0)+Pesos!$C$7*IF(T24=1,U24,0)+Pesos!$C$8*IF(W24=1,X24,0)+Pesos!$C$9*IF(Z24=1,AA24,0)+Pesos!$C$10*IF(AC24=1,AD24,0))/(3*(Pesos!$C$2*E24+Pesos!$C$3*H24+Pesos!$C$4*K24+Pesos!$C$5*N24+Pesos!$C$6*Q24+Pesos!$C$7*T24+Pesos!$C$8*W24+Pesos!$C$9*Z24+Pesos!$C$10*AC24)))</f>
        <v/>
      </c>
      <c r="AI24">
        <f>IF(AG24="Insufficient evidence","Insufficient evidence (cobertura&lt;70%)",IF(AG24&lt;50/3,"Insufficient",IF(AG24&lt;50,"Basic",IF(AG24&lt;250/3,"Solid","Advanced"))))</f>
        <v/>
      </c>
      <c r="AJ24">
        <f>IF(AH24="Insufficient evidence","Insufficient evidence (cobertura&lt;70%)",IF(AH24&lt;50/3,"Insufficient",IF(AH24&lt;50,"Basic",IF(AH24&lt;250/3,"Solid","Advanced"))))</f>
        <v/>
      </c>
      <c r="AK24">
        <f>IF(TRIM(IF(AND(ISNUMBER(L24),L24&lt;1),"Optimización","") &amp; " " &amp; IF(AND(ISNUMBER(O24),O24&lt;1),"Automatización",""))="","Ninguno",TRIM(IF(AND(ISNUMBER(L24),L24&lt;1),"Optimización","") &amp; " " &amp; IF(AND(ISNUMBER(O24),O24&lt;1),"Automatización","")))</f>
        <v/>
      </c>
    </row>
    <row r="25">
      <c r="A25" t="inlineStr">
        <is>
          <t>E3</t>
        </is>
      </c>
      <c r="B25" t="inlineStr">
        <is>
          <t>Cloud nativa</t>
        </is>
      </c>
      <c r="C25" t="inlineStr">
        <is>
          <t>AWS Cost Optimization Hub</t>
        </is>
      </c>
      <c r="D25">
        <f>IF(COUNTIFS(Puntuacion!$A:$A,$A25,Puntuacion!$C:$C,$C25,Puntuacion!$D:$D,"Visibilidad",Puntuacion!$G:$G,"&lt;&gt;NA")&gt;0,1,0)</f>
        <v/>
      </c>
      <c r="E25">
        <f>IF(AND(D25=1,COUNTIFS(Puntuacion!$A:$A,$A25,Puntuacion!$C:$C,$C25,Puntuacion!$D:$D,"Visibilidad",Puntuacion!$G:$G,"NE")=0),1,0)</f>
        <v/>
      </c>
      <c r="F25" s="5">
        <f>IF(D25=0,"NA",IF(E25=0,"NE",AVERAGEIFS(Puntuacion!$G:$G,Puntuacion!$A:$A,$A25,Puntuacion!$C:$C,$C25,Puntuacion!$D:$D,"Visibilidad",Puntuacion!$G:$G,"&lt;&gt;NA",Puntuacion!$G:$G,"&lt;&gt;NE")))</f>
        <v/>
      </c>
      <c r="G25">
        <f>IF(COUNTIFS(Puntuacion!$A:$A,$A25,Puntuacion!$C:$C,$C25,Puntuacion!$D:$D,"Asignacion",Puntuacion!$G:$G,"&lt;&gt;NA")&gt;0,1,0)</f>
        <v/>
      </c>
      <c r="H25">
        <f>IF(AND(G25=1,COUNTIFS(Puntuacion!$A:$A,$A25,Puntuacion!$C:$C,$C25,Puntuacion!$D:$D,"Asignacion",Puntuacion!$G:$G,"NE")=0),1,0)</f>
        <v/>
      </c>
      <c r="I25" s="5">
        <f>IF(G25=0,"NA",IF(H25=0,"NE",AVERAGEIFS(Puntuacion!$G:$G,Puntuacion!$A:$A,$A25,Puntuacion!$C:$C,$C25,Puntuacion!$D:$D,"Asignacion",Puntuacion!$G:$G,"&lt;&gt;NA",Puntuacion!$G:$G,"&lt;&gt;NE")))</f>
        <v/>
      </c>
      <c r="J25">
        <f>IF(COUNTIFS(Puntuacion!$A:$A,$A25,Puntuacion!$C:$C,$C25,Puntuacion!$D:$D,"Optimizacion",Puntuacion!$G:$G,"&lt;&gt;NA")&gt;0,1,0)</f>
        <v/>
      </c>
      <c r="K25">
        <f>IF(AND(J25=1,COUNTIFS(Puntuacion!$A:$A,$A25,Puntuacion!$C:$C,$C25,Puntuacion!$D:$D,"Optimizacion",Puntuacion!$G:$G,"NE")=0),1,0)</f>
        <v/>
      </c>
      <c r="L25" s="5">
        <f>IF(J25=0,"NA",IF(K25=0,"NE",AVERAGEIFS(Puntuacion!$G:$G,Puntuacion!$A:$A,$A25,Puntuacion!$C:$C,$C25,Puntuacion!$D:$D,"Optimizacion",Puntuacion!$G:$G,"&lt;&gt;NA",Puntuacion!$G:$G,"&lt;&gt;NE")))</f>
        <v/>
      </c>
      <c r="M25">
        <f>IF(COUNTIFS(Puntuacion!$A:$A,$A25,Puntuacion!$C:$C,$C25,Puntuacion!$D:$D,"Automatizacion",Puntuacion!$G:$G,"&lt;&gt;NA")&gt;0,1,0)</f>
        <v/>
      </c>
      <c r="N25">
        <f>IF(AND(M25=1,COUNTIFS(Puntuacion!$A:$A,$A25,Puntuacion!$C:$C,$C25,Puntuacion!$D:$D,"Automatizacion",Puntuacion!$G:$G,"NE")=0),1,0)</f>
        <v/>
      </c>
      <c r="O25" s="5">
        <f>IF(M25=0,"NA",IF(N25=0,"NE",AVERAGEIFS(Puntuacion!$G:$G,Puntuacion!$A:$A,$A25,Puntuacion!$C:$C,$C25,Puntuacion!$D:$D,"Automatizacion",Puntuacion!$G:$G,"&lt;&gt;NA",Puntuacion!$G:$G,"&lt;&gt;NE")))</f>
        <v/>
      </c>
      <c r="P25">
        <f>IF(COUNTIFS(Puntuacion!$A:$A,$A25,Puntuacion!$C:$C,$C25,Puntuacion!$D:$D,"Multicloud",Puntuacion!$G:$G,"&lt;&gt;NA")&gt;0,1,0)</f>
        <v/>
      </c>
      <c r="Q25">
        <f>IF(AND(P25=1,COUNTIFS(Puntuacion!$A:$A,$A25,Puntuacion!$C:$C,$C25,Puntuacion!$D:$D,"Multicloud",Puntuacion!$G:$G,"NE")=0),1,0)</f>
        <v/>
      </c>
      <c r="R25" s="5">
        <f>IF(P25=0,"NA",IF(Q25=0,"NE",AVERAGEIFS(Puntuacion!$G:$G,Puntuacion!$A:$A,$A25,Puntuacion!$C:$C,$C25,Puntuacion!$D:$D,"Multicloud",Puntuacion!$G:$G,"&lt;&gt;NA",Puntuacion!$G:$G,"&lt;&gt;NE")))</f>
        <v/>
      </c>
      <c r="S25">
        <f>IF(COUNTIFS(Puntuacion!$A:$A,$A25,Puntuacion!$C:$C,$C25,Puntuacion!$D:$D,"Integracion",Puntuacion!$G:$G,"&lt;&gt;NA")&gt;0,1,0)</f>
        <v/>
      </c>
      <c r="T25">
        <f>IF(AND(S25=1,COUNTIFS(Puntuacion!$A:$A,$A25,Puntuacion!$C:$C,$C25,Puntuacion!$D:$D,"Integracion",Puntuacion!$G:$G,"NE")=0),1,0)</f>
        <v/>
      </c>
      <c r="U25" s="5">
        <f>IF(S25=0,"NA",IF(T25=0,"NE",AVERAGEIFS(Puntuacion!$G:$G,Puntuacion!$A:$A,$A25,Puntuacion!$C:$C,$C25,Puntuacion!$D:$D,"Integracion",Puntuacion!$G:$G,"&lt;&gt;NA",Puntuacion!$G:$G,"&lt;&gt;NE")))</f>
        <v/>
      </c>
      <c r="V25">
        <f>IF(COUNTIFS(Puntuacion!$A:$A,$A25,Puntuacion!$C:$C,$C25,Puntuacion!$D:$D,"Adopcion",Puntuacion!$G:$G,"&lt;&gt;NA")&gt;0,1,0)</f>
        <v/>
      </c>
      <c r="W25">
        <f>IF(AND(V25=1,COUNTIFS(Puntuacion!$A:$A,$A25,Puntuacion!$C:$C,$C25,Puntuacion!$D:$D,"Adopcion",Puntuacion!$G:$G,"NE")=0),1,0)</f>
        <v/>
      </c>
      <c r="X25" s="5">
        <f>IF(V25=0,"NA",IF(W25=0,"NE",AVERAGEIFS(Puntuacion!$G:$G,Puntuacion!$A:$A,$A25,Puntuacion!$C:$C,$C25,Puntuacion!$D:$D,"Adopcion",Puntuacion!$G:$G,"&lt;&gt;NA",Puntuacion!$G:$G,"&lt;&gt;NE")))</f>
        <v/>
      </c>
      <c r="Y25">
        <f>IF(COUNTIFS(Puntuacion!$A:$A,$A25,Puntuacion!$C:$C,$C25,Puntuacion!$D:$D,"Precio",Puntuacion!$G:$G,"&lt;&gt;NA")&gt;0,1,0)</f>
        <v/>
      </c>
      <c r="Z25">
        <f>IF(AND(Y25=1,COUNTIFS(Puntuacion!$A:$A,$A25,Puntuacion!$C:$C,$C25,Puntuacion!$D:$D,"Precio",Puntuacion!$G:$G,"NE")=0),1,0)</f>
        <v/>
      </c>
      <c r="AA25" s="5">
        <f>IF(Y25=0,"NA",IF(Z25=0,"NE",AVERAGEIFS(Puntuacion!$G:$G,Puntuacion!$A:$A,$A25,Puntuacion!$C:$C,$C25,Puntuacion!$D:$D,"Precio",Puntuacion!$G:$G,"&lt;&gt;NA",Puntuacion!$G:$G,"&lt;&gt;NE")))</f>
        <v/>
      </c>
      <c r="AB25">
        <f>IF(COUNTIFS(Puntuacion!$A:$A,$A25,Puntuacion!$C:$C,$C25,Puntuacion!$D:$D,"Dependencia",Puntuacion!$G:$G,"&lt;&gt;NA")&gt;0,1,0)</f>
        <v/>
      </c>
      <c r="AC25">
        <f>IF(AND(AB25=1,COUNTIFS(Puntuacion!$A:$A,$A25,Puntuacion!$C:$C,$C25,Puntuacion!$D:$D,"Dependencia",Puntuacion!$G:$G,"NE")=0),1,0)</f>
        <v/>
      </c>
      <c r="AD25" s="5">
        <f>IF(AB25=0,"NA",IF(AC25=0,"NE",AVERAGEIFS(Puntuacion!$G:$G,Puntuacion!$A:$A,$A25,Puntuacion!$C:$C,$C25,Puntuacion!$D:$D,"Dependencia",Puntuacion!$G:$G,"&lt;&gt;NA",Puntuacion!$G:$G,"&lt;&gt;NE")))</f>
        <v/>
      </c>
      <c r="AE25" s="5">
        <f>IFERROR(100*(E25*Pesos!$B$2+H25*Pesos!$B$3+K25*Pesos!$B$4+N25*Pesos!$B$5+Q25*Pesos!$B$6+T25*Pesos!$B$7+W25*Pesos!$B$8+Z25*Pesos!$B$9+AC25*Pesos!$B$10)/(D25*Pesos!$B$2+G25*Pesos!$B$3+J25*Pesos!$B$4+M25*Pesos!$B$5+P25*Pesos!$B$6+S25*Pesos!$B$7+V25*Pesos!$B$8+Y25*Pesos!$B$9+AB25*Pesos!$B$10),"Sin criterios aplicables")</f>
        <v/>
      </c>
      <c r="AF25" s="5">
        <f>IFERROR(100*(E25*Pesos!$C$2+H25*Pesos!$C$3+K25*Pesos!$C$4+N25*Pesos!$C$5+Q25*Pesos!$C$6+T25*Pesos!$C$7+W25*Pesos!$C$8+Z25*Pesos!$C$9+AC25*Pesos!$C$10)/(D25*Pesos!$C$2+G25*Pesos!$C$3+J25*Pesos!$C$4+M25*Pesos!$C$5+P25*Pesos!$C$6+S25*Pesos!$C$7+V25*Pesos!$C$8+Y25*Pesos!$C$9+AB25*Pesos!$C$10),"Sin criterios aplicables")</f>
        <v/>
      </c>
      <c r="AG25" s="5">
        <f>IF(OR(AE25="Sin criterios aplicables",AE25&lt;70),"Insufficient evidence",100*(Pesos!$B$2*IF(E25=1,F25,0)+Pesos!$B$3*IF(H25=1,I25,0)+Pesos!$B$4*IF(K25=1,L25,0)+Pesos!$B$5*IF(N25=1,O25,0)+Pesos!$B$6*IF(Q25=1,R25,0)+Pesos!$B$7*IF(T25=1,U25,0)+Pesos!$B$8*IF(W25=1,X25,0)+Pesos!$B$9*IF(Z25=1,AA25,0)+Pesos!$B$10*IF(AC25=1,AD25,0))/(3*(Pesos!$B$2*E25+Pesos!$B$3*H25+Pesos!$B$4*K25+Pesos!$B$5*N25+Pesos!$B$6*Q25+Pesos!$B$7*T25+Pesos!$B$8*W25+Pesos!$B$9*Z25+Pesos!$B$10*AC25)))</f>
        <v/>
      </c>
      <c r="AH25" s="5">
        <f>IF(OR(AF25="Sin criterios aplicables",AF25&lt;70),"Insufficient evidence",100*(Pesos!$C$2*IF(E25=1,F25,0)+Pesos!$C$3*IF(H25=1,I25,0)+Pesos!$C$4*IF(K25=1,L25,0)+Pesos!$C$5*IF(N25=1,O25,0)+Pesos!$C$6*IF(Q25=1,R25,0)+Pesos!$C$7*IF(T25=1,U25,0)+Pesos!$C$8*IF(W25=1,X25,0)+Pesos!$C$9*IF(Z25=1,AA25,0)+Pesos!$C$10*IF(AC25=1,AD25,0))/(3*(Pesos!$C$2*E25+Pesos!$C$3*H25+Pesos!$C$4*K25+Pesos!$C$5*N25+Pesos!$C$6*Q25+Pesos!$C$7*T25+Pesos!$C$8*W25+Pesos!$C$9*Z25+Pesos!$C$10*AC25)))</f>
        <v/>
      </c>
      <c r="AI25">
        <f>IF(AG25="Insufficient evidence","Insufficient evidence (cobertura&lt;70%)",IF(AG25&lt;50/3,"Insufficient",IF(AG25&lt;50,"Basic",IF(AG25&lt;250/3,"Solid","Advanced"))))</f>
        <v/>
      </c>
      <c r="AJ25">
        <f>IF(AH25="Insufficient evidence","Insufficient evidence (cobertura&lt;70%)",IF(AH25&lt;50/3,"Insufficient",IF(AH25&lt;50,"Basic",IF(AH25&lt;250/3,"Solid","Advanced"))))</f>
        <v/>
      </c>
      <c r="AK25">
        <f>IF(TRIM(IF(AND(ISNUMBER(L25),L25&lt;1),"Optimización","") &amp; " " &amp; IF(AND(ISNUMBER(O25),O25&lt;1),"Automatización",""))="","Ninguno",TRIM(IF(AND(ISNUMBER(L25),L25&lt;1),"Optimización","") &amp; " " &amp; IF(AND(ISNUMBER(O25),O25&lt;1),"Automatización","")))</f>
        <v/>
      </c>
    </row>
    <row r="26">
      <c r="A26" t="inlineStr">
        <is>
          <t>E3</t>
        </is>
      </c>
      <c r="B26" t="inlineStr">
        <is>
          <t>Cloud nativa</t>
        </is>
      </c>
      <c r="C26" t="inlineStr">
        <is>
          <t>Azure Cost Management</t>
        </is>
      </c>
      <c r="D26">
        <f>IF(COUNTIFS(Puntuacion!$A:$A,$A26,Puntuacion!$C:$C,$C26,Puntuacion!$D:$D,"Visibilidad",Puntuacion!$G:$G,"&lt;&gt;NA")&gt;0,1,0)</f>
        <v/>
      </c>
      <c r="E26">
        <f>IF(AND(D26=1,COUNTIFS(Puntuacion!$A:$A,$A26,Puntuacion!$C:$C,$C26,Puntuacion!$D:$D,"Visibilidad",Puntuacion!$G:$G,"NE")=0),1,0)</f>
        <v/>
      </c>
      <c r="F26" s="5">
        <f>IF(D26=0,"NA",IF(E26=0,"NE",AVERAGEIFS(Puntuacion!$G:$G,Puntuacion!$A:$A,$A26,Puntuacion!$C:$C,$C26,Puntuacion!$D:$D,"Visibilidad",Puntuacion!$G:$G,"&lt;&gt;NA",Puntuacion!$G:$G,"&lt;&gt;NE")))</f>
        <v/>
      </c>
      <c r="G26">
        <f>IF(COUNTIFS(Puntuacion!$A:$A,$A26,Puntuacion!$C:$C,$C26,Puntuacion!$D:$D,"Asignacion",Puntuacion!$G:$G,"&lt;&gt;NA")&gt;0,1,0)</f>
        <v/>
      </c>
      <c r="H26">
        <f>IF(AND(G26=1,COUNTIFS(Puntuacion!$A:$A,$A26,Puntuacion!$C:$C,$C26,Puntuacion!$D:$D,"Asignacion",Puntuacion!$G:$G,"NE")=0),1,0)</f>
        <v/>
      </c>
      <c r="I26" s="5">
        <f>IF(G26=0,"NA",IF(H26=0,"NE",AVERAGEIFS(Puntuacion!$G:$G,Puntuacion!$A:$A,$A26,Puntuacion!$C:$C,$C26,Puntuacion!$D:$D,"Asignacion",Puntuacion!$G:$G,"&lt;&gt;NA",Puntuacion!$G:$G,"&lt;&gt;NE")))</f>
        <v/>
      </c>
      <c r="J26">
        <f>IF(COUNTIFS(Puntuacion!$A:$A,$A26,Puntuacion!$C:$C,$C26,Puntuacion!$D:$D,"Optimizacion",Puntuacion!$G:$G,"&lt;&gt;NA")&gt;0,1,0)</f>
        <v/>
      </c>
      <c r="K26">
        <f>IF(AND(J26=1,COUNTIFS(Puntuacion!$A:$A,$A26,Puntuacion!$C:$C,$C26,Puntuacion!$D:$D,"Optimizacion",Puntuacion!$G:$G,"NE")=0),1,0)</f>
        <v/>
      </c>
      <c r="L26" s="5">
        <f>IF(J26=0,"NA",IF(K26=0,"NE",AVERAGEIFS(Puntuacion!$G:$G,Puntuacion!$A:$A,$A26,Puntuacion!$C:$C,$C26,Puntuacion!$D:$D,"Optimizacion",Puntuacion!$G:$G,"&lt;&gt;NA",Puntuacion!$G:$G,"&lt;&gt;NE")))</f>
        <v/>
      </c>
      <c r="M26">
        <f>IF(COUNTIFS(Puntuacion!$A:$A,$A26,Puntuacion!$C:$C,$C26,Puntuacion!$D:$D,"Automatizacion",Puntuacion!$G:$G,"&lt;&gt;NA")&gt;0,1,0)</f>
        <v/>
      </c>
      <c r="N26">
        <f>IF(AND(M26=1,COUNTIFS(Puntuacion!$A:$A,$A26,Puntuacion!$C:$C,$C26,Puntuacion!$D:$D,"Automatizacion",Puntuacion!$G:$G,"NE")=0),1,0)</f>
        <v/>
      </c>
      <c r="O26" s="5">
        <f>IF(M26=0,"NA",IF(N26=0,"NE",AVERAGEIFS(Puntuacion!$G:$G,Puntuacion!$A:$A,$A26,Puntuacion!$C:$C,$C26,Puntuacion!$D:$D,"Automatizacion",Puntuacion!$G:$G,"&lt;&gt;NA",Puntuacion!$G:$G,"&lt;&gt;NE")))</f>
        <v/>
      </c>
      <c r="P26">
        <f>IF(COUNTIFS(Puntuacion!$A:$A,$A26,Puntuacion!$C:$C,$C26,Puntuacion!$D:$D,"Multicloud",Puntuacion!$G:$G,"&lt;&gt;NA")&gt;0,1,0)</f>
        <v/>
      </c>
      <c r="Q26">
        <f>IF(AND(P26=1,COUNTIFS(Puntuacion!$A:$A,$A26,Puntuacion!$C:$C,$C26,Puntuacion!$D:$D,"Multicloud",Puntuacion!$G:$G,"NE")=0),1,0)</f>
        <v/>
      </c>
      <c r="R26" s="5">
        <f>IF(P26=0,"NA",IF(Q26=0,"NE",AVERAGEIFS(Puntuacion!$G:$G,Puntuacion!$A:$A,$A26,Puntuacion!$C:$C,$C26,Puntuacion!$D:$D,"Multicloud",Puntuacion!$G:$G,"&lt;&gt;NA",Puntuacion!$G:$G,"&lt;&gt;NE")))</f>
        <v/>
      </c>
      <c r="S26">
        <f>IF(COUNTIFS(Puntuacion!$A:$A,$A26,Puntuacion!$C:$C,$C26,Puntuacion!$D:$D,"Integracion",Puntuacion!$G:$G,"&lt;&gt;NA")&gt;0,1,0)</f>
        <v/>
      </c>
      <c r="T26">
        <f>IF(AND(S26=1,COUNTIFS(Puntuacion!$A:$A,$A26,Puntuacion!$C:$C,$C26,Puntuacion!$D:$D,"Integracion",Puntuacion!$G:$G,"NE")=0),1,0)</f>
        <v/>
      </c>
      <c r="U26" s="5">
        <f>IF(S26=0,"NA",IF(T26=0,"NE",AVERAGEIFS(Puntuacion!$G:$G,Puntuacion!$A:$A,$A26,Puntuacion!$C:$C,$C26,Puntuacion!$D:$D,"Integracion",Puntuacion!$G:$G,"&lt;&gt;NA",Puntuacion!$G:$G,"&lt;&gt;NE")))</f>
        <v/>
      </c>
      <c r="V26">
        <f>IF(COUNTIFS(Puntuacion!$A:$A,$A26,Puntuacion!$C:$C,$C26,Puntuacion!$D:$D,"Adopcion",Puntuacion!$G:$G,"&lt;&gt;NA")&gt;0,1,0)</f>
        <v/>
      </c>
      <c r="W26">
        <f>IF(AND(V26=1,COUNTIFS(Puntuacion!$A:$A,$A26,Puntuacion!$C:$C,$C26,Puntuacion!$D:$D,"Adopcion",Puntuacion!$G:$G,"NE")=0),1,0)</f>
        <v/>
      </c>
      <c r="X26" s="5">
        <f>IF(V26=0,"NA",IF(W26=0,"NE",AVERAGEIFS(Puntuacion!$G:$G,Puntuacion!$A:$A,$A26,Puntuacion!$C:$C,$C26,Puntuacion!$D:$D,"Adopcion",Puntuacion!$G:$G,"&lt;&gt;NA",Puntuacion!$G:$G,"&lt;&gt;NE")))</f>
        <v/>
      </c>
      <c r="Y26">
        <f>IF(COUNTIFS(Puntuacion!$A:$A,$A26,Puntuacion!$C:$C,$C26,Puntuacion!$D:$D,"Precio",Puntuacion!$G:$G,"&lt;&gt;NA")&gt;0,1,0)</f>
        <v/>
      </c>
      <c r="Z26">
        <f>IF(AND(Y26=1,COUNTIFS(Puntuacion!$A:$A,$A26,Puntuacion!$C:$C,$C26,Puntuacion!$D:$D,"Precio",Puntuacion!$G:$G,"NE")=0),1,0)</f>
        <v/>
      </c>
      <c r="AA26" s="5">
        <f>IF(Y26=0,"NA",IF(Z26=0,"NE",AVERAGEIFS(Puntuacion!$G:$G,Puntuacion!$A:$A,$A26,Puntuacion!$C:$C,$C26,Puntuacion!$D:$D,"Precio",Puntuacion!$G:$G,"&lt;&gt;NA",Puntuacion!$G:$G,"&lt;&gt;NE")))</f>
        <v/>
      </c>
      <c r="AB26">
        <f>IF(COUNTIFS(Puntuacion!$A:$A,$A26,Puntuacion!$C:$C,$C26,Puntuacion!$D:$D,"Dependencia",Puntuacion!$G:$G,"&lt;&gt;NA")&gt;0,1,0)</f>
        <v/>
      </c>
      <c r="AC26">
        <f>IF(AND(AB26=1,COUNTIFS(Puntuacion!$A:$A,$A26,Puntuacion!$C:$C,$C26,Puntuacion!$D:$D,"Dependencia",Puntuacion!$G:$G,"NE")=0),1,0)</f>
        <v/>
      </c>
      <c r="AD26" s="5">
        <f>IF(AB26=0,"NA",IF(AC26=0,"NE",AVERAGEIFS(Puntuacion!$G:$G,Puntuacion!$A:$A,$A26,Puntuacion!$C:$C,$C26,Puntuacion!$D:$D,"Dependencia",Puntuacion!$G:$G,"&lt;&gt;NA",Puntuacion!$G:$G,"&lt;&gt;NE")))</f>
        <v/>
      </c>
      <c r="AE26" s="5">
        <f>IFERROR(100*(E26*Pesos!$B$2+H26*Pesos!$B$3+K26*Pesos!$B$4+N26*Pesos!$B$5+Q26*Pesos!$B$6+T26*Pesos!$B$7+W26*Pesos!$B$8+Z26*Pesos!$B$9+AC26*Pesos!$B$10)/(D26*Pesos!$B$2+G26*Pesos!$B$3+J26*Pesos!$B$4+M26*Pesos!$B$5+P26*Pesos!$B$6+S26*Pesos!$B$7+V26*Pesos!$B$8+Y26*Pesos!$B$9+AB26*Pesos!$B$10),"Sin criterios aplicables")</f>
        <v/>
      </c>
      <c r="AF26" s="5">
        <f>IFERROR(100*(E26*Pesos!$C$2+H26*Pesos!$C$3+K26*Pesos!$C$4+N26*Pesos!$C$5+Q26*Pesos!$C$6+T26*Pesos!$C$7+W26*Pesos!$C$8+Z26*Pesos!$C$9+AC26*Pesos!$C$10)/(D26*Pesos!$C$2+G26*Pesos!$C$3+J26*Pesos!$C$4+M26*Pesos!$C$5+P26*Pesos!$C$6+S26*Pesos!$C$7+V26*Pesos!$C$8+Y26*Pesos!$C$9+AB26*Pesos!$C$10),"Sin criterios aplicables")</f>
        <v/>
      </c>
      <c r="AG26" s="5">
        <f>IF(OR(AE26="Sin criterios aplicables",AE26&lt;70),"Insufficient evidence",100*(Pesos!$B$2*IF(E26=1,F26,0)+Pesos!$B$3*IF(H26=1,I26,0)+Pesos!$B$4*IF(K26=1,L26,0)+Pesos!$B$5*IF(N26=1,O26,0)+Pesos!$B$6*IF(Q26=1,R26,0)+Pesos!$B$7*IF(T26=1,U26,0)+Pesos!$B$8*IF(W26=1,X26,0)+Pesos!$B$9*IF(Z26=1,AA26,0)+Pesos!$B$10*IF(AC26=1,AD26,0))/(3*(Pesos!$B$2*E26+Pesos!$B$3*H26+Pesos!$B$4*K26+Pesos!$B$5*N26+Pesos!$B$6*Q26+Pesos!$B$7*T26+Pesos!$B$8*W26+Pesos!$B$9*Z26+Pesos!$B$10*AC26)))</f>
        <v/>
      </c>
      <c r="AH26" s="5">
        <f>IF(OR(AF26="Sin criterios aplicables",AF26&lt;70),"Insufficient evidence",100*(Pesos!$C$2*IF(E26=1,F26,0)+Pesos!$C$3*IF(H26=1,I26,0)+Pesos!$C$4*IF(K26=1,L26,0)+Pesos!$C$5*IF(N26=1,O26,0)+Pesos!$C$6*IF(Q26=1,R26,0)+Pesos!$C$7*IF(T26=1,U26,0)+Pesos!$C$8*IF(W26=1,X26,0)+Pesos!$C$9*IF(Z26=1,AA26,0)+Pesos!$C$10*IF(AC26=1,AD26,0))/(3*(Pesos!$C$2*E26+Pesos!$C$3*H26+Pesos!$C$4*K26+Pesos!$C$5*N26+Pesos!$C$6*Q26+Pesos!$C$7*T26+Pesos!$C$8*W26+Pesos!$C$9*Z26+Pesos!$C$10*AC26)))</f>
        <v/>
      </c>
      <c r="AI26">
        <f>IF(AG26="Insufficient evidence","Insufficient evidence (cobertura&lt;70%)",IF(AG26&lt;50/3,"Insufficient",IF(AG26&lt;50,"Basic",IF(AG26&lt;250/3,"Solid","Advanced"))))</f>
        <v/>
      </c>
      <c r="AJ26">
        <f>IF(AH26="Insufficient evidence","Insufficient evidence (cobertura&lt;70%)",IF(AH26&lt;50/3,"Insufficient",IF(AH26&lt;50,"Basic",IF(AH26&lt;250/3,"Solid","Advanced"))))</f>
        <v/>
      </c>
      <c r="AK26">
        <f>IF(TRIM(IF(AND(ISNUMBER(L26),L26&lt;1),"Optimización","") &amp; " " &amp; IF(AND(ISNUMBER(O26),O26&lt;1),"Automatización",""))="","Ninguno",TRIM(IF(AND(ISNUMBER(L26),L26&lt;1),"Optimización","") &amp; " " &amp; IF(AND(ISNUMBER(O26),O26&lt;1),"Automatización","")))</f>
        <v/>
      </c>
    </row>
    <row r="27">
      <c r="A27" t="inlineStr">
        <is>
          <t>E3</t>
        </is>
      </c>
      <c r="B27" t="inlineStr">
        <is>
          <t>Cloud nativa</t>
        </is>
      </c>
      <c r="C27" t="inlineStr">
        <is>
          <t>Google Cloud Billing</t>
        </is>
      </c>
      <c r="D27">
        <f>IF(COUNTIFS(Puntuacion!$A:$A,$A27,Puntuacion!$C:$C,$C27,Puntuacion!$D:$D,"Visibilidad",Puntuacion!$G:$G,"&lt;&gt;NA")&gt;0,1,0)</f>
        <v/>
      </c>
      <c r="E27">
        <f>IF(AND(D27=1,COUNTIFS(Puntuacion!$A:$A,$A27,Puntuacion!$C:$C,$C27,Puntuacion!$D:$D,"Visibilidad",Puntuacion!$G:$G,"NE")=0),1,0)</f>
        <v/>
      </c>
      <c r="F27" s="5">
        <f>IF(D27=0,"NA",IF(E27=0,"NE",AVERAGEIFS(Puntuacion!$G:$G,Puntuacion!$A:$A,$A27,Puntuacion!$C:$C,$C27,Puntuacion!$D:$D,"Visibilidad",Puntuacion!$G:$G,"&lt;&gt;NA",Puntuacion!$G:$G,"&lt;&gt;NE")))</f>
        <v/>
      </c>
      <c r="G27">
        <f>IF(COUNTIFS(Puntuacion!$A:$A,$A27,Puntuacion!$C:$C,$C27,Puntuacion!$D:$D,"Asignacion",Puntuacion!$G:$G,"&lt;&gt;NA")&gt;0,1,0)</f>
        <v/>
      </c>
      <c r="H27">
        <f>IF(AND(G27=1,COUNTIFS(Puntuacion!$A:$A,$A27,Puntuacion!$C:$C,$C27,Puntuacion!$D:$D,"Asignacion",Puntuacion!$G:$G,"NE")=0),1,0)</f>
        <v/>
      </c>
      <c r="I27" s="5">
        <f>IF(G27=0,"NA",IF(H27=0,"NE",AVERAGEIFS(Puntuacion!$G:$G,Puntuacion!$A:$A,$A27,Puntuacion!$C:$C,$C27,Puntuacion!$D:$D,"Asignacion",Puntuacion!$G:$G,"&lt;&gt;NA",Puntuacion!$G:$G,"&lt;&gt;NE")))</f>
        <v/>
      </c>
      <c r="J27">
        <f>IF(COUNTIFS(Puntuacion!$A:$A,$A27,Puntuacion!$C:$C,$C27,Puntuacion!$D:$D,"Optimizacion",Puntuacion!$G:$G,"&lt;&gt;NA")&gt;0,1,0)</f>
        <v/>
      </c>
      <c r="K27">
        <f>IF(AND(J27=1,COUNTIFS(Puntuacion!$A:$A,$A27,Puntuacion!$C:$C,$C27,Puntuacion!$D:$D,"Optimizacion",Puntuacion!$G:$G,"NE")=0),1,0)</f>
        <v/>
      </c>
      <c r="L27" s="5">
        <f>IF(J27=0,"NA",IF(K27=0,"NE",AVERAGEIFS(Puntuacion!$G:$G,Puntuacion!$A:$A,$A27,Puntuacion!$C:$C,$C27,Puntuacion!$D:$D,"Optimizacion",Puntuacion!$G:$G,"&lt;&gt;NA",Puntuacion!$G:$G,"&lt;&gt;NE")))</f>
        <v/>
      </c>
      <c r="M27">
        <f>IF(COUNTIFS(Puntuacion!$A:$A,$A27,Puntuacion!$C:$C,$C27,Puntuacion!$D:$D,"Automatizacion",Puntuacion!$G:$G,"&lt;&gt;NA")&gt;0,1,0)</f>
        <v/>
      </c>
      <c r="N27">
        <f>IF(AND(M27=1,COUNTIFS(Puntuacion!$A:$A,$A27,Puntuacion!$C:$C,$C27,Puntuacion!$D:$D,"Automatizacion",Puntuacion!$G:$G,"NE")=0),1,0)</f>
        <v/>
      </c>
      <c r="O27" s="5">
        <f>IF(M27=0,"NA",IF(N27=0,"NE",AVERAGEIFS(Puntuacion!$G:$G,Puntuacion!$A:$A,$A27,Puntuacion!$C:$C,$C27,Puntuacion!$D:$D,"Automatizacion",Puntuacion!$G:$G,"&lt;&gt;NA",Puntuacion!$G:$G,"&lt;&gt;NE")))</f>
        <v/>
      </c>
      <c r="P27">
        <f>IF(COUNTIFS(Puntuacion!$A:$A,$A27,Puntuacion!$C:$C,$C27,Puntuacion!$D:$D,"Multicloud",Puntuacion!$G:$G,"&lt;&gt;NA")&gt;0,1,0)</f>
        <v/>
      </c>
      <c r="Q27">
        <f>IF(AND(P27=1,COUNTIFS(Puntuacion!$A:$A,$A27,Puntuacion!$C:$C,$C27,Puntuacion!$D:$D,"Multicloud",Puntuacion!$G:$G,"NE")=0),1,0)</f>
        <v/>
      </c>
      <c r="R27" s="5">
        <f>IF(P27=0,"NA",IF(Q27=0,"NE",AVERAGEIFS(Puntuacion!$G:$G,Puntuacion!$A:$A,$A27,Puntuacion!$C:$C,$C27,Puntuacion!$D:$D,"Multicloud",Puntuacion!$G:$G,"&lt;&gt;NA",Puntuacion!$G:$G,"&lt;&gt;NE")))</f>
        <v/>
      </c>
      <c r="S27">
        <f>IF(COUNTIFS(Puntuacion!$A:$A,$A27,Puntuacion!$C:$C,$C27,Puntuacion!$D:$D,"Integracion",Puntuacion!$G:$G,"&lt;&gt;NA")&gt;0,1,0)</f>
        <v/>
      </c>
      <c r="T27">
        <f>IF(AND(S27=1,COUNTIFS(Puntuacion!$A:$A,$A27,Puntuacion!$C:$C,$C27,Puntuacion!$D:$D,"Integracion",Puntuacion!$G:$G,"NE")=0),1,0)</f>
        <v/>
      </c>
      <c r="U27" s="5">
        <f>IF(S27=0,"NA",IF(T27=0,"NE",AVERAGEIFS(Puntuacion!$G:$G,Puntuacion!$A:$A,$A27,Puntuacion!$C:$C,$C27,Puntuacion!$D:$D,"Integracion",Puntuacion!$G:$G,"&lt;&gt;NA",Puntuacion!$G:$G,"&lt;&gt;NE")))</f>
        <v/>
      </c>
      <c r="V27">
        <f>IF(COUNTIFS(Puntuacion!$A:$A,$A27,Puntuacion!$C:$C,$C27,Puntuacion!$D:$D,"Adopcion",Puntuacion!$G:$G,"&lt;&gt;NA")&gt;0,1,0)</f>
        <v/>
      </c>
      <c r="W27">
        <f>IF(AND(V27=1,COUNTIFS(Puntuacion!$A:$A,$A27,Puntuacion!$C:$C,$C27,Puntuacion!$D:$D,"Adopcion",Puntuacion!$G:$G,"NE")=0),1,0)</f>
        <v/>
      </c>
      <c r="X27" s="5">
        <f>IF(V27=0,"NA",IF(W27=0,"NE",AVERAGEIFS(Puntuacion!$G:$G,Puntuacion!$A:$A,$A27,Puntuacion!$C:$C,$C27,Puntuacion!$D:$D,"Adopcion",Puntuacion!$G:$G,"&lt;&gt;NA",Puntuacion!$G:$G,"&lt;&gt;NE")))</f>
        <v/>
      </c>
      <c r="Y27">
        <f>IF(COUNTIFS(Puntuacion!$A:$A,$A27,Puntuacion!$C:$C,$C27,Puntuacion!$D:$D,"Precio",Puntuacion!$G:$G,"&lt;&gt;NA")&gt;0,1,0)</f>
        <v/>
      </c>
      <c r="Z27">
        <f>IF(AND(Y27=1,COUNTIFS(Puntuacion!$A:$A,$A27,Puntuacion!$C:$C,$C27,Puntuacion!$D:$D,"Precio",Puntuacion!$G:$G,"NE")=0),1,0)</f>
        <v/>
      </c>
      <c r="AA27" s="5">
        <f>IF(Y27=0,"NA",IF(Z27=0,"NE",AVERAGEIFS(Puntuacion!$G:$G,Puntuacion!$A:$A,$A27,Puntuacion!$C:$C,$C27,Puntuacion!$D:$D,"Precio",Puntuacion!$G:$G,"&lt;&gt;NA",Puntuacion!$G:$G,"&lt;&gt;NE")))</f>
        <v/>
      </c>
      <c r="AB27">
        <f>IF(COUNTIFS(Puntuacion!$A:$A,$A27,Puntuacion!$C:$C,$C27,Puntuacion!$D:$D,"Dependencia",Puntuacion!$G:$G,"&lt;&gt;NA")&gt;0,1,0)</f>
        <v/>
      </c>
      <c r="AC27">
        <f>IF(AND(AB27=1,COUNTIFS(Puntuacion!$A:$A,$A27,Puntuacion!$C:$C,$C27,Puntuacion!$D:$D,"Dependencia",Puntuacion!$G:$G,"NE")=0),1,0)</f>
        <v/>
      </c>
      <c r="AD27" s="5">
        <f>IF(AB27=0,"NA",IF(AC27=0,"NE",AVERAGEIFS(Puntuacion!$G:$G,Puntuacion!$A:$A,$A27,Puntuacion!$C:$C,$C27,Puntuacion!$D:$D,"Dependencia",Puntuacion!$G:$G,"&lt;&gt;NA",Puntuacion!$G:$G,"&lt;&gt;NE")))</f>
        <v/>
      </c>
      <c r="AE27" s="5">
        <f>IFERROR(100*(E27*Pesos!$B$2+H27*Pesos!$B$3+K27*Pesos!$B$4+N27*Pesos!$B$5+Q27*Pesos!$B$6+T27*Pesos!$B$7+W27*Pesos!$B$8+Z27*Pesos!$B$9+AC27*Pesos!$B$10)/(D27*Pesos!$B$2+G27*Pesos!$B$3+J27*Pesos!$B$4+M27*Pesos!$B$5+P27*Pesos!$B$6+S27*Pesos!$B$7+V27*Pesos!$B$8+Y27*Pesos!$B$9+AB27*Pesos!$B$10),"Sin criterios aplicables")</f>
        <v/>
      </c>
      <c r="AF27" s="5">
        <f>IFERROR(100*(E27*Pesos!$C$2+H27*Pesos!$C$3+K27*Pesos!$C$4+N27*Pesos!$C$5+Q27*Pesos!$C$6+T27*Pesos!$C$7+W27*Pesos!$C$8+Z27*Pesos!$C$9+AC27*Pesos!$C$10)/(D27*Pesos!$C$2+G27*Pesos!$C$3+J27*Pesos!$C$4+M27*Pesos!$C$5+P27*Pesos!$C$6+S27*Pesos!$C$7+V27*Pesos!$C$8+Y27*Pesos!$C$9+AB27*Pesos!$C$10),"Sin criterios aplicables")</f>
        <v/>
      </c>
      <c r="AG27" s="5">
        <f>IF(OR(AE27="Sin criterios aplicables",AE27&lt;70),"Insufficient evidence",100*(Pesos!$B$2*IF(E27=1,F27,0)+Pesos!$B$3*IF(H27=1,I27,0)+Pesos!$B$4*IF(K27=1,L27,0)+Pesos!$B$5*IF(N27=1,O27,0)+Pesos!$B$6*IF(Q27=1,R27,0)+Pesos!$B$7*IF(T27=1,U27,0)+Pesos!$B$8*IF(W27=1,X27,0)+Pesos!$B$9*IF(Z27=1,AA27,0)+Pesos!$B$10*IF(AC27=1,AD27,0))/(3*(Pesos!$B$2*E27+Pesos!$B$3*H27+Pesos!$B$4*K27+Pesos!$B$5*N27+Pesos!$B$6*Q27+Pesos!$B$7*T27+Pesos!$B$8*W27+Pesos!$B$9*Z27+Pesos!$B$10*AC27)))</f>
        <v/>
      </c>
      <c r="AH27" s="5">
        <f>IF(OR(AF27="Sin criterios aplicables",AF27&lt;70),"Insufficient evidence",100*(Pesos!$C$2*IF(E27=1,F27,0)+Pesos!$C$3*IF(H27=1,I27,0)+Pesos!$C$4*IF(K27=1,L27,0)+Pesos!$C$5*IF(N27=1,O27,0)+Pesos!$C$6*IF(Q27=1,R27,0)+Pesos!$C$7*IF(T27=1,U27,0)+Pesos!$C$8*IF(W27=1,X27,0)+Pesos!$C$9*IF(Z27=1,AA27,0)+Pesos!$C$10*IF(AC27=1,AD27,0))/(3*(Pesos!$C$2*E27+Pesos!$C$3*H27+Pesos!$C$4*K27+Pesos!$C$5*N27+Pesos!$C$6*Q27+Pesos!$C$7*T27+Pesos!$C$8*W27+Pesos!$C$9*Z27+Pesos!$C$10*AC27)))</f>
        <v/>
      </c>
      <c r="AI27">
        <f>IF(AG27="Insufficient evidence","Insufficient evidence (cobertura&lt;70%)",IF(AG27&lt;50/3,"Insufficient",IF(AG27&lt;50,"Basic",IF(AG27&lt;250/3,"Solid","Advanced"))))</f>
        <v/>
      </c>
      <c r="AJ27">
        <f>IF(AH27="Insufficient evidence","Insufficient evidence (cobertura&lt;70%)",IF(AH27&lt;50/3,"Insufficient",IF(AH27&lt;50,"Basic",IF(AH27&lt;250/3,"Solid","Advanced"))))</f>
        <v/>
      </c>
      <c r="AK27">
        <f>IF(TRIM(IF(AND(ISNUMBER(L27),L27&lt;1),"Optimización","") &amp; " " &amp; IF(AND(ISNUMBER(O27),O27&lt;1),"Automatización",""))="","Ninguno",TRIM(IF(AND(ISNUMBER(L27),L27&lt;1),"Optimización","") &amp; " " &amp; IF(AND(ISNUMBER(O27),O27&lt;1),"Automatización","")))</f>
        <v/>
      </c>
    </row>
    <row r="28">
      <c r="A28" t="inlineStr">
        <is>
          <t>E3</t>
        </is>
      </c>
      <c r="B28" t="inlineStr">
        <is>
          <t>Cloud nativa</t>
        </is>
      </c>
      <c r="C28" t="inlineStr">
        <is>
          <t>Google Cloud FinOps Hub</t>
        </is>
      </c>
      <c r="D28">
        <f>IF(COUNTIFS(Puntuacion!$A:$A,$A28,Puntuacion!$C:$C,$C28,Puntuacion!$D:$D,"Visibilidad",Puntuacion!$G:$G,"&lt;&gt;NA")&gt;0,1,0)</f>
        <v/>
      </c>
      <c r="E28">
        <f>IF(AND(D28=1,COUNTIFS(Puntuacion!$A:$A,$A28,Puntuacion!$C:$C,$C28,Puntuacion!$D:$D,"Visibilidad",Puntuacion!$G:$G,"NE")=0),1,0)</f>
        <v/>
      </c>
      <c r="F28" s="5">
        <f>IF(D28=0,"NA",IF(E28=0,"NE",AVERAGEIFS(Puntuacion!$G:$G,Puntuacion!$A:$A,$A28,Puntuacion!$C:$C,$C28,Puntuacion!$D:$D,"Visibilidad",Puntuacion!$G:$G,"&lt;&gt;NA",Puntuacion!$G:$G,"&lt;&gt;NE")))</f>
        <v/>
      </c>
      <c r="G28">
        <f>IF(COUNTIFS(Puntuacion!$A:$A,$A28,Puntuacion!$C:$C,$C28,Puntuacion!$D:$D,"Asignacion",Puntuacion!$G:$G,"&lt;&gt;NA")&gt;0,1,0)</f>
        <v/>
      </c>
      <c r="H28">
        <f>IF(AND(G28=1,COUNTIFS(Puntuacion!$A:$A,$A28,Puntuacion!$C:$C,$C28,Puntuacion!$D:$D,"Asignacion",Puntuacion!$G:$G,"NE")=0),1,0)</f>
        <v/>
      </c>
      <c r="I28" s="5">
        <f>IF(G28=0,"NA",IF(H28=0,"NE",AVERAGEIFS(Puntuacion!$G:$G,Puntuacion!$A:$A,$A28,Puntuacion!$C:$C,$C28,Puntuacion!$D:$D,"Asignacion",Puntuacion!$G:$G,"&lt;&gt;NA",Puntuacion!$G:$G,"&lt;&gt;NE")))</f>
        <v/>
      </c>
      <c r="J28">
        <f>IF(COUNTIFS(Puntuacion!$A:$A,$A28,Puntuacion!$C:$C,$C28,Puntuacion!$D:$D,"Optimizacion",Puntuacion!$G:$G,"&lt;&gt;NA")&gt;0,1,0)</f>
        <v/>
      </c>
      <c r="K28">
        <f>IF(AND(J28=1,COUNTIFS(Puntuacion!$A:$A,$A28,Puntuacion!$C:$C,$C28,Puntuacion!$D:$D,"Optimizacion",Puntuacion!$G:$G,"NE")=0),1,0)</f>
        <v/>
      </c>
      <c r="L28" s="5">
        <f>IF(J28=0,"NA",IF(K28=0,"NE",AVERAGEIFS(Puntuacion!$G:$G,Puntuacion!$A:$A,$A28,Puntuacion!$C:$C,$C28,Puntuacion!$D:$D,"Optimizacion",Puntuacion!$G:$G,"&lt;&gt;NA",Puntuacion!$G:$G,"&lt;&gt;NE")))</f>
        <v/>
      </c>
      <c r="M28">
        <f>IF(COUNTIFS(Puntuacion!$A:$A,$A28,Puntuacion!$C:$C,$C28,Puntuacion!$D:$D,"Automatizacion",Puntuacion!$G:$G,"&lt;&gt;NA")&gt;0,1,0)</f>
        <v/>
      </c>
      <c r="N28">
        <f>IF(AND(M28=1,COUNTIFS(Puntuacion!$A:$A,$A28,Puntuacion!$C:$C,$C28,Puntuacion!$D:$D,"Automatizacion",Puntuacion!$G:$G,"NE")=0),1,0)</f>
        <v/>
      </c>
      <c r="O28" s="5">
        <f>IF(M28=0,"NA",IF(N28=0,"NE",AVERAGEIFS(Puntuacion!$G:$G,Puntuacion!$A:$A,$A28,Puntuacion!$C:$C,$C28,Puntuacion!$D:$D,"Automatizacion",Puntuacion!$G:$G,"&lt;&gt;NA",Puntuacion!$G:$G,"&lt;&gt;NE")))</f>
        <v/>
      </c>
      <c r="P28">
        <f>IF(COUNTIFS(Puntuacion!$A:$A,$A28,Puntuacion!$C:$C,$C28,Puntuacion!$D:$D,"Multicloud",Puntuacion!$G:$G,"&lt;&gt;NA")&gt;0,1,0)</f>
        <v/>
      </c>
      <c r="Q28">
        <f>IF(AND(P28=1,COUNTIFS(Puntuacion!$A:$A,$A28,Puntuacion!$C:$C,$C28,Puntuacion!$D:$D,"Multicloud",Puntuacion!$G:$G,"NE")=0),1,0)</f>
        <v/>
      </c>
      <c r="R28" s="5">
        <f>IF(P28=0,"NA",IF(Q28=0,"NE",AVERAGEIFS(Puntuacion!$G:$G,Puntuacion!$A:$A,$A28,Puntuacion!$C:$C,$C28,Puntuacion!$D:$D,"Multicloud",Puntuacion!$G:$G,"&lt;&gt;NA",Puntuacion!$G:$G,"&lt;&gt;NE")))</f>
        <v/>
      </c>
      <c r="S28">
        <f>IF(COUNTIFS(Puntuacion!$A:$A,$A28,Puntuacion!$C:$C,$C28,Puntuacion!$D:$D,"Integracion",Puntuacion!$G:$G,"&lt;&gt;NA")&gt;0,1,0)</f>
        <v/>
      </c>
      <c r="T28">
        <f>IF(AND(S28=1,COUNTIFS(Puntuacion!$A:$A,$A28,Puntuacion!$C:$C,$C28,Puntuacion!$D:$D,"Integracion",Puntuacion!$G:$G,"NE")=0),1,0)</f>
        <v/>
      </c>
      <c r="U28" s="5">
        <f>IF(S28=0,"NA",IF(T28=0,"NE",AVERAGEIFS(Puntuacion!$G:$G,Puntuacion!$A:$A,$A28,Puntuacion!$C:$C,$C28,Puntuacion!$D:$D,"Integracion",Puntuacion!$G:$G,"&lt;&gt;NA",Puntuacion!$G:$G,"&lt;&gt;NE")))</f>
        <v/>
      </c>
      <c r="V28">
        <f>IF(COUNTIFS(Puntuacion!$A:$A,$A28,Puntuacion!$C:$C,$C28,Puntuacion!$D:$D,"Adopcion",Puntuacion!$G:$G,"&lt;&gt;NA")&gt;0,1,0)</f>
        <v/>
      </c>
      <c r="W28">
        <f>IF(AND(V28=1,COUNTIFS(Puntuacion!$A:$A,$A28,Puntuacion!$C:$C,$C28,Puntuacion!$D:$D,"Adopcion",Puntuacion!$G:$G,"NE")=0),1,0)</f>
        <v/>
      </c>
      <c r="X28" s="5">
        <f>IF(V28=0,"NA",IF(W28=0,"NE",AVERAGEIFS(Puntuacion!$G:$G,Puntuacion!$A:$A,$A28,Puntuacion!$C:$C,$C28,Puntuacion!$D:$D,"Adopcion",Puntuacion!$G:$G,"&lt;&gt;NA",Puntuacion!$G:$G,"&lt;&gt;NE")))</f>
        <v/>
      </c>
      <c r="Y28">
        <f>IF(COUNTIFS(Puntuacion!$A:$A,$A28,Puntuacion!$C:$C,$C28,Puntuacion!$D:$D,"Precio",Puntuacion!$G:$G,"&lt;&gt;NA")&gt;0,1,0)</f>
        <v/>
      </c>
      <c r="Z28">
        <f>IF(AND(Y28=1,COUNTIFS(Puntuacion!$A:$A,$A28,Puntuacion!$C:$C,$C28,Puntuacion!$D:$D,"Precio",Puntuacion!$G:$G,"NE")=0),1,0)</f>
        <v/>
      </c>
      <c r="AA28" s="5">
        <f>IF(Y28=0,"NA",IF(Z28=0,"NE",AVERAGEIFS(Puntuacion!$G:$G,Puntuacion!$A:$A,$A28,Puntuacion!$C:$C,$C28,Puntuacion!$D:$D,"Precio",Puntuacion!$G:$G,"&lt;&gt;NA",Puntuacion!$G:$G,"&lt;&gt;NE")))</f>
        <v/>
      </c>
      <c r="AB28">
        <f>IF(COUNTIFS(Puntuacion!$A:$A,$A28,Puntuacion!$C:$C,$C28,Puntuacion!$D:$D,"Dependencia",Puntuacion!$G:$G,"&lt;&gt;NA")&gt;0,1,0)</f>
        <v/>
      </c>
      <c r="AC28">
        <f>IF(AND(AB28=1,COUNTIFS(Puntuacion!$A:$A,$A28,Puntuacion!$C:$C,$C28,Puntuacion!$D:$D,"Dependencia",Puntuacion!$G:$G,"NE")=0),1,0)</f>
        <v/>
      </c>
      <c r="AD28" s="5">
        <f>IF(AB28=0,"NA",IF(AC28=0,"NE",AVERAGEIFS(Puntuacion!$G:$G,Puntuacion!$A:$A,$A28,Puntuacion!$C:$C,$C28,Puntuacion!$D:$D,"Dependencia",Puntuacion!$G:$G,"&lt;&gt;NA",Puntuacion!$G:$G,"&lt;&gt;NE")))</f>
        <v/>
      </c>
      <c r="AE28" s="5">
        <f>IFERROR(100*(E28*Pesos!$B$2+H28*Pesos!$B$3+K28*Pesos!$B$4+N28*Pesos!$B$5+Q28*Pesos!$B$6+T28*Pesos!$B$7+W28*Pesos!$B$8+Z28*Pesos!$B$9+AC28*Pesos!$B$10)/(D28*Pesos!$B$2+G28*Pesos!$B$3+J28*Pesos!$B$4+M28*Pesos!$B$5+P28*Pesos!$B$6+S28*Pesos!$B$7+V28*Pesos!$B$8+Y28*Pesos!$B$9+AB28*Pesos!$B$10),"Sin criterios aplicables")</f>
        <v/>
      </c>
      <c r="AF28" s="5">
        <f>IFERROR(100*(E28*Pesos!$C$2+H28*Pesos!$C$3+K28*Pesos!$C$4+N28*Pesos!$C$5+Q28*Pesos!$C$6+T28*Pesos!$C$7+W28*Pesos!$C$8+Z28*Pesos!$C$9+AC28*Pesos!$C$10)/(D28*Pesos!$C$2+G28*Pesos!$C$3+J28*Pesos!$C$4+M28*Pesos!$C$5+P28*Pesos!$C$6+S28*Pesos!$C$7+V28*Pesos!$C$8+Y28*Pesos!$C$9+AB28*Pesos!$C$10),"Sin criterios aplicables")</f>
        <v/>
      </c>
      <c r="AG28" s="5">
        <f>IF(OR(AE28="Sin criterios aplicables",AE28&lt;70),"Insufficient evidence",100*(Pesos!$B$2*IF(E28=1,F28,0)+Pesos!$B$3*IF(H28=1,I28,0)+Pesos!$B$4*IF(K28=1,L28,0)+Pesos!$B$5*IF(N28=1,O28,0)+Pesos!$B$6*IF(Q28=1,R28,0)+Pesos!$B$7*IF(T28=1,U28,0)+Pesos!$B$8*IF(W28=1,X28,0)+Pesos!$B$9*IF(Z28=1,AA28,0)+Pesos!$B$10*IF(AC28=1,AD28,0))/(3*(Pesos!$B$2*E28+Pesos!$B$3*H28+Pesos!$B$4*K28+Pesos!$B$5*N28+Pesos!$B$6*Q28+Pesos!$B$7*T28+Pesos!$B$8*W28+Pesos!$B$9*Z28+Pesos!$B$10*AC28)))</f>
        <v/>
      </c>
      <c r="AH28" s="5">
        <f>IF(OR(AF28="Sin criterios aplicables",AF28&lt;70),"Insufficient evidence",100*(Pesos!$C$2*IF(E28=1,F28,0)+Pesos!$C$3*IF(H28=1,I28,0)+Pesos!$C$4*IF(K28=1,L28,0)+Pesos!$C$5*IF(N28=1,O28,0)+Pesos!$C$6*IF(Q28=1,R28,0)+Pesos!$C$7*IF(T28=1,U28,0)+Pesos!$C$8*IF(W28=1,X28,0)+Pesos!$C$9*IF(Z28=1,AA28,0)+Pesos!$C$10*IF(AC28=1,AD28,0))/(3*(Pesos!$C$2*E28+Pesos!$C$3*H28+Pesos!$C$4*K28+Pesos!$C$5*N28+Pesos!$C$6*Q28+Pesos!$C$7*T28+Pesos!$C$8*W28+Pesos!$C$9*Z28+Pesos!$C$10*AC28)))</f>
        <v/>
      </c>
      <c r="AI28">
        <f>IF(AG28="Insufficient evidence","Insufficient evidence (cobertura&lt;70%)",IF(AG28&lt;50/3,"Insufficient",IF(AG28&lt;50,"Basic",IF(AG28&lt;250/3,"Solid","Advanced"))))</f>
        <v/>
      </c>
      <c r="AJ28">
        <f>IF(AH28="Insufficient evidence","Insufficient evidence (cobertura&lt;70%)",IF(AH28&lt;50/3,"Insufficient",IF(AH28&lt;50,"Basic",IF(AH28&lt;250/3,"Solid","Advanced"))))</f>
        <v/>
      </c>
      <c r="AK28">
        <f>IF(TRIM(IF(AND(ISNUMBER(L28),L28&lt;1),"Optimización","") &amp; " " &amp; IF(AND(ISNUMBER(O28),O28&lt;1),"Automatización",""))="","Ninguno",TRIM(IF(AND(ISNUMBER(L28),L28&lt;1),"Optimización","") &amp; " " &amp; IF(AND(ISNUMBER(O28),O28&lt;1),"Automatización","")))</f>
        <v/>
      </c>
    </row>
    <row r="29">
      <c r="A29" t="inlineStr">
        <is>
          <t>E3</t>
        </is>
      </c>
      <c r="B29" t="inlineStr">
        <is>
          <t>Kubernetes</t>
        </is>
      </c>
      <c r="C29" t="inlineStr">
        <is>
          <t>Cast AI</t>
        </is>
      </c>
      <c r="D29">
        <f>IF(COUNTIFS(Puntuacion!$A:$A,$A29,Puntuacion!$C:$C,$C29,Puntuacion!$D:$D,"Visibilidad",Puntuacion!$G:$G,"&lt;&gt;NA")&gt;0,1,0)</f>
        <v/>
      </c>
      <c r="E29">
        <f>IF(AND(D29=1,COUNTIFS(Puntuacion!$A:$A,$A29,Puntuacion!$C:$C,$C29,Puntuacion!$D:$D,"Visibilidad",Puntuacion!$G:$G,"NE")=0),1,0)</f>
        <v/>
      </c>
      <c r="F29" s="5">
        <f>IF(D29=0,"NA",IF(E29=0,"NE",AVERAGEIFS(Puntuacion!$G:$G,Puntuacion!$A:$A,$A29,Puntuacion!$C:$C,$C29,Puntuacion!$D:$D,"Visibilidad",Puntuacion!$G:$G,"&lt;&gt;NA",Puntuacion!$G:$G,"&lt;&gt;NE")))</f>
        <v/>
      </c>
      <c r="G29">
        <f>IF(COUNTIFS(Puntuacion!$A:$A,$A29,Puntuacion!$C:$C,$C29,Puntuacion!$D:$D,"Asignacion",Puntuacion!$G:$G,"&lt;&gt;NA")&gt;0,1,0)</f>
        <v/>
      </c>
      <c r="H29">
        <f>IF(AND(G29=1,COUNTIFS(Puntuacion!$A:$A,$A29,Puntuacion!$C:$C,$C29,Puntuacion!$D:$D,"Asignacion",Puntuacion!$G:$G,"NE")=0),1,0)</f>
        <v/>
      </c>
      <c r="I29" s="5">
        <f>IF(G29=0,"NA",IF(H29=0,"NE",AVERAGEIFS(Puntuacion!$G:$G,Puntuacion!$A:$A,$A29,Puntuacion!$C:$C,$C29,Puntuacion!$D:$D,"Asignacion",Puntuacion!$G:$G,"&lt;&gt;NA",Puntuacion!$G:$G,"&lt;&gt;NE")))</f>
        <v/>
      </c>
      <c r="J29">
        <f>IF(COUNTIFS(Puntuacion!$A:$A,$A29,Puntuacion!$C:$C,$C29,Puntuacion!$D:$D,"Optimizacion",Puntuacion!$G:$G,"&lt;&gt;NA")&gt;0,1,0)</f>
        <v/>
      </c>
      <c r="K29">
        <f>IF(AND(J29=1,COUNTIFS(Puntuacion!$A:$A,$A29,Puntuacion!$C:$C,$C29,Puntuacion!$D:$D,"Optimizacion",Puntuacion!$G:$G,"NE")=0),1,0)</f>
        <v/>
      </c>
      <c r="L29" s="5">
        <f>IF(J29=0,"NA",IF(K29=0,"NE",AVERAGEIFS(Puntuacion!$G:$G,Puntuacion!$A:$A,$A29,Puntuacion!$C:$C,$C29,Puntuacion!$D:$D,"Optimizacion",Puntuacion!$G:$G,"&lt;&gt;NA",Puntuacion!$G:$G,"&lt;&gt;NE")))</f>
        <v/>
      </c>
      <c r="M29">
        <f>IF(COUNTIFS(Puntuacion!$A:$A,$A29,Puntuacion!$C:$C,$C29,Puntuacion!$D:$D,"Automatizacion",Puntuacion!$G:$G,"&lt;&gt;NA")&gt;0,1,0)</f>
        <v/>
      </c>
      <c r="N29">
        <f>IF(AND(M29=1,COUNTIFS(Puntuacion!$A:$A,$A29,Puntuacion!$C:$C,$C29,Puntuacion!$D:$D,"Automatizacion",Puntuacion!$G:$G,"NE")=0),1,0)</f>
        <v/>
      </c>
      <c r="O29" s="5">
        <f>IF(M29=0,"NA",IF(N29=0,"NE",AVERAGEIFS(Puntuacion!$G:$G,Puntuacion!$A:$A,$A29,Puntuacion!$C:$C,$C29,Puntuacion!$D:$D,"Automatizacion",Puntuacion!$G:$G,"&lt;&gt;NA",Puntuacion!$G:$G,"&lt;&gt;NE")))</f>
        <v/>
      </c>
      <c r="P29">
        <f>IF(COUNTIFS(Puntuacion!$A:$A,$A29,Puntuacion!$C:$C,$C29,Puntuacion!$D:$D,"Multicloud",Puntuacion!$G:$G,"&lt;&gt;NA")&gt;0,1,0)</f>
        <v/>
      </c>
      <c r="Q29">
        <f>IF(AND(P29=1,COUNTIFS(Puntuacion!$A:$A,$A29,Puntuacion!$C:$C,$C29,Puntuacion!$D:$D,"Multicloud",Puntuacion!$G:$G,"NE")=0),1,0)</f>
        <v/>
      </c>
      <c r="R29" s="5">
        <f>IF(P29=0,"NA",IF(Q29=0,"NE",AVERAGEIFS(Puntuacion!$G:$G,Puntuacion!$A:$A,$A29,Puntuacion!$C:$C,$C29,Puntuacion!$D:$D,"Multicloud",Puntuacion!$G:$G,"&lt;&gt;NA",Puntuacion!$G:$G,"&lt;&gt;NE")))</f>
        <v/>
      </c>
      <c r="S29">
        <f>IF(COUNTIFS(Puntuacion!$A:$A,$A29,Puntuacion!$C:$C,$C29,Puntuacion!$D:$D,"Integracion",Puntuacion!$G:$G,"&lt;&gt;NA")&gt;0,1,0)</f>
        <v/>
      </c>
      <c r="T29">
        <f>IF(AND(S29=1,COUNTIFS(Puntuacion!$A:$A,$A29,Puntuacion!$C:$C,$C29,Puntuacion!$D:$D,"Integracion",Puntuacion!$G:$G,"NE")=0),1,0)</f>
        <v/>
      </c>
      <c r="U29" s="5">
        <f>IF(S29=0,"NA",IF(T29=0,"NE",AVERAGEIFS(Puntuacion!$G:$G,Puntuacion!$A:$A,$A29,Puntuacion!$C:$C,$C29,Puntuacion!$D:$D,"Integracion",Puntuacion!$G:$G,"&lt;&gt;NA",Puntuacion!$G:$G,"&lt;&gt;NE")))</f>
        <v/>
      </c>
      <c r="V29">
        <f>IF(COUNTIFS(Puntuacion!$A:$A,$A29,Puntuacion!$C:$C,$C29,Puntuacion!$D:$D,"Adopcion",Puntuacion!$G:$G,"&lt;&gt;NA")&gt;0,1,0)</f>
        <v/>
      </c>
      <c r="W29">
        <f>IF(AND(V29=1,COUNTIFS(Puntuacion!$A:$A,$A29,Puntuacion!$C:$C,$C29,Puntuacion!$D:$D,"Adopcion",Puntuacion!$G:$G,"NE")=0),1,0)</f>
        <v/>
      </c>
      <c r="X29" s="5">
        <f>IF(V29=0,"NA",IF(W29=0,"NE",AVERAGEIFS(Puntuacion!$G:$G,Puntuacion!$A:$A,$A29,Puntuacion!$C:$C,$C29,Puntuacion!$D:$D,"Adopcion",Puntuacion!$G:$G,"&lt;&gt;NA",Puntuacion!$G:$G,"&lt;&gt;NE")))</f>
        <v/>
      </c>
      <c r="Y29">
        <f>IF(COUNTIFS(Puntuacion!$A:$A,$A29,Puntuacion!$C:$C,$C29,Puntuacion!$D:$D,"Precio",Puntuacion!$G:$G,"&lt;&gt;NA")&gt;0,1,0)</f>
        <v/>
      </c>
      <c r="Z29">
        <f>IF(AND(Y29=1,COUNTIFS(Puntuacion!$A:$A,$A29,Puntuacion!$C:$C,$C29,Puntuacion!$D:$D,"Precio",Puntuacion!$G:$G,"NE")=0),1,0)</f>
        <v/>
      </c>
      <c r="AA29" s="5">
        <f>IF(Y29=0,"NA",IF(Z29=0,"NE",AVERAGEIFS(Puntuacion!$G:$G,Puntuacion!$A:$A,$A29,Puntuacion!$C:$C,$C29,Puntuacion!$D:$D,"Precio",Puntuacion!$G:$G,"&lt;&gt;NA",Puntuacion!$G:$G,"&lt;&gt;NE")))</f>
        <v/>
      </c>
      <c r="AB29">
        <f>IF(COUNTIFS(Puntuacion!$A:$A,$A29,Puntuacion!$C:$C,$C29,Puntuacion!$D:$D,"Dependencia",Puntuacion!$G:$G,"&lt;&gt;NA")&gt;0,1,0)</f>
        <v/>
      </c>
      <c r="AC29">
        <f>IF(AND(AB29=1,COUNTIFS(Puntuacion!$A:$A,$A29,Puntuacion!$C:$C,$C29,Puntuacion!$D:$D,"Dependencia",Puntuacion!$G:$G,"NE")=0),1,0)</f>
        <v/>
      </c>
      <c r="AD29" s="5">
        <f>IF(AB29=0,"NA",IF(AC29=0,"NE",AVERAGEIFS(Puntuacion!$G:$G,Puntuacion!$A:$A,$A29,Puntuacion!$C:$C,$C29,Puntuacion!$D:$D,"Dependencia",Puntuacion!$G:$G,"&lt;&gt;NA",Puntuacion!$G:$G,"&lt;&gt;NE")))</f>
        <v/>
      </c>
      <c r="AE29" s="5">
        <f>IFERROR(100*(E29*Pesos!$B$2+H29*Pesos!$B$3+K29*Pesos!$B$4+N29*Pesos!$B$5+Q29*Pesos!$B$6+T29*Pesos!$B$7+W29*Pesos!$B$8+Z29*Pesos!$B$9+AC29*Pesos!$B$10)/(D29*Pesos!$B$2+G29*Pesos!$B$3+J29*Pesos!$B$4+M29*Pesos!$B$5+P29*Pesos!$B$6+S29*Pesos!$B$7+V29*Pesos!$B$8+Y29*Pesos!$B$9+AB29*Pesos!$B$10),"Sin criterios aplicables")</f>
        <v/>
      </c>
      <c r="AF29" s="5">
        <f>IFERROR(100*(E29*Pesos!$C$2+H29*Pesos!$C$3+K29*Pesos!$C$4+N29*Pesos!$C$5+Q29*Pesos!$C$6+T29*Pesos!$C$7+W29*Pesos!$C$8+Z29*Pesos!$C$9+AC29*Pesos!$C$10)/(D29*Pesos!$C$2+G29*Pesos!$C$3+J29*Pesos!$C$4+M29*Pesos!$C$5+P29*Pesos!$C$6+S29*Pesos!$C$7+V29*Pesos!$C$8+Y29*Pesos!$C$9+AB29*Pesos!$C$10),"Sin criterios aplicables")</f>
        <v/>
      </c>
      <c r="AG29" s="5">
        <f>IF(OR(AE29="Sin criterios aplicables",AE29&lt;70),"Insufficient evidence",100*(Pesos!$B$2*IF(E29=1,F29,0)+Pesos!$B$3*IF(H29=1,I29,0)+Pesos!$B$4*IF(K29=1,L29,0)+Pesos!$B$5*IF(N29=1,O29,0)+Pesos!$B$6*IF(Q29=1,R29,0)+Pesos!$B$7*IF(T29=1,U29,0)+Pesos!$B$8*IF(W29=1,X29,0)+Pesos!$B$9*IF(Z29=1,AA29,0)+Pesos!$B$10*IF(AC29=1,AD29,0))/(3*(Pesos!$B$2*E29+Pesos!$B$3*H29+Pesos!$B$4*K29+Pesos!$B$5*N29+Pesos!$B$6*Q29+Pesos!$B$7*T29+Pesos!$B$8*W29+Pesos!$B$9*Z29+Pesos!$B$10*AC29)))</f>
        <v/>
      </c>
      <c r="AH29" s="5">
        <f>IF(OR(AF29="Sin criterios aplicables",AF29&lt;70),"Insufficient evidence",100*(Pesos!$C$2*IF(E29=1,F29,0)+Pesos!$C$3*IF(H29=1,I29,0)+Pesos!$C$4*IF(K29=1,L29,0)+Pesos!$C$5*IF(N29=1,O29,0)+Pesos!$C$6*IF(Q29=1,R29,0)+Pesos!$C$7*IF(T29=1,U29,0)+Pesos!$C$8*IF(W29=1,X29,0)+Pesos!$C$9*IF(Z29=1,AA29,0)+Pesos!$C$10*IF(AC29=1,AD29,0))/(3*(Pesos!$C$2*E29+Pesos!$C$3*H29+Pesos!$C$4*K29+Pesos!$C$5*N29+Pesos!$C$6*Q29+Pesos!$C$7*T29+Pesos!$C$8*W29+Pesos!$C$9*Z29+Pesos!$C$10*AC29)))</f>
        <v/>
      </c>
      <c r="AI29">
        <f>IF(AG29="Insufficient evidence","Insufficient evidence (cobertura&lt;70%)",IF(AG29&lt;50/3,"Insufficient",IF(AG29&lt;50,"Basic",IF(AG29&lt;250/3,"Solid","Advanced"))))</f>
        <v/>
      </c>
      <c r="AJ29">
        <f>IF(AH29="Insufficient evidence","Insufficient evidence (cobertura&lt;70%)",IF(AH29&lt;50/3,"Insufficient",IF(AH29&lt;50,"Basic",IF(AH29&lt;250/3,"Solid","Advanced"))))</f>
        <v/>
      </c>
      <c r="AK29">
        <f>IF(TRIM(IF(AND(ISNUMBER(L29),L29&lt;1),"Optimización","") &amp; " " &amp; IF(AND(ISNUMBER(O29),O29&lt;1),"Automatización",""))="","Ninguno",TRIM(IF(AND(ISNUMBER(L29),L29&lt;1),"Optimización","") &amp; " " &amp; IF(AND(ISNUMBER(O29),O29&lt;1),"Automatización","")))</f>
        <v/>
      </c>
    </row>
    <row r="30">
      <c r="A30" t="inlineStr">
        <is>
          <t>E3</t>
        </is>
      </c>
      <c r="B30" t="inlineStr">
        <is>
          <t>Kubernetes</t>
        </is>
      </c>
      <c r="C30" t="inlineStr">
        <is>
          <t>Kubecost</t>
        </is>
      </c>
      <c r="D30">
        <f>IF(COUNTIFS(Puntuacion!$A:$A,$A30,Puntuacion!$C:$C,$C30,Puntuacion!$D:$D,"Visibilidad",Puntuacion!$G:$G,"&lt;&gt;NA")&gt;0,1,0)</f>
        <v/>
      </c>
      <c r="E30">
        <f>IF(AND(D30=1,COUNTIFS(Puntuacion!$A:$A,$A30,Puntuacion!$C:$C,$C30,Puntuacion!$D:$D,"Visibilidad",Puntuacion!$G:$G,"NE")=0),1,0)</f>
        <v/>
      </c>
      <c r="F30" s="5">
        <f>IF(D30=0,"NA",IF(E30=0,"NE",AVERAGEIFS(Puntuacion!$G:$G,Puntuacion!$A:$A,$A30,Puntuacion!$C:$C,$C30,Puntuacion!$D:$D,"Visibilidad",Puntuacion!$G:$G,"&lt;&gt;NA",Puntuacion!$G:$G,"&lt;&gt;NE")))</f>
        <v/>
      </c>
      <c r="G30">
        <f>IF(COUNTIFS(Puntuacion!$A:$A,$A30,Puntuacion!$C:$C,$C30,Puntuacion!$D:$D,"Asignacion",Puntuacion!$G:$G,"&lt;&gt;NA")&gt;0,1,0)</f>
        <v/>
      </c>
      <c r="H30">
        <f>IF(AND(G30=1,COUNTIFS(Puntuacion!$A:$A,$A30,Puntuacion!$C:$C,$C30,Puntuacion!$D:$D,"Asignacion",Puntuacion!$G:$G,"NE")=0),1,0)</f>
        <v/>
      </c>
      <c r="I30" s="5">
        <f>IF(G30=0,"NA",IF(H30=0,"NE",AVERAGEIFS(Puntuacion!$G:$G,Puntuacion!$A:$A,$A30,Puntuacion!$C:$C,$C30,Puntuacion!$D:$D,"Asignacion",Puntuacion!$G:$G,"&lt;&gt;NA",Puntuacion!$G:$G,"&lt;&gt;NE")))</f>
        <v/>
      </c>
      <c r="J30">
        <f>IF(COUNTIFS(Puntuacion!$A:$A,$A30,Puntuacion!$C:$C,$C30,Puntuacion!$D:$D,"Optimizacion",Puntuacion!$G:$G,"&lt;&gt;NA")&gt;0,1,0)</f>
        <v/>
      </c>
      <c r="K30">
        <f>IF(AND(J30=1,COUNTIFS(Puntuacion!$A:$A,$A30,Puntuacion!$C:$C,$C30,Puntuacion!$D:$D,"Optimizacion",Puntuacion!$G:$G,"NE")=0),1,0)</f>
        <v/>
      </c>
      <c r="L30" s="5">
        <f>IF(J30=0,"NA",IF(K30=0,"NE",AVERAGEIFS(Puntuacion!$G:$G,Puntuacion!$A:$A,$A30,Puntuacion!$C:$C,$C30,Puntuacion!$D:$D,"Optimizacion",Puntuacion!$G:$G,"&lt;&gt;NA",Puntuacion!$G:$G,"&lt;&gt;NE")))</f>
        <v/>
      </c>
      <c r="M30">
        <f>IF(COUNTIFS(Puntuacion!$A:$A,$A30,Puntuacion!$C:$C,$C30,Puntuacion!$D:$D,"Automatizacion",Puntuacion!$G:$G,"&lt;&gt;NA")&gt;0,1,0)</f>
        <v/>
      </c>
      <c r="N30">
        <f>IF(AND(M30=1,COUNTIFS(Puntuacion!$A:$A,$A30,Puntuacion!$C:$C,$C30,Puntuacion!$D:$D,"Automatizacion",Puntuacion!$G:$G,"NE")=0),1,0)</f>
        <v/>
      </c>
      <c r="O30" s="5">
        <f>IF(M30=0,"NA",IF(N30=0,"NE",AVERAGEIFS(Puntuacion!$G:$G,Puntuacion!$A:$A,$A30,Puntuacion!$C:$C,$C30,Puntuacion!$D:$D,"Automatizacion",Puntuacion!$G:$G,"&lt;&gt;NA",Puntuacion!$G:$G,"&lt;&gt;NE")))</f>
        <v/>
      </c>
      <c r="P30">
        <f>IF(COUNTIFS(Puntuacion!$A:$A,$A30,Puntuacion!$C:$C,$C30,Puntuacion!$D:$D,"Multicloud",Puntuacion!$G:$G,"&lt;&gt;NA")&gt;0,1,0)</f>
        <v/>
      </c>
      <c r="Q30">
        <f>IF(AND(P30=1,COUNTIFS(Puntuacion!$A:$A,$A30,Puntuacion!$C:$C,$C30,Puntuacion!$D:$D,"Multicloud",Puntuacion!$G:$G,"NE")=0),1,0)</f>
        <v/>
      </c>
      <c r="R30" s="5">
        <f>IF(P30=0,"NA",IF(Q30=0,"NE",AVERAGEIFS(Puntuacion!$G:$G,Puntuacion!$A:$A,$A30,Puntuacion!$C:$C,$C30,Puntuacion!$D:$D,"Multicloud",Puntuacion!$G:$G,"&lt;&gt;NA",Puntuacion!$G:$G,"&lt;&gt;NE")))</f>
        <v/>
      </c>
      <c r="S30">
        <f>IF(COUNTIFS(Puntuacion!$A:$A,$A30,Puntuacion!$C:$C,$C30,Puntuacion!$D:$D,"Integracion",Puntuacion!$G:$G,"&lt;&gt;NA")&gt;0,1,0)</f>
        <v/>
      </c>
      <c r="T30">
        <f>IF(AND(S30=1,COUNTIFS(Puntuacion!$A:$A,$A30,Puntuacion!$C:$C,$C30,Puntuacion!$D:$D,"Integracion",Puntuacion!$G:$G,"NE")=0),1,0)</f>
        <v/>
      </c>
      <c r="U30" s="5">
        <f>IF(S30=0,"NA",IF(T30=0,"NE",AVERAGEIFS(Puntuacion!$G:$G,Puntuacion!$A:$A,$A30,Puntuacion!$C:$C,$C30,Puntuacion!$D:$D,"Integracion",Puntuacion!$G:$G,"&lt;&gt;NA",Puntuacion!$G:$G,"&lt;&gt;NE")))</f>
        <v/>
      </c>
      <c r="V30">
        <f>IF(COUNTIFS(Puntuacion!$A:$A,$A30,Puntuacion!$C:$C,$C30,Puntuacion!$D:$D,"Adopcion",Puntuacion!$G:$G,"&lt;&gt;NA")&gt;0,1,0)</f>
        <v/>
      </c>
      <c r="W30">
        <f>IF(AND(V30=1,COUNTIFS(Puntuacion!$A:$A,$A30,Puntuacion!$C:$C,$C30,Puntuacion!$D:$D,"Adopcion",Puntuacion!$G:$G,"NE")=0),1,0)</f>
        <v/>
      </c>
      <c r="X30" s="5">
        <f>IF(V30=0,"NA",IF(W30=0,"NE",AVERAGEIFS(Puntuacion!$G:$G,Puntuacion!$A:$A,$A30,Puntuacion!$C:$C,$C30,Puntuacion!$D:$D,"Adopcion",Puntuacion!$G:$G,"&lt;&gt;NA",Puntuacion!$G:$G,"&lt;&gt;NE")))</f>
        <v/>
      </c>
      <c r="Y30">
        <f>IF(COUNTIFS(Puntuacion!$A:$A,$A30,Puntuacion!$C:$C,$C30,Puntuacion!$D:$D,"Precio",Puntuacion!$G:$G,"&lt;&gt;NA")&gt;0,1,0)</f>
        <v/>
      </c>
      <c r="Z30">
        <f>IF(AND(Y30=1,COUNTIFS(Puntuacion!$A:$A,$A30,Puntuacion!$C:$C,$C30,Puntuacion!$D:$D,"Precio",Puntuacion!$G:$G,"NE")=0),1,0)</f>
        <v/>
      </c>
      <c r="AA30" s="5">
        <f>IF(Y30=0,"NA",IF(Z30=0,"NE",AVERAGEIFS(Puntuacion!$G:$G,Puntuacion!$A:$A,$A30,Puntuacion!$C:$C,$C30,Puntuacion!$D:$D,"Precio",Puntuacion!$G:$G,"&lt;&gt;NA",Puntuacion!$G:$G,"&lt;&gt;NE")))</f>
        <v/>
      </c>
      <c r="AB30">
        <f>IF(COUNTIFS(Puntuacion!$A:$A,$A30,Puntuacion!$C:$C,$C30,Puntuacion!$D:$D,"Dependencia",Puntuacion!$G:$G,"&lt;&gt;NA")&gt;0,1,0)</f>
        <v/>
      </c>
      <c r="AC30">
        <f>IF(AND(AB30=1,COUNTIFS(Puntuacion!$A:$A,$A30,Puntuacion!$C:$C,$C30,Puntuacion!$D:$D,"Dependencia",Puntuacion!$G:$G,"NE")=0),1,0)</f>
        <v/>
      </c>
      <c r="AD30" s="5">
        <f>IF(AB30=0,"NA",IF(AC30=0,"NE",AVERAGEIFS(Puntuacion!$G:$G,Puntuacion!$A:$A,$A30,Puntuacion!$C:$C,$C30,Puntuacion!$D:$D,"Dependencia",Puntuacion!$G:$G,"&lt;&gt;NA",Puntuacion!$G:$G,"&lt;&gt;NE")))</f>
        <v/>
      </c>
      <c r="AE30" s="5">
        <f>IFERROR(100*(E30*Pesos!$B$2+H30*Pesos!$B$3+K30*Pesos!$B$4+N30*Pesos!$B$5+Q30*Pesos!$B$6+T30*Pesos!$B$7+W30*Pesos!$B$8+Z30*Pesos!$B$9+AC30*Pesos!$B$10)/(D30*Pesos!$B$2+G30*Pesos!$B$3+J30*Pesos!$B$4+M30*Pesos!$B$5+P30*Pesos!$B$6+S30*Pesos!$B$7+V30*Pesos!$B$8+Y30*Pesos!$B$9+AB30*Pesos!$B$10),"Sin criterios aplicables")</f>
        <v/>
      </c>
      <c r="AF30" s="5">
        <f>IFERROR(100*(E30*Pesos!$C$2+H30*Pesos!$C$3+K30*Pesos!$C$4+N30*Pesos!$C$5+Q30*Pesos!$C$6+T30*Pesos!$C$7+W30*Pesos!$C$8+Z30*Pesos!$C$9+AC30*Pesos!$C$10)/(D30*Pesos!$C$2+G30*Pesos!$C$3+J30*Pesos!$C$4+M30*Pesos!$C$5+P30*Pesos!$C$6+S30*Pesos!$C$7+V30*Pesos!$C$8+Y30*Pesos!$C$9+AB30*Pesos!$C$10),"Sin criterios aplicables")</f>
        <v/>
      </c>
      <c r="AG30" s="5">
        <f>IF(OR(AE30="Sin criterios aplicables",AE30&lt;70),"Insufficient evidence",100*(Pesos!$B$2*IF(E30=1,F30,0)+Pesos!$B$3*IF(H30=1,I30,0)+Pesos!$B$4*IF(K30=1,L30,0)+Pesos!$B$5*IF(N30=1,O30,0)+Pesos!$B$6*IF(Q30=1,R30,0)+Pesos!$B$7*IF(T30=1,U30,0)+Pesos!$B$8*IF(W30=1,X30,0)+Pesos!$B$9*IF(Z30=1,AA30,0)+Pesos!$B$10*IF(AC30=1,AD30,0))/(3*(Pesos!$B$2*E30+Pesos!$B$3*H30+Pesos!$B$4*K30+Pesos!$B$5*N30+Pesos!$B$6*Q30+Pesos!$B$7*T30+Pesos!$B$8*W30+Pesos!$B$9*Z30+Pesos!$B$10*AC30)))</f>
        <v/>
      </c>
      <c r="AH30" s="5">
        <f>IF(OR(AF30="Sin criterios aplicables",AF30&lt;70),"Insufficient evidence",100*(Pesos!$C$2*IF(E30=1,F30,0)+Pesos!$C$3*IF(H30=1,I30,0)+Pesos!$C$4*IF(K30=1,L30,0)+Pesos!$C$5*IF(N30=1,O30,0)+Pesos!$C$6*IF(Q30=1,R30,0)+Pesos!$C$7*IF(T30=1,U30,0)+Pesos!$C$8*IF(W30=1,X30,0)+Pesos!$C$9*IF(Z30=1,AA30,0)+Pesos!$C$10*IF(AC30=1,AD30,0))/(3*(Pesos!$C$2*E30+Pesos!$C$3*H30+Pesos!$C$4*K30+Pesos!$C$5*N30+Pesos!$C$6*Q30+Pesos!$C$7*T30+Pesos!$C$8*W30+Pesos!$C$9*Z30+Pesos!$C$10*AC30)))</f>
        <v/>
      </c>
      <c r="AI30">
        <f>IF(AG30="Insufficient evidence","Insufficient evidence (cobertura&lt;70%)",IF(AG30&lt;50/3,"Insufficient",IF(AG30&lt;50,"Basic",IF(AG30&lt;250/3,"Solid","Advanced"))))</f>
        <v/>
      </c>
      <c r="AJ30">
        <f>IF(AH30="Insufficient evidence","Insufficient evidence (cobertura&lt;70%)",IF(AH30&lt;50/3,"Insufficient",IF(AH30&lt;50,"Basic",IF(AH30&lt;250/3,"Solid","Advanced"))))</f>
        <v/>
      </c>
      <c r="AK30">
        <f>IF(TRIM(IF(AND(ISNUMBER(L30),L30&lt;1),"Optimización","") &amp; " " &amp; IF(AND(ISNUMBER(O30),O30&lt;1),"Automatización",""))="","Ninguno",TRIM(IF(AND(ISNUMBER(L30),L30&lt;1),"Optimización","") &amp; " " &amp; IF(AND(ISNUMBER(O30),O30&lt;1),"Automatización","")))</f>
        <v/>
      </c>
    </row>
    <row r="31">
      <c r="A31" t="inlineStr">
        <is>
          <t>E3</t>
        </is>
      </c>
      <c r="B31" t="inlineStr">
        <is>
          <t>Kubernetes</t>
        </is>
      </c>
      <c r="C31" t="inlineStr">
        <is>
          <t>OpenCost</t>
        </is>
      </c>
      <c r="D31">
        <f>IF(COUNTIFS(Puntuacion!$A:$A,$A31,Puntuacion!$C:$C,$C31,Puntuacion!$D:$D,"Visibilidad",Puntuacion!$G:$G,"&lt;&gt;NA")&gt;0,1,0)</f>
        <v/>
      </c>
      <c r="E31">
        <f>IF(AND(D31=1,COUNTIFS(Puntuacion!$A:$A,$A31,Puntuacion!$C:$C,$C31,Puntuacion!$D:$D,"Visibilidad",Puntuacion!$G:$G,"NE")=0),1,0)</f>
        <v/>
      </c>
      <c r="F31" s="5">
        <f>IF(D31=0,"NA",IF(E31=0,"NE",AVERAGEIFS(Puntuacion!$G:$G,Puntuacion!$A:$A,$A31,Puntuacion!$C:$C,$C31,Puntuacion!$D:$D,"Visibilidad",Puntuacion!$G:$G,"&lt;&gt;NA",Puntuacion!$G:$G,"&lt;&gt;NE")))</f>
        <v/>
      </c>
      <c r="G31">
        <f>IF(COUNTIFS(Puntuacion!$A:$A,$A31,Puntuacion!$C:$C,$C31,Puntuacion!$D:$D,"Asignacion",Puntuacion!$G:$G,"&lt;&gt;NA")&gt;0,1,0)</f>
        <v/>
      </c>
      <c r="H31">
        <f>IF(AND(G31=1,COUNTIFS(Puntuacion!$A:$A,$A31,Puntuacion!$C:$C,$C31,Puntuacion!$D:$D,"Asignacion",Puntuacion!$G:$G,"NE")=0),1,0)</f>
        <v/>
      </c>
      <c r="I31" s="5">
        <f>IF(G31=0,"NA",IF(H31=0,"NE",AVERAGEIFS(Puntuacion!$G:$G,Puntuacion!$A:$A,$A31,Puntuacion!$C:$C,$C31,Puntuacion!$D:$D,"Asignacion",Puntuacion!$G:$G,"&lt;&gt;NA",Puntuacion!$G:$G,"&lt;&gt;NE")))</f>
        <v/>
      </c>
      <c r="J31">
        <f>IF(COUNTIFS(Puntuacion!$A:$A,$A31,Puntuacion!$C:$C,$C31,Puntuacion!$D:$D,"Optimizacion",Puntuacion!$G:$G,"&lt;&gt;NA")&gt;0,1,0)</f>
        <v/>
      </c>
      <c r="K31">
        <f>IF(AND(J31=1,COUNTIFS(Puntuacion!$A:$A,$A31,Puntuacion!$C:$C,$C31,Puntuacion!$D:$D,"Optimizacion",Puntuacion!$G:$G,"NE")=0),1,0)</f>
        <v/>
      </c>
      <c r="L31" s="5">
        <f>IF(J31=0,"NA",IF(K31=0,"NE",AVERAGEIFS(Puntuacion!$G:$G,Puntuacion!$A:$A,$A31,Puntuacion!$C:$C,$C31,Puntuacion!$D:$D,"Optimizacion",Puntuacion!$G:$G,"&lt;&gt;NA",Puntuacion!$G:$G,"&lt;&gt;NE")))</f>
        <v/>
      </c>
      <c r="M31">
        <f>IF(COUNTIFS(Puntuacion!$A:$A,$A31,Puntuacion!$C:$C,$C31,Puntuacion!$D:$D,"Automatizacion",Puntuacion!$G:$G,"&lt;&gt;NA")&gt;0,1,0)</f>
        <v/>
      </c>
      <c r="N31">
        <f>IF(AND(M31=1,COUNTIFS(Puntuacion!$A:$A,$A31,Puntuacion!$C:$C,$C31,Puntuacion!$D:$D,"Automatizacion",Puntuacion!$G:$G,"NE")=0),1,0)</f>
        <v/>
      </c>
      <c r="O31" s="5">
        <f>IF(M31=0,"NA",IF(N31=0,"NE",AVERAGEIFS(Puntuacion!$G:$G,Puntuacion!$A:$A,$A31,Puntuacion!$C:$C,$C31,Puntuacion!$D:$D,"Automatizacion",Puntuacion!$G:$G,"&lt;&gt;NA",Puntuacion!$G:$G,"&lt;&gt;NE")))</f>
        <v/>
      </c>
      <c r="P31">
        <f>IF(COUNTIFS(Puntuacion!$A:$A,$A31,Puntuacion!$C:$C,$C31,Puntuacion!$D:$D,"Multicloud",Puntuacion!$G:$G,"&lt;&gt;NA")&gt;0,1,0)</f>
        <v/>
      </c>
      <c r="Q31">
        <f>IF(AND(P31=1,COUNTIFS(Puntuacion!$A:$A,$A31,Puntuacion!$C:$C,$C31,Puntuacion!$D:$D,"Multicloud",Puntuacion!$G:$G,"NE")=0),1,0)</f>
        <v/>
      </c>
      <c r="R31" s="5">
        <f>IF(P31=0,"NA",IF(Q31=0,"NE",AVERAGEIFS(Puntuacion!$G:$G,Puntuacion!$A:$A,$A31,Puntuacion!$C:$C,$C31,Puntuacion!$D:$D,"Multicloud",Puntuacion!$G:$G,"&lt;&gt;NA",Puntuacion!$G:$G,"&lt;&gt;NE")))</f>
        <v/>
      </c>
      <c r="S31">
        <f>IF(COUNTIFS(Puntuacion!$A:$A,$A31,Puntuacion!$C:$C,$C31,Puntuacion!$D:$D,"Integracion",Puntuacion!$G:$G,"&lt;&gt;NA")&gt;0,1,0)</f>
        <v/>
      </c>
      <c r="T31">
        <f>IF(AND(S31=1,COUNTIFS(Puntuacion!$A:$A,$A31,Puntuacion!$C:$C,$C31,Puntuacion!$D:$D,"Integracion",Puntuacion!$G:$G,"NE")=0),1,0)</f>
        <v/>
      </c>
      <c r="U31" s="5">
        <f>IF(S31=0,"NA",IF(T31=0,"NE",AVERAGEIFS(Puntuacion!$G:$G,Puntuacion!$A:$A,$A31,Puntuacion!$C:$C,$C31,Puntuacion!$D:$D,"Integracion",Puntuacion!$G:$G,"&lt;&gt;NA",Puntuacion!$G:$G,"&lt;&gt;NE")))</f>
        <v/>
      </c>
      <c r="V31">
        <f>IF(COUNTIFS(Puntuacion!$A:$A,$A31,Puntuacion!$C:$C,$C31,Puntuacion!$D:$D,"Adopcion",Puntuacion!$G:$G,"&lt;&gt;NA")&gt;0,1,0)</f>
        <v/>
      </c>
      <c r="W31">
        <f>IF(AND(V31=1,COUNTIFS(Puntuacion!$A:$A,$A31,Puntuacion!$C:$C,$C31,Puntuacion!$D:$D,"Adopcion",Puntuacion!$G:$G,"NE")=0),1,0)</f>
        <v/>
      </c>
      <c r="X31" s="5">
        <f>IF(V31=0,"NA",IF(W31=0,"NE",AVERAGEIFS(Puntuacion!$G:$G,Puntuacion!$A:$A,$A31,Puntuacion!$C:$C,$C31,Puntuacion!$D:$D,"Adopcion",Puntuacion!$G:$G,"&lt;&gt;NA",Puntuacion!$G:$G,"&lt;&gt;NE")))</f>
        <v/>
      </c>
      <c r="Y31">
        <f>IF(COUNTIFS(Puntuacion!$A:$A,$A31,Puntuacion!$C:$C,$C31,Puntuacion!$D:$D,"Precio",Puntuacion!$G:$G,"&lt;&gt;NA")&gt;0,1,0)</f>
        <v/>
      </c>
      <c r="Z31">
        <f>IF(AND(Y31=1,COUNTIFS(Puntuacion!$A:$A,$A31,Puntuacion!$C:$C,$C31,Puntuacion!$D:$D,"Precio",Puntuacion!$G:$G,"NE")=0),1,0)</f>
        <v/>
      </c>
      <c r="AA31" s="5">
        <f>IF(Y31=0,"NA",IF(Z31=0,"NE",AVERAGEIFS(Puntuacion!$G:$G,Puntuacion!$A:$A,$A31,Puntuacion!$C:$C,$C31,Puntuacion!$D:$D,"Precio",Puntuacion!$G:$G,"&lt;&gt;NA",Puntuacion!$G:$G,"&lt;&gt;NE")))</f>
        <v/>
      </c>
      <c r="AB31">
        <f>IF(COUNTIFS(Puntuacion!$A:$A,$A31,Puntuacion!$C:$C,$C31,Puntuacion!$D:$D,"Dependencia",Puntuacion!$G:$G,"&lt;&gt;NA")&gt;0,1,0)</f>
        <v/>
      </c>
      <c r="AC31">
        <f>IF(AND(AB31=1,COUNTIFS(Puntuacion!$A:$A,$A31,Puntuacion!$C:$C,$C31,Puntuacion!$D:$D,"Dependencia",Puntuacion!$G:$G,"NE")=0),1,0)</f>
        <v/>
      </c>
      <c r="AD31" s="5">
        <f>IF(AB31=0,"NA",IF(AC31=0,"NE",AVERAGEIFS(Puntuacion!$G:$G,Puntuacion!$A:$A,$A31,Puntuacion!$C:$C,$C31,Puntuacion!$D:$D,"Dependencia",Puntuacion!$G:$G,"&lt;&gt;NA",Puntuacion!$G:$G,"&lt;&gt;NE")))</f>
        <v/>
      </c>
      <c r="AE31" s="5">
        <f>IFERROR(100*(E31*Pesos!$B$2+H31*Pesos!$B$3+K31*Pesos!$B$4+N31*Pesos!$B$5+Q31*Pesos!$B$6+T31*Pesos!$B$7+W31*Pesos!$B$8+Z31*Pesos!$B$9+AC31*Pesos!$B$10)/(D31*Pesos!$B$2+G31*Pesos!$B$3+J31*Pesos!$B$4+M31*Pesos!$B$5+P31*Pesos!$B$6+S31*Pesos!$B$7+V31*Pesos!$B$8+Y31*Pesos!$B$9+AB31*Pesos!$B$10),"Sin criterios aplicables")</f>
        <v/>
      </c>
      <c r="AF31" s="5">
        <f>IFERROR(100*(E31*Pesos!$C$2+H31*Pesos!$C$3+K31*Pesos!$C$4+N31*Pesos!$C$5+Q31*Pesos!$C$6+T31*Pesos!$C$7+W31*Pesos!$C$8+Z31*Pesos!$C$9+AC31*Pesos!$C$10)/(D31*Pesos!$C$2+G31*Pesos!$C$3+J31*Pesos!$C$4+M31*Pesos!$C$5+P31*Pesos!$C$6+S31*Pesos!$C$7+V31*Pesos!$C$8+Y31*Pesos!$C$9+AB31*Pesos!$C$10),"Sin criterios aplicables")</f>
        <v/>
      </c>
      <c r="AG31" s="5">
        <f>IF(OR(AE31="Sin criterios aplicables",AE31&lt;70),"Insufficient evidence",100*(Pesos!$B$2*IF(E31=1,F31,0)+Pesos!$B$3*IF(H31=1,I31,0)+Pesos!$B$4*IF(K31=1,L31,0)+Pesos!$B$5*IF(N31=1,O31,0)+Pesos!$B$6*IF(Q31=1,R31,0)+Pesos!$B$7*IF(T31=1,U31,0)+Pesos!$B$8*IF(W31=1,X31,0)+Pesos!$B$9*IF(Z31=1,AA31,0)+Pesos!$B$10*IF(AC31=1,AD31,0))/(3*(Pesos!$B$2*E31+Pesos!$B$3*H31+Pesos!$B$4*K31+Pesos!$B$5*N31+Pesos!$B$6*Q31+Pesos!$B$7*T31+Pesos!$B$8*W31+Pesos!$B$9*Z31+Pesos!$B$10*AC31)))</f>
        <v/>
      </c>
      <c r="AH31" s="5">
        <f>IF(OR(AF31="Sin criterios aplicables",AF31&lt;70),"Insufficient evidence",100*(Pesos!$C$2*IF(E31=1,F31,0)+Pesos!$C$3*IF(H31=1,I31,0)+Pesos!$C$4*IF(K31=1,L31,0)+Pesos!$C$5*IF(N31=1,O31,0)+Pesos!$C$6*IF(Q31=1,R31,0)+Pesos!$C$7*IF(T31=1,U31,0)+Pesos!$C$8*IF(W31=1,X31,0)+Pesos!$C$9*IF(Z31=1,AA31,0)+Pesos!$C$10*IF(AC31=1,AD31,0))/(3*(Pesos!$C$2*E31+Pesos!$C$3*H31+Pesos!$C$4*K31+Pesos!$C$5*N31+Pesos!$C$6*Q31+Pesos!$C$7*T31+Pesos!$C$8*W31+Pesos!$C$9*Z31+Pesos!$C$10*AC31)))</f>
        <v/>
      </c>
      <c r="AI31">
        <f>IF(AG31="Insufficient evidence","Insufficient evidence (cobertura&lt;70%)",IF(AG31&lt;50/3,"Insufficient",IF(AG31&lt;50,"Basic",IF(AG31&lt;250/3,"Solid","Advanced"))))</f>
        <v/>
      </c>
      <c r="AJ31">
        <f>IF(AH31="Insufficient evidence","Insufficient evidence (cobertura&lt;70%)",IF(AH31&lt;50/3,"Insufficient",IF(AH31&lt;50,"Basic",IF(AH31&lt;250/3,"Solid","Advanced"))))</f>
        <v/>
      </c>
      <c r="AK31">
        <f>IF(TRIM(IF(AND(ISNUMBER(L31),L31&lt;1),"Optimización","") &amp; " " &amp; IF(AND(ISNUMBER(O31),O31&lt;1),"Automatización",""))="","Ninguno",TRIM(IF(AND(ISNUMBER(L31),L31&lt;1),"Optimización","") &amp; " " &amp; IF(AND(ISNUMBER(O31),O31&lt;1),"Automatización","")))</f>
        <v/>
      </c>
    </row>
    <row r="32">
      <c r="A32" t="inlineStr">
        <is>
          <t>E3</t>
        </is>
      </c>
      <c r="B32" t="inlineStr">
        <is>
          <t>Kubernetes</t>
        </is>
      </c>
      <c r="C32" t="inlineStr">
        <is>
          <t>StormForge</t>
        </is>
      </c>
      <c r="D32">
        <f>IF(COUNTIFS(Puntuacion!$A:$A,$A32,Puntuacion!$C:$C,$C32,Puntuacion!$D:$D,"Visibilidad",Puntuacion!$G:$G,"&lt;&gt;NA")&gt;0,1,0)</f>
        <v/>
      </c>
      <c r="E32">
        <f>IF(AND(D32=1,COUNTIFS(Puntuacion!$A:$A,$A32,Puntuacion!$C:$C,$C32,Puntuacion!$D:$D,"Visibilidad",Puntuacion!$G:$G,"NE")=0),1,0)</f>
        <v/>
      </c>
      <c r="F32" s="5">
        <f>IF(D32=0,"NA",IF(E32=0,"NE",AVERAGEIFS(Puntuacion!$G:$G,Puntuacion!$A:$A,$A32,Puntuacion!$C:$C,$C32,Puntuacion!$D:$D,"Visibilidad",Puntuacion!$G:$G,"&lt;&gt;NA",Puntuacion!$G:$G,"&lt;&gt;NE")))</f>
        <v/>
      </c>
      <c r="G32">
        <f>IF(COUNTIFS(Puntuacion!$A:$A,$A32,Puntuacion!$C:$C,$C32,Puntuacion!$D:$D,"Asignacion",Puntuacion!$G:$G,"&lt;&gt;NA")&gt;0,1,0)</f>
        <v/>
      </c>
      <c r="H32">
        <f>IF(AND(G32=1,COUNTIFS(Puntuacion!$A:$A,$A32,Puntuacion!$C:$C,$C32,Puntuacion!$D:$D,"Asignacion",Puntuacion!$G:$G,"NE")=0),1,0)</f>
        <v/>
      </c>
      <c r="I32" s="5">
        <f>IF(G32=0,"NA",IF(H32=0,"NE",AVERAGEIFS(Puntuacion!$G:$G,Puntuacion!$A:$A,$A32,Puntuacion!$C:$C,$C32,Puntuacion!$D:$D,"Asignacion",Puntuacion!$G:$G,"&lt;&gt;NA",Puntuacion!$G:$G,"&lt;&gt;NE")))</f>
        <v/>
      </c>
      <c r="J32">
        <f>IF(COUNTIFS(Puntuacion!$A:$A,$A32,Puntuacion!$C:$C,$C32,Puntuacion!$D:$D,"Optimizacion",Puntuacion!$G:$G,"&lt;&gt;NA")&gt;0,1,0)</f>
        <v/>
      </c>
      <c r="K32">
        <f>IF(AND(J32=1,COUNTIFS(Puntuacion!$A:$A,$A32,Puntuacion!$C:$C,$C32,Puntuacion!$D:$D,"Optimizacion",Puntuacion!$G:$G,"NE")=0),1,0)</f>
        <v/>
      </c>
      <c r="L32" s="5">
        <f>IF(J32=0,"NA",IF(K32=0,"NE",AVERAGEIFS(Puntuacion!$G:$G,Puntuacion!$A:$A,$A32,Puntuacion!$C:$C,$C32,Puntuacion!$D:$D,"Optimizacion",Puntuacion!$G:$G,"&lt;&gt;NA",Puntuacion!$G:$G,"&lt;&gt;NE")))</f>
        <v/>
      </c>
      <c r="M32">
        <f>IF(COUNTIFS(Puntuacion!$A:$A,$A32,Puntuacion!$C:$C,$C32,Puntuacion!$D:$D,"Automatizacion",Puntuacion!$G:$G,"&lt;&gt;NA")&gt;0,1,0)</f>
        <v/>
      </c>
      <c r="N32">
        <f>IF(AND(M32=1,COUNTIFS(Puntuacion!$A:$A,$A32,Puntuacion!$C:$C,$C32,Puntuacion!$D:$D,"Automatizacion",Puntuacion!$G:$G,"NE")=0),1,0)</f>
        <v/>
      </c>
      <c r="O32" s="5">
        <f>IF(M32=0,"NA",IF(N32=0,"NE",AVERAGEIFS(Puntuacion!$G:$G,Puntuacion!$A:$A,$A32,Puntuacion!$C:$C,$C32,Puntuacion!$D:$D,"Automatizacion",Puntuacion!$G:$G,"&lt;&gt;NA",Puntuacion!$G:$G,"&lt;&gt;NE")))</f>
        <v/>
      </c>
      <c r="P32">
        <f>IF(COUNTIFS(Puntuacion!$A:$A,$A32,Puntuacion!$C:$C,$C32,Puntuacion!$D:$D,"Multicloud",Puntuacion!$G:$G,"&lt;&gt;NA")&gt;0,1,0)</f>
        <v/>
      </c>
      <c r="Q32">
        <f>IF(AND(P32=1,COUNTIFS(Puntuacion!$A:$A,$A32,Puntuacion!$C:$C,$C32,Puntuacion!$D:$D,"Multicloud",Puntuacion!$G:$G,"NE")=0),1,0)</f>
        <v/>
      </c>
      <c r="R32" s="5">
        <f>IF(P32=0,"NA",IF(Q32=0,"NE",AVERAGEIFS(Puntuacion!$G:$G,Puntuacion!$A:$A,$A32,Puntuacion!$C:$C,$C32,Puntuacion!$D:$D,"Multicloud",Puntuacion!$G:$G,"&lt;&gt;NA",Puntuacion!$G:$G,"&lt;&gt;NE")))</f>
        <v/>
      </c>
      <c r="S32">
        <f>IF(COUNTIFS(Puntuacion!$A:$A,$A32,Puntuacion!$C:$C,$C32,Puntuacion!$D:$D,"Integracion",Puntuacion!$G:$G,"&lt;&gt;NA")&gt;0,1,0)</f>
        <v/>
      </c>
      <c r="T32">
        <f>IF(AND(S32=1,COUNTIFS(Puntuacion!$A:$A,$A32,Puntuacion!$C:$C,$C32,Puntuacion!$D:$D,"Integracion",Puntuacion!$G:$G,"NE")=0),1,0)</f>
        <v/>
      </c>
      <c r="U32" s="5">
        <f>IF(S32=0,"NA",IF(T32=0,"NE",AVERAGEIFS(Puntuacion!$G:$G,Puntuacion!$A:$A,$A32,Puntuacion!$C:$C,$C32,Puntuacion!$D:$D,"Integracion",Puntuacion!$G:$G,"&lt;&gt;NA",Puntuacion!$G:$G,"&lt;&gt;NE")))</f>
        <v/>
      </c>
      <c r="V32">
        <f>IF(COUNTIFS(Puntuacion!$A:$A,$A32,Puntuacion!$C:$C,$C32,Puntuacion!$D:$D,"Adopcion",Puntuacion!$G:$G,"&lt;&gt;NA")&gt;0,1,0)</f>
        <v/>
      </c>
      <c r="W32">
        <f>IF(AND(V32=1,COUNTIFS(Puntuacion!$A:$A,$A32,Puntuacion!$C:$C,$C32,Puntuacion!$D:$D,"Adopcion",Puntuacion!$G:$G,"NE")=0),1,0)</f>
        <v/>
      </c>
      <c r="X32" s="5">
        <f>IF(V32=0,"NA",IF(W32=0,"NE",AVERAGEIFS(Puntuacion!$G:$G,Puntuacion!$A:$A,$A32,Puntuacion!$C:$C,$C32,Puntuacion!$D:$D,"Adopcion",Puntuacion!$G:$G,"&lt;&gt;NA",Puntuacion!$G:$G,"&lt;&gt;NE")))</f>
        <v/>
      </c>
      <c r="Y32">
        <f>IF(COUNTIFS(Puntuacion!$A:$A,$A32,Puntuacion!$C:$C,$C32,Puntuacion!$D:$D,"Precio",Puntuacion!$G:$G,"&lt;&gt;NA")&gt;0,1,0)</f>
        <v/>
      </c>
      <c r="Z32">
        <f>IF(AND(Y32=1,COUNTIFS(Puntuacion!$A:$A,$A32,Puntuacion!$C:$C,$C32,Puntuacion!$D:$D,"Precio",Puntuacion!$G:$G,"NE")=0),1,0)</f>
        <v/>
      </c>
      <c r="AA32" s="5">
        <f>IF(Y32=0,"NA",IF(Z32=0,"NE",AVERAGEIFS(Puntuacion!$G:$G,Puntuacion!$A:$A,$A32,Puntuacion!$C:$C,$C32,Puntuacion!$D:$D,"Precio",Puntuacion!$G:$G,"&lt;&gt;NA",Puntuacion!$G:$G,"&lt;&gt;NE")))</f>
        <v/>
      </c>
      <c r="AB32">
        <f>IF(COUNTIFS(Puntuacion!$A:$A,$A32,Puntuacion!$C:$C,$C32,Puntuacion!$D:$D,"Dependencia",Puntuacion!$G:$G,"&lt;&gt;NA")&gt;0,1,0)</f>
        <v/>
      </c>
      <c r="AC32">
        <f>IF(AND(AB32=1,COUNTIFS(Puntuacion!$A:$A,$A32,Puntuacion!$C:$C,$C32,Puntuacion!$D:$D,"Dependencia",Puntuacion!$G:$G,"NE")=0),1,0)</f>
        <v/>
      </c>
      <c r="AD32" s="5">
        <f>IF(AB32=0,"NA",IF(AC32=0,"NE",AVERAGEIFS(Puntuacion!$G:$G,Puntuacion!$A:$A,$A32,Puntuacion!$C:$C,$C32,Puntuacion!$D:$D,"Dependencia",Puntuacion!$G:$G,"&lt;&gt;NA",Puntuacion!$G:$G,"&lt;&gt;NE")))</f>
        <v/>
      </c>
      <c r="AE32" s="5">
        <f>IFERROR(100*(E32*Pesos!$B$2+H32*Pesos!$B$3+K32*Pesos!$B$4+N32*Pesos!$B$5+Q32*Pesos!$B$6+T32*Pesos!$B$7+W32*Pesos!$B$8+Z32*Pesos!$B$9+AC32*Pesos!$B$10)/(D32*Pesos!$B$2+G32*Pesos!$B$3+J32*Pesos!$B$4+M32*Pesos!$B$5+P32*Pesos!$B$6+S32*Pesos!$B$7+V32*Pesos!$B$8+Y32*Pesos!$B$9+AB32*Pesos!$B$10),"Sin criterios aplicables")</f>
        <v/>
      </c>
      <c r="AF32" s="5">
        <f>IFERROR(100*(E32*Pesos!$C$2+H32*Pesos!$C$3+K32*Pesos!$C$4+N32*Pesos!$C$5+Q32*Pesos!$C$6+T32*Pesos!$C$7+W32*Pesos!$C$8+Z32*Pesos!$C$9+AC32*Pesos!$C$10)/(D32*Pesos!$C$2+G32*Pesos!$C$3+J32*Pesos!$C$4+M32*Pesos!$C$5+P32*Pesos!$C$6+S32*Pesos!$C$7+V32*Pesos!$C$8+Y32*Pesos!$C$9+AB32*Pesos!$C$10),"Sin criterios aplicables")</f>
        <v/>
      </c>
      <c r="AG32" s="5">
        <f>IF(OR(AE32="Sin criterios aplicables",AE32&lt;70),"Insufficient evidence",100*(Pesos!$B$2*IF(E32=1,F32,0)+Pesos!$B$3*IF(H32=1,I32,0)+Pesos!$B$4*IF(K32=1,L32,0)+Pesos!$B$5*IF(N32=1,O32,0)+Pesos!$B$6*IF(Q32=1,R32,0)+Pesos!$B$7*IF(T32=1,U32,0)+Pesos!$B$8*IF(W32=1,X32,0)+Pesos!$B$9*IF(Z32=1,AA32,0)+Pesos!$B$10*IF(AC32=1,AD32,0))/(3*(Pesos!$B$2*E32+Pesos!$B$3*H32+Pesos!$B$4*K32+Pesos!$B$5*N32+Pesos!$B$6*Q32+Pesos!$B$7*T32+Pesos!$B$8*W32+Pesos!$B$9*Z32+Pesos!$B$10*AC32)))</f>
        <v/>
      </c>
      <c r="AH32" s="5">
        <f>IF(OR(AF32="Sin criterios aplicables",AF32&lt;70),"Insufficient evidence",100*(Pesos!$C$2*IF(E32=1,F32,0)+Pesos!$C$3*IF(H32=1,I32,0)+Pesos!$C$4*IF(K32=1,L32,0)+Pesos!$C$5*IF(N32=1,O32,0)+Pesos!$C$6*IF(Q32=1,R32,0)+Pesos!$C$7*IF(T32=1,U32,0)+Pesos!$C$8*IF(W32=1,X32,0)+Pesos!$C$9*IF(Z32=1,AA32,0)+Pesos!$C$10*IF(AC32=1,AD32,0))/(3*(Pesos!$C$2*E32+Pesos!$C$3*H32+Pesos!$C$4*K32+Pesos!$C$5*N32+Pesos!$C$6*Q32+Pesos!$C$7*T32+Pesos!$C$8*W32+Pesos!$C$9*Z32+Pesos!$C$10*AC32)))</f>
        <v/>
      </c>
      <c r="AI32">
        <f>IF(AG32="Insufficient evidence","Insufficient evidence (cobertura&lt;70%)",IF(AG32&lt;50/3,"Insufficient",IF(AG32&lt;50,"Basic",IF(AG32&lt;250/3,"Solid","Advanced"))))</f>
        <v/>
      </c>
      <c r="AJ32">
        <f>IF(AH32="Insufficient evidence","Insufficient evidence (cobertura&lt;70%)",IF(AH32&lt;50/3,"Insufficient",IF(AH32&lt;50,"Basic",IF(AH32&lt;250/3,"Solid","Advanced"))))</f>
        <v/>
      </c>
      <c r="AK32">
        <f>IF(TRIM(IF(AND(ISNUMBER(L32),L32&lt;1),"Optimización","") &amp; " " &amp; IF(AND(ISNUMBER(O32),O32&lt;1),"Automatización",""))="","Ninguno",TRIM(IF(AND(ISNUMBER(L32),L32&lt;1),"Optimización","") &amp; " " &amp; IF(AND(ISNUMBER(O32),O32&lt;1),"Automatización","")))</f>
        <v/>
      </c>
    </row>
    <row r="33">
      <c r="A33" t="inlineStr">
        <is>
          <t>E3</t>
        </is>
      </c>
      <c r="B33" t="inlineStr">
        <is>
          <t>Multicloud</t>
        </is>
      </c>
      <c r="C33" t="inlineStr">
        <is>
          <t>CloudZero</t>
        </is>
      </c>
      <c r="D33">
        <f>IF(COUNTIFS(Puntuacion!$A:$A,$A33,Puntuacion!$C:$C,$C33,Puntuacion!$D:$D,"Visibilidad",Puntuacion!$G:$G,"&lt;&gt;NA")&gt;0,1,0)</f>
        <v/>
      </c>
      <c r="E33">
        <f>IF(AND(D33=1,COUNTIFS(Puntuacion!$A:$A,$A33,Puntuacion!$C:$C,$C33,Puntuacion!$D:$D,"Visibilidad",Puntuacion!$G:$G,"NE")=0),1,0)</f>
        <v/>
      </c>
      <c r="F33" s="5">
        <f>IF(D33=0,"NA",IF(E33=0,"NE",AVERAGEIFS(Puntuacion!$G:$G,Puntuacion!$A:$A,$A33,Puntuacion!$C:$C,$C33,Puntuacion!$D:$D,"Visibilidad",Puntuacion!$G:$G,"&lt;&gt;NA",Puntuacion!$G:$G,"&lt;&gt;NE")))</f>
        <v/>
      </c>
      <c r="G33">
        <f>IF(COUNTIFS(Puntuacion!$A:$A,$A33,Puntuacion!$C:$C,$C33,Puntuacion!$D:$D,"Asignacion",Puntuacion!$G:$G,"&lt;&gt;NA")&gt;0,1,0)</f>
        <v/>
      </c>
      <c r="H33">
        <f>IF(AND(G33=1,COUNTIFS(Puntuacion!$A:$A,$A33,Puntuacion!$C:$C,$C33,Puntuacion!$D:$D,"Asignacion",Puntuacion!$G:$G,"NE")=0),1,0)</f>
        <v/>
      </c>
      <c r="I33" s="5">
        <f>IF(G33=0,"NA",IF(H33=0,"NE",AVERAGEIFS(Puntuacion!$G:$G,Puntuacion!$A:$A,$A33,Puntuacion!$C:$C,$C33,Puntuacion!$D:$D,"Asignacion",Puntuacion!$G:$G,"&lt;&gt;NA",Puntuacion!$G:$G,"&lt;&gt;NE")))</f>
        <v/>
      </c>
      <c r="J33">
        <f>IF(COUNTIFS(Puntuacion!$A:$A,$A33,Puntuacion!$C:$C,$C33,Puntuacion!$D:$D,"Optimizacion",Puntuacion!$G:$G,"&lt;&gt;NA")&gt;0,1,0)</f>
        <v/>
      </c>
      <c r="K33">
        <f>IF(AND(J33=1,COUNTIFS(Puntuacion!$A:$A,$A33,Puntuacion!$C:$C,$C33,Puntuacion!$D:$D,"Optimizacion",Puntuacion!$G:$G,"NE")=0),1,0)</f>
        <v/>
      </c>
      <c r="L33" s="5">
        <f>IF(J33=0,"NA",IF(K33=0,"NE",AVERAGEIFS(Puntuacion!$G:$G,Puntuacion!$A:$A,$A33,Puntuacion!$C:$C,$C33,Puntuacion!$D:$D,"Optimizacion",Puntuacion!$G:$G,"&lt;&gt;NA",Puntuacion!$G:$G,"&lt;&gt;NE")))</f>
        <v/>
      </c>
      <c r="M33">
        <f>IF(COUNTIFS(Puntuacion!$A:$A,$A33,Puntuacion!$C:$C,$C33,Puntuacion!$D:$D,"Automatizacion",Puntuacion!$G:$G,"&lt;&gt;NA")&gt;0,1,0)</f>
        <v/>
      </c>
      <c r="N33">
        <f>IF(AND(M33=1,COUNTIFS(Puntuacion!$A:$A,$A33,Puntuacion!$C:$C,$C33,Puntuacion!$D:$D,"Automatizacion",Puntuacion!$G:$G,"NE")=0),1,0)</f>
        <v/>
      </c>
      <c r="O33" s="5">
        <f>IF(M33=0,"NA",IF(N33=0,"NE",AVERAGEIFS(Puntuacion!$G:$G,Puntuacion!$A:$A,$A33,Puntuacion!$C:$C,$C33,Puntuacion!$D:$D,"Automatizacion",Puntuacion!$G:$G,"&lt;&gt;NA",Puntuacion!$G:$G,"&lt;&gt;NE")))</f>
        <v/>
      </c>
      <c r="P33">
        <f>IF(COUNTIFS(Puntuacion!$A:$A,$A33,Puntuacion!$C:$C,$C33,Puntuacion!$D:$D,"Multicloud",Puntuacion!$G:$G,"&lt;&gt;NA")&gt;0,1,0)</f>
        <v/>
      </c>
      <c r="Q33">
        <f>IF(AND(P33=1,COUNTIFS(Puntuacion!$A:$A,$A33,Puntuacion!$C:$C,$C33,Puntuacion!$D:$D,"Multicloud",Puntuacion!$G:$G,"NE")=0),1,0)</f>
        <v/>
      </c>
      <c r="R33" s="5">
        <f>IF(P33=0,"NA",IF(Q33=0,"NE",AVERAGEIFS(Puntuacion!$G:$G,Puntuacion!$A:$A,$A33,Puntuacion!$C:$C,$C33,Puntuacion!$D:$D,"Multicloud",Puntuacion!$G:$G,"&lt;&gt;NA",Puntuacion!$G:$G,"&lt;&gt;NE")))</f>
        <v/>
      </c>
      <c r="S33">
        <f>IF(COUNTIFS(Puntuacion!$A:$A,$A33,Puntuacion!$C:$C,$C33,Puntuacion!$D:$D,"Integracion",Puntuacion!$G:$G,"&lt;&gt;NA")&gt;0,1,0)</f>
        <v/>
      </c>
      <c r="T33">
        <f>IF(AND(S33=1,COUNTIFS(Puntuacion!$A:$A,$A33,Puntuacion!$C:$C,$C33,Puntuacion!$D:$D,"Integracion",Puntuacion!$G:$G,"NE")=0),1,0)</f>
        <v/>
      </c>
      <c r="U33" s="5">
        <f>IF(S33=0,"NA",IF(T33=0,"NE",AVERAGEIFS(Puntuacion!$G:$G,Puntuacion!$A:$A,$A33,Puntuacion!$C:$C,$C33,Puntuacion!$D:$D,"Integracion",Puntuacion!$G:$G,"&lt;&gt;NA",Puntuacion!$G:$G,"&lt;&gt;NE")))</f>
        <v/>
      </c>
      <c r="V33">
        <f>IF(COUNTIFS(Puntuacion!$A:$A,$A33,Puntuacion!$C:$C,$C33,Puntuacion!$D:$D,"Adopcion",Puntuacion!$G:$G,"&lt;&gt;NA")&gt;0,1,0)</f>
        <v/>
      </c>
      <c r="W33">
        <f>IF(AND(V33=1,COUNTIFS(Puntuacion!$A:$A,$A33,Puntuacion!$C:$C,$C33,Puntuacion!$D:$D,"Adopcion",Puntuacion!$G:$G,"NE")=0),1,0)</f>
        <v/>
      </c>
      <c r="X33" s="5">
        <f>IF(V33=0,"NA",IF(W33=0,"NE",AVERAGEIFS(Puntuacion!$G:$G,Puntuacion!$A:$A,$A33,Puntuacion!$C:$C,$C33,Puntuacion!$D:$D,"Adopcion",Puntuacion!$G:$G,"&lt;&gt;NA",Puntuacion!$G:$G,"&lt;&gt;NE")))</f>
        <v/>
      </c>
      <c r="Y33">
        <f>IF(COUNTIFS(Puntuacion!$A:$A,$A33,Puntuacion!$C:$C,$C33,Puntuacion!$D:$D,"Precio",Puntuacion!$G:$G,"&lt;&gt;NA")&gt;0,1,0)</f>
        <v/>
      </c>
      <c r="Z33">
        <f>IF(AND(Y33=1,COUNTIFS(Puntuacion!$A:$A,$A33,Puntuacion!$C:$C,$C33,Puntuacion!$D:$D,"Precio",Puntuacion!$G:$G,"NE")=0),1,0)</f>
        <v/>
      </c>
      <c r="AA33" s="5">
        <f>IF(Y33=0,"NA",IF(Z33=0,"NE",AVERAGEIFS(Puntuacion!$G:$G,Puntuacion!$A:$A,$A33,Puntuacion!$C:$C,$C33,Puntuacion!$D:$D,"Precio",Puntuacion!$G:$G,"&lt;&gt;NA",Puntuacion!$G:$G,"&lt;&gt;NE")))</f>
        <v/>
      </c>
      <c r="AB33">
        <f>IF(COUNTIFS(Puntuacion!$A:$A,$A33,Puntuacion!$C:$C,$C33,Puntuacion!$D:$D,"Dependencia",Puntuacion!$G:$G,"&lt;&gt;NA")&gt;0,1,0)</f>
        <v/>
      </c>
      <c r="AC33">
        <f>IF(AND(AB33=1,COUNTIFS(Puntuacion!$A:$A,$A33,Puntuacion!$C:$C,$C33,Puntuacion!$D:$D,"Dependencia",Puntuacion!$G:$G,"NE")=0),1,0)</f>
        <v/>
      </c>
      <c r="AD33" s="5">
        <f>IF(AB33=0,"NA",IF(AC33=0,"NE",AVERAGEIFS(Puntuacion!$G:$G,Puntuacion!$A:$A,$A33,Puntuacion!$C:$C,$C33,Puntuacion!$D:$D,"Dependencia",Puntuacion!$G:$G,"&lt;&gt;NA",Puntuacion!$G:$G,"&lt;&gt;NE")))</f>
        <v/>
      </c>
      <c r="AE33" s="5">
        <f>IFERROR(100*(E33*Pesos!$B$2+H33*Pesos!$B$3+K33*Pesos!$B$4+N33*Pesos!$B$5+Q33*Pesos!$B$6+T33*Pesos!$B$7+W33*Pesos!$B$8+Z33*Pesos!$B$9+AC33*Pesos!$B$10)/(D33*Pesos!$B$2+G33*Pesos!$B$3+J33*Pesos!$B$4+M33*Pesos!$B$5+P33*Pesos!$B$6+S33*Pesos!$B$7+V33*Pesos!$B$8+Y33*Pesos!$B$9+AB33*Pesos!$B$10),"Sin criterios aplicables")</f>
        <v/>
      </c>
      <c r="AF33" s="5">
        <f>IFERROR(100*(E33*Pesos!$C$2+H33*Pesos!$C$3+K33*Pesos!$C$4+N33*Pesos!$C$5+Q33*Pesos!$C$6+T33*Pesos!$C$7+W33*Pesos!$C$8+Z33*Pesos!$C$9+AC33*Pesos!$C$10)/(D33*Pesos!$C$2+G33*Pesos!$C$3+J33*Pesos!$C$4+M33*Pesos!$C$5+P33*Pesos!$C$6+S33*Pesos!$C$7+V33*Pesos!$C$8+Y33*Pesos!$C$9+AB33*Pesos!$C$10),"Sin criterios aplicables")</f>
        <v/>
      </c>
      <c r="AG33" s="5">
        <f>IF(OR(AE33="Sin criterios aplicables",AE33&lt;70),"Insufficient evidence",100*(Pesos!$B$2*IF(E33=1,F33,0)+Pesos!$B$3*IF(H33=1,I33,0)+Pesos!$B$4*IF(K33=1,L33,0)+Pesos!$B$5*IF(N33=1,O33,0)+Pesos!$B$6*IF(Q33=1,R33,0)+Pesos!$B$7*IF(T33=1,U33,0)+Pesos!$B$8*IF(W33=1,X33,0)+Pesos!$B$9*IF(Z33=1,AA33,0)+Pesos!$B$10*IF(AC33=1,AD33,0))/(3*(Pesos!$B$2*E33+Pesos!$B$3*H33+Pesos!$B$4*K33+Pesos!$B$5*N33+Pesos!$B$6*Q33+Pesos!$B$7*T33+Pesos!$B$8*W33+Pesos!$B$9*Z33+Pesos!$B$10*AC33)))</f>
        <v/>
      </c>
      <c r="AH33" s="5">
        <f>IF(OR(AF33="Sin criterios aplicables",AF33&lt;70),"Insufficient evidence",100*(Pesos!$C$2*IF(E33=1,F33,0)+Pesos!$C$3*IF(H33=1,I33,0)+Pesos!$C$4*IF(K33=1,L33,0)+Pesos!$C$5*IF(N33=1,O33,0)+Pesos!$C$6*IF(Q33=1,R33,0)+Pesos!$C$7*IF(T33=1,U33,0)+Pesos!$C$8*IF(W33=1,X33,0)+Pesos!$C$9*IF(Z33=1,AA33,0)+Pesos!$C$10*IF(AC33=1,AD33,0))/(3*(Pesos!$C$2*E33+Pesos!$C$3*H33+Pesos!$C$4*K33+Pesos!$C$5*N33+Pesos!$C$6*Q33+Pesos!$C$7*T33+Pesos!$C$8*W33+Pesos!$C$9*Z33+Pesos!$C$10*AC33)))</f>
        <v/>
      </c>
      <c r="AI33">
        <f>IF(AG33="Insufficient evidence","Insufficient evidence (cobertura&lt;70%)",IF(AG33&lt;50/3,"Insufficient",IF(AG33&lt;50,"Basic",IF(AG33&lt;250/3,"Solid","Advanced"))))</f>
        <v/>
      </c>
      <c r="AJ33">
        <f>IF(AH33="Insufficient evidence","Insufficient evidence (cobertura&lt;70%)",IF(AH33&lt;50/3,"Insufficient",IF(AH33&lt;50,"Basic",IF(AH33&lt;250/3,"Solid","Advanced"))))</f>
        <v/>
      </c>
      <c r="AK33">
        <f>IF(TRIM(IF(AND(ISNUMBER(L33),L33&lt;1),"Optimización","") &amp; " " &amp; IF(AND(ISNUMBER(O33),O33&lt;1),"Automatización",""))="","Ninguno",TRIM(IF(AND(ISNUMBER(L33),L33&lt;1),"Optimización","") &amp; " " &amp; IF(AND(ISNUMBER(O33),O33&lt;1),"Automatización","")))</f>
        <v/>
      </c>
    </row>
    <row r="34">
      <c r="A34" t="inlineStr">
        <is>
          <t>E4</t>
        </is>
      </c>
      <c r="B34" t="inlineStr">
        <is>
          <t>Estimacion temprana</t>
        </is>
      </c>
      <c r="C34" t="inlineStr">
        <is>
          <t>Cloud Custodian</t>
        </is>
      </c>
      <c r="D34">
        <f>IF(COUNTIFS(Puntuacion!$A:$A,$A34,Puntuacion!$C:$C,$C34,Puntuacion!$D:$D,"Visibilidad",Puntuacion!$G:$G,"&lt;&gt;NA")&gt;0,1,0)</f>
        <v/>
      </c>
      <c r="E34">
        <f>IF(AND(D34=1,COUNTIFS(Puntuacion!$A:$A,$A34,Puntuacion!$C:$C,$C34,Puntuacion!$D:$D,"Visibilidad",Puntuacion!$G:$G,"NE")=0),1,0)</f>
        <v/>
      </c>
      <c r="F34" s="5">
        <f>IF(D34=0,"NA",IF(E34=0,"NE",AVERAGEIFS(Puntuacion!$G:$G,Puntuacion!$A:$A,$A34,Puntuacion!$C:$C,$C34,Puntuacion!$D:$D,"Visibilidad",Puntuacion!$G:$G,"&lt;&gt;NA",Puntuacion!$G:$G,"&lt;&gt;NE")))</f>
        <v/>
      </c>
      <c r="G34">
        <f>IF(COUNTIFS(Puntuacion!$A:$A,$A34,Puntuacion!$C:$C,$C34,Puntuacion!$D:$D,"Asignacion",Puntuacion!$G:$G,"&lt;&gt;NA")&gt;0,1,0)</f>
        <v/>
      </c>
      <c r="H34">
        <f>IF(AND(G34=1,COUNTIFS(Puntuacion!$A:$A,$A34,Puntuacion!$C:$C,$C34,Puntuacion!$D:$D,"Asignacion",Puntuacion!$G:$G,"NE")=0),1,0)</f>
        <v/>
      </c>
      <c r="I34" s="5">
        <f>IF(G34=0,"NA",IF(H34=0,"NE",AVERAGEIFS(Puntuacion!$G:$G,Puntuacion!$A:$A,$A34,Puntuacion!$C:$C,$C34,Puntuacion!$D:$D,"Asignacion",Puntuacion!$G:$G,"&lt;&gt;NA",Puntuacion!$G:$G,"&lt;&gt;NE")))</f>
        <v/>
      </c>
      <c r="J34">
        <f>IF(COUNTIFS(Puntuacion!$A:$A,$A34,Puntuacion!$C:$C,$C34,Puntuacion!$D:$D,"Optimizacion",Puntuacion!$G:$G,"&lt;&gt;NA")&gt;0,1,0)</f>
        <v/>
      </c>
      <c r="K34">
        <f>IF(AND(J34=1,COUNTIFS(Puntuacion!$A:$A,$A34,Puntuacion!$C:$C,$C34,Puntuacion!$D:$D,"Optimizacion",Puntuacion!$G:$G,"NE")=0),1,0)</f>
        <v/>
      </c>
      <c r="L34" s="5">
        <f>IF(J34=0,"NA",IF(K34=0,"NE",AVERAGEIFS(Puntuacion!$G:$G,Puntuacion!$A:$A,$A34,Puntuacion!$C:$C,$C34,Puntuacion!$D:$D,"Optimizacion",Puntuacion!$G:$G,"&lt;&gt;NA",Puntuacion!$G:$G,"&lt;&gt;NE")))</f>
        <v/>
      </c>
      <c r="M34">
        <f>IF(COUNTIFS(Puntuacion!$A:$A,$A34,Puntuacion!$C:$C,$C34,Puntuacion!$D:$D,"Automatizacion",Puntuacion!$G:$G,"&lt;&gt;NA")&gt;0,1,0)</f>
        <v/>
      </c>
      <c r="N34">
        <f>IF(AND(M34=1,COUNTIFS(Puntuacion!$A:$A,$A34,Puntuacion!$C:$C,$C34,Puntuacion!$D:$D,"Automatizacion",Puntuacion!$G:$G,"NE")=0),1,0)</f>
        <v/>
      </c>
      <c r="O34" s="5">
        <f>IF(M34=0,"NA",IF(N34=0,"NE",AVERAGEIFS(Puntuacion!$G:$G,Puntuacion!$A:$A,$A34,Puntuacion!$C:$C,$C34,Puntuacion!$D:$D,"Automatizacion",Puntuacion!$G:$G,"&lt;&gt;NA",Puntuacion!$G:$G,"&lt;&gt;NE")))</f>
        <v/>
      </c>
      <c r="P34">
        <f>IF(COUNTIFS(Puntuacion!$A:$A,$A34,Puntuacion!$C:$C,$C34,Puntuacion!$D:$D,"Multicloud",Puntuacion!$G:$G,"&lt;&gt;NA")&gt;0,1,0)</f>
        <v/>
      </c>
      <c r="Q34">
        <f>IF(AND(P34=1,COUNTIFS(Puntuacion!$A:$A,$A34,Puntuacion!$C:$C,$C34,Puntuacion!$D:$D,"Multicloud",Puntuacion!$G:$G,"NE")=0),1,0)</f>
        <v/>
      </c>
      <c r="R34" s="5">
        <f>IF(P34=0,"NA",IF(Q34=0,"NE",AVERAGEIFS(Puntuacion!$G:$G,Puntuacion!$A:$A,$A34,Puntuacion!$C:$C,$C34,Puntuacion!$D:$D,"Multicloud",Puntuacion!$G:$G,"&lt;&gt;NA",Puntuacion!$G:$G,"&lt;&gt;NE")))</f>
        <v/>
      </c>
      <c r="S34">
        <f>IF(COUNTIFS(Puntuacion!$A:$A,$A34,Puntuacion!$C:$C,$C34,Puntuacion!$D:$D,"Integracion",Puntuacion!$G:$G,"&lt;&gt;NA")&gt;0,1,0)</f>
        <v/>
      </c>
      <c r="T34">
        <f>IF(AND(S34=1,COUNTIFS(Puntuacion!$A:$A,$A34,Puntuacion!$C:$C,$C34,Puntuacion!$D:$D,"Integracion",Puntuacion!$G:$G,"NE")=0),1,0)</f>
        <v/>
      </c>
      <c r="U34" s="5">
        <f>IF(S34=0,"NA",IF(T34=0,"NE",AVERAGEIFS(Puntuacion!$G:$G,Puntuacion!$A:$A,$A34,Puntuacion!$C:$C,$C34,Puntuacion!$D:$D,"Integracion",Puntuacion!$G:$G,"&lt;&gt;NA",Puntuacion!$G:$G,"&lt;&gt;NE")))</f>
        <v/>
      </c>
      <c r="V34">
        <f>IF(COUNTIFS(Puntuacion!$A:$A,$A34,Puntuacion!$C:$C,$C34,Puntuacion!$D:$D,"Adopcion",Puntuacion!$G:$G,"&lt;&gt;NA")&gt;0,1,0)</f>
        <v/>
      </c>
      <c r="W34">
        <f>IF(AND(V34=1,COUNTIFS(Puntuacion!$A:$A,$A34,Puntuacion!$C:$C,$C34,Puntuacion!$D:$D,"Adopcion",Puntuacion!$G:$G,"NE")=0),1,0)</f>
        <v/>
      </c>
      <c r="X34" s="5">
        <f>IF(V34=0,"NA",IF(W34=0,"NE",AVERAGEIFS(Puntuacion!$G:$G,Puntuacion!$A:$A,$A34,Puntuacion!$C:$C,$C34,Puntuacion!$D:$D,"Adopcion",Puntuacion!$G:$G,"&lt;&gt;NA",Puntuacion!$G:$G,"&lt;&gt;NE")))</f>
        <v/>
      </c>
      <c r="Y34">
        <f>IF(COUNTIFS(Puntuacion!$A:$A,$A34,Puntuacion!$C:$C,$C34,Puntuacion!$D:$D,"Precio",Puntuacion!$G:$G,"&lt;&gt;NA")&gt;0,1,0)</f>
        <v/>
      </c>
      <c r="Z34">
        <f>IF(AND(Y34=1,COUNTIFS(Puntuacion!$A:$A,$A34,Puntuacion!$C:$C,$C34,Puntuacion!$D:$D,"Precio",Puntuacion!$G:$G,"NE")=0),1,0)</f>
        <v/>
      </c>
      <c r="AA34" s="5">
        <f>IF(Y34=0,"NA",IF(Z34=0,"NE",AVERAGEIFS(Puntuacion!$G:$G,Puntuacion!$A:$A,$A34,Puntuacion!$C:$C,$C34,Puntuacion!$D:$D,"Precio",Puntuacion!$G:$G,"&lt;&gt;NA",Puntuacion!$G:$G,"&lt;&gt;NE")))</f>
        <v/>
      </c>
      <c r="AB34">
        <f>IF(COUNTIFS(Puntuacion!$A:$A,$A34,Puntuacion!$C:$C,$C34,Puntuacion!$D:$D,"Dependencia",Puntuacion!$G:$G,"&lt;&gt;NA")&gt;0,1,0)</f>
        <v/>
      </c>
      <c r="AC34">
        <f>IF(AND(AB34=1,COUNTIFS(Puntuacion!$A:$A,$A34,Puntuacion!$C:$C,$C34,Puntuacion!$D:$D,"Dependencia",Puntuacion!$G:$G,"NE")=0),1,0)</f>
        <v/>
      </c>
      <c r="AD34" s="5">
        <f>IF(AB34=0,"NA",IF(AC34=0,"NE",AVERAGEIFS(Puntuacion!$G:$G,Puntuacion!$A:$A,$A34,Puntuacion!$C:$C,$C34,Puntuacion!$D:$D,"Dependencia",Puntuacion!$G:$G,"&lt;&gt;NA",Puntuacion!$G:$G,"&lt;&gt;NE")))</f>
        <v/>
      </c>
      <c r="AE34" s="5">
        <f>IFERROR(100*(E34*Pesos!$B$2+H34*Pesos!$B$3+K34*Pesos!$B$4+N34*Pesos!$B$5+Q34*Pesos!$B$6+T34*Pesos!$B$7+W34*Pesos!$B$8+Z34*Pesos!$B$9+AC34*Pesos!$B$10)/(D34*Pesos!$B$2+G34*Pesos!$B$3+J34*Pesos!$B$4+M34*Pesos!$B$5+P34*Pesos!$B$6+S34*Pesos!$B$7+V34*Pesos!$B$8+Y34*Pesos!$B$9+AB34*Pesos!$B$10),"Sin criterios aplicables")</f>
        <v/>
      </c>
      <c r="AF34" s="5">
        <f>IFERROR(100*(E34*Pesos!$C$2+H34*Pesos!$C$3+K34*Pesos!$C$4+N34*Pesos!$C$5+Q34*Pesos!$C$6+T34*Pesos!$C$7+W34*Pesos!$C$8+Z34*Pesos!$C$9+AC34*Pesos!$C$10)/(D34*Pesos!$C$2+G34*Pesos!$C$3+J34*Pesos!$C$4+M34*Pesos!$C$5+P34*Pesos!$C$6+S34*Pesos!$C$7+V34*Pesos!$C$8+Y34*Pesos!$C$9+AB34*Pesos!$C$10),"Sin criterios aplicables")</f>
        <v/>
      </c>
      <c r="AG34" s="5">
        <f>IF(OR(AE34="Sin criterios aplicables",AE34&lt;70),"Insufficient evidence",100*(Pesos!$B$2*IF(E34=1,F34,0)+Pesos!$B$3*IF(H34=1,I34,0)+Pesos!$B$4*IF(K34=1,L34,0)+Pesos!$B$5*IF(N34=1,O34,0)+Pesos!$B$6*IF(Q34=1,R34,0)+Pesos!$B$7*IF(T34=1,U34,0)+Pesos!$B$8*IF(W34=1,X34,0)+Pesos!$B$9*IF(Z34=1,AA34,0)+Pesos!$B$10*IF(AC34=1,AD34,0))/(3*(Pesos!$B$2*E34+Pesos!$B$3*H34+Pesos!$B$4*K34+Pesos!$B$5*N34+Pesos!$B$6*Q34+Pesos!$B$7*T34+Pesos!$B$8*W34+Pesos!$B$9*Z34+Pesos!$B$10*AC34)))</f>
        <v/>
      </c>
      <c r="AH34" s="5">
        <f>IF(OR(AF34="Sin criterios aplicables",AF34&lt;70),"Insufficient evidence",100*(Pesos!$C$2*IF(E34=1,F34,0)+Pesos!$C$3*IF(H34=1,I34,0)+Pesos!$C$4*IF(K34=1,L34,0)+Pesos!$C$5*IF(N34=1,O34,0)+Pesos!$C$6*IF(Q34=1,R34,0)+Pesos!$C$7*IF(T34=1,U34,0)+Pesos!$C$8*IF(W34=1,X34,0)+Pesos!$C$9*IF(Z34=1,AA34,0)+Pesos!$C$10*IF(AC34=1,AD34,0))/(3*(Pesos!$C$2*E34+Pesos!$C$3*H34+Pesos!$C$4*K34+Pesos!$C$5*N34+Pesos!$C$6*Q34+Pesos!$C$7*T34+Pesos!$C$8*W34+Pesos!$C$9*Z34+Pesos!$C$10*AC34)))</f>
        <v/>
      </c>
      <c r="AI34">
        <f>IF(AG34="Insufficient evidence","Insufficient evidence (cobertura&lt;70%)",IF(AG34&lt;50/3,"Insufficient",IF(AG34&lt;50,"Basic",IF(AG34&lt;250/3,"Solid","Advanced"))))</f>
        <v/>
      </c>
      <c r="AJ34">
        <f>IF(AH34="Insufficient evidence","Insufficient evidence (cobertura&lt;70%)",IF(AH34&lt;50/3,"Insufficient",IF(AH34&lt;50,"Basic",IF(AH34&lt;250/3,"Solid","Advanced"))))</f>
        <v/>
      </c>
      <c r="AK34">
        <f>IF(TRIM(IF(AND(ISNUMBER(AA34),AA34&lt;1),"Precio","") &amp; " " &amp; IF(AND(ISNUMBER(U34),U34&lt;1),"Integración",""))="","Ninguno",TRIM(IF(AND(ISNUMBER(AA34),AA34&lt;1),"Precio","") &amp; " " &amp; IF(AND(ISNUMBER(U34),U34&lt;1),"Integración","")))</f>
        <v/>
      </c>
    </row>
    <row r="35">
      <c r="A35" t="inlineStr">
        <is>
          <t>E4</t>
        </is>
      </c>
      <c r="B35" t="inlineStr">
        <is>
          <t>Estimacion temprana</t>
        </is>
      </c>
      <c r="C35" t="inlineStr">
        <is>
          <t>Infracost</t>
        </is>
      </c>
      <c r="D35">
        <f>IF(COUNTIFS(Puntuacion!$A:$A,$A35,Puntuacion!$C:$C,$C35,Puntuacion!$D:$D,"Visibilidad",Puntuacion!$G:$G,"&lt;&gt;NA")&gt;0,1,0)</f>
        <v/>
      </c>
      <c r="E35">
        <f>IF(AND(D35=1,COUNTIFS(Puntuacion!$A:$A,$A35,Puntuacion!$C:$C,$C35,Puntuacion!$D:$D,"Visibilidad",Puntuacion!$G:$G,"NE")=0),1,0)</f>
        <v/>
      </c>
      <c r="F35" s="5">
        <f>IF(D35=0,"NA",IF(E35=0,"NE",AVERAGEIFS(Puntuacion!$G:$G,Puntuacion!$A:$A,$A35,Puntuacion!$C:$C,$C35,Puntuacion!$D:$D,"Visibilidad",Puntuacion!$G:$G,"&lt;&gt;NA",Puntuacion!$G:$G,"&lt;&gt;NE")))</f>
        <v/>
      </c>
      <c r="G35">
        <f>IF(COUNTIFS(Puntuacion!$A:$A,$A35,Puntuacion!$C:$C,$C35,Puntuacion!$D:$D,"Asignacion",Puntuacion!$G:$G,"&lt;&gt;NA")&gt;0,1,0)</f>
        <v/>
      </c>
      <c r="H35">
        <f>IF(AND(G35=1,COUNTIFS(Puntuacion!$A:$A,$A35,Puntuacion!$C:$C,$C35,Puntuacion!$D:$D,"Asignacion",Puntuacion!$G:$G,"NE")=0),1,0)</f>
        <v/>
      </c>
      <c r="I35" s="5">
        <f>IF(G35=0,"NA",IF(H35=0,"NE",AVERAGEIFS(Puntuacion!$G:$G,Puntuacion!$A:$A,$A35,Puntuacion!$C:$C,$C35,Puntuacion!$D:$D,"Asignacion",Puntuacion!$G:$G,"&lt;&gt;NA",Puntuacion!$G:$G,"&lt;&gt;NE")))</f>
        <v/>
      </c>
      <c r="J35">
        <f>IF(COUNTIFS(Puntuacion!$A:$A,$A35,Puntuacion!$C:$C,$C35,Puntuacion!$D:$D,"Optimizacion",Puntuacion!$G:$G,"&lt;&gt;NA")&gt;0,1,0)</f>
        <v/>
      </c>
      <c r="K35">
        <f>IF(AND(J35=1,COUNTIFS(Puntuacion!$A:$A,$A35,Puntuacion!$C:$C,$C35,Puntuacion!$D:$D,"Optimizacion",Puntuacion!$G:$G,"NE")=0),1,0)</f>
        <v/>
      </c>
      <c r="L35" s="5">
        <f>IF(J35=0,"NA",IF(K35=0,"NE",AVERAGEIFS(Puntuacion!$G:$G,Puntuacion!$A:$A,$A35,Puntuacion!$C:$C,$C35,Puntuacion!$D:$D,"Optimizacion",Puntuacion!$G:$G,"&lt;&gt;NA",Puntuacion!$G:$G,"&lt;&gt;NE")))</f>
        <v/>
      </c>
      <c r="M35">
        <f>IF(COUNTIFS(Puntuacion!$A:$A,$A35,Puntuacion!$C:$C,$C35,Puntuacion!$D:$D,"Automatizacion",Puntuacion!$G:$G,"&lt;&gt;NA")&gt;0,1,0)</f>
        <v/>
      </c>
      <c r="N35">
        <f>IF(AND(M35=1,COUNTIFS(Puntuacion!$A:$A,$A35,Puntuacion!$C:$C,$C35,Puntuacion!$D:$D,"Automatizacion",Puntuacion!$G:$G,"NE")=0),1,0)</f>
        <v/>
      </c>
      <c r="O35" s="5">
        <f>IF(M35=0,"NA",IF(N35=0,"NE",AVERAGEIFS(Puntuacion!$G:$G,Puntuacion!$A:$A,$A35,Puntuacion!$C:$C,$C35,Puntuacion!$D:$D,"Automatizacion",Puntuacion!$G:$G,"&lt;&gt;NA",Puntuacion!$G:$G,"&lt;&gt;NE")))</f>
        <v/>
      </c>
      <c r="P35">
        <f>IF(COUNTIFS(Puntuacion!$A:$A,$A35,Puntuacion!$C:$C,$C35,Puntuacion!$D:$D,"Multicloud",Puntuacion!$G:$G,"&lt;&gt;NA")&gt;0,1,0)</f>
        <v/>
      </c>
      <c r="Q35">
        <f>IF(AND(P35=1,COUNTIFS(Puntuacion!$A:$A,$A35,Puntuacion!$C:$C,$C35,Puntuacion!$D:$D,"Multicloud",Puntuacion!$G:$G,"NE")=0),1,0)</f>
        <v/>
      </c>
      <c r="R35" s="5">
        <f>IF(P35=0,"NA",IF(Q35=0,"NE",AVERAGEIFS(Puntuacion!$G:$G,Puntuacion!$A:$A,$A35,Puntuacion!$C:$C,$C35,Puntuacion!$D:$D,"Multicloud",Puntuacion!$G:$G,"&lt;&gt;NA",Puntuacion!$G:$G,"&lt;&gt;NE")))</f>
        <v/>
      </c>
      <c r="S35">
        <f>IF(COUNTIFS(Puntuacion!$A:$A,$A35,Puntuacion!$C:$C,$C35,Puntuacion!$D:$D,"Integracion",Puntuacion!$G:$G,"&lt;&gt;NA")&gt;0,1,0)</f>
        <v/>
      </c>
      <c r="T35">
        <f>IF(AND(S35=1,COUNTIFS(Puntuacion!$A:$A,$A35,Puntuacion!$C:$C,$C35,Puntuacion!$D:$D,"Integracion",Puntuacion!$G:$G,"NE")=0),1,0)</f>
        <v/>
      </c>
      <c r="U35" s="5">
        <f>IF(S35=0,"NA",IF(T35=0,"NE",AVERAGEIFS(Puntuacion!$G:$G,Puntuacion!$A:$A,$A35,Puntuacion!$C:$C,$C35,Puntuacion!$D:$D,"Integracion",Puntuacion!$G:$G,"&lt;&gt;NA",Puntuacion!$G:$G,"&lt;&gt;NE")))</f>
        <v/>
      </c>
      <c r="V35">
        <f>IF(COUNTIFS(Puntuacion!$A:$A,$A35,Puntuacion!$C:$C,$C35,Puntuacion!$D:$D,"Adopcion",Puntuacion!$G:$G,"&lt;&gt;NA")&gt;0,1,0)</f>
        <v/>
      </c>
      <c r="W35">
        <f>IF(AND(V35=1,COUNTIFS(Puntuacion!$A:$A,$A35,Puntuacion!$C:$C,$C35,Puntuacion!$D:$D,"Adopcion",Puntuacion!$G:$G,"NE")=0),1,0)</f>
        <v/>
      </c>
      <c r="X35" s="5">
        <f>IF(V35=0,"NA",IF(W35=0,"NE",AVERAGEIFS(Puntuacion!$G:$G,Puntuacion!$A:$A,$A35,Puntuacion!$C:$C,$C35,Puntuacion!$D:$D,"Adopcion",Puntuacion!$G:$G,"&lt;&gt;NA",Puntuacion!$G:$G,"&lt;&gt;NE")))</f>
        <v/>
      </c>
      <c r="Y35">
        <f>IF(COUNTIFS(Puntuacion!$A:$A,$A35,Puntuacion!$C:$C,$C35,Puntuacion!$D:$D,"Precio",Puntuacion!$G:$G,"&lt;&gt;NA")&gt;0,1,0)</f>
        <v/>
      </c>
      <c r="Z35">
        <f>IF(AND(Y35=1,COUNTIFS(Puntuacion!$A:$A,$A35,Puntuacion!$C:$C,$C35,Puntuacion!$D:$D,"Precio",Puntuacion!$G:$G,"NE")=0),1,0)</f>
        <v/>
      </c>
      <c r="AA35" s="5">
        <f>IF(Y35=0,"NA",IF(Z35=0,"NE",AVERAGEIFS(Puntuacion!$G:$G,Puntuacion!$A:$A,$A35,Puntuacion!$C:$C,$C35,Puntuacion!$D:$D,"Precio",Puntuacion!$G:$G,"&lt;&gt;NA",Puntuacion!$G:$G,"&lt;&gt;NE")))</f>
        <v/>
      </c>
      <c r="AB35">
        <f>IF(COUNTIFS(Puntuacion!$A:$A,$A35,Puntuacion!$C:$C,$C35,Puntuacion!$D:$D,"Dependencia",Puntuacion!$G:$G,"&lt;&gt;NA")&gt;0,1,0)</f>
        <v/>
      </c>
      <c r="AC35">
        <f>IF(AND(AB35=1,COUNTIFS(Puntuacion!$A:$A,$A35,Puntuacion!$C:$C,$C35,Puntuacion!$D:$D,"Dependencia",Puntuacion!$G:$G,"NE")=0),1,0)</f>
        <v/>
      </c>
      <c r="AD35" s="5">
        <f>IF(AB35=0,"NA",IF(AC35=0,"NE",AVERAGEIFS(Puntuacion!$G:$G,Puntuacion!$A:$A,$A35,Puntuacion!$C:$C,$C35,Puntuacion!$D:$D,"Dependencia",Puntuacion!$G:$G,"&lt;&gt;NA",Puntuacion!$G:$G,"&lt;&gt;NE")))</f>
        <v/>
      </c>
      <c r="AE35" s="5">
        <f>IFERROR(100*(E35*Pesos!$B$2+H35*Pesos!$B$3+K35*Pesos!$B$4+N35*Pesos!$B$5+Q35*Pesos!$B$6+T35*Pesos!$B$7+W35*Pesos!$B$8+Z35*Pesos!$B$9+AC35*Pesos!$B$10)/(D35*Pesos!$B$2+G35*Pesos!$B$3+J35*Pesos!$B$4+M35*Pesos!$B$5+P35*Pesos!$B$6+S35*Pesos!$B$7+V35*Pesos!$B$8+Y35*Pesos!$B$9+AB35*Pesos!$B$10),"Sin criterios aplicables")</f>
        <v/>
      </c>
      <c r="AF35" s="5">
        <f>IFERROR(100*(E35*Pesos!$C$2+H35*Pesos!$C$3+K35*Pesos!$C$4+N35*Pesos!$C$5+Q35*Pesos!$C$6+T35*Pesos!$C$7+W35*Pesos!$C$8+Z35*Pesos!$C$9+AC35*Pesos!$C$10)/(D35*Pesos!$C$2+G35*Pesos!$C$3+J35*Pesos!$C$4+M35*Pesos!$C$5+P35*Pesos!$C$6+S35*Pesos!$C$7+V35*Pesos!$C$8+Y35*Pesos!$C$9+AB35*Pesos!$C$10),"Sin criterios aplicables")</f>
        <v/>
      </c>
      <c r="AG35" s="5">
        <f>IF(OR(AE35="Sin criterios aplicables",AE35&lt;70),"Insufficient evidence",100*(Pesos!$B$2*IF(E35=1,F35,0)+Pesos!$B$3*IF(H35=1,I35,0)+Pesos!$B$4*IF(K35=1,L35,0)+Pesos!$B$5*IF(N35=1,O35,0)+Pesos!$B$6*IF(Q35=1,R35,0)+Pesos!$B$7*IF(T35=1,U35,0)+Pesos!$B$8*IF(W35=1,X35,0)+Pesos!$B$9*IF(Z35=1,AA35,0)+Pesos!$B$10*IF(AC35=1,AD35,0))/(3*(Pesos!$B$2*E35+Pesos!$B$3*H35+Pesos!$B$4*K35+Pesos!$B$5*N35+Pesos!$B$6*Q35+Pesos!$B$7*T35+Pesos!$B$8*W35+Pesos!$B$9*Z35+Pesos!$B$10*AC35)))</f>
        <v/>
      </c>
      <c r="AH35" s="5">
        <f>IF(OR(AF35="Sin criterios aplicables",AF35&lt;70),"Insufficient evidence",100*(Pesos!$C$2*IF(E35=1,F35,0)+Pesos!$C$3*IF(H35=1,I35,0)+Pesos!$C$4*IF(K35=1,L35,0)+Pesos!$C$5*IF(N35=1,O35,0)+Pesos!$C$6*IF(Q35=1,R35,0)+Pesos!$C$7*IF(T35=1,U35,0)+Pesos!$C$8*IF(W35=1,X35,0)+Pesos!$C$9*IF(Z35=1,AA35,0)+Pesos!$C$10*IF(AC35=1,AD35,0))/(3*(Pesos!$C$2*E35+Pesos!$C$3*H35+Pesos!$C$4*K35+Pesos!$C$5*N35+Pesos!$C$6*Q35+Pesos!$C$7*T35+Pesos!$C$8*W35+Pesos!$C$9*Z35+Pesos!$C$10*AC35)))</f>
        <v/>
      </c>
      <c r="AI35">
        <f>IF(AG35="Insufficient evidence","Insufficient evidence (cobertura&lt;70%)",IF(AG35&lt;50/3,"Insufficient",IF(AG35&lt;50,"Basic",IF(AG35&lt;250/3,"Solid","Advanced"))))</f>
        <v/>
      </c>
      <c r="AJ35">
        <f>IF(AH35="Insufficient evidence","Insufficient evidence (cobertura&lt;70%)",IF(AH35&lt;50/3,"Insufficient",IF(AH35&lt;50,"Basic",IF(AH35&lt;250/3,"Solid","Advanced"))))</f>
        <v/>
      </c>
      <c r="AK35">
        <f>IF(TRIM(IF(AND(ISNUMBER(AA35),AA35&lt;1),"Precio","") &amp; " " &amp; IF(AND(ISNUMBER(U35),U35&lt;1),"Integración",""))="","Ninguno",TRIM(IF(AND(ISNUMBER(AA35),AA35&lt;1),"Precio","") &amp; " " &amp; IF(AND(ISNUMBER(U35),U35&lt;1),"Integración","")))</f>
        <v/>
      </c>
    </row>
    <row r="36">
      <c r="A36" t="inlineStr">
        <is>
          <t>E5</t>
        </is>
      </c>
      <c r="B36" t="inlineStr">
        <is>
          <t>Cloud nativa</t>
        </is>
      </c>
      <c r="C36" t="inlineStr">
        <is>
          <t>AWS Cost Explorer</t>
        </is>
      </c>
      <c r="D36">
        <f>IF(COUNTIFS(Puntuacion!$A:$A,$A36,Puntuacion!$C:$C,$C36,Puntuacion!$D:$D,"Visibilidad",Puntuacion!$G:$G,"&lt;&gt;NA")&gt;0,1,0)</f>
        <v/>
      </c>
      <c r="E36">
        <f>IF(AND(D36=1,COUNTIFS(Puntuacion!$A:$A,$A36,Puntuacion!$C:$C,$C36,Puntuacion!$D:$D,"Visibilidad",Puntuacion!$G:$G,"NE")=0),1,0)</f>
        <v/>
      </c>
      <c r="F36" s="5">
        <f>IF(D36=0,"NA",IF(E36=0,"NE",AVERAGEIFS(Puntuacion!$G:$G,Puntuacion!$A:$A,$A36,Puntuacion!$C:$C,$C36,Puntuacion!$D:$D,"Visibilidad",Puntuacion!$G:$G,"&lt;&gt;NA",Puntuacion!$G:$G,"&lt;&gt;NE")))</f>
        <v/>
      </c>
      <c r="G36">
        <f>IF(COUNTIFS(Puntuacion!$A:$A,$A36,Puntuacion!$C:$C,$C36,Puntuacion!$D:$D,"Asignacion",Puntuacion!$G:$G,"&lt;&gt;NA")&gt;0,1,0)</f>
        <v/>
      </c>
      <c r="H36">
        <f>IF(AND(G36=1,COUNTIFS(Puntuacion!$A:$A,$A36,Puntuacion!$C:$C,$C36,Puntuacion!$D:$D,"Asignacion",Puntuacion!$G:$G,"NE")=0),1,0)</f>
        <v/>
      </c>
      <c r="I36" s="5">
        <f>IF(G36=0,"NA",IF(H36=0,"NE",AVERAGEIFS(Puntuacion!$G:$G,Puntuacion!$A:$A,$A36,Puntuacion!$C:$C,$C36,Puntuacion!$D:$D,"Asignacion",Puntuacion!$G:$G,"&lt;&gt;NA",Puntuacion!$G:$G,"&lt;&gt;NE")))</f>
        <v/>
      </c>
      <c r="J36">
        <f>IF(COUNTIFS(Puntuacion!$A:$A,$A36,Puntuacion!$C:$C,$C36,Puntuacion!$D:$D,"Optimizacion",Puntuacion!$G:$G,"&lt;&gt;NA")&gt;0,1,0)</f>
        <v/>
      </c>
      <c r="K36">
        <f>IF(AND(J36=1,COUNTIFS(Puntuacion!$A:$A,$A36,Puntuacion!$C:$C,$C36,Puntuacion!$D:$D,"Optimizacion",Puntuacion!$G:$G,"NE")=0),1,0)</f>
        <v/>
      </c>
      <c r="L36" s="5">
        <f>IF(J36=0,"NA",IF(K36=0,"NE",AVERAGEIFS(Puntuacion!$G:$G,Puntuacion!$A:$A,$A36,Puntuacion!$C:$C,$C36,Puntuacion!$D:$D,"Optimizacion",Puntuacion!$G:$G,"&lt;&gt;NA",Puntuacion!$G:$G,"&lt;&gt;NE")))</f>
        <v/>
      </c>
      <c r="M36">
        <f>IF(COUNTIFS(Puntuacion!$A:$A,$A36,Puntuacion!$C:$C,$C36,Puntuacion!$D:$D,"Automatizacion",Puntuacion!$G:$G,"&lt;&gt;NA")&gt;0,1,0)</f>
        <v/>
      </c>
      <c r="N36">
        <f>IF(AND(M36=1,COUNTIFS(Puntuacion!$A:$A,$A36,Puntuacion!$C:$C,$C36,Puntuacion!$D:$D,"Automatizacion",Puntuacion!$G:$G,"NE")=0),1,0)</f>
        <v/>
      </c>
      <c r="O36" s="5">
        <f>IF(M36=0,"NA",IF(N36=0,"NE",AVERAGEIFS(Puntuacion!$G:$G,Puntuacion!$A:$A,$A36,Puntuacion!$C:$C,$C36,Puntuacion!$D:$D,"Automatizacion",Puntuacion!$G:$G,"&lt;&gt;NA",Puntuacion!$G:$G,"&lt;&gt;NE")))</f>
        <v/>
      </c>
      <c r="P36">
        <f>IF(COUNTIFS(Puntuacion!$A:$A,$A36,Puntuacion!$C:$C,$C36,Puntuacion!$D:$D,"Multicloud",Puntuacion!$G:$G,"&lt;&gt;NA")&gt;0,1,0)</f>
        <v/>
      </c>
      <c r="Q36">
        <f>IF(AND(P36=1,COUNTIFS(Puntuacion!$A:$A,$A36,Puntuacion!$C:$C,$C36,Puntuacion!$D:$D,"Multicloud",Puntuacion!$G:$G,"NE")=0),1,0)</f>
        <v/>
      </c>
      <c r="R36" s="5">
        <f>IF(P36=0,"NA",IF(Q36=0,"NE",AVERAGEIFS(Puntuacion!$G:$G,Puntuacion!$A:$A,$A36,Puntuacion!$C:$C,$C36,Puntuacion!$D:$D,"Multicloud",Puntuacion!$G:$G,"&lt;&gt;NA",Puntuacion!$G:$G,"&lt;&gt;NE")))</f>
        <v/>
      </c>
      <c r="S36">
        <f>IF(COUNTIFS(Puntuacion!$A:$A,$A36,Puntuacion!$C:$C,$C36,Puntuacion!$D:$D,"Integracion",Puntuacion!$G:$G,"&lt;&gt;NA")&gt;0,1,0)</f>
        <v/>
      </c>
      <c r="T36">
        <f>IF(AND(S36=1,COUNTIFS(Puntuacion!$A:$A,$A36,Puntuacion!$C:$C,$C36,Puntuacion!$D:$D,"Integracion",Puntuacion!$G:$G,"NE")=0),1,0)</f>
        <v/>
      </c>
      <c r="U36" s="5">
        <f>IF(S36=0,"NA",IF(T36=0,"NE",AVERAGEIFS(Puntuacion!$G:$G,Puntuacion!$A:$A,$A36,Puntuacion!$C:$C,$C36,Puntuacion!$D:$D,"Integracion",Puntuacion!$G:$G,"&lt;&gt;NA",Puntuacion!$G:$G,"&lt;&gt;NE")))</f>
        <v/>
      </c>
      <c r="V36">
        <f>IF(COUNTIFS(Puntuacion!$A:$A,$A36,Puntuacion!$C:$C,$C36,Puntuacion!$D:$D,"Adopcion",Puntuacion!$G:$G,"&lt;&gt;NA")&gt;0,1,0)</f>
        <v/>
      </c>
      <c r="W36">
        <f>IF(AND(V36=1,COUNTIFS(Puntuacion!$A:$A,$A36,Puntuacion!$C:$C,$C36,Puntuacion!$D:$D,"Adopcion",Puntuacion!$G:$G,"NE")=0),1,0)</f>
        <v/>
      </c>
      <c r="X36" s="5">
        <f>IF(V36=0,"NA",IF(W36=0,"NE",AVERAGEIFS(Puntuacion!$G:$G,Puntuacion!$A:$A,$A36,Puntuacion!$C:$C,$C36,Puntuacion!$D:$D,"Adopcion",Puntuacion!$G:$G,"&lt;&gt;NA",Puntuacion!$G:$G,"&lt;&gt;NE")))</f>
        <v/>
      </c>
      <c r="Y36">
        <f>IF(COUNTIFS(Puntuacion!$A:$A,$A36,Puntuacion!$C:$C,$C36,Puntuacion!$D:$D,"Precio",Puntuacion!$G:$G,"&lt;&gt;NA")&gt;0,1,0)</f>
        <v/>
      </c>
      <c r="Z36">
        <f>IF(AND(Y36=1,COUNTIFS(Puntuacion!$A:$A,$A36,Puntuacion!$C:$C,$C36,Puntuacion!$D:$D,"Precio",Puntuacion!$G:$G,"NE")=0),1,0)</f>
        <v/>
      </c>
      <c r="AA36" s="5">
        <f>IF(Y36=0,"NA",IF(Z36=0,"NE",AVERAGEIFS(Puntuacion!$G:$G,Puntuacion!$A:$A,$A36,Puntuacion!$C:$C,$C36,Puntuacion!$D:$D,"Precio",Puntuacion!$G:$G,"&lt;&gt;NA",Puntuacion!$G:$G,"&lt;&gt;NE")))</f>
        <v/>
      </c>
      <c r="AB36">
        <f>IF(COUNTIFS(Puntuacion!$A:$A,$A36,Puntuacion!$C:$C,$C36,Puntuacion!$D:$D,"Dependencia",Puntuacion!$G:$G,"&lt;&gt;NA")&gt;0,1,0)</f>
        <v/>
      </c>
      <c r="AC36">
        <f>IF(AND(AB36=1,COUNTIFS(Puntuacion!$A:$A,$A36,Puntuacion!$C:$C,$C36,Puntuacion!$D:$D,"Dependencia",Puntuacion!$G:$G,"NE")=0),1,0)</f>
        <v/>
      </c>
      <c r="AD36" s="5">
        <f>IF(AB36=0,"NA",IF(AC36=0,"NE",AVERAGEIFS(Puntuacion!$G:$G,Puntuacion!$A:$A,$A36,Puntuacion!$C:$C,$C36,Puntuacion!$D:$D,"Dependencia",Puntuacion!$G:$G,"&lt;&gt;NA",Puntuacion!$G:$G,"&lt;&gt;NE")))</f>
        <v/>
      </c>
      <c r="AE36" s="5">
        <f>IFERROR(100*(E36*Pesos!$B$2+H36*Pesos!$B$3+K36*Pesos!$B$4+N36*Pesos!$B$5+Q36*Pesos!$B$6+T36*Pesos!$B$7+W36*Pesos!$B$8+Z36*Pesos!$B$9+AC36*Pesos!$B$10)/(D36*Pesos!$B$2+G36*Pesos!$B$3+J36*Pesos!$B$4+M36*Pesos!$B$5+P36*Pesos!$B$6+S36*Pesos!$B$7+V36*Pesos!$B$8+Y36*Pesos!$B$9+AB36*Pesos!$B$10),"Sin criterios aplicables")</f>
        <v/>
      </c>
      <c r="AF36" s="5">
        <f>IFERROR(100*(E36*Pesos!$C$2+H36*Pesos!$C$3+K36*Pesos!$C$4+N36*Pesos!$C$5+Q36*Pesos!$C$6+T36*Pesos!$C$7+W36*Pesos!$C$8+Z36*Pesos!$C$9+AC36*Pesos!$C$10)/(D36*Pesos!$C$2+G36*Pesos!$C$3+J36*Pesos!$C$4+M36*Pesos!$C$5+P36*Pesos!$C$6+S36*Pesos!$C$7+V36*Pesos!$C$8+Y36*Pesos!$C$9+AB36*Pesos!$C$10),"Sin criterios aplicables")</f>
        <v/>
      </c>
      <c r="AG36" s="5">
        <f>IF(OR(AE36="Sin criterios aplicables",AE36&lt;70),"Insufficient evidence",100*(Pesos!$B$2*IF(E36=1,F36,0)+Pesos!$B$3*IF(H36=1,I36,0)+Pesos!$B$4*IF(K36=1,L36,0)+Pesos!$B$5*IF(N36=1,O36,0)+Pesos!$B$6*IF(Q36=1,R36,0)+Pesos!$B$7*IF(T36=1,U36,0)+Pesos!$B$8*IF(W36=1,X36,0)+Pesos!$B$9*IF(Z36=1,AA36,0)+Pesos!$B$10*IF(AC36=1,AD36,0))/(3*(Pesos!$B$2*E36+Pesos!$B$3*H36+Pesos!$B$4*K36+Pesos!$B$5*N36+Pesos!$B$6*Q36+Pesos!$B$7*T36+Pesos!$B$8*W36+Pesos!$B$9*Z36+Pesos!$B$10*AC36)))</f>
        <v/>
      </c>
      <c r="AH36" s="5">
        <f>IF(OR(AF36="Sin criterios aplicables",AF36&lt;70),"Insufficient evidence",100*(Pesos!$C$2*IF(E36=1,F36,0)+Pesos!$C$3*IF(H36=1,I36,0)+Pesos!$C$4*IF(K36=1,L36,0)+Pesos!$C$5*IF(N36=1,O36,0)+Pesos!$C$6*IF(Q36=1,R36,0)+Pesos!$C$7*IF(T36=1,U36,0)+Pesos!$C$8*IF(W36=1,X36,0)+Pesos!$C$9*IF(Z36=1,AA36,0)+Pesos!$C$10*IF(AC36=1,AD36,0))/(3*(Pesos!$C$2*E36+Pesos!$C$3*H36+Pesos!$C$4*K36+Pesos!$C$5*N36+Pesos!$C$6*Q36+Pesos!$C$7*T36+Pesos!$C$8*W36+Pesos!$C$9*Z36+Pesos!$C$10*AC36)))</f>
        <v/>
      </c>
      <c r="AI36">
        <f>IF(AG36="Insufficient evidence","Insufficient evidence (cobertura&lt;70%)",IF(AG36&lt;50/3,"Insufficient",IF(AG36&lt;50,"Basic",IF(AG36&lt;250/3,"Solid","Advanced"))))</f>
        <v/>
      </c>
      <c r="AJ36">
        <f>IF(AH36="Insufficient evidence","Insufficient evidence (cobertura&lt;70%)",IF(AH36&lt;50/3,"Insufficient",IF(AH36&lt;50,"Basic",IF(AH36&lt;250/3,"Solid","Advanced"))))</f>
        <v/>
      </c>
      <c r="AK36">
        <f>IF(TRIM(IF(AND(ISNUMBER(I36),I36&lt;1),"Asignación","") &amp; " " &amp; IF(AND(ISNUMBER(F36),F36&lt;1),"Visibilidad",""))="","Ninguno",TRIM(IF(AND(ISNUMBER(I36),I36&lt;1),"Asignación","") &amp; " " &amp; IF(AND(ISNUMBER(F36),F36&lt;1),"Visibilidad","")))</f>
        <v/>
      </c>
    </row>
    <row r="37">
      <c r="A37" t="inlineStr">
        <is>
          <t>E5</t>
        </is>
      </c>
      <c r="B37" t="inlineStr">
        <is>
          <t>Cloud nativa</t>
        </is>
      </c>
      <c r="C37" t="inlineStr">
        <is>
          <t>AWS Cost Optimization Hub</t>
        </is>
      </c>
      <c r="D37">
        <f>IF(COUNTIFS(Puntuacion!$A:$A,$A37,Puntuacion!$C:$C,$C37,Puntuacion!$D:$D,"Visibilidad",Puntuacion!$G:$G,"&lt;&gt;NA")&gt;0,1,0)</f>
        <v/>
      </c>
      <c r="E37">
        <f>IF(AND(D37=1,COUNTIFS(Puntuacion!$A:$A,$A37,Puntuacion!$C:$C,$C37,Puntuacion!$D:$D,"Visibilidad",Puntuacion!$G:$G,"NE")=0),1,0)</f>
        <v/>
      </c>
      <c r="F37" s="5">
        <f>IF(D37=0,"NA",IF(E37=0,"NE",AVERAGEIFS(Puntuacion!$G:$G,Puntuacion!$A:$A,$A37,Puntuacion!$C:$C,$C37,Puntuacion!$D:$D,"Visibilidad",Puntuacion!$G:$G,"&lt;&gt;NA",Puntuacion!$G:$G,"&lt;&gt;NE")))</f>
        <v/>
      </c>
      <c r="G37">
        <f>IF(COUNTIFS(Puntuacion!$A:$A,$A37,Puntuacion!$C:$C,$C37,Puntuacion!$D:$D,"Asignacion",Puntuacion!$G:$G,"&lt;&gt;NA")&gt;0,1,0)</f>
        <v/>
      </c>
      <c r="H37">
        <f>IF(AND(G37=1,COUNTIFS(Puntuacion!$A:$A,$A37,Puntuacion!$C:$C,$C37,Puntuacion!$D:$D,"Asignacion",Puntuacion!$G:$G,"NE")=0),1,0)</f>
        <v/>
      </c>
      <c r="I37" s="5">
        <f>IF(G37=0,"NA",IF(H37=0,"NE",AVERAGEIFS(Puntuacion!$G:$G,Puntuacion!$A:$A,$A37,Puntuacion!$C:$C,$C37,Puntuacion!$D:$D,"Asignacion",Puntuacion!$G:$G,"&lt;&gt;NA",Puntuacion!$G:$G,"&lt;&gt;NE")))</f>
        <v/>
      </c>
      <c r="J37">
        <f>IF(COUNTIFS(Puntuacion!$A:$A,$A37,Puntuacion!$C:$C,$C37,Puntuacion!$D:$D,"Optimizacion",Puntuacion!$G:$G,"&lt;&gt;NA")&gt;0,1,0)</f>
        <v/>
      </c>
      <c r="K37">
        <f>IF(AND(J37=1,COUNTIFS(Puntuacion!$A:$A,$A37,Puntuacion!$C:$C,$C37,Puntuacion!$D:$D,"Optimizacion",Puntuacion!$G:$G,"NE")=0),1,0)</f>
        <v/>
      </c>
      <c r="L37" s="5">
        <f>IF(J37=0,"NA",IF(K37=0,"NE",AVERAGEIFS(Puntuacion!$G:$G,Puntuacion!$A:$A,$A37,Puntuacion!$C:$C,$C37,Puntuacion!$D:$D,"Optimizacion",Puntuacion!$G:$G,"&lt;&gt;NA",Puntuacion!$G:$G,"&lt;&gt;NE")))</f>
        <v/>
      </c>
      <c r="M37">
        <f>IF(COUNTIFS(Puntuacion!$A:$A,$A37,Puntuacion!$C:$C,$C37,Puntuacion!$D:$D,"Automatizacion",Puntuacion!$G:$G,"&lt;&gt;NA")&gt;0,1,0)</f>
        <v/>
      </c>
      <c r="N37">
        <f>IF(AND(M37=1,COUNTIFS(Puntuacion!$A:$A,$A37,Puntuacion!$C:$C,$C37,Puntuacion!$D:$D,"Automatizacion",Puntuacion!$G:$G,"NE")=0),1,0)</f>
        <v/>
      </c>
      <c r="O37" s="5">
        <f>IF(M37=0,"NA",IF(N37=0,"NE",AVERAGEIFS(Puntuacion!$G:$G,Puntuacion!$A:$A,$A37,Puntuacion!$C:$C,$C37,Puntuacion!$D:$D,"Automatizacion",Puntuacion!$G:$G,"&lt;&gt;NA",Puntuacion!$G:$G,"&lt;&gt;NE")))</f>
        <v/>
      </c>
      <c r="P37">
        <f>IF(COUNTIFS(Puntuacion!$A:$A,$A37,Puntuacion!$C:$C,$C37,Puntuacion!$D:$D,"Multicloud",Puntuacion!$G:$G,"&lt;&gt;NA")&gt;0,1,0)</f>
        <v/>
      </c>
      <c r="Q37">
        <f>IF(AND(P37=1,COUNTIFS(Puntuacion!$A:$A,$A37,Puntuacion!$C:$C,$C37,Puntuacion!$D:$D,"Multicloud",Puntuacion!$G:$G,"NE")=0),1,0)</f>
        <v/>
      </c>
      <c r="R37" s="5">
        <f>IF(P37=0,"NA",IF(Q37=0,"NE",AVERAGEIFS(Puntuacion!$G:$G,Puntuacion!$A:$A,$A37,Puntuacion!$C:$C,$C37,Puntuacion!$D:$D,"Multicloud",Puntuacion!$G:$G,"&lt;&gt;NA",Puntuacion!$G:$G,"&lt;&gt;NE")))</f>
        <v/>
      </c>
      <c r="S37">
        <f>IF(COUNTIFS(Puntuacion!$A:$A,$A37,Puntuacion!$C:$C,$C37,Puntuacion!$D:$D,"Integracion",Puntuacion!$G:$G,"&lt;&gt;NA")&gt;0,1,0)</f>
        <v/>
      </c>
      <c r="T37">
        <f>IF(AND(S37=1,COUNTIFS(Puntuacion!$A:$A,$A37,Puntuacion!$C:$C,$C37,Puntuacion!$D:$D,"Integracion",Puntuacion!$G:$G,"NE")=0),1,0)</f>
        <v/>
      </c>
      <c r="U37" s="5">
        <f>IF(S37=0,"NA",IF(T37=0,"NE",AVERAGEIFS(Puntuacion!$G:$G,Puntuacion!$A:$A,$A37,Puntuacion!$C:$C,$C37,Puntuacion!$D:$D,"Integracion",Puntuacion!$G:$G,"&lt;&gt;NA",Puntuacion!$G:$G,"&lt;&gt;NE")))</f>
        <v/>
      </c>
      <c r="V37">
        <f>IF(COUNTIFS(Puntuacion!$A:$A,$A37,Puntuacion!$C:$C,$C37,Puntuacion!$D:$D,"Adopcion",Puntuacion!$G:$G,"&lt;&gt;NA")&gt;0,1,0)</f>
        <v/>
      </c>
      <c r="W37">
        <f>IF(AND(V37=1,COUNTIFS(Puntuacion!$A:$A,$A37,Puntuacion!$C:$C,$C37,Puntuacion!$D:$D,"Adopcion",Puntuacion!$G:$G,"NE")=0),1,0)</f>
        <v/>
      </c>
      <c r="X37" s="5">
        <f>IF(V37=0,"NA",IF(W37=0,"NE",AVERAGEIFS(Puntuacion!$G:$G,Puntuacion!$A:$A,$A37,Puntuacion!$C:$C,$C37,Puntuacion!$D:$D,"Adopcion",Puntuacion!$G:$G,"&lt;&gt;NA",Puntuacion!$G:$G,"&lt;&gt;NE")))</f>
        <v/>
      </c>
      <c r="Y37">
        <f>IF(COUNTIFS(Puntuacion!$A:$A,$A37,Puntuacion!$C:$C,$C37,Puntuacion!$D:$D,"Precio",Puntuacion!$G:$G,"&lt;&gt;NA")&gt;0,1,0)</f>
        <v/>
      </c>
      <c r="Z37">
        <f>IF(AND(Y37=1,COUNTIFS(Puntuacion!$A:$A,$A37,Puntuacion!$C:$C,$C37,Puntuacion!$D:$D,"Precio",Puntuacion!$G:$G,"NE")=0),1,0)</f>
        <v/>
      </c>
      <c r="AA37" s="5">
        <f>IF(Y37=0,"NA",IF(Z37=0,"NE",AVERAGEIFS(Puntuacion!$G:$G,Puntuacion!$A:$A,$A37,Puntuacion!$C:$C,$C37,Puntuacion!$D:$D,"Precio",Puntuacion!$G:$G,"&lt;&gt;NA",Puntuacion!$G:$G,"&lt;&gt;NE")))</f>
        <v/>
      </c>
      <c r="AB37">
        <f>IF(COUNTIFS(Puntuacion!$A:$A,$A37,Puntuacion!$C:$C,$C37,Puntuacion!$D:$D,"Dependencia",Puntuacion!$G:$G,"&lt;&gt;NA")&gt;0,1,0)</f>
        <v/>
      </c>
      <c r="AC37">
        <f>IF(AND(AB37=1,COUNTIFS(Puntuacion!$A:$A,$A37,Puntuacion!$C:$C,$C37,Puntuacion!$D:$D,"Dependencia",Puntuacion!$G:$G,"NE")=0),1,0)</f>
        <v/>
      </c>
      <c r="AD37" s="5">
        <f>IF(AB37=0,"NA",IF(AC37=0,"NE",AVERAGEIFS(Puntuacion!$G:$G,Puntuacion!$A:$A,$A37,Puntuacion!$C:$C,$C37,Puntuacion!$D:$D,"Dependencia",Puntuacion!$G:$G,"&lt;&gt;NA",Puntuacion!$G:$G,"&lt;&gt;NE")))</f>
        <v/>
      </c>
      <c r="AE37" s="5">
        <f>IFERROR(100*(E37*Pesos!$B$2+H37*Pesos!$B$3+K37*Pesos!$B$4+N37*Pesos!$B$5+Q37*Pesos!$B$6+T37*Pesos!$B$7+W37*Pesos!$B$8+Z37*Pesos!$B$9+AC37*Pesos!$B$10)/(D37*Pesos!$B$2+G37*Pesos!$B$3+J37*Pesos!$B$4+M37*Pesos!$B$5+P37*Pesos!$B$6+S37*Pesos!$B$7+V37*Pesos!$B$8+Y37*Pesos!$B$9+AB37*Pesos!$B$10),"Sin criterios aplicables")</f>
        <v/>
      </c>
      <c r="AF37" s="5">
        <f>IFERROR(100*(E37*Pesos!$C$2+H37*Pesos!$C$3+K37*Pesos!$C$4+N37*Pesos!$C$5+Q37*Pesos!$C$6+T37*Pesos!$C$7+W37*Pesos!$C$8+Z37*Pesos!$C$9+AC37*Pesos!$C$10)/(D37*Pesos!$C$2+G37*Pesos!$C$3+J37*Pesos!$C$4+M37*Pesos!$C$5+P37*Pesos!$C$6+S37*Pesos!$C$7+V37*Pesos!$C$8+Y37*Pesos!$C$9+AB37*Pesos!$C$10),"Sin criterios aplicables")</f>
        <v/>
      </c>
      <c r="AG37" s="5">
        <f>IF(OR(AE37="Sin criterios aplicables",AE37&lt;70),"Insufficient evidence",100*(Pesos!$B$2*IF(E37=1,F37,0)+Pesos!$B$3*IF(H37=1,I37,0)+Pesos!$B$4*IF(K37=1,L37,0)+Pesos!$B$5*IF(N37=1,O37,0)+Pesos!$B$6*IF(Q37=1,R37,0)+Pesos!$B$7*IF(T37=1,U37,0)+Pesos!$B$8*IF(W37=1,X37,0)+Pesos!$B$9*IF(Z37=1,AA37,0)+Pesos!$B$10*IF(AC37=1,AD37,0))/(3*(Pesos!$B$2*E37+Pesos!$B$3*H37+Pesos!$B$4*K37+Pesos!$B$5*N37+Pesos!$B$6*Q37+Pesos!$B$7*T37+Pesos!$B$8*W37+Pesos!$B$9*Z37+Pesos!$B$10*AC37)))</f>
        <v/>
      </c>
      <c r="AH37" s="5">
        <f>IF(OR(AF37="Sin criterios aplicables",AF37&lt;70),"Insufficient evidence",100*(Pesos!$C$2*IF(E37=1,F37,0)+Pesos!$C$3*IF(H37=1,I37,0)+Pesos!$C$4*IF(K37=1,L37,0)+Pesos!$C$5*IF(N37=1,O37,0)+Pesos!$C$6*IF(Q37=1,R37,0)+Pesos!$C$7*IF(T37=1,U37,0)+Pesos!$C$8*IF(W37=1,X37,0)+Pesos!$C$9*IF(Z37=1,AA37,0)+Pesos!$C$10*IF(AC37=1,AD37,0))/(3*(Pesos!$C$2*E37+Pesos!$C$3*H37+Pesos!$C$4*K37+Pesos!$C$5*N37+Pesos!$C$6*Q37+Pesos!$C$7*T37+Pesos!$C$8*W37+Pesos!$C$9*Z37+Pesos!$C$10*AC37)))</f>
        <v/>
      </c>
      <c r="AI37">
        <f>IF(AG37="Insufficient evidence","Insufficient evidence (cobertura&lt;70%)",IF(AG37&lt;50/3,"Insufficient",IF(AG37&lt;50,"Basic",IF(AG37&lt;250/3,"Solid","Advanced"))))</f>
        <v/>
      </c>
      <c r="AJ37">
        <f>IF(AH37="Insufficient evidence","Insufficient evidence (cobertura&lt;70%)",IF(AH37&lt;50/3,"Insufficient",IF(AH37&lt;50,"Basic",IF(AH37&lt;250/3,"Solid","Advanced"))))</f>
        <v/>
      </c>
      <c r="AK37">
        <f>IF(TRIM(IF(AND(ISNUMBER(I37),I37&lt;1),"Asignación","") &amp; " " &amp; IF(AND(ISNUMBER(F37),F37&lt;1),"Visibilidad",""))="","Ninguno",TRIM(IF(AND(ISNUMBER(I37),I37&lt;1),"Asignación","") &amp; " " &amp; IF(AND(ISNUMBER(F37),F37&lt;1),"Visibilidad","")))</f>
        <v/>
      </c>
    </row>
    <row r="38">
      <c r="A38" t="inlineStr">
        <is>
          <t>E5</t>
        </is>
      </c>
      <c r="B38" t="inlineStr">
        <is>
          <t>Cloud nativa</t>
        </is>
      </c>
      <c r="C38" t="inlineStr">
        <is>
          <t>Azure Cost Management</t>
        </is>
      </c>
      <c r="D38">
        <f>IF(COUNTIFS(Puntuacion!$A:$A,$A38,Puntuacion!$C:$C,$C38,Puntuacion!$D:$D,"Visibilidad",Puntuacion!$G:$G,"&lt;&gt;NA")&gt;0,1,0)</f>
        <v/>
      </c>
      <c r="E38">
        <f>IF(AND(D38=1,COUNTIFS(Puntuacion!$A:$A,$A38,Puntuacion!$C:$C,$C38,Puntuacion!$D:$D,"Visibilidad",Puntuacion!$G:$G,"NE")=0),1,0)</f>
        <v/>
      </c>
      <c r="F38" s="5">
        <f>IF(D38=0,"NA",IF(E38=0,"NE",AVERAGEIFS(Puntuacion!$G:$G,Puntuacion!$A:$A,$A38,Puntuacion!$C:$C,$C38,Puntuacion!$D:$D,"Visibilidad",Puntuacion!$G:$G,"&lt;&gt;NA",Puntuacion!$G:$G,"&lt;&gt;NE")))</f>
        <v/>
      </c>
      <c r="G38">
        <f>IF(COUNTIFS(Puntuacion!$A:$A,$A38,Puntuacion!$C:$C,$C38,Puntuacion!$D:$D,"Asignacion",Puntuacion!$G:$G,"&lt;&gt;NA")&gt;0,1,0)</f>
        <v/>
      </c>
      <c r="H38">
        <f>IF(AND(G38=1,COUNTIFS(Puntuacion!$A:$A,$A38,Puntuacion!$C:$C,$C38,Puntuacion!$D:$D,"Asignacion",Puntuacion!$G:$G,"NE")=0),1,0)</f>
        <v/>
      </c>
      <c r="I38" s="5">
        <f>IF(G38=0,"NA",IF(H38=0,"NE",AVERAGEIFS(Puntuacion!$G:$G,Puntuacion!$A:$A,$A38,Puntuacion!$C:$C,$C38,Puntuacion!$D:$D,"Asignacion",Puntuacion!$G:$G,"&lt;&gt;NA",Puntuacion!$G:$G,"&lt;&gt;NE")))</f>
        <v/>
      </c>
      <c r="J38">
        <f>IF(COUNTIFS(Puntuacion!$A:$A,$A38,Puntuacion!$C:$C,$C38,Puntuacion!$D:$D,"Optimizacion",Puntuacion!$G:$G,"&lt;&gt;NA")&gt;0,1,0)</f>
        <v/>
      </c>
      <c r="K38">
        <f>IF(AND(J38=1,COUNTIFS(Puntuacion!$A:$A,$A38,Puntuacion!$C:$C,$C38,Puntuacion!$D:$D,"Optimizacion",Puntuacion!$G:$G,"NE")=0),1,0)</f>
        <v/>
      </c>
      <c r="L38" s="5">
        <f>IF(J38=0,"NA",IF(K38=0,"NE",AVERAGEIFS(Puntuacion!$G:$G,Puntuacion!$A:$A,$A38,Puntuacion!$C:$C,$C38,Puntuacion!$D:$D,"Optimizacion",Puntuacion!$G:$G,"&lt;&gt;NA",Puntuacion!$G:$G,"&lt;&gt;NE")))</f>
        <v/>
      </c>
      <c r="M38">
        <f>IF(COUNTIFS(Puntuacion!$A:$A,$A38,Puntuacion!$C:$C,$C38,Puntuacion!$D:$D,"Automatizacion",Puntuacion!$G:$G,"&lt;&gt;NA")&gt;0,1,0)</f>
        <v/>
      </c>
      <c r="N38">
        <f>IF(AND(M38=1,COUNTIFS(Puntuacion!$A:$A,$A38,Puntuacion!$C:$C,$C38,Puntuacion!$D:$D,"Automatizacion",Puntuacion!$G:$G,"NE")=0),1,0)</f>
        <v/>
      </c>
      <c r="O38" s="5">
        <f>IF(M38=0,"NA",IF(N38=0,"NE",AVERAGEIFS(Puntuacion!$G:$G,Puntuacion!$A:$A,$A38,Puntuacion!$C:$C,$C38,Puntuacion!$D:$D,"Automatizacion",Puntuacion!$G:$G,"&lt;&gt;NA",Puntuacion!$G:$G,"&lt;&gt;NE")))</f>
        <v/>
      </c>
      <c r="P38">
        <f>IF(COUNTIFS(Puntuacion!$A:$A,$A38,Puntuacion!$C:$C,$C38,Puntuacion!$D:$D,"Multicloud",Puntuacion!$G:$G,"&lt;&gt;NA")&gt;0,1,0)</f>
        <v/>
      </c>
      <c r="Q38">
        <f>IF(AND(P38=1,COUNTIFS(Puntuacion!$A:$A,$A38,Puntuacion!$C:$C,$C38,Puntuacion!$D:$D,"Multicloud",Puntuacion!$G:$G,"NE")=0),1,0)</f>
        <v/>
      </c>
      <c r="R38" s="5">
        <f>IF(P38=0,"NA",IF(Q38=0,"NE",AVERAGEIFS(Puntuacion!$G:$G,Puntuacion!$A:$A,$A38,Puntuacion!$C:$C,$C38,Puntuacion!$D:$D,"Multicloud",Puntuacion!$G:$G,"&lt;&gt;NA",Puntuacion!$G:$G,"&lt;&gt;NE")))</f>
        <v/>
      </c>
      <c r="S38">
        <f>IF(COUNTIFS(Puntuacion!$A:$A,$A38,Puntuacion!$C:$C,$C38,Puntuacion!$D:$D,"Integracion",Puntuacion!$G:$G,"&lt;&gt;NA")&gt;0,1,0)</f>
        <v/>
      </c>
      <c r="T38">
        <f>IF(AND(S38=1,COUNTIFS(Puntuacion!$A:$A,$A38,Puntuacion!$C:$C,$C38,Puntuacion!$D:$D,"Integracion",Puntuacion!$G:$G,"NE")=0),1,0)</f>
        <v/>
      </c>
      <c r="U38" s="5">
        <f>IF(S38=0,"NA",IF(T38=0,"NE",AVERAGEIFS(Puntuacion!$G:$G,Puntuacion!$A:$A,$A38,Puntuacion!$C:$C,$C38,Puntuacion!$D:$D,"Integracion",Puntuacion!$G:$G,"&lt;&gt;NA",Puntuacion!$G:$G,"&lt;&gt;NE")))</f>
        <v/>
      </c>
      <c r="V38">
        <f>IF(COUNTIFS(Puntuacion!$A:$A,$A38,Puntuacion!$C:$C,$C38,Puntuacion!$D:$D,"Adopcion",Puntuacion!$G:$G,"&lt;&gt;NA")&gt;0,1,0)</f>
        <v/>
      </c>
      <c r="W38">
        <f>IF(AND(V38=1,COUNTIFS(Puntuacion!$A:$A,$A38,Puntuacion!$C:$C,$C38,Puntuacion!$D:$D,"Adopcion",Puntuacion!$G:$G,"NE")=0),1,0)</f>
        <v/>
      </c>
      <c r="X38" s="5">
        <f>IF(V38=0,"NA",IF(W38=0,"NE",AVERAGEIFS(Puntuacion!$G:$G,Puntuacion!$A:$A,$A38,Puntuacion!$C:$C,$C38,Puntuacion!$D:$D,"Adopcion",Puntuacion!$G:$G,"&lt;&gt;NA",Puntuacion!$G:$G,"&lt;&gt;NE")))</f>
        <v/>
      </c>
      <c r="Y38">
        <f>IF(COUNTIFS(Puntuacion!$A:$A,$A38,Puntuacion!$C:$C,$C38,Puntuacion!$D:$D,"Precio",Puntuacion!$G:$G,"&lt;&gt;NA")&gt;0,1,0)</f>
        <v/>
      </c>
      <c r="Z38">
        <f>IF(AND(Y38=1,COUNTIFS(Puntuacion!$A:$A,$A38,Puntuacion!$C:$C,$C38,Puntuacion!$D:$D,"Precio",Puntuacion!$G:$G,"NE")=0),1,0)</f>
        <v/>
      </c>
      <c r="AA38" s="5">
        <f>IF(Y38=0,"NA",IF(Z38=0,"NE",AVERAGEIFS(Puntuacion!$G:$G,Puntuacion!$A:$A,$A38,Puntuacion!$C:$C,$C38,Puntuacion!$D:$D,"Precio",Puntuacion!$G:$G,"&lt;&gt;NA",Puntuacion!$G:$G,"&lt;&gt;NE")))</f>
        <v/>
      </c>
      <c r="AB38">
        <f>IF(COUNTIFS(Puntuacion!$A:$A,$A38,Puntuacion!$C:$C,$C38,Puntuacion!$D:$D,"Dependencia",Puntuacion!$G:$G,"&lt;&gt;NA")&gt;0,1,0)</f>
        <v/>
      </c>
      <c r="AC38">
        <f>IF(AND(AB38=1,COUNTIFS(Puntuacion!$A:$A,$A38,Puntuacion!$C:$C,$C38,Puntuacion!$D:$D,"Dependencia",Puntuacion!$G:$G,"NE")=0),1,0)</f>
        <v/>
      </c>
      <c r="AD38" s="5">
        <f>IF(AB38=0,"NA",IF(AC38=0,"NE",AVERAGEIFS(Puntuacion!$G:$G,Puntuacion!$A:$A,$A38,Puntuacion!$C:$C,$C38,Puntuacion!$D:$D,"Dependencia",Puntuacion!$G:$G,"&lt;&gt;NA",Puntuacion!$G:$G,"&lt;&gt;NE")))</f>
        <v/>
      </c>
      <c r="AE38" s="5">
        <f>IFERROR(100*(E38*Pesos!$B$2+H38*Pesos!$B$3+K38*Pesos!$B$4+N38*Pesos!$B$5+Q38*Pesos!$B$6+T38*Pesos!$B$7+W38*Pesos!$B$8+Z38*Pesos!$B$9+AC38*Pesos!$B$10)/(D38*Pesos!$B$2+G38*Pesos!$B$3+J38*Pesos!$B$4+M38*Pesos!$B$5+P38*Pesos!$B$6+S38*Pesos!$B$7+V38*Pesos!$B$8+Y38*Pesos!$B$9+AB38*Pesos!$B$10),"Sin criterios aplicables")</f>
        <v/>
      </c>
      <c r="AF38" s="5">
        <f>IFERROR(100*(E38*Pesos!$C$2+H38*Pesos!$C$3+K38*Pesos!$C$4+N38*Pesos!$C$5+Q38*Pesos!$C$6+T38*Pesos!$C$7+W38*Pesos!$C$8+Z38*Pesos!$C$9+AC38*Pesos!$C$10)/(D38*Pesos!$C$2+G38*Pesos!$C$3+J38*Pesos!$C$4+M38*Pesos!$C$5+P38*Pesos!$C$6+S38*Pesos!$C$7+V38*Pesos!$C$8+Y38*Pesos!$C$9+AB38*Pesos!$C$10),"Sin criterios aplicables")</f>
        <v/>
      </c>
      <c r="AG38" s="5">
        <f>IF(OR(AE38="Sin criterios aplicables",AE38&lt;70),"Insufficient evidence",100*(Pesos!$B$2*IF(E38=1,F38,0)+Pesos!$B$3*IF(H38=1,I38,0)+Pesos!$B$4*IF(K38=1,L38,0)+Pesos!$B$5*IF(N38=1,O38,0)+Pesos!$B$6*IF(Q38=1,R38,0)+Pesos!$B$7*IF(T38=1,U38,0)+Pesos!$B$8*IF(W38=1,X38,0)+Pesos!$B$9*IF(Z38=1,AA38,0)+Pesos!$B$10*IF(AC38=1,AD38,0))/(3*(Pesos!$B$2*E38+Pesos!$B$3*H38+Pesos!$B$4*K38+Pesos!$B$5*N38+Pesos!$B$6*Q38+Pesos!$B$7*T38+Pesos!$B$8*W38+Pesos!$B$9*Z38+Pesos!$B$10*AC38)))</f>
        <v/>
      </c>
      <c r="AH38" s="5">
        <f>IF(OR(AF38="Sin criterios aplicables",AF38&lt;70),"Insufficient evidence",100*(Pesos!$C$2*IF(E38=1,F38,0)+Pesos!$C$3*IF(H38=1,I38,0)+Pesos!$C$4*IF(K38=1,L38,0)+Pesos!$C$5*IF(N38=1,O38,0)+Pesos!$C$6*IF(Q38=1,R38,0)+Pesos!$C$7*IF(T38=1,U38,0)+Pesos!$C$8*IF(W38=1,X38,0)+Pesos!$C$9*IF(Z38=1,AA38,0)+Pesos!$C$10*IF(AC38=1,AD38,0))/(3*(Pesos!$C$2*E38+Pesos!$C$3*H38+Pesos!$C$4*K38+Pesos!$C$5*N38+Pesos!$C$6*Q38+Pesos!$C$7*T38+Pesos!$C$8*W38+Pesos!$C$9*Z38+Pesos!$C$10*AC38)))</f>
        <v/>
      </c>
      <c r="AI38">
        <f>IF(AG38="Insufficient evidence","Insufficient evidence (cobertura&lt;70%)",IF(AG38&lt;50/3,"Insufficient",IF(AG38&lt;50,"Basic",IF(AG38&lt;250/3,"Solid","Advanced"))))</f>
        <v/>
      </c>
      <c r="AJ38">
        <f>IF(AH38="Insufficient evidence","Insufficient evidence (cobertura&lt;70%)",IF(AH38&lt;50/3,"Insufficient",IF(AH38&lt;50,"Basic",IF(AH38&lt;250/3,"Solid","Advanced"))))</f>
        <v/>
      </c>
      <c r="AK38">
        <f>IF(TRIM(IF(AND(ISNUMBER(I38),I38&lt;1),"Asignación","") &amp; " " &amp; IF(AND(ISNUMBER(F38),F38&lt;1),"Visibilidad",""))="","Ninguno",TRIM(IF(AND(ISNUMBER(I38),I38&lt;1),"Asignación","") &amp; " " &amp; IF(AND(ISNUMBER(F38),F38&lt;1),"Visibilidad","")))</f>
        <v/>
      </c>
    </row>
    <row r="39">
      <c r="A39" t="inlineStr">
        <is>
          <t>E5</t>
        </is>
      </c>
      <c r="B39" t="inlineStr">
        <is>
          <t>Cloud nativa</t>
        </is>
      </c>
      <c r="C39" t="inlineStr">
        <is>
          <t>Google Cloud Billing</t>
        </is>
      </c>
      <c r="D39">
        <f>IF(COUNTIFS(Puntuacion!$A:$A,$A39,Puntuacion!$C:$C,$C39,Puntuacion!$D:$D,"Visibilidad",Puntuacion!$G:$G,"&lt;&gt;NA")&gt;0,1,0)</f>
        <v/>
      </c>
      <c r="E39">
        <f>IF(AND(D39=1,COUNTIFS(Puntuacion!$A:$A,$A39,Puntuacion!$C:$C,$C39,Puntuacion!$D:$D,"Visibilidad",Puntuacion!$G:$G,"NE")=0),1,0)</f>
        <v/>
      </c>
      <c r="F39" s="5">
        <f>IF(D39=0,"NA",IF(E39=0,"NE",AVERAGEIFS(Puntuacion!$G:$G,Puntuacion!$A:$A,$A39,Puntuacion!$C:$C,$C39,Puntuacion!$D:$D,"Visibilidad",Puntuacion!$G:$G,"&lt;&gt;NA",Puntuacion!$G:$G,"&lt;&gt;NE")))</f>
        <v/>
      </c>
      <c r="G39">
        <f>IF(COUNTIFS(Puntuacion!$A:$A,$A39,Puntuacion!$C:$C,$C39,Puntuacion!$D:$D,"Asignacion",Puntuacion!$G:$G,"&lt;&gt;NA")&gt;0,1,0)</f>
        <v/>
      </c>
      <c r="H39">
        <f>IF(AND(G39=1,COUNTIFS(Puntuacion!$A:$A,$A39,Puntuacion!$C:$C,$C39,Puntuacion!$D:$D,"Asignacion",Puntuacion!$G:$G,"NE")=0),1,0)</f>
        <v/>
      </c>
      <c r="I39" s="5">
        <f>IF(G39=0,"NA",IF(H39=0,"NE",AVERAGEIFS(Puntuacion!$G:$G,Puntuacion!$A:$A,$A39,Puntuacion!$C:$C,$C39,Puntuacion!$D:$D,"Asignacion",Puntuacion!$G:$G,"&lt;&gt;NA",Puntuacion!$G:$G,"&lt;&gt;NE")))</f>
        <v/>
      </c>
      <c r="J39">
        <f>IF(COUNTIFS(Puntuacion!$A:$A,$A39,Puntuacion!$C:$C,$C39,Puntuacion!$D:$D,"Optimizacion",Puntuacion!$G:$G,"&lt;&gt;NA")&gt;0,1,0)</f>
        <v/>
      </c>
      <c r="K39">
        <f>IF(AND(J39=1,COUNTIFS(Puntuacion!$A:$A,$A39,Puntuacion!$C:$C,$C39,Puntuacion!$D:$D,"Optimizacion",Puntuacion!$G:$G,"NE")=0),1,0)</f>
        <v/>
      </c>
      <c r="L39" s="5">
        <f>IF(J39=0,"NA",IF(K39=0,"NE",AVERAGEIFS(Puntuacion!$G:$G,Puntuacion!$A:$A,$A39,Puntuacion!$C:$C,$C39,Puntuacion!$D:$D,"Optimizacion",Puntuacion!$G:$G,"&lt;&gt;NA",Puntuacion!$G:$G,"&lt;&gt;NE")))</f>
        <v/>
      </c>
      <c r="M39">
        <f>IF(COUNTIFS(Puntuacion!$A:$A,$A39,Puntuacion!$C:$C,$C39,Puntuacion!$D:$D,"Automatizacion",Puntuacion!$G:$G,"&lt;&gt;NA")&gt;0,1,0)</f>
        <v/>
      </c>
      <c r="N39">
        <f>IF(AND(M39=1,COUNTIFS(Puntuacion!$A:$A,$A39,Puntuacion!$C:$C,$C39,Puntuacion!$D:$D,"Automatizacion",Puntuacion!$G:$G,"NE")=0),1,0)</f>
        <v/>
      </c>
      <c r="O39" s="5">
        <f>IF(M39=0,"NA",IF(N39=0,"NE",AVERAGEIFS(Puntuacion!$G:$G,Puntuacion!$A:$A,$A39,Puntuacion!$C:$C,$C39,Puntuacion!$D:$D,"Automatizacion",Puntuacion!$G:$G,"&lt;&gt;NA",Puntuacion!$G:$G,"&lt;&gt;NE")))</f>
        <v/>
      </c>
      <c r="P39">
        <f>IF(COUNTIFS(Puntuacion!$A:$A,$A39,Puntuacion!$C:$C,$C39,Puntuacion!$D:$D,"Multicloud",Puntuacion!$G:$G,"&lt;&gt;NA")&gt;0,1,0)</f>
        <v/>
      </c>
      <c r="Q39">
        <f>IF(AND(P39=1,COUNTIFS(Puntuacion!$A:$A,$A39,Puntuacion!$C:$C,$C39,Puntuacion!$D:$D,"Multicloud",Puntuacion!$G:$G,"NE")=0),1,0)</f>
        <v/>
      </c>
      <c r="R39" s="5">
        <f>IF(P39=0,"NA",IF(Q39=0,"NE",AVERAGEIFS(Puntuacion!$G:$G,Puntuacion!$A:$A,$A39,Puntuacion!$C:$C,$C39,Puntuacion!$D:$D,"Multicloud",Puntuacion!$G:$G,"&lt;&gt;NA",Puntuacion!$G:$G,"&lt;&gt;NE")))</f>
        <v/>
      </c>
      <c r="S39">
        <f>IF(COUNTIFS(Puntuacion!$A:$A,$A39,Puntuacion!$C:$C,$C39,Puntuacion!$D:$D,"Integracion",Puntuacion!$G:$G,"&lt;&gt;NA")&gt;0,1,0)</f>
        <v/>
      </c>
      <c r="T39">
        <f>IF(AND(S39=1,COUNTIFS(Puntuacion!$A:$A,$A39,Puntuacion!$C:$C,$C39,Puntuacion!$D:$D,"Integracion",Puntuacion!$G:$G,"NE")=0),1,0)</f>
        <v/>
      </c>
      <c r="U39" s="5">
        <f>IF(S39=0,"NA",IF(T39=0,"NE",AVERAGEIFS(Puntuacion!$G:$G,Puntuacion!$A:$A,$A39,Puntuacion!$C:$C,$C39,Puntuacion!$D:$D,"Integracion",Puntuacion!$G:$G,"&lt;&gt;NA",Puntuacion!$G:$G,"&lt;&gt;NE")))</f>
        <v/>
      </c>
      <c r="V39">
        <f>IF(COUNTIFS(Puntuacion!$A:$A,$A39,Puntuacion!$C:$C,$C39,Puntuacion!$D:$D,"Adopcion",Puntuacion!$G:$G,"&lt;&gt;NA")&gt;0,1,0)</f>
        <v/>
      </c>
      <c r="W39">
        <f>IF(AND(V39=1,COUNTIFS(Puntuacion!$A:$A,$A39,Puntuacion!$C:$C,$C39,Puntuacion!$D:$D,"Adopcion",Puntuacion!$G:$G,"NE")=0),1,0)</f>
        <v/>
      </c>
      <c r="X39" s="5">
        <f>IF(V39=0,"NA",IF(W39=0,"NE",AVERAGEIFS(Puntuacion!$G:$G,Puntuacion!$A:$A,$A39,Puntuacion!$C:$C,$C39,Puntuacion!$D:$D,"Adopcion",Puntuacion!$G:$G,"&lt;&gt;NA",Puntuacion!$G:$G,"&lt;&gt;NE")))</f>
        <v/>
      </c>
      <c r="Y39">
        <f>IF(COUNTIFS(Puntuacion!$A:$A,$A39,Puntuacion!$C:$C,$C39,Puntuacion!$D:$D,"Precio",Puntuacion!$G:$G,"&lt;&gt;NA")&gt;0,1,0)</f>
        <v/>
      </c>
      <c r="Z39">
        <f>IF(AND(Y39=1,COUNTIFS(Puntuacion!$A:$A,$A39,Puntuacion!$C:$C,$C39,Puntuacion!$D:$D,"Precio",Puntuacion!$G:$G,"NE")=0),1,0)</f>
        <v/>
      </c>
      <c r="AA39" s="5">
        <f>IF(Y39=0,"NA",IF(Z39=0,"NE",AVERAGEIFS(Puntuacion!$G:$G,Puntuacion!$A:$A,$A39,Puntuacion!$C:$C,$C39,Puntuacion!$D:$D,"Precio",Puntuacion!$G:$G,"&lt;&gt;NA",Puntuacion!$G:$G,"&lt;&gt;NE")))</f>
        <v/>
      </c>
      <c r="AB39">
        <f>IF(COUNTIFS(Puntuacion!$A:$A,$A39,Puntuacion!$C:$C,$C39,Puntuacion!$D:$D,"Dependencia",Puntuacion!$G:$G,"&lt;&gt;NA")&gt;0,1,0)</f>
        <v/>
      </c>
      <c r="AC39">
        <f>IF(AND(AB39=1,COUNTIFS(Puntuacion!$A:$A,$A39,Puntuacion!$C:$C,$C39,Puntuacion!$D:$D,"Dependencia",Puntuacion!$G:$G,"NE")=0),1,0)</f>
        <v/>
      </c>
      <c r="AD39" s="5">
        <f>IF(AB39=0,"NA",IF(AC39=0,"NE",AVERAGEIFS(Puntuacion!$G:$G,Puntuacion!$A:$A,$A39,Puntuacion!$C:$C,$C39,Puntuacion!$D:$D,"Dependencia",Puntuacion!$G:$G,"&lt;&gt;NA",Puntuacion!$G:$G,"&lt;&gt;NE")))</f>
        <v/>
      </c>
      <c r="AE39" s="5">
        <f>IFERROR(100*(E39*Pesos!$B$2+H39*Pesos!$B$3+K39*Pesos!$B$4+N39*Pesos!$B$5+Q39*Pesos!$B$6+T39*Pesos!$B$7+W39*Pesos!$B$8+Z39*Pesos!$B$9+AC39*Pesos!$B$10)/(D39*Pesos!$B$2+G39*Pesos!$B$3+J39*Pesos!$B$4+M39*Pesos!$B$5+P39*Pesos!$B$6+S39*Pesos!$B$7+V39*Pesos!$B$8+Y39*Pesos!$B$9+AB39*Pesos!$B$10),"Sin criterios aplicables")</f>
        <v/>
      </c>
      <c r="AF39" s="5">
        <f>IFERROR(100*(E39*Pesos!$C$2+H39*Pesos!$C$3+K39*Pesos!$C$4+N39*Pesos!$C$5+Q39*Pesos!$C$6+T39*Pesos!$C$7+W39*Pesos!$C$8+Z39*Pesos!$C$9+AC39*Pesos!$C$10)/(D39*Pesos!$C$2+G39*Pesos!$C$3+J39*Pesos!$C$4+M39*Pesos!$C$5+P39*Pesos!$C$6+S39*Pesos!$C$7+V39*Pesos!$C$8+Y39*Pesos!$C$9+AB39*Pesos!$C$10),"Sin criterios aplicables")</f>
        <v/>
      </c>
      <c r="AG39" s="5">
        <f>IF(OR(AE39="Sin criterios aplicables",AE39&lt;70),"Insufficient evidence",100*(Pesos!$B$2*IF(E39=1,F39,0)+Pesos!$B$3*IF(H39=1,I39,0)+Pesos!$B$4*IF(K39=1,L39,0)+Pesos!$B$5*IF(N39=1,O39,0)+Pesos!$B$6*IF(Q39=1,R39,0)+Pesos!$B$7*IF(T39=1,U39,0)+Pesos!$B$8*IF(W39=1,X39,0)+Pesos!$B$9*IF(Z39=1,AA39,0)+Pesos!$B$10*IF(AC39=1,AD39,0))/(3*(Pesos!$B$2*E39+Pesos!$B$3*H39+Pesos!$B$4*K39+Pesos!$B$5*N39+Pesos!$B$6*Q39+Pesos!$B$7*T39+Pesos!$B$8*W39+Pesos!$B$9*Z39+Pesos!$B$10*AC39)))</f>
        <v/>
      </c>
      <c r="AH39" s="5">
        <f>IF(OR(AF39="Sin criterios aplicables",AF39&lt;70),"Insufficient evidence",100*(Pesos!$C$2*IF(E39=1,F39,0)+Pesos!$C$3*IF(H39=1,I39,0)+Pesos!$C$4*IF(K39=1,L39,0)+Pesos!$C$5*IF(N39=1,O39,0)+Pesos!$C$6*IF(Q39=1,R39,0)+Pesos!$C$7*IF(T39=1,U39,0)+Pesos!$C$8*IF(W39=1,X39,0)+Pesos!$C$9*IF(Z39=1,AA39,0)+Pesos!$C$10*IF(AC39=1,AD39,0))/(3*(Pesos!$C$2*E39+Pesos!$C$3*H39+Pesos!$C$4*K39+Pesos!$C$5*N39+Pesos!$C$6*Q39+Pesos!$C$7*T39+Pesos!$C$8*W39+Pesos!$C$9*Z39+Pesos!$C$10*AC39)))</f>
        <v/>
      </c>
      <c r="AI39">
        <f>IF(AG39="Insufficient evidence","Insufficient evidence (cobertura&lt;70%)",IF(AG39&lt;50/3,"Insufficient",IF(AG39&lt;50,"Basic",IF(AG39&lt;250/3,"Solid","Advanced"))))</f>
        <v/>
      </c>
      <c r="AJ39">
        <f>IF(AH39="Insufficient evidence","Insufficient evidence (cobertura&lt;70%)",IF(AH39&lt;50/3,"Insufficient",IF(AH39&lt;50,"Basic",IF(AH39&lt;250/3,"Solid","Advanced"))))</f>
        <v/>
      </c>
      <c r="AK39">
        <f>IF(TRIM(IF(AND(ISNUMBER(I39),I39&lt;1),"Asignación","") &amp; " " &amp; IF(AND(ISNUMBER(F39),F39&lt;1),"Visibilidad",""))="","Ninguno",TRIM(IF(AND(ISNUMBER(I39),I39&lt;1),"Asignación","") &amp; " " &amp; IF(AND(ISNUMBER(F39),F39&lt;1),"Visibilidad","")))</f>
        <v/>
      </c>
    </row>
    <row r="40">
      <c r="A40" t="inlineStr">
        <is>
          <t>E5</t>
        </is>
      </c>
      <c r="B40" t="inlineStr">
        <is>
          <t>Cloud nativa</t>
        </is>
      </c>
      <c r="C40" t="inlineStr">
        <is>
          <t>Google Cloud FinOps Hub</t>
        </is>
      </c>
      <c r="D40">
        <f>IF(COUNTIFS(Puntuacion!$A:$A,$A40,Puntuacion!$C:$C,$C40,Puntuacion!$D:$D,"Visibilidad",Puntuacion!$G:$G,"&lt;&gt;NA")&gt;0,1,0)</f>
        <v/>
      </c>
      <c r="E40">
        <f>IF(AND(D40=1,COUNTIFS(Puntuacion!$A:$A,$A40,Puntuacion!$C:$C,$C40,Puntuacion!$D:$D,"Visibilidad",Puntuacion!$G:$G,"NE")=0),1,0)</f>
        <v/>
      </c>
      <c r="F40" s="5">
        <f>IF(D40=0,"NA",IF(E40=0,"NE",AVERAGEIFS(Puntuacion!$G:$G,Puntuacion!$A:$A,$A40,Puntuacion!$C:$C,$C40,Puntuacion!$D:$D,"Visibilidad",Puntuacion!$G:$G,"&lt;&gt;NA",Puntuacion!$G:$G,"&lt;&gt;NE")))</f>
        <v/>
      </c>
      <c r="G40">
        <f>IF(COUNTIFS(Puntuacion!$A:$A,$A40,Puntuacion!$C:$C,$C40,Puntuacion!$D:$D,"Asignacion",Puntuacion!$G:$G,"&lt;&gt;NA")&gt;0,1,0)</f>
        <v/>
      </c>
      <c r="H40">
        <f>IF(AND(G40=1,COUNTIFS(Puntuacion!$A:$A,$A40,Puntuacion!$C:$C,$C40,Puntuacion!$D:$D,"Asignacion",Puntuacion!$G:$G,"NE")=0),1,0)</f>
        <v/>
      </c>
      <c r="I40" s="5">
        <f>IF(G40=0,"NA",IF(H40=0,"NE",AVERAGEIFS(Puntuacion!$G:$G,Puntuacion!$A:$A,$A40,Puntuacion!$C:$C,$C40,Puntuacion!$D:$D,"Asignacion",Puntuacion!$G:$G,"&lt;&gt;NA",Puntuacion!$G:$G,"&lt;&gt;NE")))</f>
        <v/>
      </c>
      <c r="J40">
        <f>IF(COUNTIFS(Puntuacion!$A:$A,$A40,Puntuacion!$C:$C,$C40,Puntuacion!$D:$D,"Optimizacion",Puntuacion!$G:$G,"&lt;&gt;NA")&gt;0,1,0)</f>
        <v/>
      </c>
      <c r="K40">
        <f>IF(AND(J40=1,COUNTIFS(Puntuacion!$A:$A,$A40,Puntuacion!$C:$C,$C40,Puntuacion!$D:$D,"Optimizacion",Puntuacion!$G:$G,"NE")=0),1,0)</f>
        <v/>
      </c>
      <c r="L40" s="5">
        <f>IF(J40=0,"NA",IF(K40=0,"NE",AVERAGEIFS(Puntuacion!$G:$G,Puntuacion!$A:$A,$A40,Puntuacion!$C:$C,$C40,Puntuacion!$D:$D,"Optimizacion",Puntuacion!$G:$G,"&lt;&gt;NA",Puntuacion!$G:$G,"&lt;&gt;NE")))</f>
        <v/>
      </c>
      <c r="M40">
        <f>IF(COUNTIFS(Puntuacion!$A:$A,$A40,Puntuacion!$C:$C,$C40,Puntuacion!$D:$D,"Automatizacion",Puntuacion!$G:$G,"&lt;&gt;NA")&gt;0,1,0)</f>
        <v/>
      </c>
      <c r="N40">
        <f>IF(AND(M40=1,COUNTIFS(Puntuacion!$A:$A,$A40,Puntuacion!$C:$C,$C40,Puntuacion!$D:$D,"Automatizacion",Puntuacion!$G:$G,"NE")=0),1,0)</f>
        <v/>
      </c>
      <c r="O40" s="5">
        <f>IF(M40=0,"NA",IF(N40=0,"NE",AVERAGEIFS(Puntuacion!$G:$G,Puntuacion!$A:$A,$A40,Puntuacion!$C:$C,$C40,Puntuacion!$D:$D,"Automatizacion",Puntuacion!$G:$G,"&lt;&gt;NA",Puntuacion!$G:$G,"&lt;&gt;NE")))</f>
        <v/>
      </c>
      <c r="P40">
        <f>IF(COUNTIFS(Puntuacion!$A:$A,$A40,Puntuacion!$C:$C,$C40,Puntuacion!$D:$D,"Multicloud",Puntuacion!$G:$G,"&lt;&gt;NA")&gt;0,1,0)</f>
        <v/>
      </c>
      <c r="Q40">
        <f>IF(AND(P40=1,COUNTIFS(Puntuacion!$A:$A,$A40,Puntuacion!$C:$C,$C40,Puntuacion!$D:$D,"Multicloud",Puntuacion!$G:$G,"NE")=0),1,0)</f>
        <v/>
      </c>
      <c r="R40" s="5">
        <f>IF(P40=0,"NA",IF(Q40=0,"NE",AVERAGEIFS(Puntuacion!$G:$G,Puntuacion!$A:$A,$A40,Puntuacion!$C:$C,$C40,Puntuacion!$D:$D,"Multicloud",Puntuacion!$G:$G,"&lt;&gt;NA",Puntuacion!$G:$G,"&lt;&gt;NE")))</f>
        <v/>
      </c>
      <c r="S40">
        <f>IF(COUNTIFS(Puntuacion!$A:$A,$A40,Puntuacion!$C:$C,$C40,Puntuacion!$D:$D,"Integracion",Puntuacion!$G:$G,"&lt;&gt;NA")&gt;0,1,0)</f>
        <v/>
      </c>
      <c r="T40">
        <f>IF(AND(S40=1,COUNTIFS(Puntuacion!$A:$A,$A40,Puntuacion!$C:$C,$C40,Puntuacion!$D:$D,"Integracion",Puntuacion!$G:$G,"NE")=0),1,0)</f>
        <v/>
      </c>
      <c r="U40" s="5">
        <f>IF(S40=0,"NA",IF(T40=0,"NE",AVERAGEIFS(Puntuacion!$G:$G,Puntuacion!$A:$A,$A40,Puntuacion!$C:$C,$C40,Puntuacion!$D:$D,"Integracion",Puntuacion!$G:$G,"&lt;&gt;NA",Puntuacion!$G:$G,"&lt;&gt;NE")))</f>
        <v/>
      </c>
      <c r="V40">
        <f>IF(COUNTIFS(Puntuacion!$A:$A,$A40,Puntuacion!$C:$C,$C40,Puntuacion!$D:$D,"Adopcion",Puntuacion!$G:$G,"&lt;&gt;NA")&gt;0,1,0)</f>
        <v/>
      </c>
      <c r="W40">
        <f>IF(AND(V40=1,COUNTIFS(Puntuacion!$A:$A,$A40,Puntuacion!$C:$C,$C40,Puntuacion!$D:$D,"Adopcion",Puntuacion!$G:$G,"NE")=0),1,0)</f>
        <v/>
      </c>
      <c r="X40" s="5">
        <f>IF(V40=0,"NA",IF(W40=0,"NE",AVERAGEIFS(Puntuacion!$G:$G,Puntuacion!$A:$A,$A40,Puntuacion!$C:$C,$C40,Puntuacion!$D:$D,"Adopcion",Puntuacion!$G:$G,"&lt;&gt;NA",Puntuacion!$G:$G,"&lt;&gt;NE")))</f>
        <v/>
      </c>
      <c r="Y40">
        <f>IF(COUNTIFS(Puntuacion!$A:$A,$A40,Puntuacion!$C:$C,$C40,Puntuacion!$D:$D,"Precio",Puntuacion!$G:$G,"&lt;&gt;NA")&gt;0,1,0)</f>
        <v/>
      </c>
      <c r="Z40">
        <f>IF(AND(Y40=1,COUNTIFS(Puntuacion!$A:$A,$A40,Puntuacion!$C:$C,$C40,Puntuacion!$D:$D,"Precio",Puntuacion!$G:$G,"NE")=0),1,0)</f>
        <v/>
      </c>
      <c r="AA40" s="5">
        <f>IF(Y40=0,"NA",IF(Z40=0,"NE",AVERAGEIFS(Puntuacion!$G:$G,Puntuacion!$A:$A,$A40,Puntuacion!$C:$C,$C40,Puntuacion!$D:$D,"Precio",Puntuacion!$G:$G,"&lt;&gt;NA",Puntuacion!$G:$G,"&lt;&gt;NE")))</f>
        <v/>
      </c>
      <c r="AB40">
        <f>IF(COUNTIFS(Puntuacion!$A:$A,$A40,Puntuacion!$C:$C,$C40,Puntuacion!$D:$D,"Dependencia",Puntuacion!$G:$G,"&lt;&gt;NA")&gt;0,1,0)</f>
        <v/>
      </c>
      <c r="AC40">
        <f>IF(AND(AB40=1,COUNTIFS(Puntuacion!$A:$A,$A40,Puntuacion!$C:$C,$C40,Puntuacion!$D:$D,"Dependencia",Puntuacion!$G:$G,"NE")=0),1,0)</f>
        <v/>
      </c>
      <c r="AD40" s="5">
        <f>IF(AB40=0,"NA",IF(AC40=0,"NE",AVERAGEIFS(Puntuacion!$G:$G,Puntuacion!$A:$A,$A40,Puntuacion!$C:$C,$C40,Puntuacion!$D:$D,"Dependencia",Puntuacion!$G:$G,"&lt;&gt;NA",Puntuacion!$G:$G,"&lt;&gt;NE")))</f>
        <v/>
      </c>
      <c r="AE40" s="5">
        <f>IFERROR(100*(E40*Pesos!$B$2+H40*Pesos!$B$3+K40*Pesos!$B$4+N40*Pesos!$B$5+Q40*Pesos!$B$6+T40*Pesos!$B$7+W40*Pesos!$B$8+Z40*Pesos!$B$9+AC40*Pesos!$B$10)/(D40*Pesos!$B$2+G40*Pesos!$B$3+J40*Pesos!$B$4+M40*Pesos!$B$5+P40*Pesos!$B$6+S40*Pesos!$B$7+V40*Pesos!$B$8+Y40*Pesos!$B$9+AB40*Pesos!$B$10),"Sin criterios aplicables")</f>
        <v/>
      </c>
      <c r="AF40" s="5">
        <f>IFERROR(100*(E40*Pesos!$C$2+H40*Pesos!$C$3+K40*Pesos!$C$4+N40*Pesos!$C$5+Q40*Pesos!$C$6+T40*Pesos!$C$7+W40*Pesos!$C$8+Z40*Pesos!$C$9+AC40*Pesos!$C$10)/(D40*Pesos!$C$2+G40*Pesos!$C$3+J40*Pesos!$C$4+M40*Pesos!$C$5+P40*Pesos!$C$6+S40*Pesos!$C$7+V40*Pesos!$C$8+Y40*Pesos!$C$9+AB40*Pesos!$C$10),"Sin criterios aplicables")</f>
        <v/>
      </c>
      <c r="AG40" s="5">
        <f>IF(OR(AE40="Sin criterios aplicables",AE40&lt;70),"Insufficient evidence",100*(Pesos!$B$2*IF(E40=1,F40,0)+Pesos!$B$3*IF(H40=1,I40,0)+Pesos!$B$4*IF(K40=1,L40,0)+Pesos!$B$5*IF(N40=1,O40,0)+Pesos!$B$6*IF(Q40=1,R40,0)+Pesos!$B$7*IF(T40=1,U40,0)+Pesos!$B$8*IF(W40=1,X40,0)+Pesos!$B$9*IF(Z40=1,AA40,0)+Pesos!$B$10*IF(AC40=1,AD40,0))/(3*(Pesos!$B$2*E40+Pesos!$B$3*H40+Pesos!$B$4*K40+Pesos!$B$5*N40+Pesos!$B$6*Q40+Pesos!$B$7*T40+Pesos!$B$8*W40+Pesos!$B$9*Z40+Pesos!$B$10*AC40)))</f>
        <v/>
      </c>
      <c r="AH40" s="5">
        <f>IF(OR(AF40="Sin criterios aplicables",AF40&lt;70),"Insufficient evidence",100*(Pesos!$C$2*IF(E40=1,F40,0)+Pesos!$C$3*IF(H40=1,I40,0)+Pesos!$C$4*IF(K40=1,L40,0)+Pesos!$C$5*IF(N40=1,O40,0)+Pesos!$C$6*IF(Q40=1,R40,0)+Pesos!$C$7*IF(T40=1,U40,0)+Pesos!$C$8*IF(W40=1,X40,0)+Pesos!$C$9*IF(Z40=1,AA40,0)+Pesos!$C$10*IF(AC40=1,AD40,0))/(3*(Pesos!$C$2*E40+Pesos!$C$3*H40+Pesos!$C$4*K40+Pesos!$C$5*N40+Pesos!$C$6*Q40+Pesos!$C$7*T40+Pesos!$C$8*W40+Pesos!$C$9*Z40+Pesos!$C$10*AC40)))</f>
        <v/>
      </c>
      <c r="AI40">
        <f>IF(AG40="Insufficient evidence","Insufficient evidence (cobertura&lt;70%)",IF(AG40&lt;50/3,"Insufficient",IF(AG40&lt;50,"Basic",IF(AG40&lt;250/3,"Solid","Advanced"))))</f>
        <v/>
      </c>
      <c r="AJ40">
        <f>IF(AH40="Insufficient evidence","Insufficient evidence (cobertura&lt;70%)",IF(AH40&lt;50/3,"Insufficient",IF(AH40&lt;50,"Basic",IF(AH40&lt;250/3,"Solid","Advanced"))))</f>
        <v/>
      </c>
      <c r="AK40">
        <f>IF(TRIM(IF(AND(ISNUMBER(I40),I40&lt;1),"Asignación","") &amp; " " &amp; IF(AND(ISNUMBER(F40),F40&lt;1),"Visibilidad",""))="","Ninguno",TRIM(IF(AND(ISNUMBER(I40),I40&lt;1),"Asignación","") &amp; " " &amp; IF(AND(ISNUMBER(F40),F40&lt;1),"Visibilidad","")))</f>
        <v/>
      </c>
    </row>
    <row r="41">
      <c r="A41" t="inlineStr">
        <is>
          <t>E5</t>
        </is>
      </c>
      <c r="B41" t="inlineStr">
        <is>
          <t>Kubernetes</t>
        </is>
      </c>
      <c r="C41" t="inlineStr">
        <is>
          <t>Cast AI</t>
        </is>
      </c>
      <c r="D41">
        <f>IF(COUNTIFS(Puntuacion!$A:$A,$A41,Puntuacion!$C:$C,$C41,Puntuacion!$D:$D,"Visibilidad",Puntuacion!$G:$G,"&lt;&gt;NA")&gt;0,1,0)</f>
        <v/>
      </c>
      <c r="E41">
        <f>IF(AND(D41=1,COUNTIFS(Puntuacion!$A:$A,$A41,Puntuacion!$C:$C,$C41,Puntuacion!$D:$D,"Visibilidad",Puntuacion!$G:$G,"NE")=0),1,0)</f>
        <v/>
      </c>
      <c r="F41" s="5">
        <f>IF(D41=0,"NA",IF(E41=0,"NE",AVERAGEIFS(Puntuacion!$G:$G,Puntuacion!$A:$A,$A41,Puntuacion!$C:$C,$C41,Puntuacion!$D:$D,"Visibilidad",Puntuacion!$G:$G,"&lt;&gt;NA",Puntuacion!$G:$G,"&lt;&gt;NE")))</f>
        <v/>
      </c>
      <c r="G41">
        <f>IF(COUNTIFS(Puntuacion!$A:$A,$A41,Puntuacion!$C:$C,$C41,Puntuacion!$D:$D,"Asignacion",Puntuacion!$G:$G,"&lt;&gt;NA")&gt;0,1,0)</f>
        <v/>
      </c>
      <c r="H41">
        <f>IF(AND(G41=1,COUNTIFS(Puntuacion!$A:$A,$A41,Puntuacion!$C:$C,$C41,Puntuacion!$D:$D,"Asignacion",Puntuacion!$G:$G,"NE")=0),1,0)</f>
        <v/>
      </c>
      <c r="I41" s="5">
        <f>IF(G41=0,"NA",IF(H41=0,"NE",AVERAGEIFS(Puntuacion!$G:$G,Puntuacion!$A:$A,$A41,Puntuacion!$C:$C,$C41,Puntuacion!$D:$D,"Asignacion",Puntuacion!$G:$G,"&lt;&gt;NA",Puntuacion!$G:$G,"&lt;&gt;NE")))</f>
        <v/>
      </c>
      <c r="J41">
        <f>IF(COUNTIFS(Puntuacion!$A:$A,$A41,Puntuacion!$C:$C,$C41,Puntuacion!$D:$D,"Optimizacion",Puntuacion!$G:$G,"&lt;&gt;NA")&gt;0,1,0)</f>
        <v/>
      </c>
      <c r="K41">
        <f>IF(AND(J41=1,COUNTIFS(Puntuacion!$A:$A,$A41,Puntuacion!$C:$C,$C41,Puntuacion!$D:$D,"Optimizacion",Puntuacion!$G:$G,"NE")=0),1,0)</f>
        <v/>
      </c>
      <c r="L41" s="5">
        <f>IF(J41=0,"NA",IF(K41=0,"NE",AVERAGEIFS(Puntuacion!$G:$G,Puntuacion!$A:$A,$A41,Puntuacion!$C:$C,$C41,Puntuacion!$D:$D,"Optimizacion",Puntuacion!$G:$G,"&lt;&gt;NA",Puntuacion!$G:$G,"&lt;&gt;NE")))</f>
        <v/>
      </c>
      <c r="M41">
        <f>IF(COUNTIFS(Puntuacion!$A:$A,$A41,Puntuacion!$C:$C,$C41,Puntuacion!$D:$D,"Automatizacion",Puntuacion!$G:$G,"&lt;&gt;NA")&gt;0,1,0)</f>
        <v/>
      </c>
      <c r="N41">
        <f>IF(AND(M41=1,COUNTIFS(Puntuacion!$A:$A,$A41,Puntuacion!$C:$C,$C41,Puntuacion!$D:$D,"Automatizacion",Puntuacion!$G:$G,"NE")=0),1,0)</f>
        <v/>
      </c>
      <c r="O41" s="5">
        <f>IF(M41=0,"NA",IF(N41=0,"NE",AVERAGEIFS(Puntuacion!$G:$G,Puntuacion!$A:$A,$A41,Puntuacion!$C:$C,$C41,Puntuacion!$D:$D,"Automatizacion",Puntuacion!$G:$G,"&lt;&gt;NA",Puntuacion!$G:$G,"&lt;&gt;NE")))</f>
        <v/>
      </c>
      <c r="P41">
        <f>IF(COUNTIFS(Puntuacion!$A:$A,$A41,Puntuacion!$C:$C,$C41,Puntuacion!$D:$D,"Multicloud",Puntuacion!$G:$G,"&lt;&gt;NA")&gt;0,1,0)</f>
        <v/>
      </c>
      <c r="Q41">
        <f>IF(AND(P41=1,COUNTIFS(Puntuacion!$A:$A,$A41,Puntuacion!$C:$C,$C41,Puntuacion!$D:$D,"Multicloud",Puntuacion!$G:$G,"NE")=0),1,0)</f>
        <v/>
      </c>
      <c r="R41" s="5">
        <f>IF(P41=0,"NA",IF(Q41=0,"NE",AVERAGEIFS(Puntuacion!$G:$G,Puntuacion!$A:$A,$A41,Puntuacion!$C:$C,$C41,Puntuacion!$D:$D,"Multicloud",Puntuacion!$G:$G,"&lt;&gt;NA",Puntuacion!$G:$G,"&lt;&gt;NE")))</f>
        <v/>
      </c>
      <c r="S41">
        <f>IF(COUNTIFS(Puntuacion!$A:$A,$A41,Puntuacion!$C:$C,$C41,Puntuacion!$D:$D,"Integracion",Puntuacion!$G:$G,"&lt;&gt;NA")&gt;0,1,0)</f>
        <v/>
      </c>
      <c r="T41">
        <f>IF(AND(S41=1,COUNTIFS(Puntuacion!$A:$A,$A41,Puntuacion!$C:$C,$C41,Puntuacion!$D:$D,"Integracion",Puntuacion!$G:$G,"NE")=0),1,0)</f>
        <v/>
      </c>
      <c r="U41" s="5">
        <f>IF(S41=0,"NA",IF(T41=0,"NE",AVERAGEIFS(Puntuacion!$G:$G,Puntuacion!$A:$A,$A41,Puntuacion!$C:$C,$C41,Puntuacion!$D:$D,"Integracion",Puntuacion!$G:$G,"&lt;&gt;NA",Puntuacion!$G:$G,"&lt;&gt;NE")))</f>
        <v/>
      </c>
      <c r="V41">
        <f>IF(COUNTIFS(Puntuacion!$A:$A,$A41,Puntuacion!$C:$C,$C41,Puntuacion!$D:$D,"Adopcion",Puntuacion!$G:$G,"&lt;&gt;NA")&gt;0,1,0)</f>
        <v/>
      </c>
      <c r="W41">
        <f>IF(AND(V41=1,COUNTIFS(Puntuacion!$A:$A,$A41,Puntuacion!$C:$C,$C41,Puntuacion!$D:$D,"Adopcion",Puntuacion!$G:$G,"NE")=0),1,0)</f>
        <v/>
      </c>
      <c r="X41" s="5">
        <f>IF(V41=0,"NA",IF(W41=0,"NE",AVERAGEIFS(Puntuacion!$G:$G,Puntuacion!$A:$A,$A41,Puntuacion!$C:$C,$C41,Puntuacion!$D:$D,"Adopcion",Puntuacion!$G:$G,"&lt;&gt;NA",Puntuacion!$G:$G,"&lt;&gt;NE")))</f>
        <v/>
      </c>
      <c r="Y41">
        <f>IF(COUNTIFS(Puntuacion!$A:$A,$A41,Puntuacion!$C:$C,$C41,Puntuacion!$D:$D,"Precio",Puntuacion!$G:$G,"&lt;&gt;NA")&gt;0,1,0)</f>
        <v/>
      </c>
      <c r="Z41">
        <f>IF(AND(Y41=1,COUNTIFS(Puntuacion!$A:$A,$A41,Puntuacion!$C:$C,$C41,Puntuacion!$D:$D,"Precio",Puntuacion!$G:$G,"NE")=0),1,0)</f>
        <v/>
      </c>
      <c r="AA41" s="5">
        <f>IF(Y41=0,"NA",IF(Z41=0,"NE",AVERAGEIFS(Puntuacion!$G:$G,Puntuacion!$A:$A,$A41,Puntuacion!$C:$C,$C41,Puntuacion!$D:$D,"Precio",Puntuacion!$G:$G,"&lt;&gt;NA",Puntuacion!$G:$G,"&lt;&gt;NE")))</f>
        <v/>
      </c>
      <c r="AB41">
        <f>IF(COUNTIFS(Puntuacion!$A:$A,$A41,Puntuacion!$C:$C,$C41,Puntuacion!$D:$D,"Dependencia",Puntuacion!$G:$G,"&lt;&gt;NA")&gt;0,1,0)</f>
        <v/>
      </c>
      <c r="AC41">
        <f>IF(AND(AB41=1,COUNTIFS(Puntuacion!$A:$A,$A41,Puntuacion!$C:$C,$C41,Puntuacion!$D:$D,"Dependencia",Puntuacion!$G:$G,"NE")=0),1,0)</f>
        <v/>
      </c>
      <c r="AD41" s="5">
        <f>IF(AB41=0,"NA",IF(AC41=0,"NE",AVERAGEIFS(Puntuacion!$G:$G,Puntuacion!$A:$A,$A41,Puntuacion!$C:$C,$C41,Puntuacion!$D:$D,"Dependencia",Puntuacion!$G:$G,"&lt;&gt;NA",Puntuacion!$G:$G,"&lt;&gt;NE")))</f>
        <v/>
      </c>
      <c r="AE41" s="5">
        <f>IFERROR(100*(E41*Pesos!$B$2+H41*Pesos!$B$3+K41*Pesos!$B$4+N41*Pesos!$B$5+Q41*Pesos!$B$6+T41*Pesos!$B$7+W41*Pesos!$B$8+Z41*Pesos!$B$9+AC41*Pesos!$B$10)/(D41*Pesos!$B$2+G41*Pesos!$B$3+J41*Pesos!$B$4+M41*Pesos!$B$5+P41*Pesos!$B$6+S41*Pesos!$B$7+V41*Pesos!$B$8+Y41*Pesos!$B$9+AB41*Pesos!$B$10),"Sin criterios aplicables")</f>
        <v/>
      </c>
      <c r="AF41" s="5">
        <f>IFERROR(100*(E41*Pesos!$C$2+H41*Pesos!$C$3+K41*Pesos!$C$4+N41*Pesos!$C$5+Q41*Pesos!$C$6+T41*Pesos!$C$7+W41*Pesos!$C$8+Z41*Pesos!$C$9+AC41*Pesos!$C$10)/(D41*Pesos!$C$2+G41*Pesos!$C$3+J41*Pesos!$C$4+M41*Pesos!$C$5+P41*Pesos!$C$6+S41*Pesos!$C$7+V41*Pesos!$C$8+Y41*Pesos!$C$9+AB41*Pesos!$C$10),"Sin criterios aplicables")</f>
        <v/>
      </c>
      <c r="AG41" s="5">
        <f>IF(OR(AE41="Sin criterios aplicables",AE41&lt;70),"Insufficient evidence",100*(Pesos!$B$2*IF(E41=1,F41,0)+Pesos!$B$3*IF(H41=1,I41,0)+Pesos!$B$4*IF(K41=1,L41,0)+Pesos!$B$5*IF(N41=1,O41,0)+Pesos!$B$6*IF(Q41=1,R41,0)+Pesos!$B$7*IF(T41=1,U41,0)+Pesos!$B$8*IF(W41=1,X41,0)+Pesos!$B$9*IF(Z41=1,AA41,0)+Pesos!$B$10*IF(AC41=1,AD41,0))/(3*(Pesos!$B$2*E41+Pesos!$B$3*H41+Pesos!$B$4*K41+Pesos!$B$5*N41+Pesos!$B$6*Q41+Pesos!$B$7*T41+Pesos!$B$8*W41+Pesos!$B$9*Z41+Pesos!$B$10*AC41)))</f>
        <v/>
      </c>
      <c r="AH41" s="5">
        <f>IF(OR(AF41="Sin criterios aplicables",AF41&lt;70),"Insufficient evidence",100*(Pesos!$C$2*IF(E41=1,F41,0)+Pesos!$C$3*IF(H41=1,I41,0)+Pesos!$C$4*IF(K41=1,L41,0)+Pesos!$C$5*IF(N41=1,O41,0)+Pesos!$C$6*IF(Q41=1,R41,0)+Pesos!$C$7*IF(T41=1,U41,0)+Pesos!$C$8*IF(W41=1,X41,0)+Pesos!$C$9*IF(Z41=1,AA41,0)+Pesos!$C$10*IF(AC41=1,AD41,0))/(3*(Pesos!$C$2*E41+Pesos!$C$3*H41+Pesos!$C$4*K41+Pesos!$C$5*N41+Pesos!$C$6*Q41+Pesos!$C$7*T41+Pesos!$C$8*W41+Pesos!$C$9*Z41+Pesos!$C$10*AC41)))</f>
        <v/>
      </c>
      <c r="AI41">
        <f>IF(AG41="Insufficient evidence","Insufficient evidence (cobertura&lt;70%)",IF(AG41&lt;50/3,"Insufficient",IF(AG41&lt;50,"Basic",IF(AG41&lt;250/3,"Solid","Advanced"))))</f>
        <v/>
      </c>
      <c r="AJ41">
        <f>IF(AH41="Insufficient evidence","Insufficient evidence (cobertura&lt;70%)",IF(AH41&lt;50/3,"Insufficient",IF(AH41&lt;50,"Basic",IF(AH41&lt;250/3,"Solid","Advanced"))))</f>
        <v/>
      </c>
      <c r="AK41">
        <f>IF(TRIM(IF(AND(ISNUMBER(I41),I41&lt;1),"Asignación","") &amp; " " &amp; IF(AND(ISNUMBER(F41),F41&lt;1),"Visibilidad",""))="","Ninguno",TRIM(IF(AND(ISNUMBER(I41),I41&lt;1),"Asignación","") &amp; " " &amp; IF(AND(ISNUMBER(F41),F41&lt;1),"Visibilidad","")))</f>
        <v/>
      </c>
    </row>
    <row r="42">
      <c r="A42" t="inlineStr">
        <is>
          <t>E5</t>
        </is>
      </c>
      <c r="B42" t="inlineStr">
        <is>
          <t>Kubernetes</t>
        </is>
      </c>
      <c r="C42" t="inlineStr">
        <is>
          <t>Kubecost</t>
        </is>
      </c>
      <c r="D42">
        <f>IF(COUNTIFS(Puntuacion!$A:$A,$A42,Puntuacion!$C:$C,$C42,Puntuacion!$D:$D,"Visibilidad",Puntuacion!$G:$G,"&lt;&gt;NA")&gt;0,1,0)</f>
        <v/>
      </c>
      <c r="E42">
        <f>IF(AND(D42=1,COUNTIFS(Puntuacion!$A:$A,$A42,Puntuacion!$C:$C,$C42,Puntuacion!$D:$D,"Visibilidad",Puntuacion!$G:$G,"NE")=0),1,0)</f>
        <v/>
      </c>
      <c r="F42" s="5">
        <f>IF(D42=0,"NA",IF(E42=0,"NE",AVERAGEIFS(Puntuacion!$G:$G,Puntuacion!$A:$A,$A42,Puntuacion!$C:$C,$C42,Puntuacion!$D:$D,"Visibilidad",Puntuacion!$G:$G,"&lt;&gt;NA",Puntuacion!$G:$G,"&lt;&gt;NE")))</f>
        <v/>
      </c>
      <c r="G42">
        <f>IF(COUNTIFS(Puntuacion!$A:$A,$A42,Puntuacion!$C:$C,$C42,Puntuacion!$D:$D,"Asignacion",Puntuacion!$G:$G,"&lt;&gt;NA")&gt;0,1,0)</f>
        <v/>
      </c>
      <c r="H42">
        <f>IF(AND(G42=1,COUNTIFS(Puntuacion!$A:$A,$A42,Puntuacion!$C:$C,$C42,Puntuacion!$D:$D,"Asignacion",Puntuacion!$G:$G,"NE")=0),1,0)</f>
        <v/>
      </c>
      <c r="I42" s="5">
        <f>IF(G42=0,"NA",IF(H42=0,"NE",AVERAGEIFS(Puntuacion!$G:$G,Puntuacion!$A:$A,$A42,Puntuacion!$C:$C,$C42,Puntuacion!$D:$D,"Asignacion",Puntuacion!$G:$G,"&lt;&gt;NA",Puntuacion!$G:$G,"&lt;&gt;NE")))</f>
        <v/>
      </c>
      <c r="J42">
        <f>IF(COUNTIFS(Puntuacion!$A:$A,$A42,Puntuacion!$C:$C,$C42,Puntuacion!$D:$D,"Optimizacion",Puntuacion!$G:$G,"&lt;&gt;NA")&gt;0,1,0)</f>
        <v/>
      </c>
      <c r="K42">
        <f>IF(AND(J42=1,COUNTIFS(Puntuacion!$A:$A,$A42,Puntuacion!$C:$C,$C42,Puntuacion!$D:$D,"Optimizacion",Puntuacion!$G:$G,"NE")=0),1,0)</f>
        <v/>
      </c>
      <c r="L42" s="5">
        <f>IF(J42=0,"NA",IF(K42=0,"NE",AVERAGEIFS(Puntuacion!$G:$G,Puntuacion!$A:$A,$A42,Puntuacion!$C:$C,$C42,Puntuacion!$D:$D,"Optimizacion",Puntuacion!$G:$G,"&lt;&gt;NA",Puntuacion!$G:$G,"&lt;&gt;NE")))</f>
        <v/>
      </c>
      <c r="M42">
        <f>IF(COUNTIFS(Puntuacion!$A:$A,$A42,Puntuacion!$C:$C,$C42,Puntuacion!$D:$D,"Automatizacion",Puntuacion!$G:$G,"&lt;&gt;NA")&gt;0,1,0)</f>
        <v/>
      </c>
      <c r="N42">
        <f>IF(AND(M42=1,COUNTIFS(Puntuacion!$A:$A,$A42,Puntuacion!$C:$C,$C42,Puntuacion!$D:$D,"Automatizacion",Puntuacion!$G:$G,"NE")=0),1,0)</f>
        <v/>
      </c>
      <c r="O42" s="5">
        <f>IF(M42=0,"NA",IF(N42=0,"NE",AVERAGEIFS(Puntuacion!$G:$G,Puntuacion!$A:$A,$A42,Puntuacion!$C:$C,$C42,Puntuacion!$D:$D,"Automatizacion",Puntuacion!$G:$G,"&lt;&gt;NA",Puntuacion!$G:$G,"&lt;&gt;NE")))</f>
        <v/>
      </c>
      <c r="P42">
        <f>IF(COUNTIFS(Puntuacion!$A:$A,$A42,Puntuacion!$C:$C,$C42,Puntuacion!$D:$D,"Multicloud",Puntuacion!$G:$G,"&lt;&gt;NA")&gt;0,1,0)</f>
        <v/>
      </c>
      <c r="Q42">
        <f>IF(AND(P42=1,COUNTIFS(Puntuacion!$A:$A,$A42,Puntuacion!$C:$C,$C42,Puntuacion!$D:$D,"Multicloud",Puntuacion!$G:$G,"NE")=0),1,0)</f>
        <v/>
      </c>
      <c r="R42" s="5">
        <f>IF(P42=0,"NA",IF(Q42=0,"NE",AVERAGEIFS(Puntuacion!$G:$G,Puntuacion!$A:$A,$A42,Puntuacion!$C:$C,$C42,Puntuacion!$D:$D,"Multicloud",Puntuacion!$G:$G,"&lt;&gt;NA",Puntuacion!$G:$G,"&lt;&gt;NE")))</f>
        <v/>
      </c>
      <c r="S42">
        <f>IF(COUNTIFS(Puntuacion!$A:$A,$A42,Puntuacion!$C:$C,$C42,Puntuacion!$D:$D,"Integracion",Puntuacion!$G:$G,"&lt;&gt;NA")&gt;0,1,0)</f>
        <v/>
      </c>
      <c r="T42">
        <f>IF(AND(S42=1,COUNTIFS(Puntuacion!$A:$A,$A42,Puntuacion!$C:$C,$C42,Puntuacion!$D:$D,"Integracion",Puntuacion!$G:$G,"NE")=0),1,0)</f>
        <v/>
      </c>
      <c r="U42" s="5">
        <f>IF(S42=0,"NA",IF(T42=0,"NE",AVERAGEIFS(Puntuacion!$G:$G,Puntuacion!$A:$A,$A42,Puntuacion!$C:$C,$C42,Puntuacion!$D:$D,"Integracion",Puntuacion!$G:$G,"&lt;&gt;NA",Puntuacion!$G:$G,"&lt;&gt;NE")))</f>
        <v/>
      </c>
      <c r="V42">
        <f>IF(COUNTIFS(Puntuacion!$A:$A,$A42,Puntuacion!$C:$C,$C42,Puntuacion!$D:$D,"Adopcion",Puntuacion!$G:$G,"&lt;&gt;NA")&gt;0,1,0)</f>
        <v/>
      </c>
      <c r="W42">
        <f>IF(AND(V42=1,COUNTIFS(Puntuacion!$A:$A,$A42,Puntuacion!$C:$C,$C42,Puntuacion!$D:$D,"Adopcion",Puntuacion!$G:$G,"NE")=0),1,0)</f>
        <v/>
      </c>
      <c r="X42" s="5">
        <f>IF(V42=0,"NA",IF(W42=0,"NE",AVERAGEIFS(Puntuacion!$G:$G,Puntuacion!$A:$A,$A42,Puntuacion!$C:$C,$C42,Puntuacion!$D:$D,"Adopcion",Puntuacion!$G:$G,"&lt;&gt;NA",Puntuacion!$G:$G,"&lt;&gt;NE")))</f>
        <v/>
      </c>
      <c r="Y42">
        <f>IF(COUNTIFS(Puntuacion!$A:$A,$A42,Puntuacion!$C:$C,$C42,Puntuacion!$D:$D,"Precio",Puntuacion!$G:$G,"&lt;&gt;NA")&gt;0,1,0)</f>
        <v/>
      </c>
      <c r="Z42">
        <f>IF(AND(Y42=1,COUNTIFS(Puntuacion!$A:$A,$A42,Puntuacion!$C:$C,$C42,Puntuacion!$D:$D,"Precio",Puntuacion!$G:$G,"NE")=0),1,0)</f>
        <v/>
      </c>
      <c r="AA42" s="5">
        <f>IF(Y42=0,"NA",IF(Z42=0,"NE",AVERAGEIFS(Puntuacion!$G:$G,Puntuacion!$A:$A,$A42,Puntuacion!$C:$C,$C42,Puntuacion!$D:$D,"Precio",Puntuacion!$G:$G,"&lt;&gt;NA",Puntuacion!$G:$G,"&lt;&gt;NE")))</f>
        <v/>
      </c>
      <c r="AB42">
        <f>IF(COUNTIFS(Puntuacion!$A:$A,$A42,Puntuacion!$C:$C,$C42,Puntuacion!$D:$D,"Dependencia",Puntuacion!$G:$G,"&lt;&gt;NA")&gt;0,1,0)</f>
        <v/>
      </c>
      <c r="AC42">
        <f>IF(AND(AB42=1,COUNTIFS(Puntuacion!$A:$A,$A42,Puntuacion!$C:$C,$C42,Puntuacion!$D:$D,"Dependencia",Puntuacion!$G:$G,"NE")=0),1,0)</f>
        <v/>
      </c>
      <c r="AD42" s="5">
        <f>IF(AB42=0,"NA",IF(AC42=0,"NE",AVERAGEIFS(Puntuacion!$G:$G,Puntuacion!$A:$A,$A42,Puntuacion!$C:$C,$C42,Puntuacion!$D:$D,"Dependencia",Puntuacion!$G:$G,"&lt;&gt;NA",Puntuacion!$G:$G,"&lt;&gt;NE")))</f>
        <v/>
      </c>
      <c r="AE42" s="5">
        <f>IFERROR(100*(E42*Pesos!$B$2+H42*Pesos!$B$3+K42*Pesos!$B$4+N42*Pesos!$B$5+Q42*Pesos!$B$6+T42*Pesos!$B$7+W42*Pesos!$B$8+Z42*Pesos!$B$9+AC42*Pesos!$B$10)/(D42*Pesos!$B$2+G42*Pesos!$B$3+J42*Pesos!$B$4+M42*Pesos!$B$5+P42*Pesos!$B$6+S42*Pesos!$B$7+V42*Pesos!$B$8+Y42*Pesos!$B$9+AB42*Pesos!$B$10),"Sin criterios aplicables")</f>
        <v/>
      </c>
      <c r="AF42" s="5">
        <f>IFERROR(100*(E42*Pesos!$C$2+H42*Pesos!$C$3+K42*Pesos!$C$4+N42*Pesos!$C$5+Q42*Pesos!$C$6+T42*Pesos!$C$7+W42*Pesos!$C$8+Z42*Pesos!$C$9+AC42*Pesos!$C$10)/(D42*Pesos!$C$2+G42*Pesos!$C$3+J42*Pesos!$C$4+M42*Pesos!$C$5+P42*Pesos!$C$6+S42*Pesos!$C$7+V42*Pesos!$C$8+Y42*Pesos!$C$9+AB42*Pesos!$C$10),"Sin criterios aplicables")</f>
        <v/>
      </c>
      <c r="AG42" s="5">
        <f>IF(OR(AE42="Sin criterios aplicables",AE42&lt;70),"Insufficient evidence",100*(Pesos!$B$2*IF(E42=1,F42,0)+Pesos!$B$3*IF(H42=1,I42,0)+Pesos!$B$4*IF(K42=1,L42,0)+Pesos!$B$5*IF(N42=1,O42,0)+Pesos!$B$6*IF(Q42=1,R42,0)+Pesos!$B$7*IF(T42=1,U42,0)+Pesos!$B$8*IF(W42=1,X42,0)+Pesos!$B$9*IF(Z42=1,AA42,0)+Pesos!$B$10*IF(AC42=1,AD42,0))/(3*(Pesos!$B$2*E42+Pesos!$B$3*H42+Pesos!$B$4*K42+Pesos!$B$5*N42+Pesos!$B$6*Q42+Pesos!$B$7*T42+Pesos!$B$8*W42+Pesos!$B$9*Z42+Pesos!$B$10*AC42)))</f>
        <v/>
      </c>
      <c r="AH42" s="5">
        <f>IF(OR(AF42="Sin criterios aplicables",AF42&lt;70),"Insufficient evidence",100*(Pesos!$C$2*IF(E42=1,F42,0)+Pesos!$C$3*IF(H42=1,I42,0)+Pesos!$C$4*IF(K42=1,L42,0)+Pesos!$C$5*IF(N42=1,O42,0)+Pesos!$C$6*IF(Q42=1,R42,0)+Pesos!$C$7*IF(T42=1,U42,0)+Pesos!$C$8*IF(W42=1,X42,0)+Pesos!$C$9*IF(Z42=1,AA42,0)+Pesos!$C$10*IF(AC42=1,AD42,0))/(3*(Pesos!$C$2*E42+Pesos!$C$3*H42+Pesos!$C$4*K42+Pesos!$C$5*N42+Pesos!$C$6*Q42+Pesos!$C$7*T42+Pesos!$C$8*W42+Pesos!$C$9*Z42+Pesos!$C$10*AC42)))</f>
        <v/>
      </c>
      <c r="AI42">
        <f>IF(AG42="Insufficient evidence","Insufficient evidence (cobertura&lt;70%)",IF(AG42&lt;50/3,"Insufficient",IF(AG42&lt;50,"Basic",IF(AG42&lt;250/3,"Solid","Advanced"))))</f>
        <v/>
      </c>
      <c r="AJ42">
        <f>IF(AH42="Insufficient evidence","Insufficient evidence (cobertura&lt;70%)",IF(AH42&lt;50/3,"Insufficient",IF(AH42&lt;50,"Basic",IF(AH42&lt;250/3,"Solid","Advanced"))))</f>
        <v/>
      </c>
      <c r="AK42">
        <f>IF(TRIM(IF(AND(ISNUMBER(I42),I42&lt;1),"Asignación","") &amp; " " &amp; IF(AND(ISNUMBER(F42),F42&lt;1),"Visibilidad",""))="","Ninguno",TRIM(IF(AND(ISNUMBER(I42),I42&lt;1),"Asignación","") &amp; " " &amp; IF(AND(ISNUMBER(F42),F42&lt;1),"Visibilidad","")))</f>
        <v/>
      </c>
    </row>
    <row r="43">
      <c r="A43" t="inlineStr">
        <is>
          <t>E5</t>
        </is>
      </c>
      <c r="B43" t="inlineStr">
        <is>
          <t>Kubernetes</t>
        </is>
      </c>
      <c r="C43" t="inlineStr">
        <is>
          <t>OpenCost</t>
        </is>
      </c>
      <c r="D43">
        <f>IF(COUNTIFS(Puntuacion!$A:$A,$A43,Puntuacion!$C:$C,$C43,Puntuacion!$D:$D,"Visibilidad",Puntuacion!$G:$G,"&lt;&gt;NA")&gt;0,1,0)</f>
        <v/>
      </c>
      <c r="E43">
        <f>IF(AND(D43=1,COUNTIFS(Puntuacion!$A:$A,$A43,Puntuacion!$C:$C,$C43,Puntuacion!$D:$D,"Visibilidad",Puntuacion!$G:$G,"NE")=0),1,0)</f>
        <v/>
      </c>
      <c r="F43" s="5">
        <f>IF(D43=0,"NA",IF(E43=0,"NE",AVERAGEIFS(Puntuacion!$G:$G,Puntuacion!$A:$A,$A43,Puntuacion!$C:$C,$C43,Puntuacion!$D:$D,"Visibilidad",Puntuacion!$G:$G,"&lt;&gt;NA",Puntuacion!$G:$G,"&lt;&gt;NE")))</f>
        <v/>
      </c>
      <c r="G43">
        <f>IF(COUNTIFS(Puntuacion!$A:$A,$A43,Puntuacion!$C:$C,$C43,Puntuacion!$D:$D,"Asignacion",Puntuacion!$G:$G,"&lt;&gt;NA")&gt;0,1,0)</f>
        <v/>
      </c>
      <c r="H43">
        <f>IF(AND(G43=1,COUNTIFS(Puntuacion!$A:$A,$A43,Puntuacion!$C:$C,$C43,Puntuacion!$D:$D,"Asignacion",Puntuacion!$G:$G,"NE")=0),1,0)</f>
        <v/>
      </c>
      <c r="I43" s="5">
        <f>IF(G43=0,"NA",IF(H43=0,"NE",AVERAGEIFS(Puntuacion!$G:$G,Puntuacion!$A:$A,$A43,Puntuacion!$C:$C,$C43,Puntuacion!$D:$D,"Asignacion",Puntuacion!$G:$G,"&lt;&gt;NA",Puntuacion!$G:$G,"&lt;&gt;NE")))</f>
        <v/>
      </c>
      <c r="J43">
        <f>IF(COUNTIFS(Puntuacion!$A:$A,$A43,Puntuacion!$C:$C,$C43,Puntuacion!$D:$D,"Optimizacion",Puntuacion!$G:$G,"&lt;&gt;NA")&gt;0,1,0)</f>
        <v/>
      </c>
      <c r="K43">
        <f>IF(AND(J43=1,COUNTIFS(Puntuacion!$A:$A,$A43,Puntuacion!$C:$C,$C43,Puntuacion!$D:$D,"Optimizacion",Puntuacion!$G:$G,"NE")=0),1,0)</f>
        <v/>
      </c>
      <c r="L43" s="5">
        <f>IF(J43=0,"NA",IF(K43=0,"NE",AVERAGEIFS(Puntuacion!$G:$G,Puntuacion!$A:$A,$A43,Puntuacion!$C:$C,$C43,Puntuacion!$D:$D,"Optimizacion",Puntuacion!$G:$G,"&lt;&gt;NA",Puntuacion!$G:$G,"&lt;&gt;NE")))</f>
        <v/>
      </c>
      <c r="M43">
        <f>IF(COUNTIFS(Puntuacion!$A:$A,$A43,Puntuacion!$C:$C,$C43,Puntuacion!$D:$D,"Automatizacion",Puntuacion!$G:$G,"&lt;&gt;NA")&gt;0,1,0)</f>
        <v/>
      </c>
      <c r="N43">
        <f>IF(AND(M43=1,COUNTIFS(Puntuacion!$A:$A,$A43,Puntuacion!$C:$C,$C43,Puntuacion!$D:$D,"Automatizacion",Puntuacion!$G:$G,"NE")=0),1,0)</f>
        <v/>
      </c>
      <c r="O43" s="5">
        <f>IF(M43=0,"NA",IF(N43=0,"NE",AVERAGEIFS(Puntuacion!$G:$G,Puntuacion!$A:$A,$A43,Puntuacion!$C:$C,$C43,Puntuacion!$D:$D,"Automatizacion",Puntuacion!$G:$G,"&lt;&gt;NA",Puntuacion!$G:$G,"&lt;&gt;NE")))</f>
        <v/>
      </c>
      <c r="P43">
        <f>IF(COUNTIFS(Puntuacion!$A:$A,$A43,Puntuacion!$C:$C,$C43,Puntuacion!$D:$D,"Multicloud",Puntuacion!$G:$G,"&lt;&gt;NA")&gt;0,1,0)</f>
        <v/>
      </c>
      <c r="Q43">
        <f>IF(AND(P43=1,COUNTIFS(Puntuacion!$A:$A,$A43,Puntuacion!$C:$C,$C43,Puntuacion!$D:$D,"Multicloud",Puntuacion!$G:$G,"NE")=0),1,0)</f>
        <v/>
      </c>
      <c r="R43" s="5">
        <f>IF(P43=0,"NA",IF(Q43=0,"NE",AVERAGEIFS(Puntuacion!$G:$G,Puntuacion!$A:$A,$A43,Puntuacion!$C:$C,$C43,Puntuacion!$D:$D,"Multicloud",Puntuacion!$G:$G,"&lt;&gt;NA",Puntuacion!$G:$G,"&lt;&gt;NE")))</f>
        <v/>
      </c>
      <c r="S43">
        <f>IF(COUNTIFS(Puntuacion!$A:$A,$A43,Puntuacion!$C:$C,$C43,Puntuacion!$D:$D,"Integracion",Puntuacion!$G:$G,"&lt;&gt;NA")&gt;0,1,0)</f>
        <v/>
      </c>
      <c r="T43">
        <f>IF(AND(S43=1,COUNTIFS(Puntuacion!$A:$A,$A43,Puntuacion!$C:$C,$C43,Puntuacion!$D:$D,"Integracion",Puntuacion!$G:$G,"NE")=0),1,0)</f>
        <v/>
      </c>
      <c r="U43" s="5">
        <f>IF(S43=0,"NA",IF(T43=0,"NE",AVERAGEIFS(Puntuacion!$G:$G,Puntuacion!$A:$A,$A43,Puntuacion!$C:$C,$C43,Puntuacion!$D:$D,"Integracion",Puntuacion!$G:$G,"&lt;&gt;NA",Puntuacion!$G:$G,"&lt;&gt;NE")))</f>
        <v/>
      </c>
      <c r="V43">
        <f>IF(COUNTIFS(Puntuacion!$A:$A,$A43,Puntuacion!$C:$C,$C43,Puntuacion!$D:$D,"Adopcion",Puntuacion!$G:$G,"&lt;&gt;NA")&gt;0,1,0)</f>
        <v/>
      </c>
      <c r="W43">
        <f>IF(AND(V43=1,COUNTIFS(Puntuacion!$A:$A,$A43,Puntuacion!$C:$C,$C43,Puntuacion!$D:$D,"Adopcion",Puntuacion!$G:$G,"NE")=0),1,0)</f>
        <v/>
      </c>
      <c r="X43" s="5">
        <f>IF(V43=0,"NA",IF(W43=0,"NE",AVERAGEIFS(Puntuacion!$G:$G,Puntuacion!$A:$A,$A43,Puntuacion!$C:$C,$C43,Puntuacion!$D:$D,"Adopcion",Puntuacion!$G:$G,"&lt;&gt;NA",Puntuacion!$G:$G,"&lt;&gt;NE")))</f>
        <v/>
      </c>
      <c r="Y43">
        <f>IF(COUNTIFS(Puntuacion!$A:$A,$A43,Puntuacion!$C:$C,$C43,Puntuacion!$D:$D,"Precio",Puntuacion!$G:$G,"&lt;&gt;NA")&gt;0,1,0)</f>
        <v/>
      </c>
      <c r="Z43">
        <f>IF(AND(Y43=1,COUNTIFS(Puntuacion!$A:$A,$A43,Puntuacion!$C:$C,$C43,Puntuacion!$D:$D,"Precio",Puntuacion!$G:$G,"NE")=0),1,0)</f>
        <v/>
      </c>
      <c r="AA43" s="5">
        <f>IF(Y43=0,"NA",IF(Z43=0,"NE",AVERAGEIFS(Puntuacion!$G:$G,Puntuacion!$A:$A,$A43,Puntuacion!$C:$C,$C43,Puntuacion!$D:$D,"Precio",Puntuacion!$G:$G,"&lt;&gt;NA",Puntuacion!$G:$G,"&lt;&gt;NE")))</f>
        <v/>
      </c>
      <c r="AB43">
        <f>IF(COUNTIFS(Puntuacion!$A:$A,$A43,Puntuacion!$C:$C,$C43,Puntuacion!$D:$D,"Dependencia",Puntuacion!$G:$G,"&lt;&gt;NA")&gt;0,1,0)</f>
        <v/>
      </c>
      <c r="AC43">
        <f>IF(AND(AB43=1,COUNTIFS(Puntuacion!$A:$A,$A43,Puntuacion!$C:$C,$C43,Puntuacion!$D:$D,"Dependencia",Puntuacion!$G:$G,"NE")=0),1,0)</f>
        <v/>
      </c>
      <c r="AD43" s="5">
        <f>IF(AB43=0,"NA",IF(AC43=0,"NE",AVERAGEIFS(Puntuacion!$G:$G,Puntuacion!$A:$A,$A43,Puntuacion!$C:$C,$C43,Puntuacion!$D:$D,"Dependencia",Puntuacion!$G:$G,"&lt;&gt;NA",Puntuacion!$G:$G,"&lt;&gt;NE")))</f>
        <v/>
      </c>
      <c r="AE43" s="5">
        <f>IFERROR(100*(E43*Pesos!$B$2+H43*Pesos!$B$3+K43*Pesos!$B$4+N43*Pesos!$B$5+Q43*Pesos!$B$6+T43*Pesos!$B$7+W43*Pesos!$B$8+Z43*Pesos!$B$9+AC43*Pesos!$B$10)/(D43*Pesos!$B$2+G43*Pesos!$B$3+J43*Pesos!$B$4+M43*Pesos!$B$5+P43*Pesos!$B$6+S43*Pesos!$B$7+V43*Pesos!$B$8+Y43*Pesos!$B$9+AB43*Pesos!$B$10),"Sin criterios aplicables")</f>
        <v/>
      </c>
      <c r="AF43" s="5">
        <f>IFERROR(100*(E43*Pesos!$C$2+H43*Pesos!$C$3+K43*Pesos!$C$4+N43*Pesos!$C$5+Q43*Pesos!$C$6+T43*Pesos!$C$7+W43*Pesos!$C$8+Z43*Pesos!$C$9+AC43*Pesos!$C$10)/(D43*Pesos!$C$2+G43*Pesos!$C$3+J43*Pesos!$C$4+M43*Pesos!$C$5+P43*Pesos!$C$6+S43*Pesos!$C$7+V43*Pesos!$C$8+Y43*Pesos!$C$9+AB43*Pesos!$C$10),"Sin criterios aplicables")</f>
        <v/>
      </c>
      <c r="AG43" s="5">
        <f>IF(OR(AE43="Sin criterios aplicables",AE43&lt;70),"Insufficient evidence",100*(Pesos!$B$2*IF(E43=1,F43,0)+Pesos!$B$3*IF(H43=1,I43,0)+Pesos!$B$4*IF(K43=1,L43,0)+Pesos!$B$5*IF(N43=1,O43,0)+Pesos!$B$6*IF(Q43=1,R43,0)+Pesos!$B$7*IF(T43=1,U43,0)+Pesos!$B$8*IF(W43=1,X43,0)+Pesos!$B$9*IF(Z43=1,AA43,0)+Pesos!$B$10*IF(AC43=1,AD43,0))/(3*(Pesos!$B$2*E43+Pesos!$B$3*H43+Pesos!$B$4*K43+Pesos!$B$5*N43+Pesos!$B$6*Q43+Pesos!$B$7*T43+Pesos!$B$8*W43+Pesos!$B$9*Z43+Pesos!$B$10*AC43)))</f>
        <v/>
      </c>
      <c r="AH43" s="5">
        <f>IF(OR(AF43="Sin criterios aplicables",AF43&lt;70),"Insufficient evidence",100*(Pesos!$C$2*IF(E43=1,F43,0)+Pesos!$C$3*IF(H43=1,I43,0)+Pesos!$C$4*IF(K43=1,L43,0)+Pesos!$C$5*IF(N43=1,O43,0)+Pesos!$C$6*IF(Q43=1,R43,0)+Pesos!$C$7*IF(T43=1,U43,0)+Pesos!$C$8*IF(W43=1,X43,0)+Pesos!$C$9*IF(Z43=1,AA43,0)+Pesos!$C$10*IF(AC43=1,AD43,0))/(3*(Pesos!$C$2*E43+Pesos!$C$3*H43+Pesos!$C$4*K43+Pesos!$C$5*N43+Pesos!$C$6*Q43+Pesos!$C$7*T43+Pesos!$C$8*W43+Pesos!$C$9*Z43+Pesos!$C$10*AC43)))</f>
        <v/>
      </c>
      <c r="AI43">
        <f>IF(AG43="Insufficient evidence","Insufficient evidence (cobertura&lt;70%)",IF(AG43&lt;50/3,"Insufficient",IF(AG43&lt;50,"Basic",IF(AG43&lt;250/3,"Solid","Advanced"))))</f>
        <v/>
      </c>
      <c r="AJ43">
        <f>IF(AH43="Insufficient evidence","Insufficient evidence (cobertura&lt;70%)",IF(AH43&lt;50/3,"Insufficient",IF(AH43&lt;50,"Basic",IF(AH43&lt;250/3,"Solid","Advanced"))))</f>
        <v/>
      </c>
      <c r="AK43">
        <f>IF(TRIM(IF(AND(ISNUMBER(I43),I43&lt;1),"Asignación","") &amp; " " &amp; IF(AND(ISNUMBER(F43),F43&lt;1),"Visibilidad",""))="","Ninguno",TRIM(IF(AND(ISNUMBER(I43),I43&lt;1),"Asignación","") &amp; " " &amp; IF(AND(ISNUMBER(F43),F43&lt;1),"Visibilidad","")))</f>
        <v/>
      </c>
    </row>
    <row r="44">
      <c r="A44" t="inlineStr">
        <is>
          <t>E5</t>
        </is>
      </c>
      <c r="B44" t="inlineStr">
        <is>
          <t>Kubernetes</t>
        </is>
      </c>
      <c r="C44" t="inlineStr">
        <is>
          <t>StormForge</t>
        </is>
      </c>
      <c r="D44">
        <f>IF(COUNTIFS(Puntuacion!$A:$A,$A44,Puntuacion!$C:$C,$C44,Puntuacion!$D:$D,"Visibilidad",Puntuacion!$G:$G,"&lt;&gt;NA")&gt;0,1,0)</f>
        <v/>
      </c>
      <c r="E44">
        <f>IF(AND(D44=1,COUNTIFS(Puntuacion!$A:$A,$A44,Puntuacion!$C:$C,$C44,Puntuacion!$D:$D,"Visibilidad",Puntuacion!$G:$G,"NE")=0),1,0)</f>
        <v/>
      </c>
      <c r="F44" s="5">
        <f>IF(D44=0,"NA",IF(E44=0,"NE",AVERAGEIFS(Puntuacion!$G:$G,Puntuacion!$A:$A,$A44,Puntuacion!$C:$C,$C44,Puntuacion!$D:$D,"Visibilidad",Puntuacion!$G:$G,"&lt;&gt;NA",Puntuacion!$G:$G,"&lt;&gt;NE")))</f>
        <v/>
      </c>
      <c r="G44">
        <f>IF(COUNTIFS(Puntuacion!$A:$A,$A44,Puntuacion!$C:$C,$C44,Puntuacion!$D:$D,"Asignacion",Puntuacion!$G:$G,"&lt;&gt;NA")&gt;0,1,0)</f>
        <v/>
      </c>
      <c r="H44">
        <f>IF(AND(G44=1,COUNTIFS(Puntuacion!$A:$A,$A44,Puntuacion!$C:$C,$C44,Puntuacion!$D:$D,"Asignacion",Puntuacion!$G:$G,"NE")=0),1,0)</f>
        <v/>
      </c>
      <c r="I44" s="5">
        <f>IF(G44=0,"NA",IF(H44=0,"NE",AVERAGEIFS(Puntuacion!$G:$G,Puntuacion!$A:$A,$A44,Puntuacion!$C:$C,$C44,Puntuacion!$D:$D,"Asignacion",Puntuacion!$G:$G,"&lt;&gt;NA",Puntuacion!$G:$G,"&lt;&gt;NE")))</f>
        <v/>
      </c>
      <c r="J44">
        <f>IF(COUNTIFS(Puntuacion!$A:$A,$A44,Puntuacion!$C:$C,$C44,Puntuacion!$D:$D,"Optimizacion",Puntuacion!$G:$G,"&lt;&gt;NA")&gt;0,1,0)</f>
        <v/>
      </c>
      <c r="K44">
        <f>IF(AND(J44=1,COUNTIFS(Puntuacion!$A:$A,$A44,Puntuacion!$C:$C,$C44,Puntuacion!$D:$D,"Optimizacion",Puntuacion!$G:$G,"NE")=0),1,0)</f>
        <v/>
      </c>
      <c r="L44" s="5">
        <f>IF(J44=0,"NA",IF(K44=0,"NE",AVERAGEIFS(Puntuacion!$G:$G,Puntuacion!$A:$A,$A44,Puntuacion!$C:$C,$C44,Puntuacion!$D:$D,"Optimizacion",Puntuacion!$G:$G,"&lt;&gt;NA",Puntuacion!$G:$G,"&lt;&gt;NE")))</f>
        <v/>
      </c>
      <c r="M44">
        <f>IF(COUNTIFS(Puntuacion!$A:$A,$A44,Puntuacion!$C:$C,$C44,Puntuacion!$D:$D,"Automatizacion",Puntuacion!$G:$G,"&lt;&gt;NA")&gt;0,1,0)</f>
        <v/>
      </c>
      <c r="N44">
        <f>IF(AND(M44=1,COUNTIFS(Puntuacion!$A:$A,$A44,Puntuacion!$C:$C,$C44,Puntuacion!$D:$D,"Automatizacion",Puntuacion!$G:$G,"NE")=0),1,0)</f>
        <v/>
      </c>
      <c r="O44" s="5">
        <f>IF(M44=0,"NA",IF(N44=0,"NE",AVERAGEIFS(Puntuacion!$G:$G,Puntuacion!$A:$A,$A44,Puntuacion!$C:$C,$C44,Puntuacion!$D:$D,"Automatizacion",Puntuacion!$G:$G,"&lt;&gt;NA",Puntuacion!$G:$G,"&lt;&gt;NE")))</f>
        <v/>
      </c>
      <c r="P44">
        <f>IF(COUNTIFS(Puntuacion!$A:$A,$A44,Puntuacion!$C:$C,$C44,Puntuacion!$D:$D,"Multicloud",Puntuacion!$G:$G,"&lt;&gt;NA")&gt;0,1,0)</f>
        <v/>
      </c>
      <c r="Q44">
        <f>IF(AND(P44=1,COUNTIFS(Puntuacion!$A:$A,$A44,Puntuacion!$C:$C,$C44,Puntuacion!$D:$D,"Multicloud",Puntuacion!$G:$G,"NE")=0),1,0)</f>
        <v/>
      </c>
      <c r="R44" s="5">
        <f>IF(P44=0,"NA",IF(Q44=0,"NE",AVERAGEIFS(Puntuacion!$G:$G,Puntuacion!$A:$A,$A44,Puntuacion!$C:$C,$C44,Puntuacion!$D:$D,"Multicloud",Puntuacion!$G:$G,"&lt;&gt;NA",Puntuacion!$G:$G,"&lt;&gt;NE")))</f>
        <v/>
      </c>
      <c r="S44">
        <f>IF(COUNTIFS(Puntuacion!$A:$A,$A44,Puntuacion!$C:$C,$C44,Puntuacion!$D:$D,"Integracion",Puntuacion!$G:$G,"&lt;&gt;NA")&gt;0,1,0)</f>
        <v/>
      </c>
      <c r="T44">
        <f>IF(AND(S44=1,COUNTIFS(Puntuacion!$A:$A,$A44,Puntuacion!$C:$C,$C44,Puntuacion!$D:$D,"Integracion",Puntuacion!$G:$G,"NE")=0),1,0)</f>
        <v/>
      </c>
      <c r="U44" s="5">
        <f>IF(S44=0,"NA",IF(T44=0,"NE",AVERAGEIFS(Puntuacion!$G:$G,Puntuacion!$A:$A,$A44,Puntuacion!$C:$C,$C44,Puntuacion!$D:$D,"Integracion",Puntuacion!$G:$G,"&lt;&gt;NA",Puntuacion!$G:$G,"&lt;&gt;NE")))</f>
        <v/>
      </c>
      <c r="V44">
        <f>IF(COUNTIFS(Puntuacion!$A:$A,$A44,Puntuacion!$C:$C,$C44,Puntuacion!$D:$D,"Adopcion",Puntuacion!$G:$G,"&lt;&gt;NA")&gt;0,1,0)</f>
        <v/>
      </c>
      <c r="W44">
        <f>IF(AND(V44=1,COUNTIFS(Puntuacion!$A:$A,$A44,Puntuacion!$C:$C,$C44,Puntuacion!$D:$D,"Adopcion",Puntuacion!$G:$G,"NE")=0),1,0)</f>
        <v/>
      </c>
      <c r="X44" s="5">
        <f>IF(V44=0,"NA",IF(W44=0,"NE",AVERAGEIFS(Puntuacion!$G:$G,Puntuacion!$A:$A,$A44,Puntuacion!$C:$C,$C44,Puntuacion!$D:$D,"Adopcion",Puntuacion!$G:$G,"&lt;&gt;NA",Puntuacion!$G:$G,"&lt;&gt;NE")))</f>
        <v/>
      </c>
      <c r="Y44">
        <f>IF(COUNTIFS(Puntuacion!$A:$A,$A44,Puntuacion!$C:$C,$C44,Puntuacion!$D:$D,"Precio",Puntuacion!$G:$G,"&lt;&gt;NA")&gt;0,1,0)</f>
        <v/>
      </c>
      <c r="Z44">
        <f>IF(AND(Y44=1,COUNTIFS(Puntuacion!$A:$A,$A44,Puntuacion!$C:$C,$C44,Puntuacion!$D:$D,"Precio",Puntuacion!$G:$G,"NE")=0),1,0)</f>
        <v/>
      </c>
      <c r="AA44" s="5">
        <f>IF(Y44=0,"NA",IF(Z44=0,"NE",AVERAGEIFS(Puntuacion!$G:$G,Puntuacion!$A:$A,$A44,Puntuacion!$C:$C,$C44,Puntuacion!$D:$D,"Precio",Puntuacion!$G:$G,"&lt;&gt;NA",Puntuacion!$G:$G,"&lt;&gt;NE")))</f>
        <v/>
      </c>
      <c r="AB44">
        <f>IF(COUNTIFS(Puntuacion!$A:$A,$A44,Puntuacion!$C:$C,$C44,Puntuacion!$D:$D,"Dependencia",Puntuacion!$G:$G,"&lt;&gt;NA")&gt;0,1,0)</f>
        <v/>
      </c>
      <c r="AC44">
        <f>IF(AND(AB44=1,COUNTIFS(Puntuacion!$A:$A,$A44,Puntuacion!$C:$C,$C44,Puntuacion!$D:$D,"Dependencia",Puntuacion!$G:$G,"NE")=0),1,0)</f>
        <v/>
      </c>
      <c r="AD44" s="5">
        <f>IF(AB44=0,"NA",IF(AC44=0,"NE",AVERAGEIFS(Puntuacion!$G:$G,Puntuacion!$A:$A,$A44,Puntuacion!$C:$C,$C44,Puntuacion!$D:$D,"Dependencia",Puntuacion!$G:$G,"&lt;&gt;NA",Puntuacion!$G:$G,"&lt;&gt;NE")))</f>
        <v/>
      </c>
      <c r="AE44" s="5">
        <f>IFERROR(100*(E44*Pesos!$B$2+H44*Pesos!$B$3+K44*Pesos!$B$4+N44*Pesos!$B$5+Q44*Pesos!$B$6+T44*Pesos!$B$7+W44*Pesos!$B$8+Z44*Pesos!$B$9+AC44*Pesos!$B$10)/(D44*Pesos!$B$2+G44*Pesos!$B$3+J44*Pesos!$B$4+M44*Pesos!$B$5+P44*Pesos!$B$6+S44*Pesos!$B$7+V44*Pesos!$B$8+Y44*Pesos!$B$9+AB44*Pesos!$B$10),"Sin criterios aplicables")</f>
        <v/>
      </c>
      <c r="AF44" s="5">
        <f>IFERROR(100*(E44*Pesos!$C$2+H44*Pesos!$C$3+K44*Pesos!$C$4+N44*Pesos!$C$5+Q44*Pesos!$C$6+T44*Pesos!$C$7+W44*Pesos!$C$8+Z44*Pesos!$C$9+AC44*Pesos!$C$10)/(D44*Pesos!$C$2+G44*Pesos!$C$3+J44*Pesos!$C$4+M44*Pesos!$C$5+P44*Pesos!$C$6+S44*Pesos!$C$7+V44*Pesos!$C$8+Y44*Pesos!$C$9+AB44*Pesos!$C$10),"Sin criterios aplicables")</f>
        <v/>
      </c>
      <c r="AG44" s="5">
        <f>IF(OR(AE44="Sin criterios aplicables",AE44&lt;70),"Insufficient evidence",100*(Pesos!$B$2*IF(E44=1,F44,0)+Pesos!$B$3*IF(H44=1,I44,0)+Pesos!$B$4*IF(K44=1,L44,0)+Pesos!$B$5*IF(N44=1,O44,0)+Pesos!$B$6*IF(Q44=1,R44,0)+Pesos!$B$7*IF(T44=1,U44,0)+Pesos!$B$8*IF(W44=1,X44,0)+Pesos!$B$9*IF(Z44=1,AA44,0)+Pesos!$B$10*IF(AC44=1,AD44,0))/(3*(Pesos!$B$2*E44+Pesos!$B$3*H44+Pesos!$B$4*K44+Pesos!$B$5*N44+Pesos!$B$6*Q44+Pesos!$B$7*T44+Pesos!$B$8*W44+Pesos!$B$9*Z44+Pesos!$B$10*AC44)))</f>
        <v/>
      </c>
      <c r="AH44" s="5">
        <f>IF(OR(AF44="Sin criterios aplicables",AF44&lt;70),"Insufficient evidence",100*(Pesos!$C$2*IF(E44=1,F44,0)+Pesos!$C$3*IF(H44=1,I44,0)+Pesos!$C$4*IF(K44=1,L44,0)+Pesos!$C$5*IF(N44=1,O44,0)+Pesos!$C$6*IF(Q44=1,R44,0)+Pesos!$C$7*IF(T44=1,U44,0)+Pesos!$C$8*IF(W44=1,X44,0)+Pesos!$C$9*IF(Z44=1,AA44,0)+Pesos!$C$10*IF(AC44=1,AD44,0))/(3*(Pesos!$C$2*E44+Pesos!$C$3*H44+Pesos!$C$4*K44+Pesos!$C$5*N44+Pesos!$C$6*Q44+Pesos!$C$7*T44+Pesos!$C$8*W44+Pesos!$C$9*Z44+Pesos!$C$10*AC44)))</f>
        <v/>
      </c>
      <c r="AI44">
        <f>IF(AG44="Insufficient evidence","Insufficient evidence (cobertura&lt;70%)",IF(AG44&lt;50/3,"Insufficient",IF(AG44&lt;50,"Basic",IF(AG44&lt;250/3,"Solid","Advanced"))))</f>
        <v/>
      </c>
      <c r="AJ44">
        <f>IF(AH44="Insufficient evidence","Insufficient evidence (cobertura&lt;70%)",IF(AH44&lt;50/3,"Insufficient",IF(AH44&lt;50,"Basic",IF(AH44&lt;250/3,"Solid","Advanced"))))</f>
        <v/>
      </c>
      <c r="AK44">
        <f>IF(TRIM(IF(AND(ISNUMBER(I44),I44&lt;1),"Asignación","") &amp; " " &amp; IF(AND(ISNUMBER(F44),F44&lt;1),"Visibilidad",""))="","Ninguno",TRIM(IF(AND(ISNUMBER(I44),I44&lt;1),"Asignación","") &amp; " " &amp; IF(AND(ISNUMBER(F44),F44&lt;1),"Visibilidad","")))</f>
        <v/>
      </c>
    </row>
    <row r="45">
      <c r="A45" t="inlineStr">
        <is>
          <t>E5</t>
        </is>
      </c>
      <c r="B45" t="inlineStr">
        <is>
          <t>Multicloud</t>
        </is>
      </c>
      <c r="C45" t="inlineStr">
        <is>
          <t>CloudHealth</t>
        </is>
      </c>
      <c r="D45">
        <f>IF(COUNTIFS(Puntuacion!$A:$A,$A45,Puntuacion!$C:$C,$C45,Puntuacion!$D:$D,"Visibilidad",Puntuacion!$G:$G,"&lt;&gt;NA")&gt;0,1,0)</f>
        <v/>
      </c>
      <c r="E45">
        <f>IF(AND(D45=1,COUNTIFS(Puntuacion!$A:$A,$A45,Puntuacion!$C:$C,$C45,Puntuacion!$D:$D,"Visibilidad",Puntuacion!$G:$G,"NE")=0),1,0)</f>
        <v/>
      </c>
      <c r="F45" s="5">
        <f>IF(D45=0,"NA",IF(E45=0,"NE",AVERAGEIFS(Puntuacion!$G:$G,Puntuacion!$A:$A,$A45,Puntuacion!$C:$C,$C45,Puntuacion!$D:$D,"Visibilidad",Puntuacion!$G:$G,"&lt;&gt;NA",Puntuacion!$G:$G,"&lt;&gt;NE")))</f>
        <v/>
      </c>
      <c r="G45">
        <f>IF(COUNTIFS(Puntuacion!$A:$A,$A45,Puntuacion!$C:$C,$C45,Puntuacion!$D:$D,"Asignacion",Puntuacion!$G:$G,"&lt;&gt;NA")&gt;0,1,0)</f>
        <v/>
      </c>
      <c r="H45">
        <f>IF(AND(G45=1,COUNTIFS(Puntuacion!$A:$A,$A45,Puntuacion!$C:$C,$C45,Puntuacion!$D:$D,"Asignacion",Puntuacion!$G:$G,"NE")=0),1,0)</f>
        <v/>
      </c>
      <c r="I45" s="5">
        <f>IF(G45=0,"NA",IF(H45=0,"NE",AVERAGEIFS(Puntuacion!$G:$G,Puntuacion!$A:$A,$A45,Puntuacion!$C:$C,$C45,Puntuacion!$D:$D,"Asignacion",Puntuacion!$G:$G,"&lt;&gt;NA",Puntuacion!$G:$G,"&lt;&gt;NE")))</f>
        <v/>
      </c>
      <c r="J45">
        <f>IF(COUNTIFS(Puntuacion!$A:$A,$A45,Puntuacion!$C:$C,$C45,Puntuacion!$D:$D,"Optimizacion",Puntuacion!$G:$G,"&lt;&gt;NA")&gt;0,1,0)</f>
        <v/>
      </c>
      <c r="K45">
        <f>IF(AND(J45=1,COUNTIFS(Puntuacion!$A:$A,$A45,Puntuacion!$C:$C,$C45,Puntuacion!$D:$D,"Optimizacion",Puntuacion!$G:$G,"NE")=0),1,0)</f>
        <v/>
      </c>
      <c r="L45" s="5">
        <f>IF(J45=0,"NA",IF(K45=0,"NE",AVERAGEIFS(Puntuacion!$G:$G,Puntuacion!$A:$A,$A45,Puntuacion!$C:$C,$C45,Puntuacion!$D:$D,"Optimizacion",Puntuacion!$G:$G,"&lt;&gt;NA",Puntuacion!$G:$G,"&lt;&gt;NE")))</f>
        <v/>
      </c>
      <c r="M45">
        <f>IF(COUNTIFS(Puntuacion!$A:$A,$A45,Puntuacion!$C:$C,$C45,Puntuacion!$D:$D,"Automatizacion",Puntuacion!$G:$G,"&lt;&gt;NA")&gt;0,1,0)</f>
        <v/>
      </c>
      <c r="N45">
        <f>IF(AND(M45=1,COUNTIFS(Puntuacion!$A:$A,$A45,Puntuacion!$C:$C,$C45,Puntuacion!$D:$D,"Automatizacion",Puntuacion!$G:$G,"NE")=0),1,0)</f>
        <v/>
      </c>
      <c r="O45" s="5">
        <f>IF(M45=0,"NA",IF(N45=0,"NE",AVERAGEIFS(Puntuacion!$G:$G,Puntuacion!$A:$A,$A45,Puntuacion!$C:$C,$C45,Puntuacion!$D:$D,"Automatizacion",Puntuacion!$G:$G,"&lt;&gt;NA",Puntuacion!$G:$G,"&lt;&gt;NE")))</f>
        <v/>
      </c>
      <c r="P45">
        <f>IF(COUNTIFS(Puntuacion!$A:$A,$A45,Puntuacion!$C:$C,$C45,Puntuacion!$D:$D,"Multicloud",Puntuacion!$G:$G,"&lt;&gt;NA")&gt;0,1,0)</f>
        <v/>
      </c>
      <c r="Q45">
        <f>IF(AND(P45=1,COUNTIFS(Puntuacion!$A:$A,$A45,Puntuacion!$C:$C,$C45,Puntuacion!$D:$D,"Multicloud",Puntuacion!$G:$G,"NE")=0),1,0)</f>
        <v/>
      </c>
      <c r="R45" s="5">
        <f>IF(P45=0,"NA",IF(Q45=0,"NE",AVERAGEIFS(Puntuacion!$G:$G,Puntuacion!$A:$A,$A45,Puntuacion!$C:$C,$C45,Puntuacion!$D:$D,"Multicloud",Puntuacion!$G:$G,"&lt;&gt;NA",Puntuacion!$G:$G,"&lt;&gt;NE")))</f>
        <v/>
      </c>
      <c r="S45">
        <f>IF(COUNTIFS(Puntuacion!$A:$A,$A45,Puntuacion!$C:$C,$C45,Puntuacion!$D:$D,"Integracion",Puntuacion!$G:$G,"&lt;&gt;NA")&gt;0,1,0)</f>
        <v/>
      </c>
      <c r="T45">
        <f>IF(AND(S45=1,COUNTIFS(Puntuacion!$A:$A,$A45,Puntuacion!$C:$C,$C45,Puntuacion!$D:$D,"Integracion",Puntuacion!$G:$G,"NE")=0),1,0)</f>
        <v/>
      </c>
      <c r="U45" s="5">
        <f>IF(S45=0,"NA",IF(T45=0,"NE",AVERAGEIFS(Puntuacion!$G:$G,Puntuacion!$A:$A,$A45,Puntuacion!$C:$C,$C45,Puntuacion!$D:$D,"Integracion",Puntuacion!$G:$G,"&lt;&gt;NA",Puntuacion!$G:$G,"&lt;&gt;NE")))</f>
        <v/>
      </c>
      <c r="V45">
        <f>IF(COUNTIFS(Puntuacion!$A:$A,$A45,Puntuacion!$C:$C,$C45,Puntuacion!$D:$D,"Adopcion",Puntuacion!$G:$G,"&lt;&gt;NA")&gt;0,1,0)</f>
        <v/>
      </c>
      <c r="W45">
        <f>IF(AND(V45=1,COUNTIFS(Puntuacion!$A:$A,$A45,Puntuacion!$C:$C,$C45,Puntuacion!$D:$D,"Adopcion",Puntuacion!$G:$G,"NE")=0),1,0)</f>
        <v/>
      </c>
      <c r="X45" s="5">
        <f>IF(V45=0,"NA",IF(W45=0,"NE",AVERAGEIFS(Puntuacion!$G:$G,Puntuacion!$A:$A,$A45,Puntuacion!$C:$C,$C45,Puntuacion!$D:$D,"Adopcion",Puntuacion!$G:$G,"&lt;&gt;NA",Puntuacion!$G:$G,"&lt;&gt;NE")))</f>
        <v/>
      </c>
      <c r="Y45">
        <f>IF(COUNTIFS(Puntuacion!$A:$A,$A45,Puntuacion!$C:$C,$C45,Puntuacion!$D:$D,"Precio",Puntuacion!$G:$G,"&lt;&gt;NA")&gt;0,1,0)</f>
        <v/>
      </c>
      <c r="Z45">
        <f>IF(AND(Y45=1,COUNTIFS(Puntuacion!$A:$A,$A45,Puntuacion!$C:$C,$C45,Puntuacion!$D:$D,"Precio",Puntuacion!$G:$G,"NE")=0),1,0)</f>
        <v/>
      </c>
      <c r="AA45" s="5">
        <f>IF(Y45=0,"NA",IF(Z45=0,"NE",AVERAGEIFS(Puntuacion!$G:$G,Puntuacion!$A:$A,$A45,Puntuacion!$C:$C,$C45,Puntuacion!$D:$D,"Precio",Puntuacion!$G:$G,"&lt;&gt;NA",Puntuacion!$G:$G,"&lt;&gt;NE")))</f>
        <v/>
      </c>
      <c r="AB45">
        <f>IF(COUNTIFS(Puntuacion!$A:$A,$A45,Puntuacion!$C:$C,$C45,Puntuacion!$D:$D,"Dependencia",Puntuacion!$G:$G,"&lt;&gt;NA")&gt;0,1,0)</f>
        <v/>
      </c>
      <c r="AC45">
        <f>IF(AND(AB45=1,COUNTIFS(Puntuacion!$A:$A,$A45,Puntuacion!$C:$C,$C45,Puntuacion!$D:$D,"Dependencia",Puntuacion!$G:$G,"NE")=0),1,0)</f>
        <v/>
      </c>
      <c r="AD45" s="5">
        <f>IF(AB45=0,"NA",IF(AC45=0,"NE",AVERAGEIFS(Puntuacion!$G:$G,Puntuacion!$A:$A,$A45,Puntuacion!$C:$C,$C45,Puntuacion!$D:$D,"Dependencia",Puntuacion!$G:$G,"&lt;&gt;NA",Puntuacion!$G:$G,"&lt;&gt;NE")))</f>
        <v/>
      </c>
      <c r="AE45" s="5">
        <f>IFERROR(100*(E45*Pesos!$B$2+H45*Pesos!$B$3+K45*Pesos!$B$4+N45*Pesos!$B$5+Q45*Pesos!$B$6+T45*Pesos!$B$7+W45*Pesos!$B$8+Z45*Pesos!$B$9+AC45*Pesos!$B$10)/(D45*Pesos!$B$2+G45*Pesos!$B$3+J45*Pesos!$B$4+M45*Pesos!$B$5+P45*Pesos!$B$6+S45*Pesos!$B$7+V45*Pesos!$B$8+Y45*Pesos!$B$9+AB45*Pesos!$B$10),"Sin criterios aplicables")</f>
        <v/>
      </c>
      <c r="AF45" s="5">
        <f>IFERROR(100*(E45*Pesos!$C$2+H45*Pesos!$C$3+K45*Pesos!$C$4+N45*Pesos!$C$5+Q45*Pesos!$C$6+T45*Pesos!$C$7+W45*Pesos!$C$8+Z45*Pesos!$C$9+AC45*Pesos!$C$10)/(D45*Pesos!$C$2+G45*Pesos!$C$3+J45*Pesos!$C$4+M45*Pesos!$C$5+P45*Pesos!$C$6+S45*Pesos!$C$7+V45*Pesos!$C$8+Y45*Pesos!$C$9+AB45*Pesos!$C$10),"Sin criterios aplicables")</f>
        <v/>
      </c>
      <c r="AG45" s="5">
        <f>IF(OR(AE45="Sin criterios aplicables",AE45&lt;70),"Insufficient evidence",100*(Pesos!$B$2*IF(E45=1,F45,0)+Pesos!$B$3*IF(H45=1,I45,0)+Pesos!$B$4*IF(K45=1,L45,0)+Pesos!$B$5*IF(N45=1,O45,0)+Pesos!$B$6*IF(Q45=1,R45,0)+Pesos!$B$7*IF(T45=1,U45,0)+Pesos!$B$8*IF(W45=1,X45,0)+Pesos!$B$9*IF(Z45=1,AA45,0)+Pesos!$B$10*IF(AC45=1,AD45,0))/(3*(Pesos!$B$2*E45+Pesos!$B$3*H45+Pesos!$B$4*K45+Pesos!$B$5*N45+Pesos!$B$6*Q45+Pesos!$B$7*T45+Pesos!$B$8*W45+Pesos!$B$9*Z45+Pesos!$B$10*AC45)))</f>
        <v/>
      </c>
      <c r="AH45" s="5">
        <f>IF(OR(AF45="Sin criterios aplicables",AF45&lt;70),"Insufficient evidence",100*(Pesos!$C$2*IF(E45=1,F45,0)+Pesos!$C$3*IF(H45=1,I45,0)+Pesos!$C$4*IF(K45=1,L45,0)+Pesos!$C$5*IF(N45=1,O45,0)+Pesos!$C$6*IF(Q45=1,R45,0)+Pesos!$C$7*IF(T45=1,U45,0)+Pesos!$C$8*IF(W45=1,X45,0)+Pesos!$C$9*IF(Z45=1,AA45,0)+Pesos!$C$10*IF(AC45=1,AD45,0))/(3*(Pesos!$C$2*E45+Pesos!$C$3*H45+Pesos!$C$4*K45+Pesos!$C$5*N45+Pesos!$C$6*Q45+Pesos!$C$7*T45+Pesos!$C$8*W45+Pesos!$C$9*Z45+Pesos!$C$10*AC45)))</f>
        <v/>
      </c>
      <c r="AI45">
        <f>IF(AG45="Insufficient evidence","Insufficient evidence (cobertura&lt;70%)",IF(AG45&lt;50/3,"Insufficient",IF(AG45&lt;50,"Basic",IF(AG45&lt;250/3,"Solid","Advanced"))))</f>
        <v/>
      </c>
      <c r="AJ45">
        <f>IF(AH45="Insufficient evidence","Insufficient evidence (cobertura&lt;70%)",IF(AH45&lt;50/3,"Insufficient",IF(AH45&lt;50,"Basic",IF(AH45&lt;250/3,"Solid","Advanced"))))</f>
        <v/>
      </c>
      <c r="AK45">
        <f>IF(TRIM(IF(AND(ISNUMBER(I45),I45&lt;1),"Asignación","") &amp; " " &amp; IF(AND(ISNUMBER(F45),F45&lt;1),"Visibilidad",""))="","Ninguno",TRIM(IF(AND(ISNUMBER(I45),I45&lt;1),"Asignación","") &amp; " " &amp; IF(AND(ISNUMBER(F45),F45&lt;1),"Visibilidad","")))</f>
        <v/>
      </c>
    </row>
    <row r="46">
      <c r="A46" t="inlineStr">
        <is>
          <t>E5</t>
        </is>
      </c>
      <c r="B46" t="inlineStr">
        <is>
          <t>Multicloud</t>
        </is>
      </c>
      <c r="C46" t="inlineStr">
        <is>
          <t>CloudZero</t>
        </is>
      </c>
      <c r="D46">
        <f>IF(COUNTIFS(Puntuacion!$A:$A,$A46,Puntuacion!$C:$C,$C46,Puntuacion!$D:$D,"Visibilidad",Puntuacion!$G:$G,"&lt;&gt;NA")&gt;0,1,0)</f>
        <v/>
      </c>
      <c r="E46">
        <f>IF(AND(D46=1,COUNTIFS(Puntuacion!$A:$A,$A46,Puntuacion!$C:$C,$C46,Puntuacion!$D:$D,"Visibilidad",Puntuacion!$G:$G,"NE")=0),1,0)</f>
        <v/>
      </c>
      <c r="F46" s="5">
        <f>IF(D46=0,"NA",IF(E46=0,"NE",AVERAGEIFS(Puntuacion!$G:$G,Puntuacion!$A:$A,$A46,Puntuacion!$C:$C,$C46,Puntuacion!$D:$D,"Visibilidad",Puntuacion!$G:$G,"&lt;&gt;NA",Puntuacion!$G:$G,"&lt;&gt;NE")))</f>
        <v/>
      </c>
      <c r="G46">
        <f>IF(COUNTIFS(Puntuacion!$A:$A,$A46,Puntuacion!$C:$C,$C46,Puntuacion!$D:$D,"Asignacion",Puntuacion!$G:$G,"&lt;&gt;NA")&gt;0,1,0)</f>
        <v/>
      </c>
      <c r="H46">
        <f>IF(AND(G46=1,COUNTIFS(Puntuacion!$A:$A,$A46,Puntuacion!$C:$C,$C46,Puntuacion!$D:$D,"Asignacion",Puntuacion!$G:$G,"NE")=0),1,0)</f>
        <v/>
      </c>
      <c r="I46" s="5">
        <f>IF(G46=0,"NA",IF(H46=0,"NE",AVERAGEIFS(Puntuacion!$G:$G,Puntuacion!$A:$A,$A46,Puntuacion!$C:$C,$C46,Puntuacion!$D:$D,"Asignacion",Puntuacion!$G:$G,"&lt;&gt;NA",Puntuacion!$G:$G,"&lt;&gt;NE")))</f>
        <v/>
      </c>
      <c r="J46">
        <f>IF(COUNTIFS(Puntuacion!$A:$A,$A46,Puntuacion!$C:$C,$C46,Puntuacion!$D:$D,"Optimizacion",Puntuacion!$G:$G,"&lt;&gt;NA")&gt;0,1,0)</f>
        <v/>
      </c>
      <c r="K46">
        <f>IF(AND(J46=1,COUNTIFS(Puntuacion!$A:$A,$A46,Puntuacion!$C:$C,$C46,Puntuacion!$D:$D,"Optimizacion",Puntuacion!$G:$G,"NE")=0),1,0)</f>
        <v/>
      </c>
      <c r="L46" s="5">
        <f>IF(J46=0,"NA",IF(K46=0,"NE",AVERAGEIFS(Puntuacion!$G:$G,Puntuacion!$A:$A,$A46,Puntuacion!$C:$C,$C46,Puntuacion!$D:$D,"Optimizacion",Puntuacion!$G:$G,"&lt;&gt;NA",Puntuacion!$G:$G,"&lt;&gt;NE")))</f>
        <v/>
      </c>
      <c r="M46">
        <f>IF(COUNTIFS(Puntuacion!$A:$A,$A46,Puntuacion!$C:$C,$C46,Puntuacion!$D:$D,"Automatizacion",Puntuacion!$G:$G,"&lt;&gt;NA")&gt;0,1,0)</f>
        <v/>
      </c>
      <c r="N46">
        <f>IF(AND(M46=1,COUNTIFS(Puntuacion!$A:$A,$A46,Puntuacion!$C:$C,$C46,Puntuacion!$D:$D,"Automatizacion",Puntuacion!$G:$G,"NE")=0),1,0)</f>
        <v/>
      </c>
      <c r="O46" s="5">
        <f>IF(M46=0,"NA",IF(N46=0,"NE",AVERAGEIFS(Puntuacion!$G:$G,Puntuacion!$A:$A,$A46,Puntuacion!$C:$C,$C46,Puntuacion!$D:$D,"Automatizacion",Puntuacion!$G:$G,"&lt;&gt;NA",Puntuacion!$G:$G,"&lt;&gt;NE")))</f>
        <v/>
      </c>
      <c r="P46">
        <f>IF(COUNTIFS(Puntuacion!$A:$A,$A46,Puntuacion!$C:$C,$C46,Puntuacion!$D:$D,"Multicloud",Puntuacion!$G:$G,"&lt;&gt;NA")&gt;0,1,0)</f>
        <v/>
      </c>
      <c r="Q46">
        <f>IF(AND(P46=1,COUNTIFS(Puntuacion!$A:$A,$A46,Puntuacion!$C:$C,$C46,Puntuacion!$D:$D,"Multicloud",Puntuacion!$G:$G,"NE")=0),1,0)</f>
        <v/>
      </c>
      <c r="R46" s="5">
        <f>IF(P46=0,"NA",IF(Q46=0,"NE",AVERAGEIFS(Puntuacion!$G:$G,Puntuacion!$A:$A,$A46,Puntuacion!$C:$C,$C46,Puntuacion!$D:$D,"Multicloud",Puntuacion!$G:$G,"&lt;&gt;NA",Puntuacion!$G:$G,"&lt;&gt;NE")))</f>
        <v/>
      </c>
      <c r="S46">
        <f>IF(COUNTIFS(Puntuacion!$A:$A,$A46,Puntuacion!$C:$C,$C46,Puntuacion!$D:$D,"Integracion",Puntuacion!$G:$G,"&lt;&gt;NA")&gt;0,1,0)</f>
        <v/>
      </c>
      <c r="T46">
        <f>IF(AND(S46=1,COUNTIFS(Puntuacion!$A:$A,$A46,Puntuacion!$C:$C,$C46,Puntuacion!$D:$D,"Integracion",Puntuacion!$G:$G,"NE")=0),1,0)</f>
        <v/>
      </c>
      <c r="U46" s="5">
        <f>IF(S46=0,"NA",IF(T46=0,"NE",AVERAGEIFS(Puntuacion!$G:$G,Puntuacion!$A:$A,$A46,Puntuacion!$C:$C,$C46,Puntuacion!$D:$D,"Integracion",Puntuacion!$G:$G,"&lt;&gt;NA",Puntuacion!$G:$G,"&lt;&gt;NE")))</f>
        <v/>
      </c>
      <c r="V46">
        <f>IF(COUNTIFS(Puntuacion!$A:$A,$A46,Puntuacion!$C:$C,$C46,Puntuacion!$D:$D,"Adopcion",Puntuacion!$G:$G,"&lt;&gt;NA")&gt;0,1,0)</f>
        <v/>
      </c>
      <c r="W46">
        <f>IF(AND(V46=1,COUNTIFS(Puntuacion!$A:$A,$A46,Puntuacion!$C:$C,$C46,Puntuacion!$D:$D,"Adopcion",Puntuacion!$G:$G,"NE")=0),1,0)</f>
        <v/>
      </c>
      <c r="X46" s="5">
        <f>IF(V46=0,"NA",IF(W46=0,"NE",AVERAGEIFS(Puntuacion!$G:$G,Puntuacion!$A:$A,$A46,Puntuacion!$C:$C,$C46,Puntuacion!$D:$D,"Adopcion",Puntuacion!$G:$G,"&lt;&gt;NA",Puntuacion!$G:$G,"&lt;&gt;NE")))</f>
        <v/>
      </c>
      <c r="Y46">
        <f>IF(COUNTIFS(Puntuacion!$A:$A,$A46,Puntuacion!$C:$C,$C46,Puntuacion!$D:$D,"Precio",Puntuacion!$G:$G,"&lt;&gt;NA")&gt;0,1,0)</f>
        <v/>
      </c>
      <c r="Z46">
        <f>IF(AND(Y46=1,COUNTIFS(Puntuacion!$A:$A,$A46,Puntuacion!$C:$C,$C46,Puntuacion!$D:$D,"Precio",Puntuacion!$G:$G,"NE")=0),1,0)</f>
        <v/>
      </c>
      <c r="AA46" s="5">
        <f>IF(Y46=0,"NA",IF(Z46=0,"NE",AVERAGEIFS(Puntuacion!$G:$G,Puntuacion!$A:$A,$A46,Puntuacion!$C:$C,$C46,Puntuacion!$D:$D,"Precio",Puntuacion!$G:$G,"&lt;&gt;NA",Puntuacion!$G:$G,"&lt;&gt;NE")))</f>
        <v/>
      </c>
      <c r="AB46">
        <f>IF(COUNTIFS(Puntuacion!$A:$A,$A46,Puntuacion!$C:$C,$C46,Puntuacion!$D:$D,"Dependencia",Puntuacion!$G:$G,"&lt;&gt;NA")&gt;0,1,0)</f>
        <v/>
      </c>
      <c r="AC46">
        <f>IF(AND(AB46=1,COUNTIFS(Puntuacion!$A:$A,$A46,Puntuacion!$C:$C,$C46,Puntuacion!$D:$D,"Dependencia",Puntuacion!$G:$G,"NE")=0),1,0)</f>
        <v/>
      </c>
      <c r="AD46" s="5">
        <f>IF(AB46=0,"NA",IF(AC46=0,"NE",AVERAGEIFS(Puntuacion!$G:$G,Puntuacion!$A:$A,$A46,Puntuacion!$C:$C,$C46,Puntuacion!$D:$D,"Dependencia",Puntuacion!$G:$G,"&lt;&gt;NA",Puntuacion!$G:$G,"&lt;&gt;NE")))</f>
        <v/>
      </c>
      <c r="AE46" s="5">
        <f>IFERROR(100*(E46*Pesos!$B$2+H46*Pesos!$B$3+K46*Pesos!$B$4+N46*Pesos!$B$5+Q46*Pesos!$B$6+T46*Pesos!$B$7+W46*Pesos!$B$8+Z46*Pesos!$B$9+AC46*Pesos!$B$10)/(D46*Pesos!$B$2+G46*Pesos!$B$3+J46*Pesos!$B$4+M46*Pesos!$B$5+P46*Pesos!$B$6+S46*Pesos!$B$7+V46*Pesos!$B$8+Y46*Pesos!$B$9+AB46*Pesos!$B$10),"Sin criterios aplicables")</f>
        <v/>
      </c>
      <c r="AF46" s="5">
        <f>IFERROR(100*(E46*Pesos!$C$2+H46*Pesos!$C$3+K46*Pesos!$C$4+N46*Pesos!$C$5+Q46*Pesos!$C$6+T46*Pesos!$C$7+W46*Pesos!$C$8+Z46*Pesos!$C$9+AC46*Pesos!$C$10)/(D46*Pesos!$C$2+G46*Pesos!$C$3+J46*Pesos!$C$4+M46*Pesos!$C$5+P46*Pesos!$C$6+S46*Pesos!$C$7+V46*Pesos!$C$8+Y46*Pesos!$C$9+AB46*Pesos!$C$10),"Sin criterios aplicables")</f>
        <v/>
      </c>
      <c r="AG46" s="5">
        <f>IF(OR(AE46="Sin criterios aplicables",AE46&lt;70),"Insufficient evidence",100*(Pesos!$B$2*IF(E46=1,F46,0)+Pesos!$B$3*IF(H46=1,I46,0)+Pesos!$B$4*IF(K46=1,L46,0)+Pesos!$B$5*IF(N46=1,O46,0)+Pesos!$B$6*IF(Q46=1,R46,0)+Pesos!$B$7*IF(T46=1,U46,0)+Pesos!$B$8*IF(W46=1,X46,0)+Pesos!$B$9*IF(Z46=1,AA46,0)+Pesos!$B$10*IF(AC46=1,AD46,0))/(3*(Pesos!$B$2*E46+Pesos!$B$3*H46+Pesos!$B$4*K46+Pesos!$B$5*N46+Pesos!$B$6*Q46+Pesos!$B$7*T46+Pesos!$B$8*W46+Pesos!$B$9*Z46+Pesos!$B$10*AC46)))</f>
        <v/>
      </c>
      <c r="AH46" s="5">
        <f>IF(OR(AF46="Sin criterios aplicables",AF46&lt;70),"Insufficient evidence",100*(Pesos!$C$2*IF(E46=1,F46,0)+Pesos!$C$3*IF(H46=1,I46,0)+Pesos!$C$4*IF(K46=1,L46,0)+Pesos!$C$5*IF(N46=1,O46,0)+Pesos!$C$6*IF(Q46=1,R46,0)+Pesos!$C$7*IF(T46=1,U46,0)+Pesos!$C$8*IF(W46=1,X46,0)+Pesos!$C$9*IF(Z46=1,AA46,0)+Pesos!$C$10*IF(AC46=1,AD46,0))/(3*(Pesos!$C$2*E46+Pesos!$C$3*H46+Pesos!$C$4*K46+Pesos!$C$5*N46+Pesos!$C$6*Q46+Pesos!$C$7*T46+Pesos!$C$8*W46+Pesos!$C$9*Z46+Pesos!$C$10*AC46)))</f>
        <v/>
      </c>
      <c r="AI46">
        <f>IF(AG46="Insufficient evidence","Insufficient evidence (cobertura&lt;70%)",IF(AG46&lt;50/3,"Insufficient",IF(AG46&lt;50,"Basic",IF(AG46&lt;250/3,"Solid","Advanced"))))</f>
        <v/>
      </c>
      <c r="AJ46">
        <f>IF(AH46="Insufficient evidence","Insufficient evidence (cobertura&lt;70%)",IF(AH46&lt;50/3,"Insufficient",IF(AH46&lt;50,"Basic",IF(AH46&lt;250/3,"Solid","Advanced"))))</f>
        <v/>
      </c>
      <c r="AK46">
        <f>IF(TRIM(IF(AND(ISNUMBER(I46),I46&lt;1),"Asignación","") &amp; " " &amp; IF(AND(ISNUMBER(F46),F46&lt;1),"Visibilidad",""))="","Ninguno",TRIM(IF(AND(ISNUMBER(I46),I46&lt;1),"Asignación","") &amp; " " &amp; IF(AND(ISNUMBER(F46),F46&lt;1),"Visibilidad","")))</f>
        <v/>
      </c>
    </row>
    <row r="47">
      <c r="A47" t="inlineStr">
        <is>
          <t>E5</t>
        </is>
      </c>
      <c r="B47" t="inlineStr">
        <is>
          <t>Multicloud</t>
        </is>
      </c>
      <c r="C47" t="inlineStr">
        <is>
          <t>Cloudability</t>
        </is>
      </c>
      <c r="D47">
        <f>IF(COUNTIFS(Puntuacion!$A:$A,$A47,Puntuacion!$C:$C,$C47,Puntuacion!$D:$D,"Visibilidad",Puntuacion!$G:$G,"&lt;&gt;NA")&gt;0,1,0)</f>
        <v/>
      </c>
      <c r="E47">
        <f>IF(AND(D47=1,COUNTIFS(Puntuacion!$A:$A,$A47,Puntuacion!$C:$C,$C47,Puntuacion!$D:$D,"Visibilidad",Puntuacion!$G:$G,"NE")=0),1,0)</f>
        <v/>
      </c>
      <c r="F47" s="5">
        <f>IF(D47=0,"NA",IF(E47=0,"NE",AVERAGEIFS(Puntuacion!$G:$G,Puntuacion!$A:$A,$A47,Puntuacion!$C:$C,$C47,Puntuacion!$D:$D,"Visibilidad",Puntuacion!$G:$G,"&lt;&gt;NA",Puntuacion!$G:$G,"&lt;&gt;NE")))</f>
        <v/>
      </c>
      <c r="G47">
        <f>IF(COUNTIFS(Puntuacion!$A:$A,$A47,Puntuacion!$C:$C,$C47,Puntuacion!$D:$D,"Asignacion",Puntuacion!$G:$G,"&lt;&gt;NA")&gt;0,1,0)</f>
        <v/>
      </c>
      <c r="H47">
        <f>IF(AND(G47=1,COUNTIFS(Puntuacion!$A:$A,$A47,Puntuacion!$C:$C,$C47,Puntuacion!$D:$D,"Asignacion",Puntuacion!$G:$G,"NE")=0),1,0)</f>
        <v/>
      </c>
      <c r="I47" s="5">
        <f>IF(G47=0,"NA",IF(H47=0,"NE",AVERAGEIFS(Puntuacion!$G:$G,Puntuacion!$A:$A,$A47,Puntuacion!$C:$C,$C47,Puntuacion!$D:$D,"Asignacion",Puntuacion!$G:$G,"&lt;&gt;NA",Puntuacion!$G:$G,"&lt;&gt;NE")))</f>
        <v/>
      </c>
      <c r="J47">
        <f>IF(COUNTIFS(Puntuacion!$A:$A,$A47,Puntuacion!$C:$C,$C47,Puntuacion!$D:$D,"Optimizacion",Puntuacion!$G:$G,"&lt;&gt;NA")&gt;0,1,0)</f>
        <v/>
      </c>
      <c r="K47">
        <f>IF(AND(J47=1,COUNTIFS(Puntuacion!$A:$A,$A47,Puntuacion!$C:$C,$C47,Puntuacion!$D:$D,"Optimizacion",Puntuacion!$G:$G,"NE")=0),1,0)</f>
        <v/>
      </c>
      <c r="L47" s="5">
        <f>IF(J47=0,"NA",IF(K47=0,"NE",AVERAGEIFS(Puntuacion!$G:$G,Puntuacion!$A:$A,$A47,Puntuacion!$C:$C,$C47,Puntuacion!$D:$D,"Optimizacion",Puntuacion!$G:$G,"&lt;&gt;NA",Puntuacion!$G:$G,"&lt;&gt;NE")))</f>
        <v/>
      </c>
      <c r="M47">
        <f>IF(COUNTIFS(Puntuacion!$A:$A,$A47,Puntuacion!$C:$C,$C47,Puntuacion!$D:$D,"Automatizacion",Puntuacion!$G:$G,"&lt;&gt;NA")&gt;0,1,0)</f>
        <v/>
      </c>
      <c r="N47">
        <f>IF(AND(M47=1,COUNTIFS(Puntuacion!$A:$A,$A47,Puntuacion!$C:$C,$C47,Puntuacion!$D:$D,"Automatizacion",Puntuacion!$G:$G,"NE")=0),1,0)</f>
        <v/>
      </c>
      <c r="O47" s="5">
        <f>IF(M47=0,"NA",IF(N47=0,"NE",AVERAGEIFS(Puntuacion!$G:$G,Puntuacion!$A:$A,$A47,Puntuacion!$C:$C,$C47,Puntuacion!$D:$D,"Automatizacion",Puntuacion!$G:$G,"&lt;&gt;NA",Puntuacion!$G:$G,"&lt;&gt;NE")))</f>
        <v/>
      </c>
      <c r="P47">
        <f>IF(COUNTIFS(Puntuacion!$A:$A,$A47,Puntuacion!$C:$C,$C47,Puntuacion!$D:$D,"Multicloud",Puntuacion!$G:$G,"&lt;&gt;NA")&gt;0,1,0)</f>
        <v/>
      </c>
      <c r="Q47">
        <f>IF(AND(P47=1,COUNTIFS(Puntuacion!$A:$A,$A47,Puntuacion!$C:$C,$C47,Puntuacion!$D:$D,"Multicloud",Puntuacion!$G:$G,"NE")=0),1,0)</f>
        <v/>
      </c>
      <c r="R47" s="5">
        <f>IF(P47=0,"NA",IF(Q47=0,"NE",AVERAGEIFS(Puntuacion!$G:$G,Puntuacion!$A:$A,$A47,Puntuacion!$C:$C,$C47,Puntuacion!$D:$D,"Multicloud",Puntuacion!$G:$G,"&lt;&gt;NA",Puntuacion!$G:$G,"&lt;&gt;NE")))</f>
        <v/>
      </c>
      <c r="S47">
        <f>IF(COUNTIFS(Puntuacion!$A:$A,$A47,Puntuacion!$C:$C,$C47,Puntuacion!$D:$D,"Integracion",Puntuacion!$G:$G,"&lt;&gt;NA")&gt;0,1,0)</f>
        <v/>
      </c>
      <c r="T47">
        <f>IF(AND(S47=1,COUNTIFS(Puntuacion!$A:$A,$A47,Puntuacion!$C:$C,$C47,Puntuacion!$D:$D,"Integracion",Puntuacion!$G:$G,"NE")=0),1,0)</f>
        <v/>
      </c>
      <c r="U47" s="5">
        <f>IF(S47=0,"NA",IF(T47=0,"NE",AVERAGEIFS(Puntuacion!$G:$G,Puntuacion!$A:$A,$A47,Puntuacion!$C:$C,$C47,Puntuacion!$D:$D,"Integracion",Puntuacion!$G:$G,"&lt;&gt;NA",Puntuacion!$G:$G,"&lt;&gt;NE")))</f>
        <v/>
      </c>
      <c r="V47">
        <f>IF(COUNTIFS(Puntuacion!$A:$A,$A47,Puntuacion!$C:$C,$C47,Puntuacion!$D:$D,"Adopcion",Puntuacion!$G:$G,"&lt;&gt;NA")&gt;0,1,0)</f>
        <v/>
      </c>
      <c r="W47">
        <f>IF(AND(V47=1,COUNTIFS(Puntuacion!$A:$A,$A47,Puntuacion!$C:$C,$C47,Puntuacion!$D:$D,"Adopcion",Puntuacion!$G:$G,"NE")=0),1,0)</f>
        <v/>
      </c>
      <c r="X47" s="5">
        <f>IF(V47=0,"NA",IF(W47=0,"NE",AVERAGEIFS(Puntuacion!$G:$G,Puntuacion!$A:$A,$A47,Puntuacion!$C:$C,$C47,Puntuacion!$D:$D,"Adopcion",Puntuacion!$G:$G,"&lt;&gt;NA",Puntuacion!$G:$G,"&lt;&gt;NE")))</f>
        <v/>
      </c>
      <c r="Y47">
        <f>IF(COUNTIFS(Puntuacion!$A:$A,$A47,Puntuacion!$C:$C,$C47,Puntuacion!$D:$D,"Precio",Puntuacion!$G:$G,"&lt;&gt;NA")&gt;0,1,0)</f>
        <v/>
      </c>
      <c r="Z47">
        <f>IF(AND(Y47=1,COUNTIFS(Puntuacion!$A:$A,$A47,Puntuacion!$C:$C,$C47,Puntuacion!$D:$D,"Precio",Puntuacion!$G:$G,"NE")=0),1,0)</f>
        <v/>
      </c>
      <c r="AA47" s="5">
        <f>IF(Y47=0,"NA",IF(Z47=0,"NE",AVERAGEIFS(Puntuacion!$G:$G,Puntuacion!$A:$A,$A47,Puntuacion!$C:$C,$C47,Puntuacion!$D:$D,"Precio",Puntuacion!$G:$G,"&lt;&gt;NA",Puntuacion!$G:$G,"&lt;&gt;NE")))</f>
        <v/>
      </c>
      <c r="AB47">
        <f>IF(COUNTIFS(Puntuacion!$A:$A,$A47,Puntuacion!$C:$C,$C47,Puntuacion!$D:$D,"Dependencia",Puntuacion!$G:$G,"&lt;&gt;NA")&gt;0,1,0)</f>
        <v/>
      </c>
      <c r="AC47">
        <f>IF(AND(AB47=1,COUNTIFS(Puntuacion!$A:$A,$A47,Puntuacion!$C:$C,$C47,Puntuacion!$D:$D,"Dependencia",Puntuacion!$G:$G,"NE")=0),1,0)</f>
        <v/>
      </c>
      <c r="AD47" s="5">
        <f>IF(AB47=0,"NA",IF(AC47=0,"NE",AVERAGEIFS(Puntuacion!$G:$G,Puntuacion!$A:$A,$A47,Puntuacion!$C:$C,$C47,Puntuacion!$D:$D,"Dependencia",Puntuacion!$G:$G,"&lt;&gt;NA",Puntuacion!$G:$G,"&lt;&gt;NE")))</f>
        <v/>
      </c>
      <c r="AE47" s="5">
        <f>IFERROR(100*(E47*Pesos!$B$2+H47*Pesos!$B$3+K47*Pesos!$B$4+N47*Pesos!$B$5+Q47*Pesos!$B$6+T47*Pesos!$B$7+W47*Pesos!$B$8+Z47*Pesos!$B$9+AC47*Pesos!$B$10)/(D47*Pesos!$B$2+G47*Pesos!$B$3+J47*Pesos!$B$4+M47*Pesos!$B$5+P47*Pesos!$B$6+S47*Pesos!$B$7+V47*Pesos!$B$8+Y47*Pesos!$B$9+AB47*Pesos!$B$10),"Sin criterios aplicables")</f>
        <v/>
      </c>
      <c r="AF47" s="5">
        <f>IFERROR(100*(E47*Pesos!$C$2+H47*Pesos!$C$3+K47*Pesos!$C$4+N47*Pesos!$C$5+Q47*Pesos!$C$6+T47*Pesos!$C$7+W47*Pesos!$C$8+Z47*Pesos!$C$9+AC47*Pesos!$C$10)/(D47*Pesos!$C$2+G47*Pesos!$C$3+J47*Pesos!$C$4+M47*Pesos!$C$5+P47*Pesos!$C$6+S47*Pesos!$C$7+V47*Pesos!$C$8+Y47*Pesos!$C$9+AB47*Pesos!$C$10),"Sin criterios aplicables")</f>
        <v/>
      </c>
      <c r="AG47" s="5">
        <f>IF(OR(AE47="Sin criterios aplicables",AE47&lt;70),"Insufficient evidence",100*(Pesos!$B$2*IF(E47=1,F47,0)+Pesos!$B$3*IF(H47=1,I47,0)+Pesos!$B$4*IF(K47=1,L47,0)+Pesos!$B$5*IF(N47=1,O47,0)+Pesos!$B$6*IF(Q47=1,R47,0)+Pesos!$B$7*IF(T47=1,U47,0)+Pesos!$B$8*IF(W47=1,X47,0)+Pesos!$B$9*IF(Z47=1,AA47,0)+Pesos!$B$10*IF(AC47=1,AD47,0))/(3*(Pesos!$B$2*E47+Pesos!$B$3*H47+Pesos!$B$4*K47+Pesos!$B$5*N47+Pesos!$B$6*Q47+Pesos!$B$7*T47+Pesos!$B$8*W47+Pesos!$B$9*Z47+Pesos!$B$10*AC47)))</f>
        <v/>
      </c>
      <c r="AH47" s="5">
        <f>IF(OR(AF47="Sin criterios aplicables",AF47&lt;70),"Insufficient evidence",100*(Pesos!$C$2*IF(E47=1,F47,0)+Pesos!$C$3*IF(H47=1,I47,0)+Pesos!$C$4*IF(K47=1,L47,0)+Pesos!$C$5*IF(N47=1,O47,0)+Pesos!$C$6*IF(Q47=1,R47,0)+Pesos!$C$7*IF(T47=1,U47,0)+Pesos!$C$8*IF(W47=1,X47,0)+Pesos!$C$9*IF(Z47=1,AA47,0)+Pesos!$C$10*IF(AC47=1,AD47,0))/(3*(Pesos!$C$2*E47+Pesos!$C$3*H47+Pesos!$C$4*K47+Pesos!$C$5*N47+Pesos!$C$6*Q47+Pesos!$C$7*T47+Pesos!$C$8*W47+Pesos!$C$9*Z47+Pesos!$C$10*AC47)))</f>
        <v/>
      </c>
      <c r="AI47">
        <f>IF(AG47="Insufficient evidence","Insufficient evidence (cobertura&lt;70%)",IF(AG47&lt;50/3,"Insufficient",IF(AG47&lt;50,"Basic",IF(AG47&lt;250/3,"Solid","Advanced"))))</f>
        <v/>
      </c>
      <c r="AJ47">
        <f>IF(AH47="Insufficient evidence","Insufficient evidence (cobertura&lt;70%)",IF(AH47&lt;50/3,"Insufficient",IF(AH47&lt;50,"Basic",IF(AH47&lt;250/3,"Solid","Advanced"))))</f>
        <v/>
      </c>
      <c r="AK47">
        <f>IF(TRIM(IF(AND(ISNUMBER(I47),I47&lt;1),"Asignación","") &amp; " " &amp; IF(AND(ISNUMBER(F47),F47&lt;1),"Visibilidad",""))="","Ninguno",TRIM(IF(AND(ISNUMBER(I47),I47&lt;1),"Asignación","") &amp; " " &amp; IF(AND(ISNUMBER(F47),F47&lt;1),"Visibilidad","")))</f>
        <v/>
      </c>
    </row>
    <row r="48">
      <c r="A48" t="inlineStr">
        <is>
          <t>E5</t>
        </is>
      </c>
      <c r="B48" t="inlineStr">
        <is>
          <t>Multicloud</t>
        </is>
      </c>
      <c r="C48" t="inlineStr">
        <is>
          <t>Finout</t>
        </is>
      </c>
      <c r="D48">
        <f>IF(COUNTIFS(Puntuacion!$A:$A,$A48,Puntuacion!$C:$C,$C48,Puntuacion!$D:$D,"Visibilidad",Puntuacion!$G:$G,"&lt;&gt;NA")&gt;0,1,0)</f>
        <v/>
      </c>
      <c r="E48">
        <f>IF(AND(D48=1,COUNTIFS(Puntuacion!$A:$A,$A48,Puntuacion!$C:$C,$C48,Puntuacion!$D:$D,"Visibilidad",Puntuacion!$G:$G,"NE")=0),1,0)</f>
        <v/>
      </c>
      <c r="F48" s="5">
        <f>IF(D48=0,"NA",IF(E48=0,"NE",AVERAGEIFS(Puntuacion!$G:$G,Puntuacion!$A:$A,$A48,Puntuacion!$C:$C,$C48,Puntuacion!$D:$D,"Visibilidad",Puntuacion!$G:$G,"&lt;&gt;NA",Puntuacion!$G:$G,"&lt;&gt;NE")))</f>
        <v/>
      </c>
      <c r="G48">
        <f>IF(COUNTIFS(Puntuacion!$A:$A,$A48,Puntuacion!$C:$C,$C48,Puntuacion!$D:$D,"Asignacion",Puntuacion!$G:$G,"&lt;&gt;NA")&gt;0,1,0)</f>
        <v/>
      </c>
      <c r="H48">
        <f>IF(AND(G48=1,COUNTIFS(Puntuacion!$A:$A,$A48,Puntuacion!$C:$C,$C48,Puntuacion!$D:$D,"Asignacion",Puntuacion!$G:$G,"NE")=0),1,0)</f>
        <v/>
      </c>
      <c r="I48" s="5">
        <f>IF(G48=0,"NA",IF(H48=0,"NE",AVERAGEIFS(Puntuacion!$G:$G,Puntuacion!$A:$A,$A48,Puntuacion!$C:$C,$C48,Puntuacion!$D:$D,"Asignacion",Puntuacion!$G:$G,"&lt;&gt;NA",Puntuacion!$G:$G,"&lt;&gt;NE")))</f>
        <v/>
      </c>
      <c r="J48">
        <f>IF(COUNTIFS(Puntuacion!$A:$A,$A48,Puntuacion!$C:$C,$C48,Puntuacion!$D:$D,"Optimizacion",Puntuacion!$G:$G,"&lt;&gt;NA")&gt;0,1,0)</f>
        <v/>
      </c>
      <c r="K48">
        <f>IF(AND(J48=1,COUNTIFS(Puntuacion!$A:$A,$A48,Puntuacion!$C:$C,$C48,Puntuacion!$D:$D,"Optimizacion",Puntuacion!$G:$G,"NE")=0),1,0)</f>
        <v/>
      </c>
      <c r="L48" s="5">
        <f>IF(J48=0,"NA",IF(K48=0,"NE",AVERAGEIFS(Puntuacion!$G:$G,Puntuacion!$A:$A,$A48,Puntuacion!$C:$C,$C48,Puntuacion!$D:$D,"Optimizacion",Puntuacion!$G:$G,"&lt;&gt;NA",Puntuacion!$G:$G,"&lt;&gt;NE")))</f>
        <v/>
      </c>
      <c r="M48">
        <f>IF(COUNTIFS(Puntuacion!$A:$A,$A48,Puntuacion!$C:$C,$C48,Puntuacion!$D:$D,"Automatizacion",Puntuacion!$G:$G,"&lt;&gt;NA")&gt;0,1,0)</f>
        <v/>
      </c>
      <c r="N48">
        <f>IF(AND(M48=1,COUNTIFS(Puntuacion!$A:$A,$A48,Puntuacion!$C:$C,$C48,Puntuacion!$D:$D,"Automatizacion",Puntuacion!$G:$G,"NE")=0),1,0)</f>
        <v/>
      </c>
      <c r="O48" s="5">
        <f>IF(M48=0,"NA",IF(N48=0,"NE",AVERAGEIFS(Puntuacion!$G:$G,Puntuacion!$A:$A,$A48,Puntuacion!$C:$C,$C48,Puntuacion!$D:$D,"Automatizacion",Puntuacion!$G:$G,"&lt;&gt;NA",Puntuacion!$G:$G,"&lt;&gt;NE")))</f>
        <v/>
      </c>
      <c r="P48">
        <f>IF(COUNTIFS(Puntuacion!$A:$A,$A48,Puntuacion!$C:$C,$C48,Puntuacion!$D:$D,"Multicloud",Puntuacion!$G:$G,"&lt;&gt;NA")&gt;0,1,0)</f>
        <v/>
      </c>
      <c r="Q48">
        <f>IF(AND(P48=1,COUNTIFS(Puntuacion!$A:$A,$A48,Puntuacion!$C:$C,$C48,Puntuacion!$D:$D,"Multicloud",Puntuacion!$G:$G,"NE")=0),1,0)</f>
        <v/>
      </c>
      <c r="R48" s="5">
        <f>IF(P48=0,"NA",IF(Q48=0,"NE",AVERAGEIFS(Puntuacion!$G:$G,Puntuacion!$A:$A,$A48,Puntuacion!$C:$C,$C48,Puntuacion!$D:$D,"Multicloud",Puntuacion!$G:$G,"&lt;&gt;NA",Puntuacion!$G:$G,"&lt;&gt;NE")))</f>
        <v/>
      </c>
      <c r="S48">
        <f>IF(COUNTIFS(Puntuacion!$A:$A,$A48,Puntuacion!$C:$C,$C48,Puntuacion!$D:$D,"Integracion",Puntuacion!$G:$G,"&lt;&gt;NA")&gt;0,1,0)</f>
        <v/>
      </c>
      <c r="T48">
        <f>IF(AND(S48=1,COUNTIFS(Puntuacion!$A:$A,$A48,Puntuacion!$C:$C,$C48,Puntuacion!$D:$D,"Integracion",Puntuacion!$G:$G,"NE")=0),1,0)</f>
        <v/>
      </c>
      <c r="U48" s="5">
        <f>IF(S48=0,"NA",IF(T48=0,"NE",AVERAGEIFS(Puntuacion!$G:$G,Puntuacion!$A:$A,$A48,Puntuacion!$C:$C,$C48,Puntuacion!$D:$D,"Integracion",Puntuacion!$G:$G,"&lt;&gt;NA",Puntuacion!$G:$G,"&lt;&gt;NE")))</f>
        <v/>
      </c>
      <c r="V48">
        <f>IF(COUNTIFS(Puntuacion!$A:$A,$A48,Puntuacion!$C:$C,$C48,Puntuacion!$D:$D,"Adopcion",Puntuacion!$G:$G,"&lt;&gt;NA")&gt;0,1,0)</f>
        <v/>
      </c>
      <c r="W48">
        <f>IF(AND(V48=1,COUNTIFS(Puntuacion!$A:$A,$A48,Puntuacion!$C:$C,$C48,Puntuacion!$D:$D,"Adopcion",Puntuacion!$G:$G,"NE")=0),1,0)</f>
        <v/>
      </c>
      <c r="X48" s="5">
        <f>IF(V48=0,"NA",IF(W48=0,"NE",AVERAGEIFS(Puntuacion!$G:$G,Puntuacion!$A:$A,$A48,Puntuacion!$C:$C,$C48,Puntuacion!$D:$D,"Adopcion",Puntuacion!$G:$G,"&lt;&gt;NA",Puntuacion!$G:$G,"&lt;&gt;NE")))</f>
        <v/>
      </c>
      <c r="Y48">
        <f>IF(COUNTIFS(Puntuacion!$A:$A,$A48,Puntuacion!$C:$C,$C48,Puntuacion!$D:$D,"Precio",Puntuacion!$G:$G,"&lt;&gt;NA")&gt;0,1,0)</f>
        <v/>
      </c>
      <c r="Z48">
        <f>IF(AND(Y48=1,COUNTIFS(Puntuacion!$A:$A,$A48,Puntuacion!$C:$C,$C48,Puntuacion!$D:$D,"Precio",Puntuacion!$G:$G,"NE")=0),1,0)</f>
        <v/>
      </c>
      <c r="AA48" s="5">
        <f>IF(Y48=0,"NA",IF(Z48=0,"NE",AVERAGEIFS(Puntuacion!$G:$G,Puntuacion!$A:$A,$A48,Puntuacion!$C:$C,$C48,Puntuacion!$D:$D,"Precio",Puntuacion!$G:$G,"&lt;&gt;NA",Puntuacion!$G:$G,"&lt;&gt;NE")))</f>
        <v/>
      </c>
      <c r="AB48">
        <f>IF(COUNTIFS(Puntuacion!$A:$A,$A48,Puntuacion!$C:$C,$C48,Puntuacion!$D:$D,"Dependencia",Puntuacion!$G:$G,"&lt;&gt;NA")&gt;0,1,0)</f>
        <v/>
      </c>
      <c r="AC48">
        <f>IF(AND(AB48=1,COUNTIFS(Puntuacion!$A:$A,$A48,Puntuacion!$C:$C,$C48,Puntuacion!$D:$D,"Dependencia",Puntuacion!$G:$G,"NE")=0),1,0)</f>
        <v/>
      </c>
      <c r="AD48" s="5">
        <f>IF(AB48=0,"NA",IF(AC48=0,"NE",AVERAGEIFS(Puntuacion!$G:$G,Puntuacion!$A:$A,$A48,Puntuacion!$C:$C,$C48,Puntuacion!$D:$D,"Dependencia",Puntuacion!$G:$G,"&lt;&gt;NA",Puntuacion!$G:$G,"&lt;&gt;NE")))</f>
        <v/>
      </c>
      <c r="AE48" s="5">
        <f>IFERROR(100*(E48*Pesos!$B$2+H48*Pesos!$B$3+K48*Pesos!$B$4+N48*Pesos!$B$5+Q48*Pesos!$B$6+T48*Pesos!$B$7+W48*Pesos!$B$8+Z48*Pesos!$B$9+AC48*Pesos!$B$10)/(D48*Pesos!$B$2+G48*Pesos!$B$3+J48*Pesos!$B$4+M48*Pesos!$B$5+P48*Pesos!$B$6+S48*Pesos!$B$7+V48*Pesos!$B$8+Y48*Pesos!$B$9+AB48*Pesos!$B$10),"Sin criterios aplicables")</f>
        <v/>
      </c>
      <c r="AF48" s="5">
        <f>IFERROR(100*(E48*Pesos!$C$2+H48*Pesos!$C$3+K48*Pesos!$C$4+N48*Pesos!$C$5+Q48*Pesos!$C$6+T48*Pesos!$C$7+W48*Pesos!$C$8+Z48*Pesos!$C$9+AC48*Pesos!$C$10)/(D48*Pesos!$C$2+G48*Pesos!$C$3+J48*Pesos!$C$4+M48*Pesos!$C$5+P48*Pesos!$C$6+S48*Pesos!$C$7+V48*Pesos!$C$8+Y48*Pesos!$C$9+AB48*Pesos!$C$10),"Sin criterios aplicables")</f>
        <v/>
      </c>
      <c r="AG48" s="5">
        <f>IF(OR(AE48="Sin criterios aplicables",AE48&lt;70),"Insufficient evidence",100*(Pesos!$B$2*IF(E48=1,F48,0)+Pesos!$B$3*IF(H48=1,I48,0)+Pesos!$B$4*IF(K48=1,L48,0)+Pesos!$B$5*IF(N48=1,O48,0)+Pesos!$B$6*IF(Q48=1,R48,0)+Pesos!$B$7*IF(T48=1,U48,0)+Pesos!$B$8*IF(W48=1,X48,0)+Pesos!$B$9*IF(Z48=1,AA48,0)+Pesos!$B$10*IF(AC48=1,AD48,0))/(3*(Pesos!$B$2*E48+Pesos!$B$3*H48+Pesos!$B$4*K48+Pesos!$B$5*N48+Pesos!$B$6*Q48+Pesos!$B$7*T48+Pesos!$B$8*W48+Pesos!$B$9*Z48+Pesos!$B$10*AC48)))</f>
        <v/>
      </c>
      <c r="AH48" s="5">
        <f>IF(OR(AF48="Sin criterios aplicables",AF48&lt;70),"Insufficient evidence",100*(Pesos!$C$2*IF(E48=1,F48,0)+Pesos!$C$3*IF(H48=1,I48,0)+Pesos!$C$4*IF(K48=1,L48,0)+Pesos!$C$5*IF(N48=1,O48,0)+Pesos!$C$6*IF(Q48=1,R48,0)+Pesos!$C$7*IF(T48=1,U48,0)+Pesos!$C$8*IF(W48=1,X48,0)+Pesos!$C$9*IF(Z48=1,AA48,0)+Pesos!$C$10*IF(AC48=1,AD48,0))/(3*(Pesos!$C$2*E48+Pesos!$C$3*H48+Pesos!$C$4*K48+Pesos!$C$5*N48+Pesos!$C$6*Q48+Pesos!$C$7*T48+Pesos!$C$8*W48+Pesos!$C$9*Z48+Pesos!$C$10*AC48)))</f>
        <v/>
      </c>
      <c r="AI48">
        <f>IF(AG48="Insufficient evidence","Insufficient evidence (cobertura&lt;70%)",IF(AG48&lt;50/3,"Insufficient",IF(AG48&lt;50,"Basic",IF(AG48&lt;250/3,"Solid","Advanced"))))</f>
        <v/>
      </c>
      <c r="AJ48">
        <f>IF(AH48="Insufficient evidence","Insufficient evidence (cobertura&lt;70%)",IF(AH48&lt;50/3,"Insufficient",IF(AH48&lt;50,"Basic",IF(AH48&lt;250/3,"Solid","Advanced"))))</f>
        <v/>
      </c>
      <c r="AK48">
        <f>IF(TRIM(IF(AND(ISNUMBER(I48),I48&lt;1),"Asignación","") &amp; " " &amp; IF(AND(ISNUMBER(F48),F48&lt;1),"Visibilidad",""))="","Ninguno",TRIM(IF(AND(ISNUMBER(I48),I48&lt;1),"Asignación","") &amp; " " &amp; IF(AND(ISNUMBER(F48),F48&lt;1),"Visibilidad","")))</f>
        <v/>
      </c>
    </row>
    <row r="49">
      <c r="A49" t="inlineStr">
        <is>
          <t>E5</t>
        </is>
      </c>
      <c r="B49" t="inlineStr">
        <is>
          <t>Multicloud</t>
        </is>
      </c>
      <c r="C49" t="inlineStr">
        <is>
          <t>Vantage</t>
        </is>
      </c>
      <c r="D49">
        <f>IF(COUNTIFS(Puntuacion!$A:$A,$A49,Puntuacion!$C:$C,$C49,Puntuacion!$D:$D,"Visibilidad",Puntuacion!$G:$G,"&lt;&gt;NA")&gt;0,1,0)</f>
        <v/>
      </c>
      <c r="E49">
        <f>IF(AND(D49=1,COUNTIFS(Puntuacion!$A:$A,$A49,Puntuacion!$C:$C,$C49,Puntuacion!$D:$D,"Visibilidad",Puntuacion!$G:$G,"NE")=0),1,0)</f>
        <v/>
      </c>
      <c r="F49" s="5">
        <f>IF(D49=0,"NA",IF(E49=0,"NE",AVERAGEIFS(Puntuacion!$G:$G,Puntuacion!$A:$A,$A49,Puntuacion!$C:$C,$C49,Puntuacion!$D:$D,"Visibilidad",Puntuacion!$G:$G,"&lt;&gt;NA",Puntuacion!$G:$G,"&lt;&gt;NE")))</f>
        <v/>
      </c>
      <c r="G49">
        <f>IF(COUNTIFS(Puntuacion!$A:$A,$A49,Puntuacion!$C:$C,$C49,Puntuacion!$D:$D,"Asignacion",Puntuacion!$G:$G,"&lt;&gt;NA")&gt;0,1,0)</f>
        <v/>
      </c>
      <c r="H49">
        <f>IF(AND(G49=1,COUNTIFS(Puntuacion!$A:$A,$A49,Puntuacion!$C:$C,$C49,Puntuacion!$D:$D,"Asignacion",Puntuacion!$G:$G,"NE")=0),1,0)</f>
        <v/>
      </c>
      <c r="I49" s="5">
        <f>IF(G49=0,"NA",IF(H49=0,"NE",AVERAGEIFS(Puntuacion!$G:$G,Puntuacion!$A:$A,$A49,Puntuacion!$C:$C,$C49,Puntuacion!$D:$D,"Asignacion",Puntuacion!$G:$G,"&lt;&gt;NA",Puntuacion!$G:$G,"&lt;&gt;NE")))</f>
        <v/>
      </c>
      <c r="J49">
        <f>IF(COUNTIFS(Puntuacion!$A:$A,$A49,Puntuacion!$C:$C,$C49,Puntuacion!$D:$D,"Optimizacion",Puntuacion!$G:$G,"&lt;&gt;NA")&gt;0,1,0)</f>
        <v/>
      </c>
      <c r="K49">
        <f>IF(AND(J49=1,COUNTIFS(Puntuacion!$A:$A,$A49,Puntuacion!$C:$C,$C49,Puntuacion!$D:$D,"Optimizacion",Puntuacion!$G:$G,"NE")=0),1,0)</f>
        <v/>
      </c>
      <c r="L49" s="5">
        <f>IF(J49=0,"NA",IF(K49=0,"NE",AVERAGEIFS(Puntuacion!$G:$G,Puntuacion!$A:$A,$A49,Puntuacion!$C:$C,$C49,Puntuacion!$D:$D,"Optimizacion",Puntuacion!$G:$G,"&lt;&gt;NA",Puntuacion!$G:$G,"&lt;&gt;NE")))</f>
        <v/>
      </c>
      <c r="M49">
        <f>IF(COUNTIFS(Puntuacion!$A:$A,$A49,Puntuacion!$C:$C,$C49,Puntuacion!$D:$D,"Automatizacion",Puntuacion!$G:$G,"&lt;&gt;NA")&gt;0,1,0)</f>
        <v/>
      </c>
      <c r="N49">
        <f>IF(AND(M49=1,COUNTIFS(Puntuacion!$A:$A,$A49,Puntuacion!$C:$C,$C49,Puntuacion!$D:$D,"Automatizacion",Puntuacion!$G:$G,"NE")=0),1,0)</f>
        <v/>
      </c>
      <c r="O49" s="5">
        <f>IF(M49=0,"NA",IF(N49=0,"NE",AVERAGEIFS(Puntuacion!$G:$G,Puntuacion!$A:$A,$A49,Puntuacion!$C:$C,$C49,Puntuacion!$D:$D,"Automatizacion",Puntuacion!$G:$G,"&lt;&gt;NA",Puntuacion!$G:$G,"&lt;&gt;NE")))</f>
        <v/>
      </c>
      <c r="P49">
        <f>IF(COUNTIFS(Puntuacion!$A:$A,$A49,Puntuacion!$C:$C,$C49,Puntuacion!$D:$D,"Multicloud",Puntuacion!$G:$G,"&lt;&gt;NA")&gt;0,1,0)</f>
        <v/>
      </c>
      <c r="Q49">
        <f>IF(AND(P49=1,COUNTIFS(Puntuacion!$A:$A,$A49,Puntuacion!$C:$C,$C49,Puntuacion!$D:$D,"Multicloud",Puntuacion!$G:$G,"NE")=0),1,0)</f>
        <v/>
      </c>
      <c r="R49" s="5">
        <f>IF(P49=0,"NA",IF(Q49=0,"NE",AVERAGEIFS(Puntuacion!$G:$G,Puntuacion!$A:$A,$A49,Puntuacion!$C:$C,$C49,Puntuacion!$D:$D,"Multicloud",Puntuacion!$G:$G,"&lt;&gt;NA",Puntuacion!$G:$G,"&lt;&gt;NE")))</f>
        <v/>
      </c>
      <c r="S49">
        <f>IF(COUNTIFS(Puntuacion!$A:$A,$A49,Puntuacion!$C:$C,$C49,Puntuacion!$D:$D,"Integracion",Puntuacion!$G:$G,"&lt;&gt;NA")&gt;0,1,0)</f>
        <v/>
      </c>
      <c r="T49">
        <f>IF(AND(S49=1,COUNTIFS(Puntuacion!$A:$A,$A49,Puntuacion!$C:$C,$C49,Puntuacion!$D:$D,"Integracion",Puntuacion!$G:$G,"NE")=0),1,0)</f>
        <v/>
      </c>
      <c r="U49" s="5">
        <f>IF(S49=0,"NA",IF(T49=0,"NE",AVERAGEIFS(Puntuacion!$G:$G,Puntuacion!$A:$A,$A49,Puntuacion!$C:$C,$C49,Puntuacion!$D:$D,"Integracion",Puntuacion!$G:$G,"&lt;&gt;NA",Puntuacion!$G:$G,"&lt;&gt;NE")))</f>
        <v/>
      </c>
      <c r="V49">
        <f>IF(COUNTIFS(Puntuacion!$A:$A,$A49,Puntuacion!$C:$C,$C49,Puntuacion!$D:$D,"Adopcion",Puntuacion!$G:$G,"&lt;&gt;NA")&gt;0,1,0)</f>
        <v/>
      </c>
      <c r="W49">
        <f>IF(AND(V49=1,COUNTIFS(Puntuacion!$A:$A,$A49,Puntuacion!$C:$C,$C49,Puntuacion!$D:$D,"Adopcion",Puntuacion!$G:$G,"NE")=0),1,0)</f>
        <v/>
      </c>
      <c r="X49" s="5">
        <f>IF(V49=0,"NA",IF(W49=0,"NE",AVERAGEIFS(Puntuacion!$G:$G,Puntuacion!$A:$A,$A49,Puntuacion!$C:$C,$C49,Puntuacion!$D:$D,"Adopcion",Puntuacion!$G:$G,"&lt;&gt;NA",Puntuacion!$G:$G,"&lt;&gt;NE")))</f>
        <v/>
      </c>
      <c r="Y49">
        <f>IF(COUNTIFS(Puntuacion!$A:$A,$A49,Puntuacion!$C:$C,$C49,Puntuacion!$D:$D,"Precio",Puntuacion!$G:$G,"&lt;&gt;NA")&gt;0,1,0)</f>
        <v/>
      </c>
      <c r="Z49">
        <f>IF(AND(Y49=1,COUNTIFS(Puntuacion!$A:$A,$A49,Puntuacion!$C:$C,$C49,Puntuacion!$D:$D,"Precio",Puntuacion!$G:$G,"NE")=0),1,0)</f>
        <v/>
      </c>
      <c r="AA49" s="5">
        <f>IF(Y49=0,"NA",IF(Z49=0,"NE",AVERAGEIFS(Puntuacion!$G:$G,Puntuacion!$A:$A,$A49,Puntuacion!$C:$C,$C49,Puntuacion!$D:$D,"Precio",Puntuacion!$G:$G,"&lt;&gt;NA",Puntuacion!$G:$G,"&lt;&gt;NE")))</f>
        <v/>
      </c>
      <c r="AB49">
        <f>IF(COUNTIFS(Puntuacion!$A:$A,$A49,Puntuacion!$C:$C,$C49,Puntuacion!$D:$D,"Dependencia",Puntuacion!$G:$G,"&lt;&gt;NA")&gt;0,1,0)</f>
        <v/>
      </c>
      <c r="AC49">
        <f>IF(AND(AB49=1,COUNTIFS(Puntuacion!$A:$A,$A49,Puntuacion!$C:$C,$C49,Puntuacion!$D:$D,"Dependencia",Puntuacion!$G:$G,"NE")=0),1,0)</f>
        <v/>
      </c>
      <c r="AD49" s="5">
        <f>IF(AB49=0,"NA",IF(AC49=0,"NE",AVERAGEIFS(Puntuacion!$G:$G,Puntuacion!$A:$A,$A49,Puntuacion!$C:$C,$C49,Puntuacion!$D:$D,"Dependencia",Puntuacion!$G:$G,"&lt;&gt;NA",Puntuacion!$G:$G,"&lt;&gt;NE")))</f>
        <v/>
      </c>
      <c r="AE49" s="5">
        <f>IFERROR(100*(E49*Pesos!$B$2+H49*Pesos!$B$3+K49*Pesos!$B$4+N49*Pesos!$B$5+Q49*Pesos!$B$6+T49*Pesos!$B$7+W49*Pesos!$B$8+Z49*Pesos!$B$9+AC49*Pesos!$B$10)/(D49*Pesos!$B$2+G49*Pesos!$B$3+J49*Pesos!$B$4+M49*Pesos!$B$5+P49*Pesos!$B$6+S49*Pesos!$B$7+V49*Pesos!$B$8+Y49*Pesos!$B$9+AB49*Pesos!$B$10),"Sin criterios aplicables")</f>
        <v/>
      </c>
      <c r="AF49" s="5">
        <f>IFERROR(100*(E49*Pesos!$C$2+H49*Pesos!$C$3+K49*Pesos!$C$4+N49*Pesos!$C$5+Q49*Pesos!$C$6+T49*Pesos!$C$7+W49*Pesos!$C$8+Z49*Pesos!$C$9+AC49*Pesos!$C$10)/(D49*Pesos!$C$2+G49*Pesos!$C$3+J49*Pesos!$C$4+M49*Pesos!$C$5+P49*Pesos!$C$6+S49*Pesos!$C$7+V49*Pesos!$C$8+Y49*Pesos!$C$9+AB49*Pesos!$C$10),"Sin criterios aplicables")</f>
        <v/>
      </c>
      <c r="AG49" s="5">
        <f>IF(OR(AE49="Sin criterios aplicables",AE49&lt;70),"Insufficient evidence",100*(Pesos!$B$2*IF(E49=1,F49,0)+Pesos!$B$3*IF(H49=1,I49,0)+Pesos!$B$4*IF(K49=1,L49,0)+Pesos!$B$5*IF(N49=1,O49,0)+Pesos!$B$6*IF(Q49=1,R49,0)+Pesos!$B$7*IF(T49=1,U49,0)+Pesos!$B$8*IF(W49=1,X49,0)+Pesos!$B$9*IF(Z49=1,AA49,0)+Pesos!$B$10*IF(AC49=1,AD49,0))/(3*(Pesos!$B$2*E49+Pesos!$B$3*H49+Pesos!$B$4*K49+Pesos!$B$5*N49+Pesos!$B$6*Q49+Pesos!$B$7*T49+Pesos!$B$8*W49+Pesos!$B$9*Z49+Pesos!$B$10*AC49)))</f>
        <v/>
      </c>
      <c r="AH49" s="5">
        <f>IF(OR(AF49="Sin criterios aplicables",AF49&lt;70),"Insufficient evidence",100*(Pesos!$C$2*IF(E49=1,F49,0)+Pesos!$C$3*IF(H49=1,I49,0)+Pesos!$C$4*IF(K49=1,L49,0)+Pesos!$C$5*IF(N49=1,O49,0)+Pesos!$C$6*IF(Q49=1,R49,0)+Pesos!$C$7*IF(T49=1,U49,0)+Pesos!$C$8*IF(W49=1,X49,0)+Pesos!$C$9*IF(Z49=1,AA49,0)+Pesos!$C$10*IF(AC49=1,AD49,0))/(3*(Pesos!$C$2*E49+Pesos!$C$3*H49+Pesos!$C$4*K49+Pesos!$C$5*N49+Pesos!$C$6*Q49+Pesos!$C$7*T49+Pesos!$C$8*W49+Pesos!$C$9*Z49+Pesos!$C$10*AC49)))</f>
        <v/>
      </c>
      <c r="AI49">
        <f>IF(AG49="Insufficient evidence","Insufficient evidence (cobertura&lt;70%)",IF(AG49&lt;50/3,"Insufficient",IF(AG49&lt;50,"Basic",IF(AG49&lt;250/3,"Solid","Advanced"))))</f>
        <v/>
      </c>
      <c r="AJ49">
        <f>IF(AH49="Insufficient evidence","Insufficient evidence (cobertura&lt;70%)",IF(AH49&lt;50/3,"Insufficient",IF(AH49&lt;50,"Basic",IF(AH49&lt;250/3,"Solid","Advanced"))))</f>
        <v/>
      </c>
      <c r="AK49">
        <f>IF(TRIM(IF(AND(ISNUMBER(I49),I49&lt;1),"Asignación","") &amp; " " &amp; IF(AND(ISNUMBER(F49),F49&lt;1),"Visibilidad",""))="","Ninguno",TRIM(IF(AND(ISNUMBER(I49),I49&lt;1),"Asignación","") &amp; " " &amp; IF(AND(ISNUMBER(F49),F49&lt;1),"Visibilidad","")))</f>
        <v/>
      </c>
    </row>
    <row r="50">
      <c r="A50" t="inlineStr">
        <is>
          <t>E5</t>
        </is>
      </c>
      <c r="B50" t="inlineStr">
        <is>
          <t>Multicloud</t>
        </is>
      </c>
      <c r="C50" t="inlineStr">
        <is>
          <t>nOps</t>
        </is>
      </c>
      <c r="D50">
        <f>IF(COUNTIFS(Puntuacion!$A:$A,$A50,Puntuacion!$C:$C,$C50,Puntuacion!$D:$D,"Visibilidad",Puntuacion!$G:$G,"&lt;&gt;NA")&gt;0,1,0)</f>
        <v/>
      </c>
      <c r="E50">
        <f>IF(AND(D50=1,COUNTIFS(Puntuacion!$A:$A,$A50,Puntuacion!$C:$C,$C50,Puntuacion!$D:$D,"Visibilidad",Puntuacion!$G:$G,"NE")=0),1,0)</f>
        <v/>
      </c>
      <c r="F50" s="5">
        <f>IF(D50=0,"NA",IF(E50=0,"NE",AVERAGEIFS(Puntuacion!$G:$G,Puntuacion!$A:$A,$A50,Puntuacion!$C:$C,$C50,Puntuacion!$D:$D,"Visibilidad",Puntuacion!$G:$G,"&lt;&gt;NA",Puntuacion!$G:$G,"&lt;&gt;NE")))</f>
        <v/>
      </c>
      <c r="G50">
        <f>IF(COUNTIFS(Puntuacion!$A:$A,$A50,Puntuacion!$C:$C,$C50,Puntuacion!$D:$D,"Asignacion",Puntuacion!$G:$G,"&lt;&gt;NA")&gt;0,1,0)</f>
        <v/>
      </c>
      <c r="H50">
        <f>IF(AND(G50=1,COUNTIFS(Puntuacion!$A:$A,$A50,Puntuacion!$C:$C,$C50,Puntuacion!$D:$D,"Asignacion",Puntuacion!$G:$G,"NE")=0),1,0)</f>
        <v/>
      </c>
      <c r="I50" s="5">
        <f>IF(G50=0,"NA",IF(H50=0,"NE",AVERAGEIFS(Puntuacion!$G:$G,Puntuacion!$A:$A,$A50,Puntuacion!$C:$C,$C50,Puntuacion!$D:$D,"Asignacion",Puntuacion!$G:$G,"&lt;&gt;NA",Puntuacion!$G:$G,"&lt;&gt;NE")))</f>
        <v/>
      </c>
      <c r="J50">
        <f>IF(COUNTIFS(Puntuacion!$A:$A,$A50,Puntuacion!$C:$C,$C50,Puntuacion!$D:$D,"Optimizacion",Puntuacion!$G:$G,"&lt;&gt;NA")&gt;0,1,0)</f>
        <v/>
      </c>
      <c r="K50">
        <f>IF(AND(J50=1,COUNTIFS(Puntuacion!$A:$A,$A50,Puntuacion!$C:$C,$C50,Puntuacion!$D:$D,"Optimizacion",Puntuacion!$G:$G,"NE")=0),1,0)</f>
        <v/>
      </c>
      <c r="L50" s="5">
        <f>IF(J50=0,"NA",IF(K50=0,"NE",AVERAGEIFS(Puntuacion!$G:$G,Puntuacion!$A:$A,$A50,Puntuacion!$C:$C,$C50,Puntuacion!$D:$D,"Optimizacion",Puntuacion!$G:$G,"&lt;&gt;NA",Puntuacion!$G:$G,"&lt;&gt;NE")))</f>
        <v/>
      </c>
      <c r="M50">
        <f>IF(COUNTIFS(Puntuacion!$A:$A,$A50,Puntuacion!$C:$C,$C50,Puntuacion!$D:$D,"Automatizacion",Puntuacion!$G:$G,"&lt;&gt;NA")&gt;0,1,0)</f>
        <v/>
      </c>
      <c r="N50">
        <f>IF(AND(M50=1,COUNTIFS(Puntuacion!$A:$A,$A50,Puntuacion!$C:$C,$C50,Puntuacion!$D:$D,"Automatizacion",Puntuacion!$G:$G,"NE")=0),1,0)</f>
        <v/>
      </c>
      <c r="O50" s="5">
        <f>IF(M50=0,"NA",IF(N50=0,"NE",AVERAGEIFS(Puntuacion!$G:$G,Puntuacion!$A:$A,$A50,Puntuacion!$C:$C,$C50,Puntuacion!$D:$D,"Automatizacion",Puntuacion!$G:$G,"&lt;&gt;NA",Puntuacion!$G:$G,"&lt;&gt;NE")))</f>
        <v/>
      </c>
      <c r="P50">
        <f>IF(COUNTIFS(Puntuacion!$A:$A,$A50,Puntuacion!$C:$C,$C50,Puntuacion!$D:$D,"Multicloud",Puntuacion!$G:$G,"&lt;&gt;NA")&gt;0,1,0)</f>
        <v/>
      </c>
      <c r="Q50">
        <f>IF(AND(P50=1,COUNTIFS(Puntuacion!$A:$A,$A50,Puntuacion!$C:$C,$C50,Puntuacion!$D:$D,"Multicloud",Puntuacion!$G:$G,"NE")=0),1,0)</f>
        <v/>
      </c>
      <c r="R50" s="5">
        <f>IF(P50=0,"NA",IF(Q50=0,"NE",AVERAGEIFS(Puntuacion!$G:$G,Puntuacion!$A:$A,$A50,Puntuacion!$C:$C,$C50,Puntuacion!$D:$D,"Multicloud",Puntuacion!$G:$G,"&lt;&gt;NA",Puntuacion!$G:$G,"&lt;&gt;NE")))</f>
        <v/>
      </c>
      <c r="S50">
        <f>IF(COUNTIFS(Puntuacion!$A:$A,$A50,Puntuacion!$C:$C,$C50,Puntuacion!$D:$D,"Integracion",Puntuacion!$G:$G,"&lt;&gt;NA")&gt;0,1,0)</f>
        <v/>
      </c>
      <c r="T50">
        <f>IF(AND(S50=1,COUNTIFS(Puntuacion!$A:$A,$A50,Puntuacion!$C:$C,$C50,Puntuacion!$D:$D,"Integracion",Puntuacion!$G:$G,"NE")=0),1,0)</f>
        <v/>
      </c>
      <c r="U50" s="5">
        <f>IF(S50=0,"NA",IF(T50=0,"NE",AVERAGEIFS(Puntuacion!$G:$G,Puntuacion!$A:$A,$A50,Puntuacion!$C:$C,$C50,Puntuacion!$D:$D,"Integracion",Puntuacion!$G:$G,"&lt;&gt;NA",Puntuacion!$G:$G,"&lt;&gt;NE")))</f>
        <v/>
      </c>
      <c r="V50">
        <f>IF(COUNTIFS(Puntuacion!$A:$A,$A50,Puntuacion!$C:$C,$C50,Puntuacion!$D:$D,"Adopcion",Puntuacion!$G:$G,"&lt;&gt;NA")&gt;0,1,0)</f>
        <v/>
      </c>
      <c r="W50">
        <f>IF(AND(V50=1,COUNTIFS(Puntuacion!$A:$A,$A50,Puntuacion!$C:$C,$C50,Puntuacion!$D:$D,"Adopcion",Puntuacion!$G:$G,"NE")=0),1,0)</f>
        <v/>
      </c>
      <c r="X50" s="5">
        <f>IF(V50=0,"NA",IF(W50=0,"NE",AVERAGEIFS(Puntuacion!$G:$G,Puntuacion!$A:$A,$A50,Puntuacion!$C:$C,$C50,Puntuacion!$D:$D,"Adopcion",Puntuacion!$G:$G,"&lt;&gt;NA",Puntuacion!$G:$G,"&lt;&gt;NE")))</f>
        <v/>
      </c>
      <c r="Y50">
        <f>IF(COUNTIFS(Puntuacion!$A:$A,$A50,Puntuacion!$C:$C,$C50,Puntuacion!$D:$D,"Precio",Puntuacion!$G:$G,"&lt;&gt;NA")&gt;0,1,0)</f>
        <v/>
      </c>
      <c r="Z50">
        <f>IF(AND(Y50=1,COUNTIFS(Puntuacion!$A:$A,$A50,Puntuacion!$C:$C,$C50,Puntuacion!$D:$D,"Precio",Puntuacion!$G:$G,"NE")=0),1,0)</f>
        <v/>
      </c>
      <c r="AA50" s="5">
        <f>IF(Y50=0,"NA",IF(Z50=0,"NE",AVERAGEIFS(Puntuacion!$G:$G,Puntuacion!$A:$A,$A50,Puntuacion!$C:$C,$C50,Puntuacion!$D:$D,"Precio",Puntuacion!$G:$G,"&lt;&gt;NA",Puntuacion!$G:$G,"&lt;&gt;NE")))</f>
        <v/>
      </c>
      <c r="AB50">
        <f>IF(COUNTIFS(Puntuacion!$A:$A,$A50,Puntuacion!$C:$C,$C50,Puntuacion!$D:$D,"Dependencia",Puntuacion!$G:$G,"&lt;&gt;NA")&gt;0,1,0)</f>
        <v/>
      </c>
      <c r="AC50">
        <f>IF(AND(AB50=1,COUNTIFS(Puntuacion!$A:$A,$A50,Puntuacion!$C:$C,$C50,Puntuacion!$D:$D,"Dependencia",Puntuacion!$G:$G,"NE")=0),1,0)</f>
        <v/>
      </c>
      <c r="AD50" s="5">
        <f>IF(AB50=0,"NA",IF(AC50=0,"NE",AVERAGEIFS(Puntuacion!$G:$G,Puntuacion!$A:$A,$A50,Puntuacion!$C:$C,$C50,Puntuacion!$D:$D,"Dependencia",Puntuacion!$G:$G,"&lt;&gt;NA",Puntuacion!$G:$G,"&lt;&gt;NE")))</f>
        <v/>
      </c>
      <c r="AE50" s="5">
        <f>IFERROR(100*(E50*Pesos!$B$2+H50*Pesos!$B$3+K50*Pesos!$B$4+N50*Pesos!$B$5+Q50*Pesos!$B$6+T50*Pesos!$B$7+W50*Pesos!$B$8+Z50*Pesos!$B$9+AC50*Pesos!$B$10)/(D50*Pesos!$B$2+G50*Pesos!$B$3+J50*Pesos!$B$4+M50*Pesos!$B$5+P50*Pesos!$B$6+S50*Pesos!$B$7+V50*Pesos!$B$8+Y50*Pesos!$B$9+AB50*Pesos!$B$10),"Sin criterios aplicables")</f>
        <v/>
      </c>
      <c r="AF50" s="5">
        <f>IFERROR(100*(E50*Pesos!$C$2+H50*Pesos!$C$3+K50*Pesos!$C$4+N50*Pesos!$C$5+Q50*Pesos!$C$6+T50*Pesos!$C$7+W50*Pesos!$C$8+Z50*Pesos!$C$9+AC50*Pesos!$C$10)/(D50*Pesos!$C$2+G50*Pesos!$C$3+J50*Pesos!$C$4+M50*Pesos!$C$5+P50*Pesos!$C$6+S50*Pesos!$C$7+V50*Pesos!$C$8+Y50*Pesos!$C$9+AB50*Pesos!$C$10),"Sin criterios aplicables")</f>
        <v/>
      </c>
      <c r="AG50" s="5">
        <f>IF(OR(AE50="Sin criterios aplicables",AE50&lt;70),"Insufficient evidence",100*(Pesos!$B$2*IF(E50=1,F50,0)+Pesos!$B$3*IF(H50=1,I50,0)+Pesos!$B$4*IF(K50=1,L50,0)+Pesos!$B$5*IF(N50=1,O50,0)+Pesos!$B$6*IF(Q50=1,R50,0)+Pesos!$B$7*IF(T50=1,U50,0)+Pesos!$B$8*IF(W50=1,X50,0)+Pesos!$B$9*IF(Z50=1,AA50,0)+Pesos!$B$10*IF(AC50=1,AD50,0))/(3*(Pesos!$B$2*E50+Pesos!$B$3*H50+Pesos!$B$4*K50+Pesos!$B$5*N50+Pesos!$B$6*Q50+Pesos!$B$7*T50+Pesos!$B$8*W50+Pesos!$B$9*Z50+Pesos!$B$10*AC50)))</f>
        <v/>
      </c>
      <c r="AH50" s="5">
        <f>IF(OR(AF50="Sin criterios aplicables",AF50&lt;70),"Insufficient evidence",100*(Pesos!$C$2*IF(E50=1,F50,0)+Pesos!$C$3*IF(H50=1,I50,0)+Pesos!$C$4*IF(K50=1,L50,0)+Pesos!$C$5*IF(N50=1,O50,0)+Pesos!$C$6*IF(Q50=1,R50,0)+Pesos!$C$7*IF(T50=1,U50,0)+Pesos!$C$8*IF(W50=1,X50,0)+Pesos!$C$9*IF(Z50=1,AA50,0)+Pesos!$C$10*IF(AC50=1,AD50,0))/(3*(Pesos!$C$2*E50+Pesos!$C$3*H50+Pesos!$C$4*K50+Pesos!$C$5*N50+Pesos!$C$6*Q50+Pesos!$C$7*T50+Pesos!$C$8*W50+Pesos!$C$9*Z50+Pesos!$C$10*AC50)))</f>
        <v/>
      </c>
      <c r="AI50">
        <f>IF(AG50="Insufficient evidence","Insufficient evidence (cobertura&lt;70%)",IF(AG50&lt;50/3,"Insufficient",IF(AG50&lt;50,"Basic",IF(AG50&lt;250/3,"Solid","Advanced"))))</f>
        <v/>
      </c>
      <c r="AJ50">
        <f>IF(AH50="Insufficient evidence","Insufficient evidence (cobertura&lt;70%)",IF(AH50&lt;50/3,"Insufficient",IF(AH50&lt;50,"Basic",IF(AH50&lt;250/3,"Solid","Advanced"))))</f>
        <v/>
      </c>
      <c r="AK50">
        <f>IF(TRIM(IF(AND(ISNUMBER(I50),I50&lt;1),"Asignación","") &amp; " " &amp; IF(AND(ISNUMBER(F50),F50&lt;1),"Visibilidad",""))="","Ninguno",TRIM(IF(AND(ISNUMBER(I50),I50&lt;1),"Asignación","") &amp; " " &amp; IF(AND(ISNUMBER(F50),F50&lt;1),"Visibilidad","")))</f>
        <v/>
      </c>
    </row>
    <row r="51">
      <c r="A51" t="inlineStr">
        <is>
          <t>E6</t>
        </is>
      </c>
      <c r="B51" t="inlineStr">
        <is>
          <t>Cloud nativa</t>
        </is>
      </c>
      <c r="C51" t="inlineStr">
        <is>
          <t>AWS Cost Explorer</t>
        </is>
      </c>
      <c r="D51">
        <f>IF(COUNTIFS(Puntuacion!$A:$A,$A51,Puntuacion!$C:$C,$C51,Puntuacion!$D:$D,"Visibilidad",Puntuacion!$G:$G,"&lt;&gt;NA")&gt;0,1,0)</f>
        <v/>
      </c>
      <c r="E51">
        <f>IF(AND(D51=1,COUNTIFS(Puntuacion!$A:$A,$A51,Puntuacion!$C:$C,$C51,Puntuacion!$D:$D,"Visibilidad",Puntuacion!$G:$G,"NE")=0),1,0)</f>
        <v/>
      </c>
      <c r="F51" s="5">
        <f>IF(D51=0,"NA",IF(E51=0,"NE",AVERAGEIFS(Puntuacion!$G:$G,Puntuacion!$A:$A,$A51,Puntuacion!$C:$C,$C51,Puntuacion!$D:$D,"Visibilidad",Puntuacion!$G:$G,"&lt;&gt;NA",Puntuacion!$G:$G,"&lt;&gt;NE")))</f>
        <v/>
      </c>
      <c r="G51">
        <f>IF(COUNTIFS(Puntuacion!$A:$A,$A51,Puntuacion!$C:$C,$C51,Puntuacion!$D:$D,"Asignacion",Puntuacion!$G:$G,"&lt;&gt;NA")&gt;0,1,0)</f>
        <v/>
      </c>
      <c r="H51">
        <f>IF(AND(G51=1,COUNTIFS(Puntuacion!$A:$A,$A51,Puntuacion!$C:$C,$C51,Puntuacion!$D:$D,"Asignacion",Puntuacion!$G:$G,"NE")=0),1,0)</f>
        <v/>
      </c>
      <c r="I51" s="5">
        <f>IF(G51=0,"NA",IF(H51=0,"NE",AVERAGEIFS(Puntuacion!$G:$G,Puntuacion!$A:$A,$A51,Puntuacion!$C:$C,$C51,Puntuacion!$D:$D,"Asignacion",Puntuacion!$G:$G,"&lt;&gt;NA",Puntuacion!$G:$G,"&lt;&gt;NE")))</f>
        <v/>
      </c>
      <c r="J51">
        <f>IF(COUNTIFS(Puntuacion!$A:$A,$A51,Puntuacion!$C:$C,$C51,Puntuacion!$D:$D,"Optimizacion",Puntuacion!$G:$G,"&lt;&gt;NA")&gt;0,1,0)</f>
        <v/>
      </c>
      <c r="K51">
        <f>IF(AND(J51=1,COUNTIFS(Puntuacion!$A:$A,$A51,Puntuacion!$C:$C,$C51,Puntuacion!$D:$D,"Optimizacion",Puntuacion!$G:$G,"NE")=0),1,0)</f>
        <v/>
      </c>
      <c r="L51" s="5">
        <f>IF(J51=0,"NA",IF(K51=0,"NE",AVERAGEIFS(Puntuacion!$G:$G,Puntuacion!$A:$A,$A51,Puntuacion!$C:$C,$C51,Puntuacion!$D:$D,"Optimizacion",Puntuacion!$G:$G,"&lt;&gt;NA",Puntuacion!$G:$G,"&lt;&gt;NE")))</f>
        <v/>
      </c>
      <c r="M51">
        <f>IF(COUNTIFS(Puntuacion!$A:$A,$A51,Puntuacion!$C:$C,$C51,Puntuacion!$D:$D,"Automatizacion",Puntuacion!$G:$G,"&lt;&gt;NA")&gt;0,1,0)</f>
        <v/>
      </c>
      <c r="N51">
        <f>IF(AND(M51=1,COUNTIFS(Puntuacion!$A:$A,$A51,Puntuacion!$C:$C,$C51,Puntuacion!$D:$D,"Automatizacion",Puntuacion!$G:$G,"NE")=0),1,0)</f>
        <v/>
      </c>
      <c r="O51" s="5">
        <f>IF(M51=0,"NA",IF(N51=0,"NE",AVERAGEIFS(Puntuacion!$G:$G,Puntuacion!$A:$A,$A51,Puntuacion!$C:$C,$C51,Puntuacion!$D:$D,"Automatizacion",Puntuacion!$G:$G,"&lt;&gt;NA",Puntuacion!$G:$G,"&lt;&gt;NE")))</f>
        <v/>
      </c>
      <c r="P51">
        <f>IF(COUNTIFS(Puntuacion!$A:$A,$A51,Puntuacion!$C:$C,$C51,Puntuacion!$D:$D,"Multicloud",Puntuacion!$G:$G,"&lt;&gt;NA")&gt;0,1,0)</f>
        <v/>
      </c>
      <c r="Q51">
        <f>IF(AND(P51=1,COUNTIFS(Puntuacion!$A:$A,$A51,Puntuacion!$C:$C,$C51,Puntuacion!$D:$D,"Multicloud",Puntuacion!$G:$G,"NE")=0),1,0)</f>
        <v/>
      </c>
      <c r="R51" s="5">
        <f>IF(P51=0,"NA",IF(Q51=0,"NE",AVERAGEIFS(Puntuacion!$G:$G,Puntuacion!$A:$A,$A51,Puntuacion!$C:$C,$C51,Puntuacion!$D:$D,"Multicloud",Puntuacion!$G:$G,"&lt;&gt;NA",Puntuacion!$G:$G,"&lt;&gt;NE")))</f>
        <v/>
      </c>
      <c r="S51">
        <f>IF(COUNTIFS(Puntuacion!$A:$A,$A51,Puntuacion!$C:$C,$C51,Puntuacion!$D:$D,"Integracion",Puntuacion!$G:$G,"&lt;&gt;NA")&gt;0,1,0)</f>
        <v/>
      </c>
      <c r="T51">
        <f>IF(AND(S51=1,COUNTIFS(Puntuacion!$A:$A,$A51,Puntuacion!$C:$C,$C51,Puntuacion!$D:$D,"Integracion",Puntuacion!$G:$G,"NE")=0),1,0)</f>
        <v/>
      </c>
      <c r="U51" s="5">
        <f>IF(S51=0,"NA",IF(T51=0,"NE",AVERAGEIFS(Puntuacion!$G:$G,Puntuacion!$A:$A,$A51,Puntuacion!$C:$C,$C51,Puntuacion!$D:$D,"Integracion",Puntuacion!$G:$G,"&lt;&gt;NA",Puntuacion!$G:$G,"&lt;&gt;NE")))</f>
        <v/>
      </c>
      <c r="V51">
        <f>IF(COUNTIFS(Puntuacion!$A:$A,$A51,Puntuacion!$C:$C,$C51,Puntuacion!$D:$D,"Adopcion",Puntuacion!$G:$G,"&lt;&gt;NA")&gt;0,1,0)</f>
        <v/>
      </c>
      <c r="W51">
        <f>IF(AND(V51=1,COUNTIFS(Puntuacion!$A:$A,$A51,Puntuacion!$C:$C,$C51,Puntuacion!$D:$D,"Adopcion",Puntuacion!$G:$G,"NE")=0),1,0)</f>
        <v/>
      </c>
      <c r="X51" s="5">
        <f>IF(V51=0,"NA",IF(W51=0,"NE",AVERAGEIFS(Puntuacion!$G:$G,Puntuacion!$A:$A,$A51,Puntuacion!$C:$C,$C51,Puntuacion!$D:$D,"Adopcion",Puntuacion!$G:$G,"&lt;&gt;NA",Puntuacion!$G:$G,"&lt;&gt;NE")))</f>
        <v/>
      </c>
      <c r="Y51">
        <f>IF(COUNTIFS(Puntuacion!$A:$A,$A51,Puntuacion!$C:$C,$C51,Puntuacion!$D:$D,"Precio",Puntuacion!$G:$G,"&lt;&gt;NA")&gt;0,1,0)</f>
        <v/>
      </c>
      <c r="Z51">
        <f>IF(AND(Y51=1,COUNTIFS(Puntuacion!$A:$A,$A51,Puntuacion!$C:$C,$C51,Puntuacion!$D:$D,"Precio",Puntuacion!$G:$G,"NE")=0),1,0)</f>
        <v/>
      </c>
      <c r="AA51" s="5">
        <f>IF(Y51=0,"NA",IF(Z51=0,"NE",AVERAGEIFS(Puntuacion!$G:$G,Puntuacion!$A:$A,$A51,Puntuacion!$C:$C,$C51,Puntuacion!$D:$D,"Precio",Puntuacion!$G:$G,"&lt;&gt;NA",Puntuacion!$G:$G,"&lt;&gt;NE")))</f>
        <v/>
      </c>
      <c r="AB51">
        <f>IF(COUNTIFS(Puntuacion!$A:$A,$A51,Puntuacion!$C:$C,$C51,Puntuacion!$D:$D,"Dependencia",Puntuacion!$G:$G,"&lt;&gt;NA")&gt;0,1,0)</f>
        <v/>
      </c>
      <c r="AC51">
        <f>IF(AND(AB51=1,COUNTIFS(Puntuacion!$A:$A,$A51,Puntuacion!$C:$C,$C51,Puntuacion!$D:$D,"Dependencia",Puntuacion!$G:$G,"NE")=0),1,0)</f>
        <v/>
      </c>
      <c r="AD51" s="5">
        <f>IF(AB51=0,"NA",IF(AC51=0,"NE",AVERAGEIFS(Puntuacion!$G:$G,Puntuacion!$A:$A,$A51,Puntuacion!$C:$C,$C51,Puntuacion!$D:$D,"Dependencia",Puntuacion!$G:$G,"&lt;&gt;NA",Puntuacion!$G:$G,"&lt;&gt;NE")))</f>
        <v/>
      </c>
      <c r="AE51" s="5">
        <f>IFERROR(100*(E51*Pesos!$B$2+H51*Pesos!$B$3+K51*Pesos!$B$4+N51*Pesos!$B$5+Q51*Pesos!$B$6+T51*Pesos!$B$7+W51*Pesos!$B$8+Z51*Pesos!$B$9+AC51*Pesos!$B$10)/(D51*Pesos!$B$2+G51*Pesos!$B$3+J51*Pesos!$B$4+M51*Pesos!$B$5+P51*Pesos!$B$6+S51*Pesos!$B$7+V51*Pesos!$B$8+Y51*Pesos!$B$9+AB51*Pesos!$B$10),"Sin criterios aplicables")</f>
        <v/>
      </c>
      <c r="AF51" s="5">
        <f>IFERROR(100*(E51*Pesos!$C$2+H51*Pesos!$C$3+K51*Pesos!$C$4+N51*Pesos!$C$5+Q51*Pesos!$C$6+T51*Pesos!$C$7+W51*Pesos!$C$8+Z51*Pesos!$C$9+AC51*Pesos!$C$10)/(D51*Pesos!$C$2+G51*Pesos!$C$3+J51*Pesos!$C$4+M51*Pesos!$C$5+P51*Pesos!$C$6+S51*Pesos!$C$7+V51*Pesos!$C$8+Y51*Pesos!$C$9+AB51*Pesos!$C$10),"Sin criterios aplicables")</f>
        <v/>
      </c>
      <c r="AG51" s="5">
        <f>IF(OR(AE51="Sin criterios aplicables",AE51&lt;70),"Insufficient evidence",100*(Pesos!$B$2*IF(E51=1,F51,0)+Pesos!$B$3*IF(H51=1,I51,0)+Pesos!$B$4*IF(K51=1,L51,0)+Pesos!$B$5*IF(N51=1,O51,0)+Pesos!$B$6*IF(Q51=1,R51,0)+Pesos!$B$7*IF(T51=1,U51,0)+Pesos!$B$8*IF(W51=1,X51,0)+Pesos!$B$9*IF(Z51=1,AA51,0)+Pesos!$B$10*IF(AC51=1,AD51,0))/(3*(Pesos!$B$2*E51+Pesos!$B$3*H51+Pesos!$B$4*K51+Pesos!$B$5*N51+Pesos!$B$6*Q51+Pesos!$B$7*T51+Pesos!$B$8*W51+Pesos!$B$9*Z51+Pesos!$B$10*AC51)))</f>
        <v/>
      </c>
      <c r="AH51" s="5">
        <f>IF(OR(AF51="Sin criterios aplicables",AF51&lt;70),"Insufficient evidence",100*(Pesos!$C$2*IF(E51=1,F51,0)+Pesos!$C$3*IF(H51=1,I51,0)+Pesos!$C$4*IF(K51=1,L51,0)+Pesos!$C$5*IF(N51=1,O51,0)+Pesos!$C$6*IF(Q51=1,R51,0)+Pesos!$C$7*IF(T51=1,U51,0)+Pesos!$C$8*IF(W51=1,X51,0)+Pesos!$C$9*IF(Z51=1,AA51,0)+Pesos!$C$10*IF(AC51=1,AD51,0))/(3*(Pesos!$C$2*E51+Pesos!$C$3*H51+Pesos!$C$4*K51+Pesos!$C$5*N51+Pesos!$C$6*Q51+Pesos!$C$7*T51+Pesos!$C$8*W51+Pesos!$C$9*Z51+Pesos!$C$10*AC51)))</f>
        <v/>
      </c>
      <c r="AI51">
        <f>IF(AG51="Insufficient evidence","Insufficient evidence (cobertura&lt;70%)",IF(AG51&lt;50/3,"Insufficient",IF(AG51&lt;50,"Basic",IF(AG51&lt;250/3,"Solid","Advanced"))))</f>
        <v/>
      </c>
      <c r="AJ51">
        <f>IF(AH51="Insufficient evidence","Insufficient evidence (cobertura&lt;70%)",IF(AH51&lt;50/3,"Insufficient",IF(AH51&lt;50,"Basic",IF(AH51&lt;250/3,"Solid","Advanced"))))</f>
        <v/>
      </c>
      <c r="AK51">
        <f>IF(TRIM(IF(AND(ISNUMBER(F51),F51&lt;1),"Visibilidad","") &amp; " " &amp; IF(AND(ISNUMBER(U51),U51&lt;1),"Integración",""))="","Ninguno",TRIM(IF(AND(ISNUMBER(F51),F51&lt;1),"Visibilidad","") &amp; " " &amp; IF(AND(ISNUMBER(U51),U51&lt;1),"Integración","")))</f>
        <v/>
      </c>
    </row>
    <row r="52">
      <c r="A52" t="inlineStr">
        <is>
          <t>E6</t>
        </is>
      </c>
      <c r="B52" t="inlineStr">
        <is>
          <t>Cloud nativa</t>
        </is>
      </c>
      <c r="C52" t="inlineStr">
        <is>
          <t>AWS Cost Optimization Hub</t>
        </is>
      </c>
      <c r="D52">
        <f>IF(COUNTIFS(Puntuacion!$A:$A,$A52,Puntuacion!$C:$C,$C52,Puntuacion!$D:$D,"Visibilidad",Puntuacion!$G:$G,"&lt;&gt;NA")&gt;0,1,0)</f>
        <v/>
      </c>
      <c r="E52">
        <f>IF(AND(D52=1,COUNTIFS(Puntuacion!$A:$A,$A52,Puntuacion!$C:$C,$C52,Puntuacion!$D:$D,"Visibilidad",Puntuacion!$G:$G,"NE")=0),1,0)</f>
        <v/>
      </c>
      <c r="F52" s="5">
        <f>IF(D52=0,"NA",IF(E52=0,"NE",AVERAGEIFS(Puntuacion!$G:$G,Puntuacion!$A:$A,$A52,Puntuacion!$C:$C,$C52,Puntuacion!$D:$D,"Visibilidad",Puntuacion!$G:$G,"&lt;&gt;NA",Puntuacion!$G:$G,"&lt;&gt;NE")))</f>
        <v/>
      </c>
      <c r="G52">
        <f>IF(COUNTIFS(Puntuacion!$A:$A,$A52,Puntuacion!$C:$C,$C52,Puntuacion!$D:$D,"Asignacion",Puntuacion!$G:$G,"&lt;&gt;NA")&gt;0,1,0)</f>
        <v/>
      </c>
      <c r="H52">
        <f>IF(AND(G52=1,COUNTIFS(Puntuacion!$A:$A,$A52,Puntuacion!$C:$C,$C52,Puntuacion!$D:$D,"Asignacion",Puntuacion!$G:$G,"NE")=0),1,0)</f>
        <v/>
      </c>
      <c r="I52" s="5">
        <f>IF(G52=0,"NA",IF(H52=0,"NE",AVERAGEIFS(Puntuacion!$G:$G,Puntuacion!$A:$A,$A52,Puntuacion!$C:$C,$C52,Puntuacion!$D:$D,"Asignacion",Puntuacion!$G:$G,"&lt;&gt;NA",Puntuacion!$G:$G,"&lt;&gt;NE")))</f>
        <v/>
      </c>
      <c r="J52">
        <f>IF(COUNTIFS(Puntuacion!$A:$A,$A52,Puntuacion!$C:$C,$C52,Puntuacion!$D:$D,"Optimizacion",Puntuacion!$G:$G,"&lt;&gt;NA")&gt;0,1,0)</f>
        <v/>
      </c>
      <c r="K52">
        <f>IF(AND(J52=1,COUNTIFS(Puntuacion!$A:$A,$A52,Puntuacion!$C:$C,$C52,Puntuacion!$D:$D,"Optimizacion",Puntuacion!$G:$G,"NE")=0),1,0)</f>
        <v/>
      </c>
      <c r="L52" s="5">
        <f>IF(J52=0,"NA",IF(K52=0,"NE",AVERAGEIFS(Puntuacion!$G:$G,Puntuacion!$A:$A,$A52,Puntuacion!$C:$C,$C52,Puntuacion!$D:$D,"Optimizacion",Puntuacion!$G:$G,"&lt;&gt;NA",Puntuacion!$G:$G,"&lt;&gt;NE")))</f>
        <v/>
      </c>
      <c r="M52">
        <f>IF(COUNTIFS(Puntuacion!$A:$A,$A52,Puntuacion!$C:$C,$C52,Puntuacion!$D:$D,"Automatizacion",Puntuacion!$G:$G,"&lt;&gt;NA")&gt;0,1,0)</f>
        <v/>
      </c>
      <c r="N52">
        <f>IF(AND(M52=1,COUNTIFS(Puntuacion!$A:$A,$A52,Puntuacion!$C:$C,$C52,Puntuacion!$D:$D,"Automatizacion",Puntuacion!$G:$G,"NE")=0),1,0)</f>
        <v/>
      </c>
      <c r="O52" s="5">
        <f>IF(M52=0,"NA",IF(N52=0,"NE",AVERAGEIFS(Puntuacion!$G:$G,Puntuacion!$A:$A,$A52,Puntuacion!$C:$C,$C52,Puntuacion!$D:$D,"Automatizacion",Puntuacion!$G:$G,"&lt;&gt;NA",Puntuacion!$G:$G,"&lt;&gt;NE")))</f>
        <v/>
      </c>
      <c r="P52">
        <f>IF(COUNTIFS(Puntuacion!$A:$A,$A52,Puntuacion!$C:$C,$C52,Puntuacion!$D:$D,"Multicloud",Puntuacion!$G:$G,"&lt;&gt;NA")&gt;0,1,0)</f>
        <v/>
      </c>
      <c r="Q52">
        <f>IF(AND(P52=1,COUNTIFS(Puntuacion!$A:$A,$A52,Puntuacion!$C:$C,$C52,Puntuacion!$D:$D,"Multicloud",Puntuacion!$G:$G,"NE")=0),1,0)</f>
        <v/>
      </c>
      <c r="R52" s="5">
        <f>IF(P52=0,"NA",IF(Q52=0,"NE",AVERAGEIFS(Puntuacion!$G:$G,Puntuacion!$A:$A,$A52,Puntuacion!$C:$C,$C52,Puntuacion!$D:$D,"Multicloud",Puntuacion!$G:$G,"&lt;&gt;NA",Puntuacion!$G:$G,"&lt;&gt;NE")))</f>
        <v/>
      </c>
      <c r="S52">
        <f>IF(COUNTIFS(Puntuacion!$A:$A,$A52,Puntuacion!$C:$C,$C52,Puntuacion!$D:$D,"Integracion",Puntuacion!$G:$G,"&lt;&gt;NA")&gt;0,1,0)</f>
        <v/>
      </c>
      <c r="T52">
        <f>IF(AND(S52=1,COUNTIFS(Puntuacion!$A:$A,$A52,Puntuacion!$C:$C,$C52,Puntuacion!$D:$D,"Integracion",Puntuacion!$G:$G,"NE")=0),1,0)</f>
        <v/>
      </c>
      <c r="U52" s="5">
        <f>IF(S52=0,"NA",IF(T52=0,"NE",AVERAGEIFS(Puntuacion!$G:$G,Puntuacion!$A:$A,$A52,Puntuacion!$C:$C,$C52,Puntuacion!$D:$D,"Integracion",Puntuacion!$G:$G,"&lt;&gt;NA",Puntuacion!$G:$G,"&lt;&gt;NE")))</f>
        <v/>
      </c>
      <c r="V52">
        <f>IF(COUNTIFS(Puntuacion!$A:$A,$A52,Puntuacion!$C:$C,$C52,Puntuacion!$D:$D,"Adopcion",Puntuacion!$G:$G,"&lt;&gt;NA")&gt;0,1,0)</f>
        <v/>
      </c>
      <c r="W52">
        <f>IF(AND(V52=1,COUNTIFS(Puntuacion!$A:$A,$A52,Puntuacion!$C:$C,$C52,Puntuacion!$D:$D,"Adopcion",Puntuacion!$G:$G,"NE")=0),1,0)</f>
        <v/>
      </c>
      <c r="X52" s="5">
        <f>IF(V52=0,"NA",IF(W52=0,"NE",AVERAGEIFS(Puntuacion!$G:$G,Puntuacion!$A:$A,$A52,Puntuacion!$C:$C,$C52,Puntuacion!$D:$D,"Adopcion",Puntuacion!$G:$G,"&lt;&gt;NA",Puntuacion!$G:$G,"&lt;&gt;NE")))</f>
        <v/>
      </c>
      <c r="Y52">
        <f>IF(COUNTIFS(Puntuacion!$A:$A,$A52,Puntuacion!$C:$C,$C52,Puntuacion!$D:$D,"Precio",Puntuacion!$G:$G,"&lt;&gt;NA")&gt;0,1,0)</f>
        <v/>
      </c>
      <c r="Z52">
        <f>IF(AND(Y52=1,COUNTIFS(Puntuacion!$A:$A,$A52,Puntuacion!$C:$C,$C52,Puntuacion!$D:$D,"Precio",Puntuacion!$G:$G,"NE")=0),1,0)</f>
        <v/>
      </c>
      <c r="AA52" s="5">
        <f>IF(Y52=0,"NA",IF(Z52=0,"NE",AVERAGEIFS(Puntuacion!$G:$G,Puntuacion!$A:$A,$A52,Puntuacion!$C:$C,$C52,Puntuacion!$D:$D,"Precio",Puntuacion!$G:$G,"&lt;&gt;NA",Puntuacion!$G:$G,"&lt;&gt;NE")))</f>
        <v/>
      </c>
      <c r="AB52">
        <f>IF(COUNTIFS(Puntuacion!$A:$A,$A52,Puntuacion!$C:$C,$C52,Puntuacion!$D:$D,"Dependencia",Puntuacion!$G:$G,"&lt;&gt;NA")&gt;0,1,0)</f>
        <v/>
      </c>
      <c r="AC52">
        <f>IF(AND(AB52=1,COUNTIFS(Puntuacion!$A:$A,$A52,Puntuacion!$C:$C,$C52,Puntuacion!$D:$D,"Dependencia",Puntuacion!$G:$G,"NE")=0),1,0)</f>
        <v/>
      </c>
      <c r="AD52" s="5">
        <f>IF(AB52=0,"NA",IF(AC52=0,"NE",AVERAGEIFS(Puntuacion!$G:$G,Puntuacion!$A:$A,$A52,Puntuacion!$C:$C,$C52,Puntuacion!$D:$D,"Dependencia",Puntuacion!$G:$G,"&lt;&gt;NA",Puntuacion!$G:$G,"&lt;&gt;NE")))</f>
        <v/>
      </c>
      <c r="AE52" s="5">
        <f>IFERROR(100*(E52*Pesos!$B$2+H52*Pesos!$B$3+K52*Pesos!$B$4+N52*Pesos!$B$5+Q52*Pesos!$B$6+T52*Pesos!$B$7+W52*Pesos!$B$8+Z52*Pesos!$B$9+AC52*Pesos!$B$10)/(D52*Pesos!$B$2+G52*Pesos!$B$3+J52*Pesos!$B$4+M52*Pesos!$B$5+P52*Pesos!$B$6+S52*Pesos!$B$7+V52*Pesos!$B$8+Y52*Pesos!$B$9+AB52*Pesos!$B$10),"Sin criterios aplicables")</f>
        <v/>
      </c>
      <c r="AF52" s="5">
        <f>IFERROR(100*(E52*Pesos!$C$2+H52*Pesos!$C$3+K52*Pesos!$C$4+N52*Pesos!$C$5+Q52*Pesos!$C$6+T52*Pesos!$C$7+W52*Pesos!$C$8+Z52*Pesos!$C$9+AC52*Pesos!$C$10)/(D52*Pesos!$C$2+G52*Pesos!$C$3+J52*Pesos!$C$4+M52*Pesos!$C$5+P52*Pesos!$C$6+S52*Pesos!$C$7+V52*Pesos!$C$8+Y52*Pesos!$C$9+AB52*Pesos!$C$10),"Sin criterios aplicables")</f>
        <v/>
      </c>
      <c r="AG52" s="5">
        <f>IF(OR(AE52="Sin criterios aplicables",AE52&lt;70),"Insufficient evidence",100*(Pesos!$B$2*IF(E52=1,F52,0)+Pesos!$B$3*IF(H52=1,I52,0)+Pesos!$B$4*IF(K52=1,L52,0)+Pesos!$B$5*IF(N52=1,O52,0)+Pesos!$B$6*IF(Q52=1,R52,0)+Pesos!$B$7*IF(T52=1,U52,0)+Pesos!$B$8*IF(W52=1,X52,0)+Pesos!$B$9*IF(Z52=1,AA52,0)+Pesos!$B$10*IF(AC52=1,AD52,0))/(3*(Pesos!$B$2*E52+Pesos!$B$3*H52+Pesos!$B$4*K52+Pesos!$B$5*N52+Pesos!$B$6*Q52+Pesos!$B$7*T52+Pesos!$B$8*W52+Pesos!$B$9*Z52+Pesos!$B$10*AC52)))</f>
        <v/>
      </c>
      <c r="AH52" s="5">
        <f>IF(OR(AF52="Sin criterios aplicables",AF52&lt;70),"Insufficient evidence",100*(Pesos!$C$2*IF(E52=1,F52,0)+Pesos!$C$3*IF(H52=1,I52,0)+Pesos!$C$4*IF(K52=1,L52,0)+Pesos!$C$5*IF(N52=1,O52,0)+Pesos!$C$6*IF(Q52=1,R52,0)+Pesos!$C$7*IF(T52=1,U52,0)+Pesos!$C$8*IF(W52=1,X52,0)+Pesos!$C$9*IF(Z52=1,AA52,0)+Pesos!$C$10*IF(AC52=1,AD52,0))/(3*(Pesos!$C$2*E52+Pesos!$C$3*H52+Pesos!$C$4*K52+Pesos!$C$5*N52+Pesos!$C$6*Q52+Pesos!$C$7*T52+Pesos!$C$8*W52+Pesos!$C$9*Z52+Pesos!$C$10*AC52)))</f>
        <v/>
      </c>
      <c r="AI52">
        <f>IF(AG52="Insufficient evidence","Insufficient evidence (cobertura&lt;70%)",IF(AG52&lt;50/3,"Insufficient",IF(AG52&lt;50,"Basic",IF(AG52&lt;250/3,"Solid","Advanced"))))</f>
        <v/>
      </c>
      <c r="AJ52">
        <f>IF(AH52="Insufficient evidence","Insufficient evidence (cobertura&lt;70%)",IF(AH52&lt;50/3,"Insufficient",IF(AH52&lt;50,"Basic",IF(AH52&lt;250/3,"Solid","Advanced"))))</f>
        <v/>
      </c>
      <c r="AK52">
        <f>IF(TRIM(IF(AND(ISNUMBER(F52),F52&lt;1),"Visibilidad","") &amp; " " &amp; IF(AND(ISNUMBER(U52),U52&lt;1),"Integración",""))="","Ninguno",TRIM(IF(AND(ISNUMBER(F52),F52&lt;1),"Visibilidad","") &amp; " " &amp; IF(AND(ISNUMBER(U52),U52&lt;1),"Integración","")))</f>
        <v/>
      </c>
    </row>
    <row r="53">
      <c r="A53" t="inlineStr">
        <is>
          <t>E6</t>
        </is>
      </c>
      <c r="B53" t="inlineStr">
        <is>
          <t>Cloud nativa</t>
        </is>
      </c>
      <c r="C53" t="inlineStr">
        <is>
          <t>Azure Cost Management</t>
        </is>
      </c>
      <c r="D53">
        <f>IF(COUNTIFS(Puntuacion!$A:$A,$A53,Puntuacion!$C:$C,$C53,Puntuacion!$D:$D,"Visibilidad",Puntuacion!$G:$G,"&lt;&gt;NA")&gt;0,1,0)</f>
        <v/>
      </c>
      <c r="E53">
        <f>IF(AND(D53=1,COUNTIFS(Puntuacion!$A:$A,$A53,Puntuacion!$C:$C,$C53,Puntuacion!$D:$D,"Visibilidad",Puntuacion!$G:$G,"NE")=0),1,0)</f>
        <v/>
      </c>
      <c r="F53" s="5">
        <f>IF(D53=0,"NA",IF(E53=0,"NE",AVERAGEIFS(Puntuacion!$G:$G,Puntuacion!$A:$A,$A53,Puntuacion!$C:$C,$C53,Puntuacion!$D:$D,"Visibilidad",Puntuacion!$G:$G,"&lt;&gt;NA",Puntuacion!$G:$G,"&lt;&gt;NE")))</f>
        <v/>
      </c>
      <c r="G53">
        <f>IF(COUNTIFS(Puntuacion!$A:$A,$A53,Puntuacion!$C:$C,$C53,Puntuacion!$D:$D,"Asignacion",Puntuacion!$G:$G,"&lt;&gt;NA")&gt;0,1,0)</f>
        <v/>
      </c>
      <c r="H53">
        <f>IF(AND(G53=1,COUNTIFS(Puntuacion!$A:$A,$A53,Puntuacion!$C:$C,$C53,Puntuacion!$D:$D,"Asignacion",Puntuacion!$G:$G,"NE")=0),1,0)</f>
        <v/>
      </c>
      <c r="I53" s="5">
        <f>IF(G53=0,"NA",IF(H53=0,"NE",AVERAGEIFS(Puntuacion!$G:$G,Puntuacion!$A:$A,$A53,Puntuacion!$C:$C,$C53,Puntuacion!$D:$D,"Asignacion",Puntuacion!$G:$G,"&lt;&gt;NA",Puntuacion!$G:$G,"&lt;&gt;NE")))</f>
        <v/>
      </c>
      <c r="J53">
        <f>IF(COUNTIFS(Puntuacion!$A:$A,$A53,Puntuacion!$C:$C,$C53,Puntuacion!$D:$D,"Optimizacion",Puntuacion!$G:$G,"&lt;&gt;NA")&gt;0,1,0)</f>
        <v/>
      </c>
      <c r="K53">
        <f>IF(AND(J53=1,COUNTIFS(Puntuacion!$A:$A,$A53,Puntuacion!$C:$C,$C53,Puntuacion!$D:$D,"Optimizacion",Puntuacion!$G:$G,"NE")=0),1,0)</f>
        <v/>
      </c>
      <c r="L53" s="5">
        <f>IF(J53=0,"NA",IF(K53=0,"NE",AVERAGEIFS(Puntuacion!$G:$G,Puntuacion!$A:$A,$A53,Puntuacion!$C:$C,$C53,Puntuacion!$D:$D,"Optimizacion",Puntuacion!$G:$G,"&lt;&gt;NA",Puntuacion!$G:$G,"&lt;&gt;NE")))</f>
        <v/>
      </c>
      <c r="M53">
        <f>IF(COUNTIFS(Puntuacion!$A:$A,$A53,Puntuacion!$C:$C,$C53,Puntuacion!$D:$D,"Automatizacion",Puntuacion!$G:$G,"&lt;&gt;NA")&gt;0,1,0)</f>
        <v/>
      </c>
      <c r="N53">
        <f>IF(AND(M53=1,COUNTIFS(Puntuacion!$A:$A,$A53,Puntuacion!$C:$C,$C53,Puntuacion!$D:$D,"Automatizacion",Puntuacion!$G:$G,"NE")=0),1,0)</f>
        <v/>
      </c>
      <c r="O53" s="5">
        <f>IF(M53=0,"NA",IF(N53=0,"NE",AVERAGEIFS(Puntuacion!$G:$G,Puntuacion!$A:$A,$A53,Puntuacion!$C:$C,$C53,Puntuacion!$D:$D,"Automatizacion",Puntuacion!$G:$G,"&lt;&gt;NA",Puntuacion!$G:$G,"&lt;&gt;NE")))</f>
        <v/>
      </c>
      <c r="P53">
        <f>IF(COUNTIFS(Puntuacion!$A:$A,$A53,Puntuacion!$C:$C,$C53,Puntuacion!$D:$D,"Multicloud",Puntuacion!$G:$G,"&lt;&gt;NA")&gt;0,1,0)</f>
        <v/>
      </c>
      <c r="Q53">
        <f>IF(AND(P53=1,COUNTIFS(Puntuacion!$A:$A,$A53,Puntuacion!$C:$C,$C53,Puntuacion!$D:$D,"Multicloud",Puntuacion!$G:$G,"NE")=0),1,0)</f>
        <v/>
      </c>
      <c r="R53" s="5">
        <f>IF(P53=0,"NA",IF(Q53=0,"NE",AVERAGEIFS(Puntuacion!$G:$G,Puntuacion!$A:$A,$A53,Puntuacion!$C:$C,$C53,Puntuacion!$D:$D,"Multicloud",Puntuacion!$G:$G,"&lt;&gt;NA",Puntuacion!$G:$G,"&lt;&gt;NE")))</f>
        <v/>
      </c>
      <c r="S53">
        <f>IF(COUNTIFS(Puntuacion!$A:$A,$A53,Puntuacion!$C:$C,$C53,Puntuacion!$D:$D,"Integracion",Puntuacion!$G:$G,"&lt;&gt;NA")&gt;0,1,0)</f>
        <v/>
      </c>
      <c r="T53">
        <f>IF(AND(S53=1,COUNTIFS(Puntuacion!$A:$A,$A53,Puntuacion!$C:$C,$C53,Puntuacion!$D:$D,"Integracion",Puntuacion!$G:$G,"NE")=0),1,0)</f>
        <v/>
      </c>
      <c r="U53" s="5">
        <f>IF(S53=0,"NA",IF(T53=0,"NE",AVERAGEIFS(Puntuacion!$G:$G,Puntuacion!$A:$A,$A53,Puntuacion!$C:$C,$C53,Puntuacion!$D:$D,"Integracion",Puntuacion!$G:$G,"&lt;&gt;NA",Puntuacion!$G:$G,"&lt;&gt;NE")))</f>
        <v/>
      </c>
      <c r="V53">
        <f>IF(COUNTIFS(Puntuacion!$A:$A,$A53,Puntuacion!$C:$C,$C53,Puntuacion!$D:$D,"Adopcion",Puntuacion!$G:$G,"&lt;&gt;NA")&gt;0,1,0)</f>
        <v/>
      </c>
      <c r="W53">
        <f>IF(AND(V53=1,COUNTIFS(Puntuacion!$A:$A,$A53,Puntuacion!$C:$C,$C53,Puntuacion!$D:$D,"Adopcion",Puntuacion!$G:$G,"NE")=0),1,0)</f>
        <v/>
      </c>
      <c r="X53" s="5">
        <f>IF(V53=0,"NA",IF(W53=0,"NE",AVERAGEIFS(Puntuacion!$G:$G,Puntuacion!$A:$A,$A53,Puntuacion!$C:$C,$C53,Puntuacion!$D:$D,"Adopcion",Puntuacion!$G:$G,"&lt;&gt;NA",Puntuacion!$G:$G,"&lt;&gt;NE")))</f>
        <v/>
      </c>
      <c r="Y53">
        <f>IF(COUNTIFS(Puntuacion!$A:$A,$A53,Puntuacion!$C:$C,$C53,Puntuacion!$D:$D,"Precio",Puntuacion!$G:$G,"&lt;&gt;NA")&gt;0,1,0)</f>
        <v/>
      </c>
      <c r="Z53">
        <f>IF(AND(Y53=1,COUNTIFS(Puntuacion!$A:$A,$A53,Puntuacion!$C:$C,$C53,Puntuacion!$D:$D,"Precio",Puntuacion!$G:$G,"NE")=0),1,0)</f>
        <v/>
      </c>
      <c r="AA53" s="5">
        <f>IF(Y53=0,"NA",IF(Z53=0,"NE",AVERAGEIFS(Puntuacion!$G:$G,Puntuacion!$A:$A,$A53,Puntuacion!$C:$C,$C53,Puntuacion!$D:$D,"Precio",Puntuacion!$G:$G,"&lt;&gt;NA",Puntuacion!$G:$G,"&lt;&gt;NE")))</f>
        <v/>
      </c>
      <c r="AB53">
        <f>IF(COUNTIFS(Puntuacion!$A:$A,$A53,Puntuacion!$C:$C,$C53,Puntuacion!$D:$D,"Dependencia",Puntuacion!$G:$G,"&lt;&gt;NA")&gt;0,1,0)</f>
        <v/>
      </c>
      <c r="AC53">
        <f>IF(AND(AB53=1,COUNTIFS(Puntuacion!$A:$A,$A53,Puntuacion!$C:$C,$C53,Puntuacion!$D:$D,"Dependencia",Puntuacion!$G:$G,"NE")=0),1,0)</f>
        <v/>
      </c>
      <c r="AD53" s="5">
        <f>IF(AB53=0,"NA",IF(AC53=0,"NE",AVERAGEIFS(Puntuacion!$G:$G,Puntuacion!$A:$A,$A53,Puntuacion!$C:$C,$C53,Puntuacion!$D:$D,"Dependencia",Puntuacion!$G:$G,"&lt;&gt;NA",Puntuacion!$G:$G,"&lt;&gt;NE")))</f>
        <v/>
      </c>
      <c r="AE53" s="5">
        <f>IFERROR(100*(E53*Pesos!$B$2+H53*Pesos!$B$3+K53*Pesos!$B$4+N53*Pesos!$B$5+Q53*Pesos!$B$6+T53*Pesos!$B$7+W53*Pesos!$B$8+Z53*Pesos!$B$9+AC53*Pesos!$B$10)/(D53*Pesos!$B$2+G53*Pesos!$B$3+J53*Pesos!$B$4+M53*Pesos!$B$5+P53*Pesos!$B$6+S53*Pesos!$B$7+V53*Pesos!$B$8+Y53*Pesos!$B$9+AB53*Pesos!$B$10),"Sin criterios aplicables")</f>
        <v/>
      </c>
      <c r="AF53" s="5">
        <f>IFERROR(100*(E53*Pesos!$C$2+H53*Pesos!$C$3+K53*Pesos!$C$4+N53*Pesos!$C$5+Q53*Pesos!$C$6+T53*Pesos!$C$7+W53*Pesos!$C$8+Z53*Pesos!$C$9+AC53*Pesos!$C$10)/(D53*Pesos!$C$2+G53*Pesos!$C$3+J53*Pesos!$C$4+M53*Pesos!$C$5+P53*Pesos!$C$6+S53*Pesos!$C$7+V53*Pesos!$C$8+Y53*Pesos!$C$9+AB53*Pesos!$C$10),"Sin criterios aplicables")</f>
        <v/>
      </c>
      <c r="AG53" s="5">
        <f>IF(OR(AE53="Sin criterios aplicables",AE53&lt;70),"Insufficient evidence",100*(Pesos!$B$2*IF(E53=1,F53,0)+Pesos!$B$3*IF(H53=1,I53,0)+Pesos!$B$4*IF(K53=1,L53,0)+Pesos!$B$5*IF(N53=1,O53,0)+Pesos!$B$6*IF(Q53=1,R53,0)+Pesos!$B$7*IF(T53=1,U53,0)+Pesos!$B$8*IF(W53=1,X53,0)+Pesos!$B$9*IF(Z53=1,AA53,0)+Pesos!$B$10*IF(AC53=1,AD53,0))/(3*(Pesos!$B$2*E53+Pesos!$B$3*H53+Pesos!$B$4*K53+Pesos!$B$5*N53+Pesos!$B$6*Q53+Pesos!$B$7*T53+Pesos!$B$8*W53+Pesos!$B$9*Z53+Pesos!$B$10*AC53)))</f>
        <v/>
      </c>
      <c r="AH53" s="5">
        <f>IF(OR(AF53="Sin criterios aplicables",AF53&lt;70),"Insufficient evidence",100*(Pesos!$C$2*IF(E53=1,F53,0)+Pesos!$C$3*IF(H53=1,I53,0)+Pesos!$C$4*IF(K53=1,L53,0)+Pesos!$C$5*IF(N53=1,O53,0)+Pesos!$C$6*IF(Q53=1,R53,0)+Pesos!$C$7*IF(T53=1,U53,0)+Pesos!$C$8*IF(W53=1,X53,0)+Pesos!$C$9*IF(Z53=1,AA53,0)+Pesos!$C$10*IF(AC53=1,AD53,0))/(3*(Pesos!$C$2*E53+Pesos!$C$3*H53+Pesos!$C$4*K53+Pesos!$C$5*N53+Pesos!$C$6*Q53+Pesos!$C$7*T53+Pesos!$C$8*W53+Pesos!$C$9*Z53+Pesos!$C$10*AC53)))</f>
        <v/>
      </c>
      <c r="AI53">
        <f>IF(AG53="Insufficient evidence","Insufficient evidence (cobertura&lt;70%)",IF(AG53&lt;50/3,"Insufficient",IF(AG53&lt;50,"Basic",IF(AG53&lt;250/3,"Solid","Advanced"))))</f>
        <v/>
      </c>
      <c r="AJ53">
        <f>IF(AH53="Insufficient evidence","Insufficient evidence (cobertura&lt;70%)",IF(AH53&lt;50/3,"Insufficient",IF(AH53&lt;50,"Basic",IF(AH53&lt;250/3,"Solid","Advanced"))))</f>
        <v/>
      </c>
      <c r="AK53">
        <f>IF(TRIM(IF(AND(ISNUMBER(F53),F53&lt;1),"Visibilidad","") &amp; " " &amp; IF(AND(ISNUMBER(U53),U53&lt;1),"Integración",""))="","Ninguno",TRIM(IF(AND(ISNUMBER(F53),F53&lt;1),"Visibilidad","") &amp; " " &amp; IF(AND(ISNUMBER(U53),U53&lt;1),"Integración","")))</f>
        <v/>
      </c>
    </row>
    <row r="54">
      <c r="A54" t="inlineStr">
        <is>
          <t>E6</t>
        </is>
      </c>
      <c r="B54" t="inlineStr">
        <is>
          <t>Cloud nativa</t>
        </is>
      </c>
      <c r="C54" t="inlineStr">
        <is>
          <t>Google Cloud Billing</t>
        </is>
      </c>
      <c r="D54">
        <f>IF(COUNTIFS(Puntuacion!$A:$A,$A54,Puntuacion!$C:$C,$C54,Puntuacion!$D:$D,"Visibilidad",Puntuacion!$G:$G,"&lt;&gt;NA")&gt;0,1,0)</f>
        <v/>
      </c>
      <c r="E54">
        <f>IF(AND(D54=1,COUNTIFS(Puntuacion!$A:$A,$A54,Puntuacion!$C:$C,$C54,Puntuacion!$D:$D,"Visibilidad",Puntuacion!$G:$G,"NE")=0),1,0)</f>
        <v/>
      </c>
      <c r="F54" s="5">
        <f>IF(D54=0,"NA",IF(E54=0,"NE",AVERAGEIFS(Puntuacion!$G:$G,Puntuacion!$A:$A,$A54,Puntuacion!$C:$C,$C54,Puntuacion!$D:$D,"Visibilidad",Puntuacion!$G:$G,"&lt;&gt;NA",Puntuacion!$G:$G,"&lt;&gt;NE")))</f>
        <v/>
      </c>
      <c r="G54">
        <f>IF(COUNTIFS(Puntuacion!$A:$A,$A54,Puntuacion!$C:$C,$C54,Puntuacion!$D:$D,"Asignacion",Puntuacion!$G:$G,"&lt;&gt;NA")&gt;0,1,0)</f>
        <v/>
      </c>
      <c r="H54">
        <f>IF(AND(G54=1,COUNTIFS(Puntuacion!$A:$A,$A54,Puntuacion!$C:$C,$C54,Puntuacion!$D:$D,"Asignacion",Puntuacion!$G:$G,"NE")=0),1,0)</f>
        <v/>
      </c>
      <c r="I54" s="5">
        <f>IF(G54=0,"NA",IF(H54=0,"NE",AVERAGEIFS(Puntuacion!$G:$G,Puntuacion!$A:$A,$A54,Puntuacion!$C:$C,$C54,Puntuacion!$D:$D,"Asignacion",Puntuacion!$G:$G,"&lt;&gt;NA",Puntuacion!$G:$G,"&lt;&gt;NE")))</f>
        <v/>
      </c>
      <c r="J54">
        <f>IF(COUNTIFS(Puntuacion!$A:$A,$A54,Puntuacion!$C:$C,$C54,Puntuacion!$D:$D,"Optimizacion",Puntuacion!$G:$G,"&lt;&gt;NA")&gt;0,1,0)</f>
        <v/>
      </c>
      <c r="K54">
        <f>IF(AND(J54=1,COUNTIFS(Puntuacion!$A:$A,$A54,Puntuacion!$C:$C,$C54,Puntuacion!$D:$D,"Optimizacion",Puntuacion!$G:$G,"NE")=0),1,0)</f>
        <v/>
      </c>
      <c r="L54" s="5">
        <f>IF(J54=0,"NA",IF(K54=0,"NE",AVERAGEIFS(Puntuacion!$G:$G,Puntuacion!$A:$A,$A54,Puntuacion!$C:$C,$C54,Puntuacion!$D:$D,"Optimizacion",Puntuacion!$G:$G,"&lt;&gt;NA",Puntuacion!$G:$G,"&lt;&gt;NE")))</f>
        <v/>
      </c>
      <c r="M54">
        <f>IF(COUNTIFS(Puntuacion!$A:$A,$A54,Puntuacion!$C:$C,$C54,Puntuacion!$D:$D,"Automatizacion",Puntuacion!$G:$G,"&lt;&gt;NA")&gt;0,1,0)</f>
        <v/>
      </c>
      <c r="N54">
        <f>IF(AND(M54=1,COUNTIFS(Puntuacion!$A:$A,$A54,Puntuacion!$C:$C,$C54,Puntuacion!$D:$D,"Automatizacion",Puntuacion!$G:$G,"NE")=0),1,0)</f>
        <v/>
      </c>
      <c r="O54" s="5">
        <f>IF(M54=0,"NA",IF(N54=0,"NE",AVERAGEIFS(Puntuacion!$G:$G,Puntuacion!$A:$A,$A54,Puntuacion!$C:$C,$C54,Puntuacion!$D:$D,"Automatizacion",Puntuacion!$G:$G,"&lt;&gt;NA",Puntuacion!$G:$G,"&lt;&gt;NE")))</f>
        <v/>
      </c>
      <c r="P54">
        <f>IF(COUNTIFS(Puntuacion!$A:$A,$A54,Puntuacion!$C:$C,$C54,Puntuacion!$D:$D,"Multicloud",Puntuacion!$G:$G,"&lt;&gt;NA")&gt;0,1,0)</f>
        <v/>
      </c>
      <c r="Q54">
        <f>IF(AND(P54=1,COUNTIFS(Puntuacion!$A:$A,$A54,Puntuacion!$C:$C,$C54,Puntuacion!$D:$D,"Multicloud",Puntuacion!$G:$G,"NE")=0),1,0)</f>
        <v/>
      </c>
      <c r="R54" s="5">
        <f>IF(P54=0,"NA",IF(Q54=0,"NE",AVERAGEIFS(Puntuacion!$G:$G,Puntuacion!$A:$A,$A54,Puntuacion!$C:$C,$C54,Puntuacion!$D:$D,"Multicloud",Puntuacion!$G:$G,"&lt;&gt;NA",Puntuacion!$G:$G,"&lt;&gt;NE")))</f>
        <v/>
      </c>
      <c r="S54">
        <f>IF(COUNTIFS(Puntuacion!$A:$A,$A54,Puntuacion!$C:$C,$C54,Puntuacion!$D:$D,"Integracion",Puntuacion!$G:$G,"&lt;&gt;NA")&gt;0,1,0)</f>
        <v/>
      </c>
      <c r="T54">
        <f>IF(AND(S54=1,COUNTIFS(Puntuacion!$A:$A,$A54,Puntuacion!$C:$C,$C54,Puntuacion!$D:$D,"Integracion",Puntuacion!$G:$G,"NE")=0),1,0)</f>
        <v/>
      </c>
      <c r="U54" s="5">
        <f>IF(S54=0,"NA",IF(T54=0,"NE",AVERAGEIFS(Puntuacion!$G:$G,Puntuacion!$A:$A,$A54,Puntuacion!$C:$C,$C54,Puntuacion!$D:$D,"Integracion",Puntuacion!$G:$G,"&lt;&gt;NA",Puntuacion!$G:$G,"&lt;&gt;NE")))</f>
        <v/>
      </c>
      <c r="V54">
        <f>IF(COUNTIFS(Puntuacion!$A:$A,$A54,Puntuacion!$C:$C,$C54,Puntuacion!$D:$D,"Adopcion",Puntuacion!$G:$G,"&lt;&gt;NA")&gt;0,1,0)</f>
        <v/>
      </c>
      <c r="W54">
        <f>IF(AND(V54=1,COUNTIFS(Puntuacion!$A:$A,$A54,Puntuacion!$C:$C,$C54,Puntuacion!$D:$D,"Adopcion",Puntuacion!$G:$G,"NE")=0),1,0)</f>
        <v/>
      </c>
      <c r="X54" s="5">
        <f>IF(V54=0,"NA",IF(W54=0,"NE",AVERAGEIFS(Puntuacion!$G:$G,Puntuacion!$A:$A,$A54,Puntuacion!$C:$C,$C54,Puntuacion!$D:$D,"Adopcion",Puntuacion!$G:$G,"&lt;&gt;NA",Puntuacion!$G:$G,"&lt;&gt;NE")))</f>
        <v/>
      </c>
      <c r="Y54">
        <f>IF(COUNTIFS(Puntuacion!$A:$A,$A54,Puntuacion!$C:$C,$C54,Puntuacion!$D:$D,"Precio",Puntuacion!$G:$G,"&lt;&gt;NA")&gt;0,1,0)</f>
        <v/>
      </c>
      <c r="Z54">
        <f>IF(AND(Y54=1,COUNTIFS(Puntuacion!$A:$A,$A54,Puntuacion!$C:$C,$C54,Puntuacion!$D:$D,"Precio",Puntuacion!$G:$G,"NE")=0),1,0)</f>
        <v/>
      </c>
      <c r="AA54" s="5">
        <f>IF(Y54=0,"NA",IF(Z54=0,"NE",AVERAGEIFS(Puntuacion!$G:$G,Puntuacion!$A:$A,$A54,Puntuacion!$C:$C,$C54,Puntuacion!$D:$D,"Precio",Puntuacion!$G:$G,"&lt;&gt;NA",Puntuacion!$G:$G,"&lt;&gt;NE")))</f>
        <v/>
      </c>
      <c r="AB54">
        <f>IF(COUNTIFS(Puntuacion!$A:$A,$A54,Puntuacion!$C:$C,$C54,Puntuacion!$D:$D,"Dependencia",Puntuacion!$G:$G,"&lt;&gt;NA")&gt;0,1,0)</f>
        <v/>
      </c>
      <c r="AC54">
        <f>IF(AND(AB54=1,COUNTIFS(Puntuacion!$A:$A,$A54,Puntuacion!$C:$C,$C54,Puntuacion!$D:$D,"Dependencia",Puntuacion!$G:$G,"NE")=0),1,0)</f>
        <v/>
      </c>
      <c r="AD54" s="5">
        <f>IF(AB54=0,"NA",IF(AC54=0,"NE",AVERAGEIFS(Puntuacion!$G:$G,Puntuacion!$A:$A,$A54,Puntuacion!$C:$C,$C54,Puntuacion!$D:$D,"Dependencia",Puntuacion!$G:$G,"&lt;&gt;NA",Puntuacion!$G:$G,"&lt;&gt;NE")))</f>
        <v/>
      </c>
      <c r="AE54" s="5">
        <f>IFERROR(100*(E54*Pesos!$B$2+H54*Pesos!$B$3+K54*Pesos!$B$4+N54*Pesos!$B$5+Q54*Pesos!$B$6+T54*Pesos!$B$7+W54*Pesos!$B$8+Z54*Pesos!$B$9+AC54*Pesos!$B$10)/(D54*Pesos!$B$2+G54*Pesos!$B$3+J54*Pesos!$B$4+M54*Pesos!$B$5+P54*Pesos!$B$6+S54*Pesos!$B$7+V54*Pesos!$B$8+Y54*Pesos!$B$9+AB54*Pesos!$B$10),"Sin criterios aplicables")</f>
        <v/>
      </c>
      <c r="AF54" s="5">
        <f>IFERROR(100*(E54*Pesos!$C$2+H54*Pesos!$C$3+K54*Pesos!$C$4+N54*Pesos!$C$5+Q54*Pesos!$C$6+T54*Pesos!$C$7+W54*Pesos!$C$8+Z54*Pesos!$C$9+AC54*Pesos!$C$10)/(D54*Pesos!$C$2+G54*Pesos!$C$3+J54*Pesos!$C$4+M54*Pesos!$C$5+P54*Pesos!$C$6+S54*Pesos!$C$7+V54*Pesos!$C$8+Y54*Pesos!$C$9+AB54*Pesos!$C$10),"Sin criterios aplicables")</f>
        <v/>
      </c>
      <c r="AG54" s="5">
        <f>IF(OR(AE54="Sin criterios aplicables",AE54&lt;70),"Insufficient evidence",100*(Pesos!$B$2*IF(E54=1,F54,0)+Pesos!$B$3*IF(H54=1,I54,0)+Pesos!$B$4*IF(K54=1,L54,0)+Pesos!$B$5*IF(N54=1,O54,0)+Pesos!$B$6*IF(Q54=1,R54,0)+Pesos!$B$7*IF(T54=1,U54,0)+Pesos!$B$8*IF(W54=1,X54,0)+Pesos!$B$9*IF(Z54=1,AA54,0)+Pesos!$B$10*IF(AC54=1,AD54,0))/(3*(Pesos!$B$2*E54+Pesos!$B$3*H54+Pesos!$B$4*K54+Pesos!$B$5*N54+Pesos!$B$6*Q54+Pesos!$B$7*T54+Pesos!$B$8*W54+Pesos!$B$9*Z54+Pesos!$B$10*AC54)))</f>
        <v/>
      </c>
      <c r="AH54" s="5">
        <f>IF(OR(AF54="Sin criterios aplicables",AF54&lt;70),"Insufficient evidence",100*(Pesos!$C$2*IF(E54=1,F54,0)+Pesos!$C$3*IF(H54=1,I54,0)+Pesos!$C$4*IF(K54=1,L54,0)+Pesos!$C$5*IF(N54=1,O54,0)+Pesos!$C$6*IF(Q54=1,R54,0)+Pesos!$C$7*IF(T54=1,U54,0)+Pesos!$C$8*IF(W54=1,X54,0)+Pesos!$C$9*IF(Z54=1,AA54,0)+Pesos!$C$10*IF(AC54=1,AD54,0))/(3*(Pesos!$C$2*E54+Pesos!$C$3*H54+Pesos!$C$4*K54+Pesos!$C$5*N54+Pesos!$C$6*Q54+Pesos!$C$7*T54+Pesos!$C$8*W54+Pesos!$C$9*Z54+Pesos!$C$10*AC54)))</f>
        <v/>
      </c>
      <c r="AI54">
        <f>IF(AG54="Insufficient evidence","Insufficient evidence (cobertura&lt;70%)",IF(AG54&lt;50/3,"Insufficient",IF(AG54&lt;50,"Basic",IF(AG54&lt;250/3,"Solid","Advanced"))))</f>
        <v/>
      </c>
      <c r="AJ54">
        <f>IF(AH54="Insufficient evidence","Insufficient evidence (cobertura&lt;70%)",IF(AH54&lt;50/3,"Insufficient",IF(AH54&lt;50,"Basic",IF(AH54&lt;250/3,"Solid","Advanced"))))</f>
        <v/>
      </c>
      <c r="AK54">
        <f>IF(TRIM(IF(AND(ISNUMBER(F54),F54&lt;1),"Visibilidad","") &amp; " " &amp; IF(AND(ISNUMBER(U54),U54&lt;1),"Integración",""))="","Ninguno",TRIM(IF(AND(ISNUMBER(F54),F54&lt;1),"Visibilidad","") &amp; " " &amp; IF(AND(ISNUMBER(U54),U54&lt;1),"Integración","")))</f>
        <v/>
      </c>
    </row>
    <row r="55">
      <c r="A55" t="inlineStr">
        <is>
          <t>E6</t>
        </is>
      </c>
      <c r="B55" t="inlineStr">
        <is>
          <t>Cloud nativa</t>
        </is>
      </c>
      <c r="C55" t="inlineStr">
        <is>
          <t>Google Cloud FinOps Hub</t>
        </is>
      </c>
      <c r="D55">
        <f>IF(COUNTIFS(Puntuacion!$A:$A,$A55,Puntuacion!$C:$C,$C55,Puntuacion!$D:$D,"Visibilidad",Puntuacion!$G:$G,"&lt;&gt;NA")&gt;0,1,0)</f>
        <v/>
      </c>
      <c r="E55">
        <f>IF(AND(D55=1,COUNTIFS(Puntuacion!$A:$A,$A55,Puntuacion!$C:$C,$C55,Puntuacion!$D:$D,"Visibilidad",Puntuacion!$G:$G,"NE")=0),1,0)</f>
        <v/>
      </c>
      <c r="F55" s="5">
        <f>IF(D55=0,"NA",IF(E55=0,"NE",AVERAGEIFS(Puntuacion!$G:$G,Puntuacion!$A:$A,$A55,Puntuacion!$C:$C,$C55,Puntuacion!$D:$D,"Visibilidad",Puntuacion!$G:$G,"&lt;&gt;NA",Puntuacion!$G:$G,"&lt;&gt;NE")))</f>
        <v/>
      </c>
      <c r="G55">
        <f>IF(COUNTIFS(Puntuacion!$A:$A,$A55,Puntuacion!$C:$C,$C55,Puntuacion!$D:$D,"Asignacion",Puntuacion!$G:$G,"&lt;&gt;NA")&gt;0,1,0)</f>
        <v/>
      </c>
      <c r="H55">
        <f>IF(AND(G55=1,COUNTIFS(Puntuacion!$A:$A,$A55,Puntuacion!$C:$C,$C55,Puntuacion!$D:$D,"Asignacion",Puntuacion!$G:$G,"NE")=0),1,0)</f>
        <v/>
      </c>
      <c r="I55" s="5">
        <f>IF(G55=0,"NA",IF(H55=0,"NE",AVERAGEIFS(Puntuacion!$G:$G,Puntuacion!$A:$A,$A55,Puntuacion!$C:$C,$C55,Puntuacion!$D:$D,"Asignacion",Puntuacion!$G:$G,"&lt;&gt;NA",Puntuacion!$G:$G,"&lt;&gt;NE")))</f>
        <v/>
      </c>
      <c r="J55">
        <f>IF(COUNTIFS(Puntuacion!$A:$A,$A55,Puntuacion!$C:$C,$C55,Puntuacion!$D:$D,"Optimizacion",Puntuacion!$G:$G,"&lt;&gt;NA")&gt;0,1,0)</f>
        <v/>
      </c>
      <c r="K55">
        <f>IF(AND(J55=1,COUNTIFS(Puntuacion!$A:$A,$A55,Puntuacion!$C:$C,$C55,Puntuacion!$D:$D,"Optimizacion",Puntuacion!$G:$G,"NE")=0),1,0)</f>
        <v/>
      </c>
      <c r="L55" s="5">
        <f>IF(J55=0,"NA",IF(K55=0,"NE",AVERAGEIFS(Puntuacion!$G:$G,Puntuacion!$A:$A,$A55,Puntuacion!$C:$C,$C55,Puntuacion!$D:$D,"Optimizacion",Puntuacion!$G:$G,"&lt;&gt;NA",Puntuacion!$G:$G,"&lt;&gt;NE")))</f>
        <v/>
      </c>
      <c r="M55">
        <f>IF(COUNTIFS(Puntuacion!$A:$A,$A55,Puntuacion!$C:$C,$C55,Puntuacion!$D:$D,"Automatizacion",Puntuacion!$G:$G,"&lt;&gt;NA")&gt;0,1,0)</f>
        <v/>
      </c>
      <c r="N55">
        <f>IF(AND(M55=1,COUNTIFS(Puntuacion!$A:$A,$A55,Puntuacion!$C:$C,$C55,Puntuacion!$D:$D,"Automatizacion",Puntuacion!$G:$G,"NE")=0),1,0)</f>
        <v/>
      </c>
      <c r="O55" s="5">
        <f>IF(M55=0,"NA",IF(N55=0,"NE",AVERAGEIFS(Puntuacion!$G:$G,Puntuacion!$A:$A,$A55,Puntuacion!$C:$C,$C55,Puntuacion!$D:$D,"Automatizacion",Puntuacion!$G:$G,"&lt;&gt;NA",Puntuacion!$G:$G,"&lt;&gt;NE")))</f>
        <v/>
      </c>
      <c r="P55">
        <f>IF(COUNTIFS(Puntuacion!$A:$A,$A55,Puntuacion!$C:$C,$C55,Puntuacion!$D:$D,"Multicloud",Puntuacion!$G:$G,"&lt;&gt;NA")&gt;0,1,0)</f>
        <v/>
      </c>
      <c r="Q55">
        <f>IF(AND(P55=1,COUNTIFS(Puntuacion!$A:$A,$A55,Puntuacion!$C:$C,$C55,Puntuacion!$D:$D,"Multicloud",Puntuacion!$G:$G,"NE")=0),1,0)</f>
        <v/>
      </c>
      <c r="R55" s="5">
        <f>IF(P55=0,"NA",IF(Q55=0,"NE",AVERAGEIFS(Puntuacion!$G:$G,Puntuacion!$A:$A,$A55,Puntuacion!$C:$C,$C55,Puntuacion!$D:$D,"Multicloud",Puntuacion!$G:$G,"&lt;&gt;NA",Puntuacion!$G:$G,"&lt;&gt;NE")))</f>
        <v/>
      </c>
      <c r="S55">
        <f>IF(COUNTIFS(Puntuacion!$A:$A,$A55,Puntuacion!$C:$C,$C55,Puntuacion!$D:$D,"Integracion",Puntuacion!$G:$G,"&lt;&gt;NA")&gt;0,1,0)</f>
        <v/>
      </c>
      <c r="T55">
        <f>IF(AND(S55=1,COUNTIFS(Puntuacion!$A:$A,$A55,Puntuacion!$C:$C,$C55,Puntuacion!$D:$D,"Integracion",Puntuacion!$G:$G,"NE")=0),1,0)</f>
        <v/>
      </c>
      <c r="U55" s="5">
        <f>IF(S55=0,"NA",IF(T55=0,"NE",AVERAGEIFS(Puntuacion!$G:$G,Puntuacion!$A:$A,$A55,Puntuacion!$C:$C,$C55,Puntuacion!$D:$D,"Integracion",Puntuacion!$G:$G,"&lt;&gt;NA",Puntuacion!$G:$G,"&lt;&gt;NE")))</f>
        <v/>
      </c>
      <c r="V55">
        <f>IF(COUNTIFS(Puntuacion!$A:$A,$A55,Puntuacion!$C:$C,$C55,Puntuacion!$D:$D,"Adopcion",Puntuacion!$G:$G,"&lt;&gt;NA")&gt;0,1,0)</f>
        <v/>
      </c>
      <c r="W55">
        <f>IF(AND(V55=1,COUNTIFS(Puntuacion!$A:$A,$A55,Puntuacion!$C:$C,$C55,Puntuacion!$D:$D,"Adopcion",Puntuacion!$G:$G,"NE")=0),1,0)</f>
        <v/>
      </c>
      <c r="X55" s="5">
        <f>IF(V55=0,"NA",IF(W55=0,"NE",AVERAGEIFS(Puntuacion!$G:$G,Puntuacion!$A:$A,$A55,Puntuacion!$C:$C,$C55,Puntuacion!$D:$D,"Adopcion",Puntuacion!$G:$G,"&lt;&gt;NA",Puntuacion!$G:$G,"&lt;&gt;NE")))</f>
        <v/>
      </c>
      <c r="Y55">
        <f>IF(COUNTIFS(Puntuacion!$A:$A,$A55,Puntuacion!$C:$C,$C55,Puntuacion!$D:$D,"Precio",Puntuacion!$G:$G,"&lt;&gt;NA")&gt;0,1,0)</f>
        <v/>
      </c>
      <c r="Z55">
        <f>IF(AND(Y55=1,COUNTIFS(Puntuacion!$A:$A,$A55,Puntuacion!$C:$C,$C55,Puntuacion!$D:$D,"Precio",Puntuacion!$G:$G,"NE")=0),1,0)</f>
        <v/>
      </c>
      <c r="AA55" s="5">
        <f>IF(Y55=0,"NA",IF(Z55=0,"NE",AVERAGEIFS(Puntuacion!$G:$G,Puntuacion!$A:$A,$A55,Puntuacion!$C:$C,$C55,Puntuacion!$D:$D,"Precio",Puntuacion!$G:$G,"&lt;&gt;NA",Puntuacion!$G:$G,"&lt;&gt;NE")))</f>
        <v/>
      </c>
      <c r="AB55">
        <f>IF(COUNTIFS(Puntuacion!$A:$A,$A55,Puntuacion!$C:$C,$C55,Puntuacion!$D:$D,"Dependencia",Puntuacion!$G:$G,"&lt;&gt;NA")&gt;0,1,0)</f>
        <v/>
      </c>
      <c r="AC55">
        <f>IF(AND(AB55=1,COUNTIFS(Puntuacion!$A:$A,$A55,Puntuacion!$C:$C,$C55,Puntuacion!$D:$D,"Dependencia",Puntuacion!$G:$G,"NE")=0),1,0)</f>
        <v/>
      </c>
      <c r="AD55" s="5">
        <f>IF(AB55=0,"NA",IF(AC55=0,"NE",AVERAGEIFS(Puntuacion!$G:$G,Puntuacion!$A:$A,$A55,Puntuacion!$C:$C,$C55,Puntuacion!$D:$D,"Dependencia",Puntuacion!$G:$G,"&lt;&gt;NA",Puntuacion!$G:$G,"&lt;&gt;NE")))</f>
        <v/>
      </c>
      <c r="AE55" s="5">
        <f>IFERROR(100*(E55*Pesos!$B$2+H55*Pesos!$B$3+K55*Pesos!$B$4+N55*Pesos!$B$5+Q55*Pesos!$B$6+T55*Pesos!$B$7+W55*Pesos!$B$8+Z55*Pesos!$B$9+AC55*Pesos!$B$10)/(D55*Pesos!$B$2+G55*Pesos!$B$3+J55*Pesos!$B$4+M55*Pesos!$B$5+P55*Pesos!$B$6+S55*Pesos!$B$7+V55*Pesos!$B$8+Y55*Pesos!$B$9+AB55*Pesos!$B$10),"Sin criterios aplicables")</f>
        <v/>
      </c>
      <c r="AF55" s="5">
        <f>IFERROR(100*(E55*Pesos!$C$2+H55*Pesos!$C$3+K55*Pesos!$C$4+N55*Pesos!$C$5+Q55*Pesos!$C$6+T55*Pesos!$C$7+W55*Pesos!$C$8+Z55*Pesos!$C$9+AC55*Pesos!$C$10)/(D55*Pesos!$C$2+G55*Pesos!$C$3+J55*Pesos!$C$4+M55*Pesos!$C$5+P55*Pesos!$C$6+S55*Pesos!$C$7+V55*Pesos!$C$8+Y55*Pesos!$C$9+AB55*Pesos!$C$10),"Sin criterios aplicables")</f>
        <v/>
      </c>
      <c r="AG55" s="5">
        <f>IF(OR(AE55="Sin criterios aplicables",AE55&lt;70),"Insufficient evidence",100*(Pesos!$B$2*IF(E55=1,F55,0)+Pesos!$B$3*IF(H55=1,I55,0)+Pesos!$B$4*IF(K55=1,L55,0)+Pesos!$B$5*IF(N55=1,O55,0)+Pesos!$B$6*IF(Q55=1,R55,0)+Pesos!$B$7*IF(T55=1,U55,0)+Pesos!$B$8*IF(W55=1,X55,0)+Pesos!$B$9*IF(Z55=1,AA55,0)+Pesos!$B$10*IF(AC55=1,AD55,0))/(3*(Pesos!$B$2*E55+Pesos!$B$3*H55+Pesos!$B$4*K55+Pesos!$B$5*N55+Pesos!$B$6*Q55+Pesos!$B$7*T55+Pesos!$B$8*W55+Pesos!$B$9*Z55+Pesos!$B$10*AC55)))</f>
        <v/>
      </c>
      <c r="AH55" s="5">
        <f>IF(OR(AF55="Sin criterios aplicables",AF55&lt;70),"Insufficient evidence",100*(Pesos!$C$2*IF(E55=1,F55,0)+Pesos!$C$3*IF(H55=1,I55,0)+Pesos!$C$4*IF(K55=1,L55,0)+Pesos!$C$5*IF(N55=1,O55,0)+Pesos!$C$6*IF(Q55=1,R55,0)+Pesos!$C$7*IF(T55=1,U55,0)+Pesos!$C$8*IF(W55=1,X55,0)+Pesos!$C$9*IF(Z55=1,AA55,0)+Pesos!$C$10*IF(AC55=1,AD55,0))/(3*(Pesos!$C$2*E55+Pesos!$C$3*H55+Pesos!$C$4*K55+Pesos!$C$5*N55+Pesos!$C$6*Q55+Pesos!$C$7*T55+Pesos!$C$8*W55+Pesos!$C$9*Z55+Pesos!$C$10*AC55)))</f>
        <v/>
      </c>
      <c r="AI55">
        <f>IF(AG55="Insufficient evidence","Insufficient evidence (cobertura&lt;70%)",IF(AG55&lt;50/3,"Insufficient",IF(AG55&lt;50,"Basic",IF(AG55&lt;250/3,"Solid","Advanced"))))</f>
        <v/>
      </c>
      <c r="AJ55">
        <f>IF(AH55="Insufficient evidence","Insufficient evidence (cobertura&lt;70%)",IF(AH55&lt;50/3,"Insufficient",IF(AH55&lt;50,"Basic",IF(AH55&lt;250/3,"Solid","Advanced"))))</f>
        <v/>
      </c>
      <c r="AK55">
        <f>IF(TRIM(IF(AND(ISNUMBER(F55),F55&lt;1),"Visibilidad","") &amp; " " &amp; IF(AND(ISNUMBER(U55),U55&lt;1),"Integración",""))="","Ninguno",TRIM(IF(AND(ISNUMBER(F55),F55&lt;1),"Visibilidad","") &amp; " " &amp; IF(AND(ISNUMBER(U55),U55&lt;1),"Integración","")))</f>
        <v/>
      </c>
    </row>
    <row r="56">
      <c r="A56" t="inlineStr">
        <is>
          <t>E6</t>
        </is>
      </c>
      <c r="B56" t="inlineStr">
        <is>
          <t>Multicloud</t>
        </is>
      </c>
      <c r="C56" t="inlineStr">
        <is>
          <t>CloudHealth</t>
        </is>
      </c>
      <c r="D56">
        <f>IF(COUNTIFS(Puntuacion!$A:$A,$A56,Puntuacion!$C:$C,$C56,Puntuacion!$D:$D,"Visibilidad",Puntuacion!$G:$G,"&lt;&gt;NA")&gt;0,1,0)</f>
        <v/>
      </c>
      <c r="E56">
        <f>IF(AND(D56=1,COUNTIFS(Puntuacion!$A:$A,$A56,Puntuacion!$C:$C,$C56,Puntuacion!$D:$D,"Visibilidad",Puntuacion!$G:$G,"NE")=0),1,0)</f>
        <v/>
      </c>
      <c r="F56" s="5">
        <f>IF(D56=0,"NA",IF(E56=0,"NE",AVERAGEIFS(Puntuacion!$G:$G,Puntuacion!$A:$A,$A56,Puntuacion!$C:$C,$C56,Puntuacion!$D:$D,"Visibilidad",Puntuacion!$G:$G,"&lt;&gt;NA",Puntuacion!$G:$G,"&lt;&gt;NE")))</f>
        <v/>
      </c>
      <c r="G56">
        <f>IF(COUNTIFS(Puntuacion!$A:$A,$A56,Puntuacion!$C:$C,$C56,Puntuacion!$D:$D,"Asignacion",Puntuacion!$G:$G,"&lt;&gt;NA")&gt;0,1,0)</f>
        <v/>
      </c>
      <c r="H56">
        <f>IF(AND(G56=1,COUNTIFS(Puntuacion!$A:$A,$A56,Puntuacion!$C:$C,$C56,Puntuacion!$D:$D,"Asignacion",Puntuacion!$G:$G,"NE")=0),1,0)</f>
        <v/>
      </c>
      <c r="I56" s="5">
        <f>IF(G56=0,"NA",IF(H56=0,"NE",AVERAGEIFS(Puntuacion!$G:$G,Puntuacion!$A:$A,$A56,Puntuacion!$C:$C,$C56,Puntuacion!$D:$D,"Asignacion",Puntuacion!$G:$G,"&lt;&gt;NA",Puntuacion!$G:$G,"&lt;&gt;NE")))</f>
        <v/>
      </c>
      <c r="J56">
        <f>IF(COUNTIFS(Puntuacion!$A:$A,$A56,Puntuacion!$C:$C,$C56,Puntuacion!$D:$D,"Optimizacion",Puntuacion!$G:$G,"&lt;&gt;NA")&gt;0,1,0)</f>
        <v/>
      </c>
      <c r="K56">
        <f>IF(AND(J56=1,COUNTIFS(Puntuacion!$A:$A,$A56,Puntuacion!$C:$C,$C56,Puntuacion!$D:$D,"Optimizacion",Puntuacion!$G:$G,"NE")=0),1,0)</f>
        <v/>
      </c>
      <c r="L56" s="5">
        <f>IF(J56=0,"NA",IF(K56=0,"NE",AVERAGEIFS(Puntuacion!$G:$G,Puntuacion!$A:$A,$A56,Puntuacion!$C:$C,$C56,Puntuacion!$D:$D,"Optimizacion",Puntuacion!$G:$G,"&lt;&gt;NA",Puntuacion!$G:$G,"&lt;&gt;NE")))</f>
        <v/>
      </c>
      <c r="M56">
        <f>IF(COUNTIFS(Puntuacion!$A:$A,$A56,Puntuacion!$C:$C,$C56,Puntuacion!$D:$D,"Automatizacion",Puntuacion!$G:$G,"&lt;&gt;NA")&gt;0,1,0)</f>
        <v/>
      </c>
      <c r="N56">
        <f>IF(AND(M56=1,COUNTIFS(Puntuacion!$A:$A,$A56,Puntuacion!$C:$C,$C56,Puntuacion!$D:$D,"Automatizacion",Puntuacion!$G:$G,"NE")=0),1,0)</f>
        <v/>
      </c>
      <c r="O56" s="5">
        <f>IF(M56=0,"NA",IF(N56=0,"NE",AVERAGEIFS(Puntuacion!$G:$G,Puntuacion!$A:$A,$A56,Puntuacion!$C:$C,$C56,Puntuacion!$D:$D,"Automatizacion",Puntuacion!$G:$G,"&lt;&gt;NA",Puntuacion!$G:$G,"&lt;&gt;NE")))</f>
        <v/>
      </c>
      <c r="P56">
        <f>IF(COUNTIFS(Puntuacion!$A:$A,$A56,Puntuacion!$C:$C,$C56,Puntuacion!$D:$D,"Multicloud",Puntuacion!$G:$G,"&lt;&gt;NA")&gt;0,1,0)</f>
        <v/>
      </c>
      <c r="Q56">
        <f>IF(AND(P56=1,COUNTIFS(Puntuacion!$A:$A,$A56,Puntuacion!$C:$C,$C56,Puntuacion!$D:$D,"Multicloud",Puntuacion!$G:$G,"NE")=0),1,0)</f>
        <v/>
      </c>
      <c r="R56" s="5">
        <f>IF(P56=0,"NA",IF(Q56=0,"NE",AVERAGEIFS(Puntuacion!$G:$G,Puntuacion!$A:$A,$A56,Puntuacion!$C:$C,$C56,Puntuacion!$D:$D,"Multicloud",Puntuacion!$G:$G,"&lt;&gt;NA",Puntuacion!$G:$G,"&lt;&gt;NE")))</f>
        <v/>
      </c>
      <c r="S56">
        <f>IF(COUNTIFS(Puntuacion!$A:$A,$A56,Puntuacion!$C:$C,$C56,Puntuacion!$D:$D,"Integracion",Puntuacion!$G:$G,"&lt;&gt;NA")&gt;0,1,0)</f>
        <v/>
      </c>
      <c r="T56">
        <f>IF(AND(S56=1,COUNTIFS(Puntuacion!$A:$A,$A56,Puntuacion!$C:$C,$C56,Puntuacion!$D:$D,"Integracion",Puntuacion!$G:$G,"NE")=0),1,0)</f>
        <v/>
      </c>
      <c r="U56" s="5">
        <f>IF(S56=0,"NA",IF(T56=0,"NE",AVERAGEIFS(Puntuacion!$G:$G,Puntuacion!$A:$A,$A56,Puntuacion!$C:$C,$C56,Puntuacion!$D:$D,"Integracion",Puntuacion!$G:$G,"&lt;&gt;NA",Puntuacion!$G:$G,"&lt;&gt;NE")))</f>
        <v/>
      </c>
      <c r="V56">
        <f>IF(COUNTIFS(Puntuacion!$A:$A,$A56,Puntuacion!$C:$C,$C56,Puntuacion!$D:$D,"Adopcion",Puntuacion!$G:$G,"&lt;&gt;NA")&gt;0,1,0)</f>
        <v/>
      </c>
      <c r="W56">
        <f>IF(AND(V56=1,COUNTIFS(Puntuacion!$A:$A,$A56,Puntuacion!$C:$C,$C56,Puntuacion!$D:$D,"Adopcion",Puntuacion!$G:$G,"NE")=0),1,0)</f>
        <v/>
      </c>
      <c r="X56" s="5">
        <f>IF(V56=0,"NA",IF(W56=0,"NE",AVERAGEIFS(Puntuacion!$G:$G,Puntuacion!$A:$A,$A56,Puntuacion!$C:$C,$C56,Puntuacion!$D:$D,"Adopcion",Puntuacion!$G:$G,"&lt;&gt;NA",Puntuacion!$G:$G,"&lt;&gt;NE")))</f>
        <v/>
      </c>
      <c r="Y56">
        <f>IF(COUNTIFS(Puntuacion!$A:$A,$A56,Puntuacion!$C:$C,$C56,Puntuacion!$D:$D,"Precio",Puntuacion!$G:$G,"&lt;&gt;NA")&gt;0,1,0)</f>
        <v/>
      </c>
      <c r="Z56">
        <f>IF(AND(Y56=1,COUNTIFS(Puntuacion!$A:$A,$A56,Puntuacion!$C:$C,$C56,Puntuacion!$D:$D,"Precio",Puntuacion!$G:$G,"NE")=0),1,0)</f>
        <v/>
      </c>
      <c r="AA56" s="5">
        <f>IF(Y56=0,"NA",IF(Z56=0,"NE",AVERAGEIFS(Puntuacion!$G:$G,Puntuacion!$A:$A,$A56,Puntuacion!$C:$C,$C56,Puntuacion!$D:$D,"Precio",Puntuacion!$G:$G,"&lt;&gt;NA",Puntuacion!$G:$G,"&lt;&gt;NE")))</f>
        <v/>
      </c>
      <c r="AB56">
        <f>IF(COUNTIFS(Puntuacion!$A:$A,$A56,Puntuacion!$C:$C,$C56,Puntuacion!$D:$D,"Dependencia",Puntuacion!$G:$G,"&lt;&gt;NA")&gt;0,1,0)</f>
        <v/>
      </c>
      <c r="AC56">
        <f>IF(AND(AB56=1,COUNTIFS(Puntuacion!$A:$A,$A56,Puntuacion!$C:$C,$C56,Puntuacion!$D:$D,"Dependencia",Puntuacion!$G:$G,"NE")=0),1,0)</f>
        <v/>
      </c>
      <c r="AD56" s="5">
        <f>IF(AB56=0,"NA",IF(AC56=0,"NE",AVERAGEIFS(Puntuacion!$G:$G,Puntuacion!$A:$A,$A56,Puntuacion!$C:$C,$C56,Puntuacion!$D:$D,"Dependencia",Puntuacion!$G:$G,"&lt;&gt;NA",Puntuacion!$G:$G,"&lt;&gt;NE")))</f>
        <v/>
      </c>
      <c r="AE56" s="5">
        <f>IFERROR(100*(E56*Pesos!$B$2+H56*Pesos!$B$3+K56*Pesos!$B$4+N56*Pesos!$B$5+Q56*Pesos!$B$6+T56*Pesos!$B$7+W56*Pesos!$B$8+Z56*Pesos!$B$9+AC56*Pesos!$B$10)/(D56*Pesos!$B$2+G56*Pesos!$B$3+J56*Pesos!$B$4+M56*Pesos!$B$5+P56*Pesos!$B$6+S56*Pesos!$B$7+V56*Pesos!$B$8+Y56*Pesos!$B$9+AB56*Pesos!$B$10),"Sin criterios aplicables")</f>
        <v/>
      </c>
      <c r="AF56" s="5">
        <f>IFERROR(100*(E56*Pesos!$C$2+H56*Pesos!$C$3+K56*Pesos!$C$4+N56*Pesos!$C$5+Q56*Pesos!$C$6+T56*Pesos!$C$7+W56*Pesos!$C$8+Z56*Pesos!$C$9+AC56*Pesos!$C$10)/(D56*Pesos!$C$2+G56*Pesos!$C$3+J56*Pesos!$C$4+M56*Pesos!$C$5+P56*Pesos!$C$6+S56*Pesos!$C$7+V56*Pesos!$C$8+Y56*Pesos!$C$9+AB56*Pesos!$C$10),"Sin criterios aplicables")</f>
        <v/>
      </c>
      <c r="AG56" s="5">
        <f>IF(OR(AE56="Sin criterios aplicables",AE56&lt;70),"Insufficient evidence",100*(Pesos!$B$2*IF(E56=1,F56,0)+Pesos!$B$3*IF(H56=1,I56,0)+Pesos!$B$4*IF(K56=1,L56,0)+Pesos!$B$5*IF(N56=1,O56,0)+Pesos!$B$6*IF(Q56=1,R56,0)+Pesos!$B$7*IF(T56=1,U56,0)+Pesos!$B$8*IF(W56=1,X56,0)+Pesos!$B$9*IF(Z56=1,AA56,0)+Pesos!$B$10*IF(AC56=1,AD56,0))/(3*(Pesos!$B$2*E56+Pesos!$B$3*H56+Pesos!$B$4*K56+Pesos!$B$5*N56+Pesos!$B$6*Q56+Pesos!$B$7*T56+Pesos!$B$8*W56+Pesos!$B$9*Z56+Pesos!$B$10*AC56)))</f>
        <v/>
      </c>
      <c r="AH56" s="5">
        <f>IF(OR(AF56="Sin criterios aplicables",AF56&lt;70),"Insufficient evidence",100*(Pesos!$C$2*IF(E56=1,F56,0)+Pesos!$C$3*IF(H56=1,I56,0)+Pesos!$C$4*IF(K56=1,L56,0)+Pesos!$C$5*IF(N56=1,O56,0)+Pesos!$C$6*IF(Q56=1,R56,0)+Pesos!$C$7*IF(T56=1,U56,0)+Pesos!$C$8*IF(W56=1,X56,0)+Pesos!$C$9*IF(Z56=1,AA56,0)+Pesos!$C$10*IF(AC56=1,AD56,0))/(3*(Pesos!$C$2*E56+Pesos!$C$3*H56+Pesos!$C$4*K56+Pesos!$C$5*N56+Pesos!$C$6*Q56+Pesos!$C$7*T56+Pesos!$C$8*W56+Pesos!$C$9*Z56+Pesos!$C$10*AC56)))</f>
        <v/>
      </c>
      <c r="AI56">
        <f>IF(AG56="Insufficient evidence","Insufficient evidence (cobertura&lt;70%)",IF(AG56&lt;50/3,"Insufficient",IF(AG56&lt;50,"Basic",IF(AG56&lt;250/3,"Solid","Advanced"))))</f>
        <v/>
      </c>
      <c r="AJ56">
        <f>IF(AH56="Insufficient evidence","Insufficient evidence (cobertura&lt;70%)",IF(AH56&lt;50/3,"Insufficient",IF(AH56&lt;50,"Basic",IF(AH56&lt;250/3,"Solid","Advanced"))))</f>
        <v/>
      </c>
      <c r="AK56">
        <f>IF(TRIM(IF(AND(ISNUMBER(F56),F56&lt;1),"Visibilidad","") &amp; " " &amp; IF(AND(ISNUMBER(U56),U56&lt;1),"Integración",""))="","Ninguno",TRIM(IF(AND(ISNUMBER(F56),F56&lt;1),"Visibilidad","") &amp; " " &amp; IF(AND(ISNUMBER(U56),U56&lt;1),"Integración","")))</f>
        <v/>
      </c>
    </row>
    <row r="57">
      <c r="A57" t="inlineStr">
        <is>
          <t>E6</t>
        </is>
      </c>
      <c r="B57" t="inlineStr">
        <is>
          <t>Multicloud</t>
        </is>
      </c>
      <c r="C57" t="inlineStr">
        <is>
          <t>CloudZero</t>
        </is>
      </c>
      <c r="D57">
        <f>IF(COUNTIFS(Puntuacion!$A:$A,$A57,Puntuacion!$C:$C,$C57,Puntuacion!$D:$D,"Visibilidad",Puntuacion!$G:$G,"&lt;&gt;NA")&gt;0,1,0)</f>
        <v/>
      </c>
      <c r="E57">
        <f>IF(AND(D57=1,COUNTIFS(Puntuacion!$A:$A,$A57,Puntuacion!$C:$C,$C57,Puntuacion!$D:$D,"Visibilidad",Puntuacion!$G:$G,"NE")=0),1,0)</f>
        <v/>
      </c>
      <c r="F57" s="5">
        <f>IF(D57=0,"NA",IF(E57=0,"NE",AVERAGEIFS(Puntuacion!$G:$G,Puntuacion!$A:$A,$A57,Puntuacion!$C:$C,$C57,Puntuacion!$D:$D,"Visibilidad",Puntuacion!$G:$G,"&lt;&gt;NA",Puntuacion!$G:$G,"&lt;&gt;NE")))</f>
        <v/>
      </c>
      <c r="G57">
        <f>IF(COUNTIFS(Puntuacion!$A:$A,$A57,Puntuacion!$C:$C,$C57,Puntuacion!$D:$D,"Asignacion",Puntuacion!$G:$G,"&lt;&gt;NA")&gt;0,1,0)</f>
        <v/>
      </c>
      <c r="H57">
        <f>IF(AND(G57=1,COUNTIFS(Puntuacion!$A:$A,$A57,Puntuacion!$C:$C,$C57,Puntuacion!$D:$D,"Asignacion",Puntuacion!$G:$G,"NE")=0),1,0)</f>
        <v/>
      </c>
      <c r="I57" s="5">
        <f>IF(G57=0,"NA",IF(H57=0,"NE",AVERAGEIFS(Puntuacion!$G:$G,Puntuacion!$A:$A,$A57,Puntuacion!$C:$C,$C57,Puntuacion!$D:$D,"Asignacion",Puntuacion!$G:$G,"&lt;&gt;NA",Puntuacion!$G:$G,"&lt;&gt;NE")))</f>
        <v/>
      </c>
      <c r="J57">
        <f>IF(COUNTIFS(Puntuacion!$A:$A,$A57,Puntuacion!$C:$C,$C57,Puntuacion!$D:$D,"Optimizacion",Puntuacion!$G:$G,"&lt;&gt;NA")&gt;0,1,0)</f>
        <v/>
      </c>
      <c r="K57">
        <f>IF(AND(J57=1,COUNTIFS(Puntuacion!$A:$A,$A57,Puntuacion!$C:$C,$C57,Puntuacion!$D:$D,"Optimizacion",Puntuacion!$G:$G,"NE")=0),1,0)</f>
        <v/>
      </c>
      <c r="L57" s="5">
        <f>IF(J57=0,"NA",IF(K57=0,"NE",AVERAGEIFS(Puntuacion!$G:$G,Puntuacion!$A:$A,$A57,Puntuacion!$C:$C,$C57,Puntuacion!$D:$D,"Optimizacion",Puntuacion!$G:$G,"&lt;&gt;NA",Puntuacion!$G:$G,"&lt;&gt;NE")))</f>
        <v/>
      </c>
      <c r="M57">
        <f>IF(COUNTIFS(Puntuacion!$A:$A,$A57,Puntuacion!$C:$C,$C57,Puntuacion!$D:$D,"Automatizacion",Puntuacion!$G:$G,"&lt;&gt;NA")&gt;0,1,0)</f>
        <v/>
      </c>
      <c r="N57">
        <f>IF(AND(M57=1,COUNTIFS(Puntuacion!$A:$A,$A57,Puntuacion!$C:$C,$C57,Puntuacion!$D:$D,"Automatizacion",Puntuacion!$G:$G,"NE")=0),1,0)</f>
        <v/>
      </c>
      <c r="O57" s="5">
        <f>IF(M57=0,"NA",IF(N57=0,"NE",AVERAGEIFS(Puntuacion!$G:$G,Puntuacion!$A:$A,$A57,Puntuacion!$C:$C,$C57,Puntuacion!$D:$D,"Automatizacion",Puntuacion!$G:$G,"&lt;&gt;NA",Puntuacion!$G:$G,"&lt;&gt;NE")))</f>
        <v/>
      </c>
      <c r="P57">
        <f>IF(COUNTIFS(Puntuacion!$A:$A,$A57,Puntuacion!$C:$C,$C57,Puntuacion!$D:$D,"Multicloud",Puntuacion!$G:$G,"&lt;&gt;NA")&gt;0,1,0)</f>
        <v/>
      </c>
      <c r="Q57">
        <f>IF(AND(P57=1,COUNTIFS(Puntuacion!$A:$A,$A57,Puntuacion!$C:$C,$C57,Puntuacion!$D:$D,"Multicloud",Puntuacion!$G:$G,"NE")=0),1,0)</f>
        <v/>
      </c>
      <c r="R57" s="5">
        <f>IF(P57=0,"NA",IF(Q57=0,"NE",AVERAGEIFS(Puntuacion!$G:$G,Puntuacion!$A:$A,$A57,Puntuacion!$C:$C,$C57,Puntuacion!$D:$D,"Multicloud",Puntuacion!$G:$G,"&lt;&gt;NA",Puntuacion!$G:$G,"&lt;&gt;NE")))</f>
        <v/>
      </c>
      <c r="S57">
        <f>IF(COUNTIFS(Puntuacion!$A:$A,$A57,Puntuacion!$C:$C,$C57,Puntuacion!$D:$D,"Integracion",Puntuacion!$G:$G,"&lt;&gt;NA")&gt;0,1,0)</f>
        <v/>
      </c>
      <c r="T57">
        <f>IF(AND(S57=1,COUNTIFS(Puntuacion!$A:$A,$A57,Puntuacion!$C:$C,$C57,Puntuacion!$D:$D,"Integracion",Puntuacion!$G:$G,"NE")=0),1,0)</f>
        <v/>
      </c>
      <c r="U57" s="5">
        <f>IF(S57=0,"NA",IF(T57=0,"NE",AVERAGEIFS(Puntuacion!$G:$G,Puntuacion!$A:$A,$A57,Puntuacion!$C:$C,$C57,Puntuacion!$D:$D,"Integracion",Puntuacion!$G:$G,"&lt;&gt;NA",Puntuacion!$G:$G,"&lt;&gt;NE")))</f>
        <v/>
      </c>
      <c r="V57">
        <f>IF(COUNTIFS(Puntuacion!$A:$A,$A57,Puntuacion!$C:$C,$C57,Puntuacion!$D:$D,"Adopcion",Puntuacion!$G:$G,"&lt;&gt;NA")&gt;0,1,0)</f>
        <v/>
      </c>
      <c r="W57">
        <f>IF(AND(V57=1,COUNTIFS(Puntuacion!$A:$A,$A57,Puntuacion!$C:$C,$C57,Puntuacion!$D:$D,"Adopcion",Puntuacion!$G:$G,"NE")=0),1,0)</f>
        <v/>
      </c>
      <c r="X57" s="5">
        <f>IF(V57=0,"NA",IF(W57=0,"NE",AVERAGEIFS(Puntuacion!$G:$G,Puntuacion!$A:$A,$A57,Puntuacion!$C:$C,$C57,Puntuacion!$D:$D,"Adopcion",Puntuacion!$G:$G,"&lt;&gt;NA",Puntuacion!$G:$G,"&lt;&gt;NE")))</f>
        <v/>
      </c>
      <c r="Y57">
        <f>IF(COUNTIFS(Puntuacion!$A:$A,$A57,Puntuacion!$C:$C,$C57,Puntuacion!$D:$D,"Precio",Puntuacion!$G:$G,"&lt;&gt;NA")&gt;0,1,0)</f>
        <v/>
      </c>
      <c r="Z57">
        <f>IF(AND(Y57=1,COUNTIFS(Puntuacion!$A:$A,$A57,Puntuacion!$C:$C,$C57,Puntuacion!$D:$D,"Precio",Puntuacion!$G:$G,"NE")=0),1,0)</f>
        <v/>
      </c>
      <c r="AA57" s="5">
        <f>IF(Y57=0,"NA",IF(Z57=0,"NE",AVERAGEIFS(Puntuacion!$G:$G,Puntuacion!$A:$A,$A57,Puntuacion!$C:$C,$C57,Puntuacion!$D:$D,"Precio",Puntuacion!$G:$G,"&lt;&gt;NA",Puntuacion!$G:$G,"&lt;&gt;NE")))</f>
        <v/>
      </c>
      <c r="AB57">
        <f>IF(COUNTIFS(Puntuacion!$A:$A,$A57,Puntuacion!$C:$C,$C57,Puntuacion!$D:$D,"Dependencia",Puntuacion!$G:$G,"&lt;&gt;NA")&gt;0,1,0)</f>
        <v/>
      </c>
      <c r="AC57">
        <f>IF(AND(AB57=1,COUNTIFS(Puntuacion!$A:$A,$A57,Puntuacion!$C:$C,$C57,Puntuacion!$D:$D,"Dependencia",Puntuacion!$G:$G,"NE")=0),1,0)</f>
        <v/>
      </c>
      <c r="AD57" s="5">
        <f>IF(AB57=0,"NA",IF(AC57=0,"NE",AVERAGEIFS(Puntuacion!$G:$G,Puntuacion!$A:$A,$A57,Puntuacion!$C:$C,$C57,Puntuacion!$D:$D,"Dependencia",Puntuacion!$G:$G,"&lt;&gt;NA",Puntuacion!$G:$G,"&lt;&gt;NE")))</f>
        <v/>
      </c>
      <c r="AE57" s="5">
        <f>IFERROR(100*(E57*Pesos!$B$2+H57*Pesos!$B$3+K57*Pesos!$B$4+N57*Pesos!$B$5+Q57*Pesos!$B$6+T57*Pesos!$B$7+W57*Pesos!$B$8+Z57*Pesos!$B$9+AC57*Pesos!$B$10)/(D57*Pesos!$B$2+G57*Pesos!$B$3+J57*Pesos!$B$4+M57*Pesos!$B$5+P57*Pesos!$B$6+S57*Pesos!$B$7+V57*Pesos!$B$8+Y57*Pesos!$B$9+AB57*Pesos!$B$10),"Sin criterios aplicables")</f>
        <v/>
      </c>
      <c r="AF57" s="5">
        <f>IFERROR(100*(E57*Pesos!$C$2+H57*Pesos!$C$3+K57*Pesos!$C$4+N57*Pesos!$C$5+Q57*Pesos!$C$6+T57*Pesos!$C$7+W57*Pesos!$C$8+Z57*Pesos!$C$9+AC57*Pesos!$C$10)/(D57*Pesos!$C$2+G57*Pesos!$C$3+J57*Pesos!$C$4+M57*Pesos!$C$5+P57*Pesos!$C$6+S57*Pesos!$C$7+V57*Pesos!$C$8+Y57*Pesos!$C$9+AB57*Pesos!$C$10),"Sin criterios aplicables")</f>
        <v/>
      </c>
      <c r="AG57" s="5">
        <f>IF(OR(AE57="Sin criterios aplicables",AE57&lt;70),"Insufficient evidence",100*(Pesos!$B$2*IF(E57=1,F57,0)+Pesos!$B$3*IF(H57=1,I57,0)+Pesos!$B$4*IF(K57=1,L57,0)+Pesos!$B$5*IF(N57=1,O57,0)+Pesos!$B$6*IF(Q57=1,R57,0)+Pesos!$B$7*IF(T57=1,U57,0)+Pesos!$B$8*IF(W57=1,X57,0)+Pesos!$B$9*IF(Z57=1,AA57,0)+Pesos!$B$10*IF(AC57=1,AD57,0))/(3*(Pesos!$B$2*E57+Pesos!$B$3*H57+Pesos!$B$4*K57+Pesos!$B$5*N57+Pesos!$B$6*Q57+Pesos!$B$7*T57+Pesos!$B$8*W57+Pesos!$B$9*Z57+Pesos!$B$10*AC57)))</f>
        <v/>
      </c>
      <c r="AH57" s="5">
        <f>IF(OR(AF57="Sin criterios aplicables",AF57&lt;70),"Insufficient evidence",100*(Pesos!$C$2*IF(E57=1,F57,0)+Pesos!$C$3*IF(H57=1,I57,0)+Pesos!$C$4*IF(K57=1,L57,0)+Pesos!$C$5*IF(N57=1,O57,0)+Pesos!$C$6*IF(Q57=1,R57,0)+Pesos!$C$7*IF(T57=1,U57,0)+Pesos!$C$8*IF(W57=1,X57,0)+Pesos!$C$9*IF(Z57=1,AA57,0)+Pesos!$C$10*IF(AC57=1,AD57,0))/(3*(Pesos!$C$2*E57+Pesos!$C$3*H57+Pesos!$C$4*K57+Pesos!$C$5*N57+Pesos!$C$6*Q57+Pesos!$C$7*T57+Pesos!$C$8*W57+Pesos!$C$9*Z57+Pesos!$C$10*AC57)))</f>
        <v/>
      </c>
      <c r="AI57">
        <f>IF(AG57="Insufficient evidence","Insufficient evidence (cobertura&lt;70%)",IF(AG57&lt;50/3,"Insufficient",IF(AG57&lt;50,"Basic",IF(AG57&lt;250/3,"Solid","Advanced"))))</f>
        <v/>
      </c>
      <c r="AJ57">
        <f>IF(AH57="Insufficient evidence","Insufficient evidence (cobertura&lt;70%)",IF(AH57&lt;50/3,"Insufficient",IF(AH57&lt;50,"Basic",IF(AH57&lt;250/3,"Solid","Advanced"))))</f>
        <v/>
      </c>
      <c r="AK57">
        <f>IF(TRIM(IF(AND(ISNUMBER(F57),F57&lt;1),"Visibilidad","") &amp; " " &amp; IF(AND(ISNUMBER(U57),U57&lt;1),"Integración",""))="","Ninguno",TRIM(IF(AND(ISNUMBER(F57),F57&lt;1),"Visibilidad","") &amp; " " &amp; IF(AND(ISNUMBER(U57),U57&lt;1),"Integración","")))</f>
        <v/>
      </c>
    </row>
    <row r="58">
      <c r="A58" t="inlineStr">
        <is>
          <t>E6</t>
        </is>
      </c>
      <c r="B58" t="inlineStr">
        <is>
          <t>Multicloud</t>
        </is>
      </c>
      <c r="C58" t="inlineStr">
        <is>
          <t>Cloudability</t>
        </is>
      </c>
      <c r="D58">
        <f>IF(COUNTIFS(Puntuacion!$A:$A,$A58,Puntuacion!$C:$C,$C58,Puntuacion!$D:$D,"Visibilidad",Puntuacion!$G:$G,"&lt;&gt;NA")&gt;0,1,0)</f>
        <v/>
      </c>
      <c r="E58">
        <f>IF(AND(D58=1,COUNTIFS(Puntuacion!$A:$A,$A58,Puntuacion!$C:$C,$C58,Puntuacion!$D:$D,"Visibilidad",Puntuacion!$G:$G,"NE")=0),1,0)</f>
        <v/>
      </c>
      <c r="F58" s="5">
        <f>IF(D58=0,"NA",IF(E58=0,"NE",AVERAGEIFS(Puntuacion!$G:$G,Puntuacion!$A:$A,$A58,Puntuacion!$C:$C,$C58,Puntuacion!$D:$D,"Visibilidad",Puntuacion!$G:$G,"&lt;&gt;NA",Puntuacion!$G:$G,"&lt;&gt;NE")))</f>
        <v/>
      </c>
      <c r="G58">
        <f>IF(COUNTIFS(Puntuacion!$A:$A,$A58,Puntuacion!$C:$C,$C58,Puntuacion!$D:$D,"Asignacion",Puntuacion!$G:$G,"&lt;&gt;NA")&gt;0,1,0)</f>
        <v/>
      </c>
      <c r="H58">
        <f>IF(AND(G58=1,COUNTIFS(Puntuacion!$A:$A,$A58,Puntuacion!$C:$C,$C58,Puntuacion!$D:$D,"Asignacion",Puntuacion!$G:$G,"NE")=0),1,0)</f>
        <v/>
      </c>
      <c r="I58" s="5">
        <f>IF(G58=0,"NA",IF(H58=0,"NE",AVERAGEIFS(Puntuacion!$G:$G,Puntuacion!$A:$A,$A58,Puntuacion!$C:$C,$C58,Puntuacion!$D:$D,"Asignacion",Puntuacion!$G:$G,"&lt;&gt;NA",Puntuacion!$G:$G,"&lt;&gt;NE")))</f>
        <v/>
      </c>
      <c r="J58">
        <f>IF(COUNTIFS(Puntuacion!$A:$A,$A58,Puntuacion!$C:$C,$C58,Puntuacion!$D:$D,"Optimizacion",Puntuacion!$G:$G,"&lt;&gt;NA")&gt;0,1,0)</f>
        <v/>
      </c>
      <c r="K58">
        <f>IF(AND(J58=1,COUNTIFS(Puntuacion!$A:$A,$A58,Puntuacion!$C:$C,$C58,Puntuacion!$D:$D,"Optimizacion",Puntuacion!$G:$G,"NE")=0),1,0)</f>
        <v/>
      </c>
      <c r="L58" s="5">
        <f>IF(J58=0,"NA",IF(K58=0,"NE",AVERAGEIFS(Puntuacion!$G:$G,Puntuacion!$A:$A,$A58,Puntuacion!$C:$C,$C58,Puntuacion!$D:$D,"Optimizacion",Puntuacion!$G:$G,"&lt;&gt;NA",Puntuacion!$G:$G,"&lt;&gt;NE")))</f>
        <v/>
      </c>
      <c r="M58">
        <f>IF(COUNTIFS(Puntuacion!$A:$A,$A58,Puntuacion!$C:$C,$C58,Puntuacion!$D:$D,"Automatizacion",Puntuacion!$G:$G,"&lt;&gt;NA")&gt;0,1,0)</f>
        <v/>
      </c>
      <c r="N58">
        <f>IF(AND(M58=1,COUNTIFS(Puntuacion!$A:$A,$A58,Puntuacion!$C:$C,$C58,Puntuacion!$D:$D,"Automatizacion",Puntuacion!$G:$G,"NE")=0),1,0)</f>
        <v/>
      </c>
      <c r="O58" s="5">
        <f>IF(M58=0,"NA",IF(N58=0,"NE",AVERAGEIFS(Puntuacion!$G:$G,Puntuacion!$A:$A,$A58,Puntuacion!$C:$C,$C58,Puntuacion!$D:$D,"Automatizacion",Puntuacion!$G:$G,"&lt;&gt;NA",Puntuacion!$G:$G,"&lt;&gt;NE")))</f>
        <v/>
      </c>
      <c r="P58">
        <f>IF(COUNTIFS(Puntuacion!$A:$A,$A58,Puntuacion!$C:$C,$C58,Puntuacion!$D:$D,"Multicloud",Puntuacion!$G:$G,"&lt;&gt;NA")&gt;0,1,0)</f>
        <v/>
      </c>
      <c r="Q58">
        <f>IF(AND(P58=1,COUNTIFS(Puntuacion!$A:$A,$A58,Puntuacion!$C:$C,$C58,Puntuacion!$D:$D,"Multicloud",Puntuacion!$G:$G,"NE")=0),1,0)</f>
        <v/>
      </c>
      <c r="R58" s="5">
        <f>IF(P58=0,"NA",IF(Q58=0,"NE",AVERAGEIFS(Puntuacion!$G:$G,Puntuacion!$A:$A,$A58,Puntuacion!$C:$C,$C58,Puntuacion!$D:$D,"Multicloud",Puntuacion!$G:$G,"&lt;&gt;NA",Puntuacion!$G:$G,"&lt;&gt;NE")))</f>
        <v/>
      </c>
      <c r="S58">
        <f>IF(COUNTIFS(Puntuacion!$A:$A,$A58,Puntuacion!$C:$C,$C58,Puntuacion!$D:$D,"Integracion",Puntuacion!$G:$G,"&lt;&gt;NA")&gt;0,1,0)</f>
        <v/>
      </c>
      <c r="T58">
        <f>IF(AND(S58=1,COUNTIFS(Puntuacion!$A:$A,$A58,Puntuacion!$C:$C,$C58,Puntuacion!$D:$D,"Integracion",Puntuacion!$G:$G,"NE")=0),1,0)</f>
        <v/>
      </c>
      <c r="U58" s="5">
        <f>IF(S58=0,"NA",IF(T58=0,"NE",AVERAGEIFS(Puntuacion!$G:$G,Puntuacion!$A:$A,$A58,Puntuacion!$C:$C,$C58,Puntuacion!$D:$D,"Integracion",Puntuacion!$G:$G,"&lt;&gt;NA",Puntuacion!$G:$G,"&lt;&gt;NE")))</f>
        <v/>
      </c>
      <c r="V58">
        <f>IF(COUNTIFS(Puntuacion!$A:$A,$A58,Puntuacion!$C:$C,$C58,Puntuacion!$D:$D,"Adopcion",Puntuacion!$G:$G,"&lt;&gt;NA")&gt;0,1,0)</f>
        <v/>
      </c>
      <c r="W58">
        <f>IF(AND(V58=1,COUNTIFS(Puntuacion!$A:$A,$A58,Puntuacion!$C:$C,$C58,Puntuacion!$D:$D,"Adopcion",Puntuacion!$G:$G,"NE")=0),1,0)</f>
        <v/>
      </c>
      <c r="X58" s="5">
        <f>IF(V58=0,"NA",IF(W58=0,"NE",AVERAGEIFS(Puntuacion!$G:$G,Puntuacion!$A:$A,$A58,Puntuacion!$C:$C,$C58,Puntuacion!$D:$D,"Adopcion",Puntuacion!$G:$G,"&lt;&gt;NA",Puntuacion!$G:$G,"&lt;&gt;NE")))</f>
        <v/>
      </c>
      <c r="Y58">
        <f>IF(COUNTIFS(Puntuacion!$A:$A,$A58,Puntuacion!$C:$C,$C58,Puntuacion!$D:$D,"Precio",Puntuacion!$G:$G,"&lt;&gt;NA")&gt;0,1,0)</f>
        <v/>
      </c>
      <c r="Z58">
        <f>IF(AND(Y58=1,COUNTIFS(Puntuacion!$A:$A,$A58,Puntuacion!$C:$C,$C58,Puntuacion!$D:$D,"Precio",Puntuacion!$G:$G,"NE")=0),1,0)</f>
        <v/>
      </c>
      <c r="AA58" s="5">
        <f>IF(Y58=0,"NA",IF(Z58=0,"NE",AVERAGEIFS(Puntuacion!$G:$G,Puntuacion!$A:$A,$A58,Puntuacion!$C:$C,$C58,Puntuacion!$D:$D,"Precio",Puntuacion!$G:$G,"&lt;&gt;NA",Puntuacion!$G:$G,"&lt;&gt;NE")))</f>
        <v/>
      </c>
      <c r="AB58">
        <f>IF(COUNTIFS(Puntuacion!$A:$A,$A58,Puntuacion!$C:$C,$C58,Puntuacion!$D:$D,"Dependencia",Puntuacion!$G:$G,"&lt;&gt;NA")&gt;0,1,0)</f>
        <v/>
      </c>
      <c r="AC58">
        <f>IF(AND(AB58=1,COUNTIFS(Puntuacion!$A:$A,$A58,Puntuacion!$C:$C,$C58,Puntuacion!$D:$D,"Dependencia",Puntuacion!$G:$G,"NE")=0),1,0)</f>
        <v/>
      </c>
      <c r="AD58" s="5">
        <f>IF(AB58=0,"NA",IF(AC58=0,"NE",AVERAGEIFS(Puntuacion!$G:$G,Puntuacion!$A:$A,$A58,Puntuacion!$C:$C,$C58,Puntuacion!$D:$D,"Dependencia",Puntuacion!$G:$G,"&lt;&gt;NA",Puntuacion!$G:$G,"&lt;&gt;NE")))</f>
        <v/>
      </c>
      <c r="AE58" s="5">
        <f>IFERROR(100*(E58*Pesos!$B$2+H58*Pesos!$B$3+K58*Pesos!$B$4+N58*Pesos!$B$5+Q58*Pesos!$B$6+T58*Pesos!$B$7+W58*Pesos!$B$8+Z58*Pesos!$B$9+AC58*Pesos!$B$10)/(D58*Pesos!$B$2+G58*Pesos!$B$3+J58*Pesos!$B$4+M58*Pesos!$B$5+P58*Pesos!$B$6+S58*Pesos!$B$7+V58*Pesos!$B$8+Y58*Pesos!$B$9+AB58*Pesos!$B$10),"Sin criterios aplicables")</f>
        <v/>
      </c>
      <c r="AF58" s="5">
        <f>IFERROR(100*(E58*Pesos!$C$2+H58*Pesos!$C$3+K58*Pesos!$C$4+N58*Pesos!$C$5+Q58*Pesos!$C$6+T58*Pesos!$C$7+W58*Pesos!$C$8+Z58*Pesos!$C$9+AC58*Pesos!$C$10)/(D58*Pesos!$C$2+G58*Pesos!$C$3+J58*Pesos!$C$4+M58*Pesos!$C$5+P58*Pesos!$C$6+S58*Pesos!$C$7+V58*Pesos!$C$8+Y58*Pesos!$C$9+AB58*Pesos!$C$10),"Sin criterios aplicables")</f>
        <v/>
      </c>
      <c r="AG58" s="5">
        <f>IF(OR(AE58="Sin criterios aplicables",AE58&lt;70),"Insufficient evidence",100*(Pesos!$B$2*IF(E58=1,F58,0)+Pesos!$B$3*IF(H58=1,I58,0)+Pesos!$B$4*IF(K58=1,L58,0)+Pesos!$B$5*IF(N58=1,O58,0)+Pesos!$B$6*IF(Q58=1,R58,0)+Pesos!$B$7*IF(T58=1,U58,0)+Pesos!$B$8*IF(W58=1,X58,0)+Pesos!$B$9*IF(Z58=1,AA58,0)+Pesos!$B$10*IF(AC58=1,AD58,0))/(3*(Pesos!$B$2*E58+Pesos!$B$3*H58+Pesos!$B$4*K58+Pesos!$B$5*N58+Pesos!$B$6*Q58+Pesos!$B$7*T58+Pesos!$B$8*W58+Pesos!$B$9*Z58+Pesos!$B$10*AC58)))</f>
        <v/>
      </c>
      <c r="AH58" s="5">
        <f>IF(OR(AF58="Sin criterios aplicables",AF58&lt;70),"Insufficient evidence",100*(Pesos!$C$2*IF(E58=1,F58,0)+Pesos!$C$3*IF(H58=1,I58,0)+Pesos!$C$4*IF(K58=1,L58,0)+Pesos!$C$5*IF(N58=1,O58,0)+Pesos!$C$6*IF(Q58=1,R58,0)+Pesos!$C$7*IF(T58=1,U58,0)+Pesos!$C$8*IF(W58=1,X58,0)+Pesos!$C$9*IF(Z58=1,AA58,0)+Pesos!$C$10*IF(AC58=1,AD58,0))/(3*(Pesos!$C$2*E58+Pesos!$C$3*H58+Pesos!$C$4*K58+Pesos!$C$5*N58+Pesos!$C$6*Q58+Pesos!$C$7*T58+Pesos!$C$8*W58+Pesos!$C$9*Z58+Pesos!$C$10*AC58)))</f>
        <v/>
      </c>
      <c r="AI58">
        <f>IF(AG58="Insufficient evidence","Insufficient evidence (cobertura&lt;70%)",IF(AG58&lt;50/3,"Insufficient",IF(AG58&lt;50,"Basic",IF(AG58&lt;250/3,"Solid","Advanced"))))</f>
        <v/>
      </c>
      <c r="AJ58">
        <f>IF(AH58="Insufficient evidence","Insufficient evidence (cobertura&lt;70%)",IF(AH58&lt;50/3,"Insufficient",IF(AH58&lt;50,"Basic",IF(AH58&lt;250/3,"Solid","Advanced"))))</f>
        <v/>
      </c>
      <c r="AK58">
        <f>IF(TRIM(IF(AND(ISNUMBER(F58),F58&lt;1),"Visibilidad","") &amp; " " &amp; IF(AND(ISNUMBER(U58),U58&lt;1),"Integración",""))="","Ninguno",TRIM(IF(AND(ISNUMBER(F58),F58&lt;1),"Visibilidad","") &amp; " " &amp; IF(AND(ISNUMBER(U58),U58&lt;1),"Integración","")))</f>
        <v/>
      </c>
    </row>
    <row r="59">
      <c r="A59" t="inlineStr">
        <is>
          <t>E6</t>
        </is>
      </c>
      <c r="B59" t="inlineStr">
        <is>
          <t>Multicloud</t>
        </is>
      </c>
      <c r="C59" t="inlineStr">
        <is>
          <t>Finout</t>
        </is>
      </c>
      <c r="D59">
        <f>IF(COUNTIFS(Puntuacion!$A:$A,$A59,Puntuacion!$C:$C,$C59,Puntuacion!$D:$D,"Visibilidad",Puntuacion!$G:$G,"&lt;&gt;NA")&gt;0,1,0)</f>
        <v/>
      </c>
      <c r="E59">
        <f>IF(AND(D59=1,COUNTIFS(Puntuacion!$A:$A,$A59,Puntuacion!$C:$C,$C59,Puntuacion!$D:$D,"Visibilidad",Puntuacion!$G:$G,"NE")=0),1,0)</f>
        <v/>
      </c>
      <c r="F59" s="5">
        <f>IF(D59=0,"NA",IF(E59=0,"NE",AVERAGEIFS(Puntuacion!$G:$G,Puntuacion!$A:$A,$A59,Puntuacion!$C:$C,$C59,Puntuacion!$D:$D,"Visibilidad",Puntuacion!$G:$G,"&lt;&gt;NA",Puntuacion!$G:$G,"&lt;&gt;NE")))</f>
        <v/>
      </c>
      <c r="G59">
        <f>IF(COUNTIFS(Puntuacion!$A:$A,$A59,Puntuacion!$C:$C,$C59,Puntuacion!$D:$D,"Asignacion",Puntuacion!$G:$G,"&lt;&gt;NA")&gt;0,1,0)</f>
        <v/>
      </c>
      <c r="H59">
        <f>IF(AND(G59=1,COUNTIFS(Puntuacion!$A:$A,$A59,Puntuacion!$C:$C,$C59,Puntuacion!$D:$D,"Asignacion",Puntuacion!$G:$G,"NE")=0),1,0)</f>
        <v/>
      </c>
      <c r="I59" s="5">
        <f>IF(G59=0,"NA",IF(H59=0,"NE",AVERAGEIFS(Puntuacion!$G:$G,Puntuacion!$A:$A,$A59,Puntuacion!$C:$C,$C59,Puntuacion!$D:$D,"Asignacion",Puntuacion!$G:$G,"&lt;&gt;NA",Puntuacion!$G:$G,"&lt;&gt;NE")))</f>
        <v/>
      </c>
      <c r="J59">
        <f>IF(COUNTIFS(Puntuacion!$A:$A,$A59,Puntuacion!$C:$C,$C59,Puntuacion!$D:$D,"Optimizacion",Puntuacion!$G:$G,"&lt;&gt;NA")&gt;0,1,0)</f>
        <v/>
      </c>
      <c r="K59">
        <f>IF(AND(J59=1,COUNTIFS(Puntuacion!$A:$A,$A59,Puntuacion!$C:$C,$C59,Puntuacion!$D:$D,"Optimizacion",Puntuacion!$G:$G,"NE")=0),1,0)</f>
        <v/>
      </c>
      <c r="L59" s="5">
        <f>IF(J59=0,"NA",IF(K59=0,"NE",AVERAGEIFS(Puntuacion!$G:$G,Puntuacion!$A:$A,$A59,Puntuacion!$C:$C,$C59,Puntuacion!$D:$D,"Optimizacion",Puntuacion!$G:$G,"&lt;&gt;NA",Puntuacion!$G:$G,"&lt;&gt;NE")))</f>
        <v/>
      </c>
      <c r="M59">
        <f>IF(COUNTIFS(Puntuacion!$A:$A,$A59,Puntuacion!$C:$C,$C59,Puntuacion!$D:$D,"Automatizacion",Puntuacion!$G:$G,"&lt;&gt;NA")&gt;0,1,0)</f>
        <v/>
      </c>
      <c r="N59">
        <f>IF(AND(M59=1,COUNTIFS(Puntuacion!$A:$A,$A59,Puntuacion!$C:$C,$C59,Puntuacion!$D:$D,"Automatizacion",Puntuacion!$G:$G,"NE")=0),1,0)</f>
        <v/>
      </c>
      <c r="O59" s="5">
        <f>IF(M59=0,"NA",IF(N59=0,"NE",AVERAGEIFS(Puntuacion!$G:$G,Puntuacion!$A:$A,$A59,Puntuacion!$C:$C,$C59,Puntuacion!$D:$D,"Automatizacion",Puntuacion!$G:$G,"&lt;&gt;NA",Puntuacion!$G:$G,"&lt;&gt;NE")))</f>
        <v/>
      </c>
      <c r="P59">
        <f>IF(COUNTIFS(Puntuacion!$A:$A,$A59,Puntuacion!$C:$C,$C59,Puntuacion!$D:$D,"Multicloud",Puntuacion!$G:$G,"&lt;&gt;NA")&gt;0,1,0)</f>
        <v/>
      </c>
      <c r="Q59">
        <f>IF(AND(P59=1,COUNTIFS(Puntuacion!$A:$A,$A59,Puntuacion!$C:$C,$C59,Puntuacion!$D:$D,"Multicloud",Puntuacion!$G:$G,"NE")=0),1,0)</f>
        <v/>
      </c>
      <c r="R59" s="5">
        <f>IF(P59=0,"NA",IF(Q59=0,"NE",AVERAGEIFS(Puntuacion!$G:$G,Puntuacion!$A:$A,$A59,Puntuacion!$C:$C,$C59,Puntuacion!$D:$D,"Multicloud",Puntuacion!$G:$G,"&lt;&gt;NA",Puntuacion!$G:$G,"&lt;&gt;NE")))</f>
        <v/>
      </c>
      <c r="S59">
        <f>IF(COUNTIFS(Puntuacion!$A:$A,$A59,Puntuacion!$C:$C,$C59,Puntuacion!$D:$D,"Integracion",Puntuacion!$G:$G,"&lt;&gt;NA")&gt;0,1,0)</f>
        <v/>
      </c>
      <c r="T59">
        <f>IF(AND(S59=1,COUNTIFS(Puntuacion!$A:$A,$A59,Puntuacion!$C:$C,$C59,Puntuacion!$D:$D,"Integracion",Puntuacion!$G:$G,"NE")=0),1,0)</f>
        <v/>
      </c>
      <c r="U59" s="5">
        <f>IF(S59=0,"NA",IF(T59=0,"NE",AVERAGEIFS(Puntuacion!$G:$G,Puntuacion!$A:$A,$A59,Puntuacion!$C:$C,$C59,Puntuacion!$D:$D,"Integracion",Puntuacion!$G:$G,"&lt;&gt;NA",Puntuacion!$G:$G,"&lt;&gt;NE")))</f>
        <v/>
      </c>
      <c r="V59">
        <f>IF(COUNTIFS(Puntuacion!$A:$A,$A59,Puntuacion!$C:$C,$C59,Puntuacion!$D:$D,"Adopcion",Puntuacion!$G:$G,"&lt;&gt;NA")&gt;0,1,0)</f>
        <v/>
      </c>
      <c r="W59">
        <f>IF(AND(V59=1,COUNTIFS(Puntuacion!$A:$A,$A59,Puntuacion!$C:$C,$C59,Puntuacion!$D:$D,"Adopcion",Puntuacion!$G:$G,"NE")=0),1,0)</f>
        <v/>
      </c>
      <c r="X59" s="5">
        <f>IF(V59=0,"NA",IF(W59=0,"NE",AVERAGEIFS(Puntuacion!$G:$G,Puntuacion!$A:$A,$A59,Puntuacion!$C:$C,$C59,Puntuacion!$D:$D,"Adopcion",Puntuacion!$G:$G,"&lt;&gt;NA",Puntuacion!$G:$G,"&lt;&gt;NE")))</f>
        <v/>
      </c>
      <c r="Y59">
        <f>IF(COUNTIFS(Puntuacion!$A:$A,$A59,Puntuacion!$C:$C,$C59,Puntuacion!$D:$D,"Precio",Puntuacion!$G:$G,"&lt;&gt;NA")&gt;0,1,0)</f>
        <v/>
      </c>
      <c r="Z59">
        <f>IF(AND(Y59=1,COUNTIFS(Puntuacion!$A:$A,$A59,Puntuacion!$C:$C,$C59,Puntuacion!$D:$D,"Precio",Puntuacion!$G:$G,"NE")=0),1,0)</f>
        <v/>
      </c>
      <c r="AA59" s="5">
        <f>IF(Y59=0,"NA",IF(Z59=0,"NE",AVERAGEIFS(Puntuacion!$G:$G,Puntuacion!$A:$A,$A59,Puntuacion!$C:$C,$C59,Puntuacion!$D:$D,"Precio",Puntuacion!$G:$G,"&lt;&gt;NA",Puntuacion!$G:$G,"&lt;&gt;NE")))</f>
        <v/>
      </c>
      <c r="AB59">
        <f>IF(COUNTIFS(Puntuacion!$A:$A,$A59,Puntuacion!$C:$C,$C59,Puntuacion!$D:$D,"Dependencia",Puntuacion!$G:$G,"&lt;&gt;NA")&gt;0,1,0)</f>
        <v/>
      </c>
      <c r="AC59">
        <f>IF(AND(AB59=1,COUNTIFS(Puntuacion!$A:$A,$A59,Puntuacion!$C:$C,$C59,Puntuacion!$D:$D,"Dependencia",Puntuacion!$G:$G,"NE")=0),1,0)</f>
        <v/>
      </c>
      <c r="AD59" s="5">
        <f>IF(AB59=0,"NA",IF(AC59=0,"NE",AVERAGEIFS(Puntuacion!$G:$G,Puntuacion!$A:$A,$A59,Puntuacion!$C:$C,$C59,Puntuacion!$D:$D,"Dependencia",Puntuacion!$G:$G,"&lt;&gt;NA",Puntuacion!$G:$G,"&lt;&gt;NE")))</f>
        <v/>
      </c>
      <c r="AE59" s="5">
        <f>IFERROR(100*(E59*Pesos!$B$2+H59*Pesos!$B$3+K59*Pesos!$B$4+N59*Pesos!$B$5+Q59*Pesos!$B$6+T59*Pesos!$B$7+W59*Pesos!$B$8+Z59*Pesos!$B$9+AC59*Pesos!$B$10)/(D59*Pesos!$B$2+G59*Pesos!$B$3+J59*Pesos!$B$4+M59*Pesos!$B$5+P59*Pesos!$B$6+S59*Pesos!$B$7+V59*Pesos!$B$8+Y59*Pesos!$B$9+AB59*Pesos!$B$10),"Sin criterios aplicables")</f>
        <v/>
      </c>
      <c r="AF59" s="5">
        <f>IFERROR(100*(E59*Pesos!$C$2+H59*Pesos!$C$3+K59*Pesos!$C$4+N59*Pesos!$C$5+Q59*Pesos!$C$6+T59*Pesos!$C$7+W59*Pesos!$C$8+Z59*Pesos!$C$9+AC59*Pesos!$C$10)/(D59*Pesos!$C$2+G59*Pesos!$C$3+J59*Pesos!$C$4+M59*Pesos!$C$5+P59*Pesos!$C$6+S59*Pesos!$C$7+V59*Pesos!$C$8+Y59*Pesos!$C$9+AB59*Pesos!$C$10),"Sin criterios aplicables")</f>
        <v/>
      </c>
      <c r="AG59" s="5">
        <f>IF(OR(AE59="Sin criterios aplicables",AE59&lt;70),"Insufficient evidence",100*(Pesos!$B$2*IF(E59=1,F59,0)+Pesos!$B$3*IF(H59=1,I59,0)+Pesos!$B$4*IF(K59=1,L59,0)+Pesos!$B$5*IF(N59=1,O59,0)+Pesos!$B$6*IF(Q59=1,R59,0)+Pesos!$B$7*IF(T59=1,U59,0)+Pesos!$B$8*IF(W59=1,X59,0)+Pesos!$B$9*IF(Z59=1,AA59,0)+Pesos!$B$10*IF(AC59=1,AD59,0))/(3*(Pesos!$B$2*E59+Pesos!$B$3*H59+Pesos!$B$4*K59+Pesos!$B$5*N59+Pesos!$B$6*Q59+Pesos!$B$7*T59+Pesos!$B$8*W59+Pesos!$B$9*Z59+Pesos!$B$10*AC59)))</f>
        <v/>
      </c>
      <c r="AH59" s="5">
        <f>IF(OR(AF59="Sin criterios aplicables",AF59&lt;70),"Insufficient evidence",100*(Pesos!$C$2*IF(E59=1,F59,0)+Pesos!$C$3*IF(H59=1,I59,0)+Pesos!$C$4*IF(K59=1,L59,0)+Pesos!$C$5*IF(N59=1,O59,0)+Pesos!$C$6*IF(Q59=1,R59,0)+Pesos!$C$7*IF(T59=1,U59,0)+Pesos!$C$8*IF(W59=1,X59,0)+Pesos!$C$9*IF(Z59=1,AA59,0)+Pesos!$C$10*IF(AC59=1,AD59,0))/(3*(Pesos!$C$2*E59+Pesos!$C$3*H59+Pesos!$C$4*K59+Pesos!$C$5*N59+Pesos!$C$6*Q59+Pesos!$C$7*T59+Pesos!$C$8*W59+Pesos!$C$9*Z59+Pesos!$C$10*AC59)))</f>
        <v/>
      </c>
      <c r="AI59">
        <f>IF(AG59="Insufficient evidence","Insufficient evidence (cobertura&lt;70%)",IF(AG59&lt;50/3,"Insufficient",IF(AG59&lt;50,"Basic",IF(AG59&lt;250/3,"Solid","Advanced"))))</f>
        <v/>
      </c>
      <c r="AJ59">
        <f>IF(AH59="Insufficient evidence","Insufficient evidence (cobertura&lt;70%)",IF(AH59&lt;50/3,"Insufficient",IF(AH59&lt;50,"Basic",IF(AH59&lt;250/3,"Solid","Advanced"))))</f>
        <v/>
      </c>
      <c r="AK59">
        <f>IF(TRIM(IF(AND(ISNUMBER(F59),F59&lt;1),"Visibilidad","") &amp; " " &amp; IF(AND(ISNUMBER(U59),U59&lt;1),"Integración",""))="","Ninguno",TRIM(IF(AND(ISNUMBER(F59),F59&lt;1),"Visibilidad","") &amp; " " &amp; IF(AND(ISNUMBER(U59),U59&lt;1),"Integración","")))</f>
        <v/>
      </c>
    </row>
    <row r="60">
      <c r="A60" t="inlineStr">
        <is>
          <t>E6</t>
        </is>
      </c>
      <c r="B60" t="inlineStr">
        <is>
          <t>Multicloud</t>
        </is>
      </c>
      <c r="C60" t="inlineStr">
        <is>
          <t>Vantage</t>
        </is>
      </c>
      <c r="D60">
        <f>IF(COUNTIFS(Puntuacion!$A:$A,$A60,Puntuacion!$C:$C,$C60,Puntuacion!$D:$D,"Visibilidad",Puntuacion!$G:$G,"&lt;&gt;NA")&gt;0,1,0)</f>
        <v/>
      </c>
      <c r="E60">
        <f>IF(AND(D60=1,COUNTIFS(Puntuacion!$A:$A,$A60,Puntuacion!$C:$C,$C60,Puntuacion!$D:$D,"Visibilidad",Puntuacion!$G:$G,"NE")=0),1,0)</f>
        <v/>
      </c>
      <c r="F60" s="5">
        <f>IF(D60=0,"NA",IF(E60=0,"NE",AVERAGEIFS(Puntuacion!$G:$G,Puntuacion!$A:$A,$A60,Puntuacion!$C:$C,$C60,Puntuacion!$D:$D,"Visibilidad",Puntuacion!$G:$G,"&lt;&gt;NA",Puntuacion!$G:$G,"&lt;&gt;NE")))</f>
        <v/>
      </c>
      <c r="G60">
        <f>IF(COUNTIFS(Puntuacion!$A:$A,$A60,Puntuacion!$C:$C,$C60,Puntuacion!$D:$D,"Asignacion",Puntuacion!$G:$G,"&lt;&gt;NA")&gt;0,1,0)</f>
        <v/>
      </c>
      <c r="H60">
        <f>IF(AND(G60=1,COUNTIFS(Puntuacion!$A:$A,$A60,Puntuacion!$C:$C,$C60,Puntuacion!$D:$D,"Asignacion",Puntuacion!$G:$G,"NE")=0),1,0)</f>
        <v/>
      </c>
      <c r="I60" s="5">
        <f>IF(G60=0,"NA",IF(H60=0,"NE",AVERAGEIFS(Puntuacion!$G:$G,Puntuacion!$A:$A,$A60,Puntuacion!$C:$C,$C60,Puntuacion!$D:$D,"Asignacion",Puntuacion!$G:$G,"&lt;&gt;NA",Puntuacion!$G:$G,"&lt;&gt;NE")))</f>
        <v/>
      </c>
      <c r="J60">
        <f>IF(COUNTIFS(Puntuacion!$A:$A,$A60,Puntuacion!$C:$C,$C60,Puntuacion!$D:$D,"Optimizacion",Puntuacion!$G:$G,"&lt;&gt;NA")&gt;0,1,0)</f>
        <v/>
      </c>
      <c r="K60">
        <f>IF(AND(J60=1,COUNTIFS(Puntuacion!$A:$A,$A60,Puntuacion!$C:$C,$C60,Puntuacion!$D:$D,"Optimizacion",Puntuacion!$G:$G,"NE")=0),1,0)</f>
        <v/>
      </c>
      <c r="L60" s="5">
        <f>IF(J60=0,"NA",IF(K60=0,"NE",AVERAGEIFS(Puntuacion!$G:$G,Puntuacion!$A:$A,$A60,Puntuacion!$C:$C,$C60,Puntuacion!$D:$D,"Optimizacion",Puntuacion!$G:$G,"&lt;&gt;NA",Puntuacion!$G:$G,"&lt;&gt;NE")))</f>
        <v/>
      </c>
      <c r="M60">
        <f>IF(COUNTIFS(Puntuacion!$A:$A,$A60,Puntuacion!$C:$C,$C60,Puntuacion!$D:$D,"Automatizacion",Puntuacion!$G:$G,"&lt;&gt;NA")&gt;0,1,0)</f>
        <v/>
      </c>
      <c r="N60">
        <f>IF(AND(M60=1,COUNTIFS(Puntuacion!$A:$A,$A60,Puntuacion!$C:$C,$C60,Puntuacion!$D:$D,"Automatizacion",Puntuacion!$G:$G,"NE")=0),1,0)</f>
        <v/>
      </c>
      <c r="O60" s="5">
        <f>IF(M60=0,"NA",IF(N60=0,"NE",AVERAGEIFS(Puntuacion!$G:$G,Puntuacion!$A:$A,$A60,Puntuacion!$C:$C,$C60,Puntuacion!$D:$D,"Automatizacion",Puntuacion!$G:$G,"&lt;&gt;NA",Puntuacion!$G:$G,"&lt;&gt;NE")))</f>
        <v/>
      </c>
      <c r="P60">
        <f>IF(COUNTIFS(Puntuacion!$A:$A,$A60,Puntuacion!$C:$C,$C60,Puntuacion!$D:$D,"Multicloud",Puntuacion!$G:$G,"&lt;&gt;NA")&gt;0,1,0)</f>
        <v/>
      </c>
      <c r="Q60">
        <f>IF(AND(P60=1,COUNTIFS(Puntuacion!$A:$A,$A60,Puntuacion!$C:$C,$C60,Puntuacion!$D:$D,"Multicloud",Puntuacion!$G:$G,"NE")=0),1,0)</f>
        <v/>
      </c>
      <c r="R60" s="5">
        <f>IF(P60=0,"NA",IF(Q60=0,"NE",AVERAGEIFS(Puntuacion!$G:$G,Puntuacion!$A:$A,$A60,Puntuacion!$C:$C,$C60,Puntuacion!$D:$D,"Multicloud",Puntuacion!$G:$G,"&lt;&gt;NA",Puntuacion!$G:$G,"&lt;&gt;NE")))</f>
        <v/>
      </c>
      <c r="S60">
        <f>IF(COUNTIFS(Puntuacion!$A:$A,$A60,Puntuacion!$C:$C,$C60,Puntuacion!$D:$D,"Integracion",Puntuacion!$G:$G,"&lt;&gt;NA")&gt;0,1,0)</f>
        <v/>
      </c>
      <c r="T60">
        <f>IF(AND(S60=1,COUNTIFS(Puntuacion!$A:$A,$A60,Puntuacion!$C:$C,$C60,Puntuacion!$D:$D,"Integracion",Puntuacion!$G:$G,"NE")=0),1,0)</f>
        <v/>
      </c>
      <c r="U60" s="5">
        <f>IF(S60=0,"NA",IF(T60=0,"NE",AVERAGEIFS(Puntuacion!$G:$G,Puntuacion!$A:$A,$A60,Puntuacion!$C:$C,$C60,Puntuacion!$D:$D,"Integracion",Puntuacion!$G:$G,"&lt;&gt;NA",Puntuacion!$G:$G,"&lt;&gt;NE")))</f>
        <v/>
      </c>
      <c r="V60">
        <f>IF(COUNTIFS(Puntuacion!$A:$A,$A60,Puntuacion!$C:$C,$C60,Puntuacion!$D:$D,"Adopcion",Puntuacion!$G:$G,"&lt;&gt;NA")&gt;0,1,0)</f>
        <v/>
      </c>
      <c r="W60">
        <f>IF(AND(V60=1,COUNTIFS(Puntuacion!$A:$A,$A60,Puntuacion!$C:$C,$C60,Puntuacion!$D:$D,"Adopcion",Puntuacion!$G:$G,"NE")=0),1,0)</f>
        <v/>
      </c>
      <c r="X60" s="5">
        <f>IF(V60=0,"NA",IF(W60=0,"NE",AVERAGEIFS(Puntuacion!$G:$G,Puntuacion!$A:$A,$A60,Puntuacion!$C:$C,$C60,Puntuacion!$D:$D,"Adopcion",Puntuacion!$G:$G,"&lt;&gt;NA",Puntuacion!$G:$G,"&lt;&gt;NE")))</f>
        <v/>
      </c>
      <c r="Y60">
        <f>IF(COUNTIFS(Puntuacion!$A:$A,$A60,Puntuacion!$C:$C,$C60,Puntuacion!$D:$D,"Precio",Puntuacion!$G:$G,"&lt;&gt;NA")&gt;0,1,0)</f>
        <v/>
      </c>
      <c r="Z60">
        <f>IF(AND(Y60=1,COUNTIFS(Puntuacion!$A:$A,$A60,Puntuacion!$C:$C,$C60,Puntuacion!$D:$D,"Precio",Puntuacion!$G:$G,"NE")=0),1,0)</f>
        <v/>
      </c>
      <c r="AA60" s="5">
        <f>IF(Y60=0,"NA",IF(Z60=0,"NE",AVERAGEIFS(Puntuacion!$G:$G,Puntuacion!$A:$A,$A60,Puntuacion!$C:$C,$C60,Puntuacion!$D:$D,"Precio",Puntuacion!$G:$G,"&lt;&gt;NA",Puntuacion!$G:$G,"&lt;&gt;NE")))</f>
        <v/>
      </c>
      <c r="AB60">
        <f>IF(COUNTIFS(Puntuacion!$A:$A,$A60,Puntuacion!$C:$C,$C60,Puntuacion!$D:$D,"Dependencia",Puntuacion!$G:$G,"&lt;&gt;NA")&gt;0,1,0)</f>
        <v/>
      </c>
      <c r="AC60">
        <f>IF(AND(AB60=1,COUNTIFS(Puntuacion!$A:$A,$A60,Puntuacion!$C:$C,$C60,Puntuacion!$D:$D,"Dependencia",Puntuacion!$G:$G,"NE")=0),1,0)</f>
        <v/>
      </c>
      <c r="AD60" s="5">
        <f>IF(AB60=0,"NA",IF(AC60=0,"NE",AVERAGEIFS(Puntuacion!$G:$G,Puntuacion!$A:$A,$A60,Puntuacion!$C:$C,$C60,Puntuacion!$D:$D,"Dependencia",Puntuacion!$G:$G,"&lt;&gt;NA",Puntuacion!$G:$G,"&lt;&gt;NE")))</f>
        <v/>
      </c>
      <c r="AE60" s="5">
        <f>IFERROR(100*(E60*Pesos!$B$2+H60*Pesos!$B$3+K60*Pesos!$B$4+N60*Pesos!$B$5+Q60*Pesos!$B$6+T60*Pesos!$B$7+W60*Pesos!$B$8+Z60*Pesos!$B$9+AC60*Pesos!$B$10)/(D60*Pesos!$B$2+G60*Pesos!$B$3+J60*Pesos!$B$4+M60*Pesos!$B$5+P60*Pesos!$B$6+S60*Pesos!$B$7+V60*Pesos!$B$8+Y60*Pesos!$B$9+AB60*Pesos!$B$10),"Sin criterios aplicables")</f>
        <v/>
      </c>
      <c r="AF60" s="5">
        <f>IFERROR(100*(E60*Pesos!$C$2+H60*Pesos!$C$3+K60*Pesos!$C$4+N60*Pesos!$C$5+Q60*Pesos!$C$6+T60*Pesos!$C$7+W60*Pesos!$C$8+Z60*Pesos!$C$9+AC60*Pesos!$C$10)/(D60*Pesos!$C$2+G60*Pesos!$C$3+J60*Pesos!$C$4+M60*Pesos!$C$5+P60*Pesos!$C$6+S60*Pesos!$C$7+V60*Pesos!$C$8+Y60*Pesos!$C$9+AB60*Pesos!$C$10),"Sin criterios aplicables")</f>
        <v/>
      </c>
      <c r="AG60" s="5">
        <f>IF(OR(AE60="Sin criterios aplicables",AE60&lt;70),"Insufficient evidence",100*(Pesos!$B$2*IF(E60=1,F60,0)+Pesos!$B$3*IF(H60=1,I60,0)+Pesos!$B$4*IF(K60=1,L60,0)+Pesos!$B$5*IF(N60=1,O60,0)+Pesos!$B$6*IF(Q60=1,R60,0)+Pesos!$B$7*IF(T60=1,U60,0)+Pesos!$B$8*IF(W60=1,X60,0)+Pesos!$B$9*IF(Z60=1,AA60,0)+Pesos!$B$10*IF(AC60=1,AD60,0))/(3*(Pesos!$B$2*E60+Pesos!$B$3*H60+Pesos!$B$4*K60+Pesos!$B$5*N60+Pesos!$B$6*Q60+Pesos!$B$7*T60+Pesos!$B$8*W60+Pesos!$B$9*Z60+Pesos!$B$10*AC60)))</f>
        <v/>
      </c>
      <c r="AH60" s="5">
        <f>IF(OR(AF60="Sin criterios aplicables",AF60&lt;70),"Insufficient evidence",100*(Pesos!$C$2*IF(E60=1,F60,0)+Pesos!$C$3*IF(H60=1,I60,0)+Pesos!$C$4*IF(K60=1,L60,0)+Pesos!$C$5*IF(N60=1,O60,0)+Pesos!$C$6*IF(Q60=1,R60,0)+Pesos!$C$7*IF(T60=1,U60,0)+Pesos!$C$8*IF(W60=1,X60,0)+Pesos!$C$9*IF(Z60=1,AA60,0)+Pesos!$C$10*IF(AC60=1,AD60,0))/(3*(Pesos!$C$2*E60+Pesos!$C$3*H60+Pesos!$C$4*K60+Pesos!$C$5*N60+Pesos!$C$6*Q60+Pesos!$C$7*T60+Pesos!$C$8*W60+Pesos!$C$9*Z60+Pesos!$C$10*AC60)))</f>
        <v/>
      </c>
      <c r="AI60">
        <f>IF(AG60="Insufficient evidence","Insufficient evidence (cobertura&lt;70%)",IF(AG60&lt;50/3,"Insufficient",IF(AG60&lt;50,"Basic",IF(AG60&lt;250/3,"Solid","Advanced"))))</f>
        <v/>
      </c>
      <c r="AJ60">
        <f>IF(AH60="Insufficient evidence","Insufficient evidence (cobertura&lt;70%)",IF(AH60&lt;50/3,"Insufficient",IF(AH60&lt;50,"Basic",IF(AH60&lt;250/3,"Solid","Advanced"))))</f>
        <v/>
      </c>
      <c r="AK60">
        <f>IF(TRIM(IF(AND(ISNUMBER(F60),F60&lt;1),"Visibilidad","") &amp; " " &amp; IF(AND(ISNUMBER(U60),U60&lt;1),"Integración",""))="","Ninguno",TRIM(IF(AND(ISNUMBER(F60),F60&lt;1),"Visibilidad","") &amp; " " &amp; IF(AND(ISNUMBER(U60),U60&lt;1),"Integración","")))</f>
        <v/>
      </c>
    </row>
    <row r="61">
      <c r="A61" t="inlineStr">
        <is>
          <t>E6</t>
        </is>
      </c>
      <c r="B61" t="inlineStr">
        <is>
          <t>Multicloud</t>
        </is>
      </c>
      <c r="C61" t="inlineStr">
        <is>
          <t>nOps</t>
        </is>
      </c>
      <c r="D61">
        <f>IF(COUNTIFS(Puntuacion!$A:$A,$A61,Puntuacion!$C:$C,$C61,Puntuacion!$D:$D,"Visibilidad",Puntuacion!$G:$G,"&lt;&gt;NA")&gt;0,1,0)</f>
        <v/>
      </c>
      <c r="E61">
        <f>IF(AND(D61=1,COUNTIFS(Puntuacion!$A:$A,$A61,Puntuacion!$C:$C,$C61,Puntuacion!$D:$D,"Visibilidad",Puntuacion!$G:$G,"NE")=0),1,0)</f>
        <v/>
      </c>
      <c r="F61" s="5">
        <f>IF(D61=0,"NA",IF(E61=0,"NE",AVERAGEIFS(Puntuacion!$G:$G,Puntuacion!$A:$A,$A61,Puntuacion!$C:$C,$C61,Puntuacion!$D:$D,"Visibilidad",Puntuacion!$G:$G,"&lt;&gt;NA",Puntuacion!$G:$G,"&lt;&gt;NE")))</f>
        <v/>
      </c>
      <c r="G61">
        <f>IF(COUNTIFS(Puntuacion!$A:$A,$A61,Puntuacion!$C:$C,$C61,Puntuacion!$D:$D,"Asignacion",Puntuacion!$G:$G,"&lt;&gt;NA")&gt;0,1,0)</f>
        <v/>
      </c>
      <c r="H61">
        <f>IF(AND(G61=1,COUNTIFS(Puntuacion!$A:$A,$A61,Puntuacion!$C:$C,$C61,Puntuacion!$D:$D,"Asignacion",Puntuacion!$G:$G,"NE")=0),1,0)</f>
        <v/>
      </c>
      <c r="I61" s="5">
        <f>IF(G61=0,"NA",IF(H61=0,"NE",AVERAGEIFS(Puntuacion!$G:$G,Puntuacion!$A:$A,$A61,Puntuacion!$C:$C,$C61,Puntuacion!$D:$D,"Asignacion",Puntuacion!$G:$G,"&lt;&gt;NA",Puntuacion!$G:$G,"&lt;&gt;NE")))</f>
        <v/>
      </c>
      <c r="J61">
        <f>IF(COUNTIFS(Puntuacion!$A:$A,$A61,Puntuacion!$C:$C,$C61,Puntuacion!$D:$D,"Optimizacion",Puntuacion!$G:$G,"&lt;&gt;NA")&gt;0,1,0)</f>
        <v/>
      </c>
      <c r="K61">
        <f>IF(AND(J61=1,COUNTIFS(Puntuacion!$A:$A,$A61,Puntuacion!$C:$C,$C61,Puntuacion!$D:$D,"Optimizacion",Puntuacion!$G:$G,"NE")=0),1,0)</f>
        <v/>
      </c>
      <c r="L61" s="5">
        <f>IF(J61=0,"NA",IF(K61=0,"NE",AVERAGEIFS(Puntuacion!$G:$G,Puntuacion!$A:$A,$A61,Puntuacion!$C:$C,$C61,Puntuacion!$D:$D,"Optimizacion",Puntuacion!$G:$G,"&lt;&gt;NA",Puntuacion!$G:$G,"&lt;&gt;NE")))</f>
        <v/>
      </c>
      <c r="M61">
        <f>IF(COUNTIFS(Puntuacion!$A:$A,$A61,Puntuacion!$C:$C,$C61,Puntuacion!$D:$D,"Automatizacion",Puntuacion!$G:$G,"&lt;&gt;NA")&gt;0,1,0)</f>
        <v/>
      </c>
      <c r="N61">
        <f>IF(AND(M61=1,COUNTIFS(Puntuacion!$A:$A,$A61,Puntuacion!$C:$C,$C61,Puntuacion!$D:$D,"Automatizacion",Puntuacion!$G:$G,"NE")=0),1,0)</f>
        <v/>
      </c>
      <c r="O61" s="5">
        <f>IF(M61=0,"NA",IF(N61=0,"NE",AVERAGEIFS(Puntuacion!$G:$G,Puntuacion!$A:$A,$A61,Puntuacion!$C:$C,$C61,Puntuacion!$D:$D,"Automatizacion",Puntuacion!$G:$G,"&lt;&gt;NA",Puntuacion!$G:$G,"&lt;&gt;NE")))</f>
        <v/>
      </c>
      <c r="P61">
        <f>IF(COUNTIFS(Puntuacion!$A:$A,$A61,Puntuacion!$C:$C,$C61,Puntuacion!$D:$D,"Multicloud",Puntuacion!$G:$G,"&lt;&gt;NA")&gt;0,1,0)</f>
        <v/>
      </c>
      <c r="Q61">
        <f>IF(AND(P61=1,COUNTIFS(Puntuacion!$A:$A,$A61,Puntuacion!$C:$C,$C61,Puntuacion!$D:$D,"Multicloud",Puntuacion!$G:$G,"NE")=0),1,0)</f>
        <v/>
      </c>
      <c r="R61" s="5">
        <f>IF(P61=0,"NA",IF(Q61=0,"NE",AVERAGEIFS(Puntuacion!$G:$G,Puntuacion!$A:$A,$A61,Puntuacion!$C:$C,$C61,Puntuacion!$D:$D,"Multicloud",Puntuacion!$G:$G,"&lt;&gt;NA",Puntuacion!$G:$G,"&lt;&gt;NE")))</f>
        <v/>
      </c>
      <c r="S61">
        <f>IF(COUNTIFS(Puntuacion!$A:$A,$A61,Puntuacion!$C:$C,$C61,Puntuacion!$D:$D,"Integracion",Puntuacion!$G:$G,"&lt;&gt;NA")&gt;0,1,0)</f>
        <v/>
      </c>
      <c r="T61">
        <f>IF(AND(S61=1,COUNTIFS(Puntuacion!$A:$A,$A61,Puntuacion!$C:$C,$C61,Puntuacion!$D:$D,"Integracion",Puntuacion!$G:$G,"NE")=0),1,0)</f>
        <v/>
      </c>
      <c r="U61" s="5">
        <f>IF(S61=0,"NA",IF(T61=0,"NE",AVERAGEIFS(Puntuacion!$G:$G,Puntuacion!$A:$A,$A61,Puntuacion!$C:$C,$C61,Puntuacion!$D:$D,"Integracion",Puntuacion!$G:$G,"&lt;&gt;NA",Puntuacion!$G:$G,"&lt;&gt;NE")))</f>
        <v/>
      </c>
      <c r="V61">
        <f>IF(COUNTIFS(Puntuacion!$A:$A,$A61,Puntuacion!$C:$C,$C61,Puntuacion!$D:$D,"Adopcion",Puntuacion!$G:$G,"&lt;&gt;NA")&gt;0,1,0)</f>
        <v/>
      </c>
      <c r="W61">
        <f>IF(AND(V61=1,COUNTIFS(Puntuacion!$A:$A,$A61,Puntuacion!$C:$C,$C61,Puntuacion!$D:$D,"Adopcion",Puntuacion!$G:$G,"NE")=0),1,0)</f>
        <v/>
      </c>
      <c r="X61" s="5">
        <f>IF(V61=0,"NA",IF(W61=0,"NE",AVERAGEIFS(Puntuacion!$G:$G,Puntuacion!$A:$A,$A61,Puntuacion!$C:$C,$C61,Puntuacion!$D:$D,"Adopcion",Puntuacion!$G:$G,"&lt;&gt;NA",Puntuacion!$G:$G,"&lt;&gt;NE")))</f>
        <v/>
      </c>
      <c r="Y61">
        <f>IF(COUNTIFS(Puntuacion!$A:$A,$A61,Puntuacion!$C:$C,$C61,Puntuacion!$D:$D,"Precio",Puntuacion!$G:$G,"&lt;&gt;NA")&gt;0,1,0)</f>
        <v/>
      </c>
      <c r="Z61">
        <f>IF(AND(Y61=1,COUNTIFS(Puntuacion!$A:$A,$A61,Puntuacion!$C:$C,$C61,Puntuacion!$D:$D,"Precio",Puntuacion!$G:$G,"NE")=0),1,0)</f>
        <v/>
      </c>
      <c r="AA61" s="5">
        <f>IF(Y61=0,"NA",IF(Z61=0,"NE",AVERAGEIFS(Puntuacion!$G:$G,Puntuacion!$A:$A,$A61,Puntuacion!$C:$C,$C61,Puntuacion!$D:$D,"Precio",Puntuacion!$G:$G,"&lt;&gt;NA",Puntuacion!$G:$G,"&lt;&gt;NE")))</f>
        <v/>
      </c>
      <c r="AB61">
        <f>IF(COUNTIFS(Puntuacion!$A:$A,$A61,Puntuacion!$C:$C,$C61,Puntuacion!$D:$D,"Dependencia",Puntuacion!$G:$G,"&lt;&gt;NA")&gt;0,1,0)</f>
        <v/>
      </c>
      <c r="AC61">
        <f>IF(AND(AB61=1,COUNTIFS(Puntuacion!$A:$A,$A61,Puntuacion!$C:$C,$C61,Puntuacion!$D:$D,"Dependencia",Puntuacion!$G:$G,"NE")=0),1,0)</f>
        <v/>
      </c>
      <c r="AD61" s="5">
        <f>IF(AB61=0,"NA",IF(AC61=0,"NE",AVERAGEIFS(Puntuacion!$G:$G,Puntuacion!$A:$A,$A61,Puntuacion!$C:$C,$C61,Puntuacion!$D:$D,"Dependencia",Puntuacion!$G:$G,"&lt;&gt;NA",Puntuacion!$G:$G,"&lt;&gt;NE")))</f>
        <v/>
      </c>
      <c r="AE61" s="5">
        <f>IFERROR(100*(E61*Pesos!$B$2+H61*Pesos!$B$3+K61*Pesos!$B$4+N61*Pesos!$B$5+Q61*Pesos!$B$6+T61*Pesos!$B$7+W61*Pesos!$B$8+Z61*Pesos!$B$9+AC61*Pesos!$B$10)/(D61*Pesos!$B$2+G61*Pesos!$B$3+J61*Pesos!$B$4+M61*Pesos!$B$5+P61*Pesos!$B$6+S61*Pesos!$B$7+V61*Pesos!$B$8+Y61*Pesos!$B$9+AB61*Pesos!$B$10),"Sin criterios aplicables")</f>
        <v/>
      </c>
      <c r="AF61" s="5">
        <f>IFERROR(100*(E61*Pesos!$C$2+H61*Pesos!$C$3+K61*Pesos!$C$4+N61*Pesos!$C$5+Q61*Pesos!$C$6+T61*Pesos!$C$7+W61*Pesos!$C$8+Z61*Pesos!$C$9+AC61*Pesos!$C$10)/(D61*Pesos!$C$2+G61*Pesos!$C$3+J61*Pesos!$C$4+M61*Pesos!$C$5+P61*Pesos!$C$6+S61*Pesos!$C$7+V61*Pesos!$C$8+Y61*Pesos!$C$9+AB61*Pesos!$C$10),"Sin criterios aplicables")</f>
        <v/>
      </c>
      <c r="AG61" s="5">
        <f>IF(OR(AE61="Sin criterios aplicables",AE61&lt;70),"Insufficient evidence",100*(Pesos!$B$2*IF(E61=1,F61,0)+Pesos!$B$3*IF(H61=1,I61,0)+Pesos!$B$4*IF(K61=1,L61,0)+Pesos!$B$5*IF(N61=1,O61,0)+Pesos!$B$6*IF(Q61=1,R61,0)+Pesos!$B$7*IF(T61=1,U61,0)+Pesos!$B$8*IF(W61=1,X61,0)+Pesos!$B$9*IF(Z61=1,AA61,0)+Pesos!$B$10*IF(AC61=1,AD61,0))/(3*(Pesos!$B$2*E61+Pesos!$B$3*H61+Pesos!$B$4*K61+Pesos!$B$5*N61+Pesos!$B$6*Q61+Pesos!$B$7*T61+Pesos!$B$8*W61+Pesos!$B$9*Z61+Pesos!$B$10*AC61)))</f>
        <v/>
      </c>
      <c r="AH61" s="5">
        <f>IF(OR(AF61="Sin criterios aplicables",AF61&lt;70),"Insufficient evidence",100*(Pesos!$C$2*IF(E61=1,F61,0)+Pesos!$C$3*IF(H61=1,I61,0)+Pesos!$C$4*IF(K61=1,L61,0)+Pesos!$C$5*IF(N61=1,O61,0)+Pesos!$C$6*IF(Q61=1,R61,0)+Pesos!$C$7*IF(T61=1,U61,0)+Pesos!$C$8*IF(W61=1,X61,0)+Pesos!$C$9*IF(Z61=1,AA61,0)+Pesos!$C$10*IF(AC61=1,AD61,0))/(3*(Pesos!$C$2*E61+Pesos!$C$3*H61+Pesos!$C$4*K61+Pesos!$C$5*N61+Pesos!$C$6*Q61+Pesos!$C$7*T61+Pesos!$C$8*W61+Pesos!$C$9*Z61+Pesos!$C$10*AC61)))</f>
        <v/>
      </c>
      <c r="AI61">
        <f>IF(AG61="Insufficient evidence","Insufficient evidence (cobertura&lt;70%)",IF(AG61&lt;50/3,"Insufficient",IF(AG61&lt;50,"Basic",IF(AG61&lt;250/3,"Solid","Advanced"))))</f>
        <v/>
      </c>
      <c r="AJ61">
        <f>IF(AH61="Insufficient evidence","Insufficient evidence (cobertura&lt;70%)",IF(AH61&lt;50/3,"Insufficient",IF(AH61&lt;50,"Basic",IF(AH61&lt;250/3,"Solid","Advanced"))))</f>
        <v/>
      </c>
      <c r="AK61">
        <f>IF(TRIM(IF(AND(ISNUMBER(F61),F61&lt;1),"Visibilidad","") &amp; " " &amp; IF(AND(ISNUMBER(U61),U61&lt;1),"Integración",""))="","Ninguno",TRIM(IF(AND(ISNUMBER(F61),F61&lt;1),"Visibilidad","") &amp; " " &amp; IF(AND(ISNUMBER(U61),U61&lt;1),"Integración","")))</f>
        <v/>
      </c>
    </row>
    <row r="62">
      <c r="A62" t="inlineStr">
        <is>
          <t>VALIDACION</t>
        </is>
      </c>
      <c r="B62" t="inlineStr">
        <is>
          <t>Ejemplo sintético FP-177</t>
        </is>
      </c>
      <c r="C62" t="inlineStr">
        <is>
          <t>Herramienta Aurora (no es un producto real)</t>
        </is>
      </c>
      <c r="D62">
        <f>IF(COUNTIFS(Puntuacion!$A:$A,$A62,Puntuacion!$C:$C,$C62,Puntuacion!$D:$D,"Visibilidad",Puntuacion!$G:$G,"&lt;&gt;NA")&gt;0,1,0)</f>
        <v/>
      </c>
      <c r="E62">
        <f>IF(AND(D62=1,COUNTIFS(Puntuacion!$A:$A,$A62,Puntuacion!$C:$C,$C62,Puntuacion!$D:$D,"Visibilidad",Puntuacion!$G:$G,"NE")=0),1,0)</f>
        <v/>
      </c>
      <c r="F62" s="5">
        <f>IF(D62=0,"NA",IF(E62=0,"NE",AVERAGEIFS(Puntuacion!$G:$G,Puntuacion!$A:$A,$A62,Puntuacion!$C:$C,$C62,Puntuacion!$D:$D,"Visibilidad",Puntuacion!$G:$G,"&lt;&gt;NA",Puntuacion!$G:$G,"&lt;&gt;NE")))</f>
        <v/>
      </c>
      <c r="G62">
        <f>IF(COUNTIFS(Puntuacion!$A:$A,$A62,Puntuacion!$C:$C,$C62,Puntuacion!$D:$D,"Asignacion",Puntuacion!$G:$G,"&lt;&gt;NA")&gt;0,1,0)</f>
        <v/>
      </c>
      <c r="H62">
        <f>IF(AND(G62=1,COUNTIFS(Puntuacion!$A:$A,$A62,Puntuacion!$C:$C,$C62,Puntuacion!$D:$D,"Asignacion",Puntuacion!$G:$G,"NE")=0),1,0)</f>
        <v/>
      </c>
      <c r="I62" s="5">
        <f>IF(G62=0,"NA",IF(H62=0,"NE",AVERAGEIFS(Puntuacion!$G:$G,Puntuacion!$A:$A,$A62,Puntuacion!$C:$C,$C62,Puntuacion!$D:$D,"Asignacion",Puntuacion!$G:$G,"&lt;&gt;NA",Puntuacion!$G:$G,"&lt;&gt;NE")))</f>
        <v/>
      </c>
      <c r="J62">
        <f>IF(COUNTIFS(Puntuacion!$A:$A,$A62,Puntuacion!$C:$C,$C62,Puntuacion!$D:$D,"Optimizacion",Puntuacion!$G:$G,"&lt;&gt;NA")&gt;0,1,0)</f>
        <v/>
      </c>
      <c r="K62">
        <f>IF(AND(J62=1,COUNTIFS(Puntuacion!$A:$A,$A62,Puntuacion!$C:$C,$C62,Puntuacion!$D:$D,"Optimizacion",Puntuacion!$G:$G,"NE")=0),1,0)</f>
        <v/>
      </c>
      <c r="L62" s="5">
        <f>IF(J62=0,"NA",IF(K62=0,"NE",AVERAGEIFS(Puntuacion!$G:$G,Puntuacion!$A:$A,$A62,Puntuacion!$C:$C,$C62,Puntuacion!$D:$D,"Optimizacion",Puntuacion!$G:$G,"&lt;&gt;NA",Puntuacion!$G:$G,"&lt;&gt;NE")))</f>
        <v/>
      </c>
      <c r="M62">
        <f>IF(COUNTIFS(Puntuacion!$A:$A,$A62,Puntuacion!$C:$C,$C62,Puntuacion!$D:$D,"Automatizacion",Puntuacion!$G:$G,"&lt;&gt;NA")&gt;0,1,0)</f>
        <v/>
      </c>
      <c r="N62">
        <f>IF(AND(M62=1,COUNTIFS(Puntuacion!$A:$A,$A62,Puntuacion!$C:$C,$C62,Puntuacion!$D:$D,"Automatizacion",Puntuacion!$G:$G,"NE")=0),1,0)</f>
        <v/>
      </c>
      <c r="O62" s="5">
        <f>IF(M62=0,"NA",IF(N62=0,"NE",AVERAGEIFS(Puntuacion!$G:$G,Puntuacion!$A:$A,$A62,Puntuacion!$C:$C,$C62,Puntuacion!$D:$D,"Automatizacion",Puntuacion!$G:$G,"&lt;&gt;NA",Puntuacion!$G:$G,"&lt;&gt;NE")))</f>
        <v/>
      </c>
      <c r="P62">
        <f>IF(COUNTIFS(Puntuacion!$A:$A,$A62,Puntuacion!$C:$C,$C62,Puntuacion!$D:$D,"Multicloud",Puntuacion!$G:$G,"&lt;&gt;NA")&gt;0,1,0)</f>
        <v/>
      </c>
      <c r="Q62">
        <f>IF(AND(P62=1,COUNTIFS(Puntuacion!$A:$A,$A62,Puntuacion!$C:$C,$C62,Puntuacion!$D:$D,"Multicloud",Puntuacion!$G:$G,"NE")=0),1,0)</f>
        <v/>
      </c>
      <c r="R62" s="5">
        <f>IF(P62=0,"NA",IF(Q62=0,"NE",AVERAGEIFS(Puntuacion!$G:$G,Puntuacion!$A:$A,$A62,Puntuacion!$C:$C,$C62,Puntuacion!$D:$D,"Multicloud",Puntuacion!$G:$G,"&lt;&gt;NA",Puntuacion!$G:$G,"&lt;&gt;NE")))</f>
        <v/>
      </c>
      <c r="S62">
        <f>IF(COUNTIFS(Puntuacion!$A:$A,$A62,Puntuacion!$C:$C,$C62,Puntuacion!$D:$D,"Integracion",Puntuacion!$G:$G,"&lt;&gt;NA")&gt;0,1,0)</f>
        <v/>
      </c>
      <c r="T62">
        <f>IF(AND(S62=1,COUNTIFS(Puntuacion!$A:$A,$A62,Puntuacion!$C:$C,$C62,Puntuacion!$D:$D,"Integracion",Puntuacion!$G:$G,"NE")=0),1,0)</f>
        <v/>
      </c>
      <c r="U62" s="5">
        <f>IF(S62=0,"NA",IF(T62=0,"NE",AVERAGEIFS(Puntuacion!$G:$G,Puntuacion!$A:$A,$A62,Puntuacion!$C:$C,$C62,Puntuacion!$D:$D,"Integracion",Puntuacion!$G:$G,"&lt;&gt;NA",Puntuacion!$G:$G,"&lt;&gt;NE")))</f>
        <v/>
      </c>
      <c r="V62">
        <f>IF(COUNTIFS(Puntuacion!$A:$A,$A62,Puntuacion!$C:$C,$C62,Puntuacion!$D:$D,"Adopcion",Puntuacion!$G:$G,"&lt;&gt;NA")&gt;0,1,0)</f>
        <v/>
      </c>
      <c r="W62">
        <f>IF(AND(V62=1,COUNTIFS(Puntuacion!$A:$A,$A62,Puntuacion!$C:$C,$C62,Puntuacion!$D:$D,"Adopcion",Puntuacion!$G:$G,"NE")=0),1,0)</f>
        <v/>
      </c>
      <c r="X62" s="5">
        <f>IF(V62=0,"NA",IF(W62=0,"NE",AVERAGEIFS(Puntuacion!$G:$G,Puntuacion!$A:$A,$A62,Puntuacion!$C:$C,$C62,Puntuacion!$D:$D,"Adopcion",Puntuacion!$G:$G,"&lt;&gt;NA",Puntuacion!$G:$G,"&lt;&gt;NE")))</f>
        <v/>
      </c>
      <c r="Y62">
        <f>IF(COUNTIFS(Puntuacion!$A:$A,$A62,Puntuacion!$C:$C,$C62,Puntuacion!$D:$D,"Precio",Puntuacion!$G:$G,"&lt;&gt;NA")&gt;0,1,0)</f>
        <v/>
      </c>
      <c r="Z62">
        <f>IF(AND(Y62=1,COUNTIFS(Puntuacion!$A:$A,$A62,Puntuacion!$C:$C,$C62,Puntuacion!$D:$D,"Precio",Puntuacion!$G:$G,"NE")=0),1,0)</f>
        <v/>
      </c>
      <c r="AA62" s="5">
        <f>IF(Y62=0,"NA",IF(Z62=0,"NE",AVERAGEIFS(Puntuacion!$G:$G,Puntuacion!$A:$A,$A62,Puntuacion!$C:$C,$C62,Puntuacion!$D:$D,"Precio",Puntuacion!$G:$G,"&lt;&gt;NA",Puntuacion!$G:$G,"&lt;&gt;NE")))</f>
        <v/>
      </c>
      <c r="AB62">
        <f>IF(COUNTIFS(Puntuacion!$A:$A,$A62,Puntuacion!$C:$C,$C62,Puntuacion!$D:$D,"Dependencia",Puntuacion!$G:$G,"&lt;&gt;NA")&gt;0,1,0)</f>
        <v/>
      </c>
      <c r="AC62">
        <f>IF(AND(AB62=1,COUNTIFS(Puntuacion!$A:$A,$A62,Puntuacion!$C:$C,$C62,Puntuacion!$D:$D,"Dependencia",Puntuacion!$G:$G,"NE")=0),1,0)</f>
        <v/>
      </c>
      <c r="AD62" s="5">
        <f>IF(AB62=0,"NA",IF(AC62=0,"NE",AVERAGEIFS(Puntuacion!$G:$G,Puntuacion!$A:$A,$A62,Puntuacion!$C:$C,$C62,Puntuacion!$D:$D,"Dependencia",Puntuacion!$G:$G,"&lt;&gt;NA",Puntuacion!$G:$G,"&lt;&gt;NE")))</f>
        <v/>
      </c>
      <c r="AE62" s="5">
        <f>IFERROR(100*(E62*Pesos!$B$2+H62*Pesos!$B$3+K62*Pesos!$B$4+N62*Pesos!$B$5+Q62*Pesos!$B$6+T62*Pesos!$B$7+W62*Pesos!$B$8+Z62*Pesos!$B$9+AC62*Pesos!$B$10)/(D62*Pesos!$B$2+G62*Pesos!$B$3+J62*Pesos!$B$4+M62*Pesos!$B$5+P62*Pesos!$B$6+S62*Pesos!$B$7+V62*Pesos!$B$8+Y62*Pesos!$B$9+AB62*Pesos!$B$10),"Sin criterios aplicables")</f>
        <v/>
      </c>
      <c r="AF62" s="5">
        <f>IFERROR(100*(E62*Pesos!$C$2+H62*Pesos!$C$3+K62*Pesos!$C$4+N62*Pesos!$C$5+Q62*Pesos!$C$6+T62*Pesos!$C$7+W62*Pesos!$C$8+Z62*Pesos!$C$9+AC62*Pesos!$C$10)/(D62*Pesos!$C$2+G62*Pesos!$C$3+J62*Pesos!$C$4+M62*Pesos!$C$5+P62*Pesos!$C$6+S62*Pesos!$C$7+V62*Pesos!$C$8+Y62*Pesos!$C$9+AB62*Pesos!$C$10),"Sin criterios aplicables")</f>
        <v/>
      </c>
      <c r="AG62" s="5">
        <f>IF(OR(AE62="Sin criterios aplicables",AE62&lt;70),"Insufficient evidence",100*(Pesos!$B$2*IF(E62=1,F62,0)+Pesos!$B$3*IF(H62=1,I62,0)+Pesos!$B$4*IF(K62=1,L62,0)+Pesos!$B$5*IF(N62=1,O62,0)+Pesos!$B$6*IF(Q62=1,R62,0)+Pesos!$B$7*IF(T62=1,U62,0)+Pesos!$B$8*IF(W62=1,X62,0)+Pesos!$B$9*IF(Z62=1,AA62,0)+Pesos!$B$10*IF(AC62=1,AD62,0))/(3*(Pesos!$B$2*E62+Pesos!$B$3*H62+Pesos!$B$4*K62+Pesos!$B$5*N62+Pesos!$B$6*Q62+Pesos!$B$7*T62+Pesos!$B$8*W62+Pesos!$B$9*Z62+Pesos!$B$10*AC62)))</f>
        <v/>
      </c>
      <c r="AH62" s="5">
        <f>IF(OR(AF62="Sin criterios aplicables",AF62&lt;70),"Insufficient evidence",100*(Pesos!$C$2*IF(E62=1,F62,0)+Pesos!$C$3*IF(H62=1,I62,0)+Pesos!$C$4*IF(K62=1,L62,0)+Pesos!$C$5*IF(N62=1,O62,0)+Pesos!$C$6*IF(Q62=1,R62,0)+Pesos!$C$7*IF(T62=1,U62,0)+Pesos!$C$8*IF(W62=1,X62,0)+Pesos!$C$9*IF(Z62=1,AA62,0)+Pesos!$C$10*IF(AC62=1,AD62,0))/(3*(Pesos!$C$2*E62+Pesos!$C$3*H62+Pesos!$C$4*K62+Pesos!$C$5*N62+Pesos!$C$6*Q62+Pesos!$C$7*T62+Pesos!$C$8*W62+Pesos!$C$9*Z62+Pesos!$C$10*AC62)))</f>
        <v/>
      </c>
      <c r="AI62">
        <f>IF(AG62="Insufficient evidence","Insufficient evidence (cobertura&lt;70%)",IF(AG62&lt;50/3,"Insufficient",IF(AG62&lt;50,"Basic",IF(AG62&lt;250/3,"Solid","Advanced"))))</f>
        <v/>
      </c>
      <c r="AJ62">
        <f>IF(AH62="Insufficient evidence","Insufficient evidence (cobertura&lt;70%)",IF(AH62&lt;50/3,"Insufficient",IF(AH62&lt;50,"Basic",IF(AH62&lt;250/3,"Solid","Advanced"))))</f>
        <v/>
      </c>
      <c r="AK62" t="inlineStr">
        <is>
          <t>N/A (no es escenario E1-E6)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7"/>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30" customWidth="1" min="3" max="3"/>
    <col width="18" customWidth="1" min="4" max="4"/>
    <col width="22" customWidth="1" min="5" max="5"/>
    <col width="20" customWidth="1" min="6" max="6"/>
    <col width="20" customWidth="1" min="7" max="7"/>
    <col width="22" customWidth="1" min="8" max="8"/>
    <col width="22" customWidth="1" min="9" max="9"/>
    <col width="46" customWidth="1" min="10" max="10"/>
  </cols>
  <sheetData>
    <row r="1">
      <c r="A1" t="inlineStr">
        <is>
          <t>Escenario</t>
        </is>
      </c>
      <c r="B1" t="inlineStr">
        <is>
          <t>Categoria</t>
        </is>
      </c>
      <c r="C1" t="inlineStr">
        <is>
          <t>Producto</t>
        </is>
      </c>
      <c r="D1" t="inlineStr">
        <is>
          <t>Cobertura base (%)</t>
        </is>
      </c>
      <c r="E1" t="inlineStr">
        <is>
          <t>Cobertura sensibilidad (%)</t>
        </is>
      </c>
      <c r="F1" t="inlineStr">
        <is>
          <t>S linea base (0-100)</t>
        </is>
      </c>
      <c r="G1" t="inlineStr">
        <is>
          <t>S sensibilidad (0-100)</t>
        </is>
      </c>
      <c r="H1" t="inlineStr">
        <is>
          <t>Banda linea base</t>
        </is>
      </c>
      <c r="I1" t="inlineStr">
        <is>
          <t>Banda sensibilidad</t>
        </is>
      </c>
      <c r="J1" t="inlineStr">
        <is>
          <t>Criterios criticos incumplidos</t>
        </is>
      </c>
    </row>
    <row r="2">
      <c r="A2" t="inlineStr">
        <is>
          <t>E1</t>
        </is>
      </c>
      <c r="B2" t="inlineStr">
        <is>
          <t>Cloud nativa</t>
        </is>
      </c>
      <c r="C2" t="inlineStr">
        <is>
          <t>AWS Cost Explorer</t>
        </is>
      </c>
      <c r="D2" t="n">
        <v>100</v>
      </c>
      <c r="E2" t="n">
        <v>100</v>
      </c>
      <c r="F2" t="n">
        <v>51.85</v>
      </c>
      <c r="G2" t="n">
        <v>53.17</v>
      </c>
      <c r="H2" t="inlineStr">
        <is>
          <t>Solid</t>
        </is>
      </c>
      <c r="I2" t="inlineStr">
        <is>
          <t>Solid</t>
        </is>
      </c>
      <c r="J2" t="inlineStr">
        <is>
          <t>-</t>
        </is>
      </c>
    </row>
    <row r="3">
      <c r="A3" t="inlineStr">
        <is>
          <t>E2</t>
        </is>
      </c>
      <c r="B3" t="inlineStr">
        <is>
          <t>Cloud nativa</t>
        </is>
      </c>
      <c r="C3" t="inlineStr">
        <is>
          <t>AWS Cost Explorer</t>
        </is>
      </c>
      <c r="D3" t="n">
        <v>12.5</v>
      </c>
      <c r="E3" t="n">
        <v>7.61</v>
      </c>
      <c r="F3" t="inlineStr">
        <is>
          <t>Insufficient evidence</t>
        </is>
      </c>
      <c r="G3" t="inlineStr">
        <is>
          <t>Insufficient evidence</t>
        </is>
      </c>
      <c r="H3" t="inlineStr">
        <is>
          <t>Insufficient evidence</t>
        </is>
      </c>
      <c r="I3" t="inlineStr">
        <is>
          <t>Insufficient evidence</t>
        </is>
      </c>
      <c r="J3" t="inlineStr">
        <is>
          <t>sin evidencia: Precio</t>
        </is>
      </c>
    </row>
    <row r="4">
      <c r="A4" t="inlineStr">
        <is>
          <t>E3</t>
        </is>
      </c>
      <c r="B4" t="inlineStr">
        <is>
          <t>Cloud nativa</t>
        </is>
      </c>
      <c r="C4" t="inlineStr">
        <is>
          <t>AWS Cost Explorer</t>
        </is>
      </c>
      <c r="D4" t="n">
        <v>22.22</v>
      </c>
      <c r="E4" t="n">
        <v>15</v>
      </c>
      <c r="F4" t="inlineStr">
        <is>
          <t>Insufficient evidence</t>
        </is>
      </c>
      <c r="G4" t="inlineStr">
        <is>
          <t>Insufficient evidence</t>
        </is>
      </c>
      <c r="H4" t="inlineStr">
        <is>
          <t>Insufficient evidence</t>
        </is>
      </c>
      <c r="I4" t="inlineStr">
        <is>
          <t>Insufficient evidence</t>
        </is>
      </c>
      <c r="J4" t="inlineStr">
        <is>
          <t>sin evidencia: Optimizacion, Automatizacion</t>
        </is>
      </c>
    </row>
    <row r="5">
      <c r="A5" t="inlineStr">
        <is>
          <t>E5</t>
        </is>
      </c>
      <c r="B5" t="inlineStr">
        <is>
          <t>Cloud nativa</t>
        </is>
      </c>
      <c r="C5" t="inlineStr">
        <is>
          <t>AWS Cost Explorer</t>
        </is>
      </c>
      <c r="D5" t="n">
        <v>100</v>
      </c>
      <c r="E5" t="n">
        <v>100</v>
      </c>
      <c r="F5" t="n">
        <v>51.85</v>
      </c>
      <c r="G5" t="n">
        <v>53.17</v>
      </c>
      <c r="H5" t="inlineStr">
        <is>
          <t>Solid</t>
        </is>
      </c>
      <c r="I5" t="inlineStr">
        <is>
          <t>Solid</t>
        </is>
      </c>
      <c r="J5" t="inlineStr">
        <is>
          <t>-</t>
        </is>
      </c>
    </row>
    <row r="6">
      <c r="A6" t="inlineStr">
        <is>
          <t>E6</t>
        </is>
      </c>
      <c r="B6" t="inlineStr">
        <is>
          <t>Cloud nativa</t>
        </is>
      </c>
      <c r="C6" t="inlineStr">
        <is>
          <t>AWS Cost Explorer</t>
        </is>
      </c>
      <c r="D6" t="n">
        <v>100</v>
      </c>
      <c r="E6" t="n">
        <v>100</v>
      </c>
      <c r="F6" t="n">
        <v>51.85</v>
      </c>
      <c r="G6" t="n">
        <v>53.17</v>
      </c>
      <c r="H6" t="inlineStr">
        <is>
          <t>Solid</t>
        </is>
      </c>
      <c r="I6" t="inlineStr">
        <is>
          <t>Solid</t>
        </is>
      </c>
      <c r="J6" t="inlineStr">
        <is>
          <t>-</t>
        </is>
      </c>
    </row>
    <row r="7">
      <c r="A7" t="inlineStr">
        <is>
          <t>E1</t>
        </is>
      </c>
      <c r="B7" t="inlineStr">
        <is>
          <t>Cloud nativa</t>
        </is>
      </c>
      <c r="C7" t="inlineStr">
        <is>
          <t>AWS Cost Optimization Hub</t>
        </is>
      </c>
      <c r="D7" t="n">
        <v>77.78</v>
      </c>
      <c r="E7" t="n">
        <v>85</v>
      </c>
      <c r="F7" t="n">
        <v>19.05</v>
      </c>
      <c r="G7" t="n">
        <v>19.61</v>
      </c>
      <c r="H7" t="inlineStr">
        <is>
          <t>Basic</t>
        </is>
      </c>
      <c r="I7" t="inlineStr">
        <is>
          <t>Basic</t>
        </is>
      </c>
      <c r="J7" t="inlineStr">
        <is>
          <t>Visibilidad incumplido, Asignacion incumplido</t>
        </is>
      </c>
    </row>
    <row r="8">
      <c r="A8" t="inlineStr">
        <is>
          <t>E2</t>
        </is>
      </c>
      <c r="B8" t="inlineStr">
        <is>
          <t>Cloud nativa</t>
        </is>
      </c>
      <c r="C8" t="inlineStr">
        <is>
          <t>AWS Cost Optimization Hub</t>
        </is>
      </c>
      <c r="D8" t="n">
        <v>0</v>
      </c>
      <c r="E8" t="n">
        <v>0</v>
      </c>
      <c r="F8" t="inlineStr">
        <is>
          <t>Insufficient evidence</t>
        </is>
      </c>
      <c r="G8" t="inlineStr">
        <is>
          <t>Insufficient evidence</t>
        </is>
      </c>
      <c r="H8" t="inlineStr">
        <is>
          <t>Insufficient evidence</t>
        </is>
      </c>
      <c r="I8" t="inlineStr">
        <is>
          <t>Insufficient evidence</t>
        </is>
      </c>
      <c r="J8" t="inlineStr">
        <is>
          <t>sin evidencia: Precio</t>
        </is>
      </c>
    </row>
    <row r="9">
      <c r="A9" t="inlineStr">
        <is>
          <t>E3</t>
        </is>
      </c>
      <c r="B9" t="inlineStr">
        <is>
          <t>Cloud nativa</t>
        </is>
      </c>
      <c r="C9" t="inlineStr">
        <is>
          <t>AWS Cost Optimization Hub</t>
        </is>
      </c>
      <c r="D9" t="n">
        <v>11.11</v>
      </c>
      <c r="E9" t="n">
        <v>8</v>
      </c>
      <c r="F9" t="inlineStr">
        <is>
          <t>Insufficient evidence</t>
        </is>
      </c>
      <c r="G9" t="inlineStr">
        <is>
          <t>Insufficient evidence</t>
        </is>
      </c>
      <c r="H9" t="inlineStr">
        <is>
          <t>Insufficient evidence</t>
        </is>
      </c>
      <c r="I9" t="inlineStr">
        <is>
          <t>Insufficient evidence</t>
        </is>
      </c>
      <c r="J9" t="inlineStr">
        <is>
          <t>sin evidencia: Optimizacion, Automatizacion</t>
        </is>
      </c>
    </row>
    <row r="10">
      <c r="A10" t="inlineStr">
        <is>
          <t>E5</t>
        </is>
      </c>
      <c r="B10" t="inlineStr">
        <is>
          <t>Cloud nativa</t>
        </is>
      </c>
      <c r="C10" t="inlineStr">
        <is>
          <t>AWS Cost Optimization Hub</t>
        </is>
      </c>
      <c r="D10" t="n">
        <v>66.67</v>
      </c>
      <c r="E10" t="n">
        <v>70</v>
      </c>
      <c r="F10" t="inlineStr">
        <is>
          <t>Insufficient evidence</t>
        </is>
      </c>
      <c r="G10" t="n">
        <v>23.81</v>
      </c>
      <c r="H10" t="inlineStr">
        <is>
          <t>Insufficient evidence</t>
        </is>
      </c>
      <c r="I10" t="inlineStr">
        <is>
          <t>Sin banda (critico sin evidencia)</t>
        </is>
      </c>
      <c r="J10" t="inlineStr">
        <is>
          <t>Visibilidad incumplido | sin evidencia: Asignacion</t>
        </is>
      </c>
    </row>
    <row r="11">
      <c r="A11" t="inlineStr">
        <is>
          <t>E6</t>
        </is>
      </c>
      <c r="B11" t="inlineStr">
        <is>
          <t>Cloud nativa</t>
        </is>
      </c>
      <c r="C11" t="inlineStr">
        <is>
          <t>AWS Cost Optimization Hub</t>
        </is>
      </c>
      <c r="D11" t="n">
        <v>55.56</v>
      </c>
      <c r="E11" t="n">
        <v>60</v>
      </c>
      <c r="F11" t="inlineStr">
        <is>
          <t>Insufficient evidence</t>
        </is>
      </c>
      <c r="G11" t="inlineStr">
        <is>
          <t>Insufficient evidence</t>
        </is>
      </c>
      <c r="H11" t="inlineStr">
        <is>
          <t>Insufficient evidence</t>
        </is>
      </c>
      <c r="I11" t="inlineStr">
        <is>
          <t>Insufficient evidence</t>
        </is>
      </c>
      <c r="J11" t="inlineStr">
        <is>
          <t>sin evidencia: Visibilidad, Integracion</t>
        </is>
      </c>
    </row>
    <row r="12">
      <c r="A12" t="inlineStr">
        <is>
          <t>E1</t>
        </is>
      </c>
      <c r="B12" t="inlineStr">
        <is>
          <t>Cloud nativa</t>
        </is>
      </c>
      <c r="C12" t="inlineStr">
        <is>
          <t>Azure Cost Management</t>
        </is>
      </c>
      <c r="D12" t="n">
        <v>100</v>
      </c>
      <c r="E12" t="n">
        <v>100</v>
      </c>
      <c r="F12" t="n">
        <v>51.85</v>
      </c>
      <c r="G12" t="n">
        <v>54</v>
      </c>
      <c r="H12" t="inlineStr">
        <is>
          <t>Solid</t>
        </is>
      </c>
      <c r="I12" t="inlineStr">
        <is>
          <t>Solid</t>
        </is>
      </c>
      <c r="J12" t="inlineStr">
        <is>
          <t>-</t>
        </is>
      </c>
    </row>
    <row r="13">
      <c r="A13" t="inlineStr">
        <is>
          <t>E2</t>
        </is>
      </c>
      <c r="B13" t="inlineStr">
        <is>
          <t>Cloud nativa</t>
        </is>
      </c>
      <c r="C13" t="inlineStr">
        <is>
          <t>Azure Cost Management</t>
        </is>
      </c>
      <c r="D13" t="n">
        <v>12.5</v>
      </c>
      <c r="E13" t="n">
        <v>7.61</v>
      </c>
      <c r="F13" t="inlineStr">
        <is>
          <t>Insufficient evidence</t>
        </is>
      </c>
      <c r="G13" t="inlineStr">
        <is>
          <t>Insufficient evidence</t>
        </is>
      </c>
      <c r="H13" t="inlineStr">
        <is>
          <t>Insufficient evidence</t>
        </is>
      </c>
      <c r="I13" t="inlineStr">
        <is>
          <t>Insufficient evidence</t>
        </is>
      </c>
      <c r="J13" t="inlineStr">
        <is>
          <t>sin evidencia: Precio</t>
        </is>
      </c>
    </row>
    <row r="14">
      <c r="A14" t="inlineStr">
        <is>
          <t>E3</t>
        </is>
      </c>
      <c r="B14" t="inlineStr">
        <is>
          <t>Cloud nativa</t>
        </is>
      </c>
      <c r="C14" t="inlineStr">
        <is>
          <t>Azure Cost Management</t>
        </is>
      </c>
      <c r="D14" t="n">
        <v>22.22</v>
      </c>
      <c r="E14" t="n">
        <v>15</v>
      </c>
      <c r="F14" t="inlineStr">
        <is>
          <t>Insufficient evidence</t>
        </is>
      </c>
      <c r="G14" t="inlineStr">
        <is>
          <t>Insufficient evidence</t>
        </is>
      </c>
      <c r="H14" t="inlineStr">
        <is>
          <t>Insufficient evidence</t>
        </is>
      </c>
      <c r="I14" t="inlineStr">
        <is>
          <t>Insufficient evidence</t>
        </is>
      </c>
      <c r="J14" t="inlineStr">
        <is>
          <t>sin evidencia: Optimizacion, Automatizacion</t>
        </is>
      </c>
    </row>
    <row r="15">
      <c r="A15" t="inlineStr">
        <is>
          <t>E5</t>
        </is>
      </c>
      <c r="B15" t="inlineStr">
        <is>
          <t>Cloud nativa</t>
        </is>
      </c>
      <c r="C15" t="inlineStr">
        <is>
          <t>Azure Cost Management</t>
        </is>
      </c>
      <c r="D15" t="n">
        <v>100</v>
      </c>
      <c r="E15" t="n">
        <v>100</v>
      </c>
      <c r="F15" t="n">
        <v>51.85</v>
      </c>
      <c r="G15" t="n">
        <v>54</v>
      </c>
      <c r="H15" t="inlineStr">
        <is>
          <t>Solid</t>
        </is>
      </c>
      <c r="I15" t="inlineStr">
        <is>
          <t>Solid</t>
        </is>
      </c>
      <c r="J15" t="inlineStr">
        <is>
          <t>-</t>
        </is>
      </c>
    </row>
    <row r="16">
      <c r="A16" t="inlineStr">
        <is>
          <t>E6</t>
        </is>
      </c>
      <c r="B16" t="inlineStr">
        <is>
          <t>Cloud nativa</t>
        </is>
      </c>
      <c r="C16" t="inlineStr">
        <is>
          <t>Azure Cost Management</t>
        </is>
      </c>
      <c r="D16" t="n">
        <v>77.78</v>
      </c>
      <c r="E16" t="n">
        <v>75</v>
      </c>
      <c r="F16" t="n">
        <v>47.62</v>
      </c>
      <c r="G16" t="n">
        <v>49.78</v>
      </c>
      <c r="H16" t="inlineStr">
        <is>
          <t>Sin banda (critico sin evidencia)</t>
        </is>
      </c>
      <c r="I16" t="inlineStr">
        <is>
          <t>Sin banda (critico sin evidencia)</t>
        </is>
      </c>
      <c r="J16" t="inlineStr">
        <is>
          <t>sin evidencia: Visibilidad, Integracion</t>
        </is>
      </c>
    </row>
    <row r="17">
      <c r="A17" t="inlineStr">
        <is>
          <t>E1</t>
        </is>
      </c>
      <c r="B17" t="inlineStr">
        <is>
          <t>Cloud nativa</t>
        </is>
      </c>
      <c r="C17" t="inlineStr">
        <is>
          <t>Google Cloud Billing</t>
        </is>
      </c>
      <c r="D17" t="n">
        <v>100</v>
      </c>
      <c r="E17" t="n">
        <v>100</v>
      </c>
      <c r="F17" t="n">
        <v>38.89</v>
      </c>
      <c r="G17" t="n">
        <v>37.67</v>
      </c>
      <c r="H17" t="inlineStr">
        <is>
          <t>Basic</t>
        </is>
      </c>
      <c r="I17" t="inlineStr">
        <is>
          <t>Basic</t>
        </is>
      </c>
      <c r="J17" t="inlineStr">
        <is>
          <t>Asignacion incumplido</t>
        </is>
      </c>
    </row>
    <row r="18">
      <c r="A18" t="inlineStr">
        <is>
          <t>E2</t>
        </is>
      </c>
      <c r="B18" t="inlineStr">
        <is>
          <t>Cloud nativa</t>
        </is>
      </c>
      <c r="C18" t="inlineStr">
        <is>
          <t>Google Cloud Billing</t>
        </is>
      </c>
      <c r="D18" t="n">
        <v>12.5</v>
      </c>
      <c r="E18" t="n">
        <v>7.61</v>
      </c>
      <c r="F18" t="inlineStr">
        <is>
          <t>Insufficient evidence</t>
        </is>
      </c>
      <c r="G18" t="inlineStr">
        <is>
          <t>Insufficient evidence</t>
        </is>
      </c>
      <c r="H18" t="inlineStr">
        <is>
          <t>Insufficient evidence</t>
        </is>
      </c>
      <c r="I18" t="inlineStr">
        <is>
          <t>Insufficient evidence</t>
        </is>
      </c>
      <c r="J18" t="inlineStr">
        <is>
          <t>sin evidencia: Precio</t>
        </is>
      </c>
    </row>
    <row r="19">
      <c r="A19" t="inlineStr">
        <is>
          <t>E3</t>
        </is>
      </c>
      <c r="B19" t="inlineStr">
        <is>
          <t>Cloud nativa</t>
        </is>
      </c>
      <c r="C19" t="inlineStr">
        <is>
          <t>Google Cloud Billing</t>
        </is>
      </c>
      <c r="D19" t="n">
        <v>22.22</v>
      </c>
      <c r="E19" t="n">
        <v>15</v>
      </c>
      <c r="F19" t="inlineStr">
        <is>
          <t>Insufficient evidence</t>
        </is>
      </c>
      <c r="G19" t="inlineStr">
        <is>
          <t>Insufficient evidence</t>
        </is>
      </c>
      <c r="H19" t="inlineStr">
        <is>
          <t>Insufficient evidence</t>
        </is>
      </c>
      <c r="I19" t="inlineStr">
        <is>
          <t>Insufficient evidence</t>
        </is>
      </c>
      <c r="J19" t="inlineStr">
        <is>
          <t>sin evidencia: Optimizacion, Automatizacion</t>
        </is>
      </c>
    </row>
    <row r="20">
      <c r="A20" t="inlineStr">
        <is>
          <t>E5</t>
        </is>
      </c>
      <c r="B20" t="inlineStr">
        <is>
          <t>Cloud nativa</t>
        </is>
      </c>
      <c r="C20" t="inlineStr">
        <is>
          <t>Google Cloud Billing</t>
        </is>
      </c>
      <c r="D20" t="n">
        <v>100</v>
      </c>
      <c r="E20" t="n">
        <v>100</v>
      </c>
      <c r="F20" t="n">
        <v>40.74</v>
      </c>
      <c r="G20" t="n">
        <v>40.17</v>
      </c>
      <c r="H20" t="inlineStr">
        <is>
          <t>Basic</t>
        </is>
      </c>
      <c r="I20" t="inlineStr">
        <is>
          <t>Basic</t>
        </is>
      </c>
      <c r="J20" t="inlineStr">
        <is>
          <t>-</t>
        </is>
      </c>
    </row>
    <row r="21">
      <c r="A21" t="inlineStr">
        <is>
          <t>E6</t>
        </is>
      </c>
      <c r="B21" t="inlineStr">
        <is>
          <t>Cloud nativa</t>
        </is>
      </c>
      <c r="C21" t="inlineStr">
        <is>
          <t>Google Cloud Billing</t>
        </is>
      </c>
      <c r="D21" t="n">
        <v>77.78</v>
      </c>
      <c r="E21" t="n">
        <v>75</v>
      </c>
      <c r="F21" t="n">
        <v>30.95</v>
      </c>
      <c r="G21" t="n">
        <v>28</v>
      </c>
      <c r="H21" t="inlineStr">
        <is>
          <t>Sin banda (critico sin evidencia)</t>
        </is>
      </c>
      <c r="I21" t="inlineStr">
        <is>
          <t>Sin banda (critico sin evidencia)</t>
        </is>
      </c>
      <c r="J21" t="inlineStr">
        <is>
          <t>sin evidencia: Visibilidad, Integracion</t>
        </is>
      </c>
    </row>
    <row r="22">
      <c r="A22" t="inlineStr">
        <is>
          <t>E1</t>
        </is>
      </c>
      <c r="B22" t="inlineStr">
        <is>
          <t>Cloud nativa</t>
        </is>
      </c>
      <c r="C22" t="inlineStr">
        <is>
          <t>Google Cloud FinOps Hub</t>
        </is>
      </c>
      <c r="D22" t="n">
        <v>77.78</v>
      </c>
      <c r="E22" t="n">
        <v>83</v>
      </c>
      <c r="F22" t="n">
        <v>23.81</v>
      </c>
      <c r="G22" t="n">
        <v>22.89</v>
      </c>
      <c r="H22" t="inlineStr">
        <is>
          <t>Basic</t>
        </is>
      </c>
      <c r="I22" t="inlineStr">
        <is>
          <t>Basic</t>
        </is>
      </c>
      <c r="J22" t="inlineStr">
        <is>
          <t>Visibilidad incumplido, Asignacion incumplido</t>
        </is>
      </c>
    </row>
    <row r="23">
      <c r="A23" t="inlineStr">
        <is>
          <t>E2</t>
        </is>
      </c>
      <c r="B23" t="inlineStr">
        <is>
          <t>Cloud nativa</t>
        </is>
      </c>
      <c r="C23" t="inlineStr">
        <is>
          <t>Google Cloud FinOps Hub</t>
        </is>
      </c>
      <c r="D23" t="n">
        <v>0</v>
      </c>
      <c r="E23" t="n">
        <v>0</v>
      </c>
      <c r="F23" t="inlineStr">
        <is>
          <t>Insufficient evidence</t>
        </is>
      </c>
      <c r="G23" t="inlineStr">
        <is>
          <t>Insufficient evidence</t>
        </is>
      </c>
      <c r="H23" t="inlineStr">
        <is>
          <t>Insufficient evidence</t>
        </is>
      </c>
      <c r="I23" t="inlineStr">
        <is>
          <t>Insufficient evidence</t>
        </is>
      </c>
      <c r="J23" t="inlineStr">
        <is>
          <t>sin evidencia: Precio</t>
        </is>
      </c>
    </row>
    <row r="24">
      <c r="A24" t="inlineStr">
        <is>
          <t>E3</t>
        </is>
      </c>
      <c r="B24" t="inlineStr">
        <is>
          <t>Cloud nativa</t>
        </is>
      </c>
      <c r="C24" t="inlineStr">
        <is>
          <t>Google Cloud FinOps Hub</t>
        </is>
      </c>
      <c r="D24" t="n">
        <v>11.11</v>
      </c>
      <c r="E24" t="n">
        <v>8</v>
      </c>
      <c r="F24" t="inlineStr">
        <is>
          <t>Insufficient evidence</t>
        </is>
      </c>
      <c r="G24" t="inlineStr">
        <is>
          <t>Insufficient evidence</t>
        </is>
      </c>
      <c r="H24" t="inlineStr">
        <is>
          <t>Insufficient evidence</t>
        </is>
      </c>
      <c r="I24" t="inlineStr">
        <is>
          <t>Insufficient evidence</t>
        </is>
      </c>
      <c r="J24" t="inlineStr">
        <is>
          <t>sin evidencia: Optimizacion, Automatizacion</t>
        </is>
      </c>
    </row>
    <row r="25">
      <c r="A25" t="inlineStr">
        <is>
          <t>E5</t>
        </is>
      </c>
      <c r="B25" t="inlineStr">
        <is>
          <t>Cloud nativa</t>
        </is>
      </c>
      <c r="C25" t="inlineStr">
        <is>
          <t>Google Cloud FinOps Hub</t>
        </is>
      </c>
      <c r="D25" t="n">
        <v>66.67</v>
      </c>
      <c r="E25" t="n">
        <v>68</v>
      </c>
      <c r="F25" t="inlineStr">
        <is>
          <t>Insufficient evidence</t>
        </is>
      </c>
      <c r="G25" t="inlineStr">
        <is>
          <t>Insufficient evidence</t>
        </is>
      </c>
      <c r="H25" t="inlineStr">
        <is>
          <t>Insufficient evidence</t>
        </is>
      </c>
      <c r="I25" t="inlineStr">
        <is>
          <t>Insufficient evidence</t>
        </is>
      </c>
      <c r="J25" t="inlineStr">
        <is>
          <t>Visibilidad incumplido | sin evidencia: Asignacion</t>
        </is>
      </c>
    </row>
    <row r="26">
      <c r="A26" t="inlineStr">
        <is>
          <t>E6</t>
        </is>
      </c>
      <c r="B26" t="inlineStr">
        <is>
          <t>Cloud nativa</t>
        </is>
      </c>
      <c r="C26" t="inlineStr">
        <is>
          <t>Google Cloud FinOps Hub</t>
        </is>
      </c>
      <c r="D26" t="n">
        <v>55.56</v>
      </c>
      <c r="E26" t="n">
        <v>58</v>
      </c>
      <c r="F26" t="inlineStr">
        <is>
          <t>Insufficient evidence</t>
        </is>
      </c>
      <c r="G26" t="inlineStr">
        <is>
          <t>Insufficient evidence</t>
        </is>
      </c>
      <c r="H26" t="inlineStr">
        <is>
          <t>Insufficient evidence</t>
        </is>
      </c>
      <c r="I26" t="inlineStr">
        <is>
          <t>Insufficient evidence</t>
        </is>
      </c>
      <c r="J26" t="inlineStr">
        <is>
          <t>sin evidencia: Visibilidad, Integracion</t>
        </is>
      </c>
    </row>
    <row r="27">
      <c r="A27" t="inlineStr">
        <is>
          <t>E1</t>
        </is>
      </c>
      <c r="B27" t="inlineStr">
        <is>
          <t>Multicloud</t>
        </is>
      </c>
      <c r="C27" t="inlineStr">
        <is>
          <t>Cloudability</t>
        </is>
      </c>
      <c r="D27" t="n">
        <v>44.44</v>
      </c>
      <c r="E27" t="n">
        <v>48</v>
      </c>
      <c r="F27" t="inlineStr">
        <is>
          <t>Insufficient evidence</t>
        </is>
      </c>
      <c r="G27" t="inlineStr">
        <is>
          <t>Insufficient evidence</t>
        </is>
      </c>
      <c r="H27" t="inlineStr">
        <is>
          <t>Insufficient evidence</t>
        </is>
      </c>
      <c r="I27" t="inlineStr">
        <is>
          <t>Insufficient evidence</t>
        </is>
      </c>
      <c r="J27" t="inlineStr">
        <is>
          <t>sin evidencia: Visibilidad</t>
        </is>
      </c>
    </row>
    <row r="28">
      <c r="A28" t="inlineStr">
        <is>
          <t>E2</t>
        </is>
      </c>
      <c r="B28" t="inlineStr">
        <is>
          <t>Multicloud</t>
        </is>
      </c>
      <c r="C28" t="inlineStr">
        <is>
          <t>Cloudability</t>
        </is>
      </c>
      <c r="D28" t="n">
        <v>44.44</v>
      </c>
      <c r="E28" t="n">
        <v>48</v>
      </c>
      <c r="F28" t="inlineStr">
        <is>
          <t>Insufficient evidence</t>
        </is>
      </c>
      <c r="G28" t="inlineStr">
        <is>
          <t>Insufficient evidence</t>
        </is>
      </c>
      <c r="H28" t="inlineStr">
        <is>
          <t>Insufficient evidence</t>
        </is>
      </c>
      <c r="I28" t="inlineStr">
        <is>
          <t>Insufficient evidence</t>
        </is>
      </c>
      <c r="J28" t="inlineStr">
        <is>
          <t>sin evidencia: Multicloud, Precio</t>
        </is>
      </c>
    </row>
    <row r="29">
      <c r="A29" t="inlineStr">
        <is>
          <t>E5</t>
        </is>
      </c>
      <c r="B29" t="inlineStr">
        <is>
          <t>Multicloud</t>
        </is>
      </c>
      <c r="C29" t="inlineStr">
        <is>
          <t>Cloudability</t>
        </is>
      </c>
      <c r="D29" t="n">
        <v>33.33</v>
      </c>
      <c r="E29" t="n">
        <v>33</v>
      </c>
      <c r="F29" t="inlineStr">
        <is>
          <t>Insufficient evidence</t>
        </is>
      </c>
      <c r="G29" t="inlineStr">
        <is>
          <t>Insufficient evidence</t>
        </is>
      </c>
      <c r="H29" t="inlineStr">
        <is>
          <t>Insufficient evidence</t>
        </is>
      </c>
      <c r="I29" t="inlineStr">
        <is>
          <t>Insufficient evidence</t>
        </is>
      </c>
      <c r="J29" t="inlineStr">
        <is>
          <t>sin evidencia: Asignacion, Visibilidad</t>
        </is>
      </c>
    </row>
    <row r="30">
      <c r="A30" t="inlineStr">
        <is>
          <t>E6</t>
        </is>
      </c>
      <c r="B30" t="inlineStr">
        <is>
          <t>Multicloud</t>
        </is>
      </c>
      <c r="C30" t="inlineStr">
        <is>
          <t>Cloudability</t>
        </is>
      </c>
      <c r="D30" t="n">
        <v>33.33</v>
      </c>
      <c r="E30" t="n">
        <v>38</v>
      </c>
      <c r="F30" t="inlineStr">
        <is>
          <t>Insufficient evidence</t>
        </is>
      </c>
      <c r="G30" t="inlineStr">
        <is>
          <t>Insufficient evidence</t>
        </is>
      </c>
      <c r="H30" t="inlineStr">
        <is>
          <t>Insufficient evidence</t>
        </is>
      </c>
      <c r="I30" t="inlineStr">
        <is>
          <t>Insufficient evidence</t>
        </is>
      </c>
      <c r="J30" t="inlineStr">
        <is>
          <t>sin evidencia: Visibilidad, Integracion</t>
        </is>
      </c>
    </row>
    <row r="31">
      <c r="A31" t="inlineStr">
        <is>
          <t>E1</t>
        </is>
      </c>
      <c r="B31" t="inlineStr">
        <is>
          <t>Multicloud</t>
        </is>
      </c>
      <c r="C31" t="inlineStr">
        <is>
          <t>CloudHealth</t>
        </is>
      </c>
      <c r="D31" t="n">
        <v>88.89</v>
      </c>
      <c r="E31" t="n">
        <v>93</v>
      </c>
      <c r="F31" t="n">
        <v>56.25</v>
      </c>
      <c r="G31" t="n">
        <v>56.63</v>
      </c>
      <c r="H31" t="inlineStr">
        <is>
          <t>Solid</t>
        </is>
      </c>
      <c r="I31" t="inlineStr">
        <is>
          <t>Solid</t>
        </is>
      </c>
      <c r="J31" t="inlineStr">
        <is>
          <t>-</t>
        </is>
      </c>
    </row>
    <row r="32">
      <c r="A32" t="inlineStr">
        <is>
          <t>E2</t>
        </is>
      </c>
      <c r="B32" t="inlineStr">
        <is>
          <t>Multicloud</t>
        </is>
      </c>
      <c r="C32" t="inlineStr">
        <is>
          <t>CloudHealth</t>
        </is>
      </c>
      <c r="D32" t="n">
        <v>88.89</v>
      </c>
      <c r="E32" t="n">
        <v>93</v>
      </c>
      <c r="F32" t="n">
        <v>56.25</v>
      </c>
      <c r="G32" t="n">
        <v>56.63</v>
      </c>
      <c r="H32" t="inlineStr">
        <is>
          <t>Solid</t>
        </is>
      </c>
      <c r="I32" t="inlineStr">
        <is>
          <t>Solid</t>
        </is>
      </c>
      <c r="J32" t="inlineStr">
        <is>
          <t>-</t>
        </is>
      </c>
    </row>
    <row r="33">
      <c r="A33" t="inlineStr">
        <is>
          <t>E5</t>
        </is>
      </c>
      <c r="B33" t="inlineStr">
        <is>
          <t>Multicloud</t>
        </is>
      </c>
      <c r="C33" t="inlineStr">
        <is>
          <t>CloudHealth</t>
        </is>
      </c>
      <c r="D33" t="n">
        <v>88.89</v>
      </c>
      <c r="E33" t="n">
        <v>93</v>
      </c>
      <c r="F33" t="n">
        <v>56.25</v>
      </c>
      <c r="G33" t="n">
        <v>56.63</v>
      </c>
      <c r="H33" t="inlineStr">
        <is>
          <t>Solid</t>
        </is>
      </c>
      <c r="I33" t="inlineStr">
        <is>
          <t>Solid</t>
        </is>
      </c>
      <c r="J33" t="inlineStr">
        <is>
          <t>-</t>
        </is>
      </c>
    </row>
    <row r="34">
      <c r="A34" t="inlineStr">
        <is>
          <t>E6</t>
        </is>
      </c>
      <c r="B34" t="inlineStr">
        <is>
          <t>Multicloud</t>
        </is>
      </c>
      <c r="C34" t="inlineStr">
        <is>
          <t>CloudHealth</t>
        </is>
      </c>
      <c r="D34" t="n">
        <v>66.67</v>
      </c>
      <c r="E34" t="n">
        <v>68</v>
      </c>
      <c r="F34" t="inlineStr">
        <is>
          <t>Insufficient evidence</t>
        </is>
      </c>
      <c r="G34" t="inlineStr">
        <is>
          <t>Insufficient evidence</t>
        </is>
      </c>
      <c r="H34" t="inlineStr">
        <is>
          <t>Insufficient evidence</t>
        </is>
      </c>
      <c r="I34" t="inlineStr">
        <is>
          <t>Insufficient evidence</t>
        </is>
      </c>
      <c r="J34" t="inlineStr">
        <is>
          <t>sin evidencia: Visibilidad, Integracion</t>
        </is>
      </c>
    </row>
    <row r="35">
      <c r="A35" t="inlineStr">
        <is>
          <t>E1</t>
        </is>
      </c>
      <c r="B35" t="inlineStr">
        <is>
          <t>Multicloud</t>
        </is>
      </c>
      <c r="C35" t="inlineStr">
        <is>
          <t>CloudZero</t>
        </is>
      </c>
      <c r="D35" t="n">
        <v>88.89</v>
      </c>
      <c r="E35" t="n">
        <v>93</v>
      </c>
      <c r="F35" t="n">
        <v>58.33</v>
      </c>
      <c r="G35" t="n">
        <v>59.5</v>
      </c>
      <c r="H35" t="inlineStr">
        <is>
          <t>Solid</t>
        </is>
      </c>
      <c r="I35" t="inlineStr">
        <is>
          <t>Solid</t>
        </is>
      </c>
      <c r="J35" t="inlineStr">
        <is>
          <t>-</t>
        </is>
      </c>
    </row>
    <row r="36">
      <c r="A36" t="inlineStr">
        <is>
          <t>E2</t>
        </is>
      </c>
      <c r="B36" t="inlineStr">
        <is>
          <t>Multicloud</t>
        </is>
      </c>
      <c r="C36" t="inlineStr">
        <is>
          <t>CloudZero</t>
        </is>
      </c>
      <c r="D36" t="n">
        <v>88.89</v>
      </c>
      <c r="E36" t="n">
        <v>93</v>
      </c>
      <c r="F36" t="n">
        <v>58.33</v>
      </c>
      <c r="G36" t="n">
        <v>59.5</v>
      </c>
      <c r="H36" t="inlineStr">
        <is>
          <t>Solid</t>
        </is>
      </c>
      <c r="I36" t="inlineStr">
        <is>
          <t>Solid</t>
        </is>
      </c>
      <c r="J36" t="inlineStr">
        <is>
          <t>-</t>
        </is>
      </c>
    </row>
    <row r="37">
      <c r="A37" t="inlineStr">
        <is>
          <t>E3</t>
        </is>
      </c>
      <c r="B37" t="inlineStr">
        <is>
          <t>Multicloud</t>
        </is>
      </c>
      <c r="C37" t="inlineStr">
        <is>
          <t>CloudZero</t>
        </is>
      </c>
      <c r="D37" t="n">
        <v>77.78</v>
      </c>
      <c r="E37" t="n">
        <v>81</v>
      </c>
      <c r="F37" t="n">
        <v>57.14</v>
      </c>
      <c r="G37" t="n">
        <v>58.44</v>
      </c>
      <c r="H37" t="inlineStr">
        <is>
          <t>Solid</t>
        </is>
      </c>
      <c r="I37" t="inlineStr">
        <is>
          <t>Solid</t>
        </is>
      </c>
      <c r="J37" t="inlineStr">
        <is>
          <t>Automatizacion incumplido</t>
        </is>
      </c>
    </row>
    <row r="38">
      <c r="A38" t="inlineStr">
        <is>
          <t>E5</t>
        </is>
      </c>
      <c r="B38" t="inlineStr">
        <is>
          <t>Multicloud</t>
        </is>
      </c>
      <c r="C38" t="inlineStr">
        <is>
          <t>CloudZero</t>
        </is>
      </c>
      <c r="D38" t="n">
        <v>88.89</v>
      </c>
      <c r="E38" t="n">
        <v>93</v>
      </c>
      <c r="F38" t="n">
        <v>58.33</v>
      </c>
      <c r="G38" t="n">
        <v>59.5</v>
      </c>
      <c r="H38" t="inlineStr">
        <is>
          <t>Solid</t>
        </is>
      </c>
      <c r="I38" t="inlineStr">
        <is>
          <t>Solid</t>
        </is>
      </c>
      <c r="J38" t="inlineStr">
        <is>
          <t>-</t>
        </is>
      </c>
    </row>
    <row r="39">
      <c r="A39" t="inlineStr">
        <is>
          <t>E6</t>
        </is>
      </c>
      <c r="B39" t="inlineStr">
        <is>
          <t>Multicloud</t>
        </is>
      </c>
      <c r="C39" t="inlineStr">
        <is>
          <t>CloudZero</t>
        </is>
      </c>
      <c r="D39" t="n">
        <v>66.67</v>
      </c>
      <c r="E39" t="n">
        <v>68</v>
      </c>
      <c r="F39" t="inlineStr">
        <is>
          <t>Insufficient evidence</t>
        </is>
      </c>
      <c r="G39" t="inlineStr">
        <is>
          <t>Insufficient evidence</t>
        </is>
      </c>
      <c r="H39" t="inlineStr">
        <is>
          <t>Insufficient evidence</t>
        </is>
      </c>
      <c r="I39" t="inlineStr">
        <is>
          <t>Insufficient evidence</t>
        </is>
      </c>
      <c r="J39" t="inlineStr">
        <is>
          <t>sin evidencia: Visibilidad, Integracion</t>
        </is>
      </c>
    </row>
    <row r="40">
      <c r="A40" t="inlineStr">
        <is>
          <t>E1</t>
        </is>
      </c>
      <c r="B40" t="inlineStr">
        <is>
          <t>Multicloud</t>
        </is>
      </c>
      <c r="C40" t="inlineStr">
        <is>
          <t>Vantage</t>
        </is>
      </c>
      <c r="D40" t="n">
        <v>88.89</v>
      </c>
      <c r="E40" t="n">
        <v>93</v>
      </c>
      <c r="F40" t="n">
        <v>66.67</v>
      </c>
      <c r="G40" t="n">
        <v>66.67</v>
      </c>
      <c r="H40" t="inlineStr">
        <is>
          <t>Solid</t>
        </is>
      </c>
      <c r="I40" t="inlineStr">
        <is>
          <t>Solid</t>
        </is>
      </c>
      <c r="J40" t="inlineStr">
        <is>
          <t>-</t>
        </is>
      </c>
    </row>
    <row r="41">
      <c r="A41" t="inlineStr">
        <is>
          <t>E2</t>
        </is>
      </c>
      <c r="B41" t="inlineStr">
        <is>
          <t>Multicloud</t>
        </is>
      </c>
      <c r="C41" t="inlineStr">
        <is>
          <t>Vantage</t>
        </is>
      </c>
      <c r="D41" t="n">
        <v>88.89</v>
      </c>
      <c r="E41" t="n">
        <v>93</v>
      </c>
      <c r="F41" t="n">
        <v>66.67</v>
      </c>
      <c r="G41" t="n">
        <v>66.67</v>
      </c>
      <c r="H41" t="inlineStr">
        <is>
          <t>Solid</t>
        </is>
      </c>
      <c r="I41" t="inlineStr">
        <is>
          <t>Solid</t>
        </is>
      </c>
      <c r="J41" t="inlineStr">
        <is>
          <t>-</t>
        </is>
      </c>
    </row>
    <row r="42">
      <c r="A42" t="inlineStr">
        <is>
          <t>E5</t>
        </is>
      </c>
      <c r="B42" t="inlineStr">
        <is>
          <t>Multicloud</t>
        </is>
      </c>
      <c r="C42" t="inlineStr">
        <is>
          <t>Vantage</t>
        </is>
      </c>
      <c r="D42" t="n">
        <v>88.89</v>
      </c>
      <c r="E42" t="n">
        <v>93</v>
      </c>
      <c r="F42" t="n">
        <v>66.67</v>
      </c>
      <c r="G42" t="n">
        <v>66.67</v>
      </c>
      <c r="H42" t="inlineStr">
        <is>
          <t>Solid</t>
        </is>
      </c>
      <c r="I42" t="inlineStr">
        <is>
          <t>Solid</t>
        </is>
      </c>
      <c r="J42" t="inlineStr">
        <is>
          <t>-</t>
        </is>
      </c>
    </row>
    <row r="43">
      <c r="A43" t="inlineStr">
        <is>
          <t>E6</t>
        </is>
      </c>
      <c r="B43" t="inlineStr">
        <is>
          <t>Multicloud</t>
        </is>
      </c>
      <c r="C43" t="inlineStr">
        <is>
          <t>Vantage</t>
        </is>
      </c>
      <c r="D43" t="n">
        <v>88.89</v>
      </c>
      <c r="E43" t="n">
        <v>93</v>
      </c>
      <c r="F43" t="n">
        <v>66.67</v>
      </c>
      <c r="G43" t="n">
        <v>66.67</v>
      </c>
      <c r="H43" t="inlineStr">
        <is>
          <t>Solid</t>
        </is>
      </c>
      <c r="I43" t="inlineStr">
        <is>
          <t>Solid</t>
        </is>
      </c>
      <c r="J43" t="inlineStr">
        <is>
          <t>-</t>
        </is>
      </c>
    </row>
    <row r="44">
      <c r="A44" t="inlineStr">
        <is>
          <t>E1</t>
        </is>
      </c>
      <c r="B44" t="inlineStr">
        <is>
          <t>Multicloud</t>
        </is>
      </c>
      <c r="C44" t="inlineStr">
        <is>
          <t>Finout</t>
        </is>
      </c>
      <c r="D44" t="n">
        <v>66.67</v>
      </c>
      <c r="E44" t="n">
        <v>71</v>
      </c>
      <c r="F44" t="inlineStr">
        <is>
          <t>Insufficient evidence</t>
        </is>
      </c>
      <c r="G44" t="n">
        <v>60.8</v>
      </c>
      <c r="H44" t="inlineStr">
        <is>
          <t>Insufficient evidence</t>
        </is>
      </c>
      <c r="I44" t="inlineStr">
        <is>
          <t>Solid</t>
        </is>
      </c>
      <c r="J44" t="inlineStr">
        <is>
          <t>-</t>
        </is>
      </c>
    </row>
    <row r="45">
      <c r="A45" t="inlineStr">
        <is>
          <t>E2</t>
        </is>
      </c>
      <c r="B45" t="inlineStr">
        <is>
          <t>Multicloud</t>
        </is>
      </c>
      <c r="C45" t="inlineStr">
        <is>
          <t>Finout</t>
        </is>
      </c>
      <c r="D45" t="n">
        <v>66.67</v>
      </c>
      <c r="E45" t="n">
        <v>71</v>
      </c>
      <c r="F45" t="inlineStr">
        <is>
          <t>Insufficient evidence</t>
        </is>
      </c>
      <c r="G45" t="n">
        <v>60.8</v>
      </c>
      <c r="H45" t="inlineStr">
        <is>
          <t>Insufficient evidence</t>
        </is>
      </c>
      <c r="I45" t="inlineStr">
        <is>
          <t>Sin banda (critico sin evidencia)</t>
        </is>
      </c>
      <c r="J45" t="inlineStr">
        <is>
          <t>sin evidencia: Precio</t>
        </is>
      </c>
    </row>
    <row r="46">
      <c r="A46" t="inlineStr">
        <is>
          <t>E5</t>
        </is>
      </c>
      <c r="B46" t="inlineStr">
        <is>
          <t>Multicloud</t>
        </is>
      </c>
      <c r="C46" t="inlineStr">
        <is>
          <t>Finout</t>
        </is>
      </c>
      <c r="D46" t="n">
        <v>55.56</v>
      </c>
      <c r="E46" t="n">
        <v>56</v>
      </c>
      <c r="F46" t="inlineStr">
        <is>
          <t>Insufficient evidence</t>
        </is>
      </c>
      <c r="G46" t="inlineStr">
        <is>
          <t>Insufficient evidence</t>
        </is>
      </c>
      <c r="H46" t="inlineStr">
        <is>
          <t>Insufficient evidence</t>
        </is>
      </c>
      <c r="I46" t="inlineStr">
        <is>
          <t>Insufficient evidence</t>
        </is>
      </c>
      <c r="J46" t="inlineStr">
        <is>
          <t>sin evidencia: Asignacion</t>
        </is>
      </c>
    </row>
    <row r="47">
      <c r="A47" t="inlineStr">
        <is>
          <t>E6</t>
        </is>
      </c>
      <c r="B47" t="inlineStr">
        <is>
          <t>Multicloud</t>
        </is>
      </c>
      <c r="C47" t="inlineStr">
        <is>
          <t>Finout</t>
        </is>
      </c>
      <c r="D47" t="n">
        <v>44.44</v>
      </c>
      <c r="E47" t="n">
        <v>46</v>
      </c>
      <c r="F47" t="inlineStr">
        <is>
          <t>Insufficient evidence</t>
        </is>
      </c>
      <c r="G47" t="inlineStr">
        <is>
          <t>Insufficient evidence</t>
        </is>
      </c>
      <c r="H47" t="inlineStr">
        <is>
          <t>Insufficient evidence</t>
        </is>
      </c>
      <c r="I47" t="inlineStr">
        <is>
          <t>Insufficient evidence</t>
        </is>
      </c>
      <c r="J47" t="inlineStr">
        <is>
          <t>sin evidencia: Visibilidad, Integracion</t>
        </is>
      </c>
    </row>
    <row r="48">
      <c r="A48" t="inlineStr">
        <is>
          <t>E1</t>
        </is>
      </c>
      <c r="B48" t="inlineStr">
        <is>
          <t>Multicloud</t>
        </is>
      </c>
      <c r="C48" t="inlineStr">
        <is>
          <t>nOps</t>
        </is>
      </c>
      <c r="D48" t="n">
        <v>77.78</v>
      </c>
      <c r="E48" t="n">
        <v>83</v>
      </c>
      <c r="F48" t="n">
        <v>59.52</v>
      </c>
      <c r="G48" t="n">
        <v>58.84</v>
      </c>
      <c r="H48" t="inlineStr">
        <is>
          <t>Solid</t>
        </is>
      </c>
      <c r="I48" t="inlineStr">
        <is>
          <t>Solid</t>
        </is>
      </c>
      <c r="J48" t="inlineStr">
        <is>
          <t>-</t>
        </is>
      </c>
    </row>
    <row r="49">
      <c r="A49" t="inlineStr">
        <is>
          <t>E2</t>
        </is>
      </c>
      <c r="B49" t="inlineStr">
        <is>
          <t>Multicloud</t>
        </is>
      </c>
      <c r="C49" t="inlineStr">
        <is>
          <t>nOps</t>
        </is>
      </c>
      <c r="D49" t="n">
        <v>77.78</v>
      </c>
      <c r="E49" t="n">
        <v>83</v>
      </c>
      <c r="F49" t="n">
        <v>59.52</v>
      </c>
      <c r="G49" t="n">
        <v>58.84</v>
      </c>
      <c r="H49" t="inlineStr">
        <is>
          <t>Solid</t>
        </is>
      </c>
      <c r="I49" t="inlineStr">
        <is>
          <t>Solid</t>
        </is>
      </c>
      <c r="J49" t="inlineStr">
        <is>
          <t>-</t>
        </is>
      </c>
    </row>
    <row r="50">
      <c r="A50" t="inlineStr">
        <is>
          <t>E5</t>
        </is>
      </c>
      <c r="B50" t="inlineStr">
        <is>
          <t>Multicloud</t>
        </is>
      </c>
      <c r="C50" t="inlineStr">
        <is>
          <t>nOps</t>
        </is>
      </c>
      <c r="D50" t="n">
        <v>66.67</v>
      </c>
      <c r="E50" t="n">
        <v>68</v>
      </c>
      <c r="F50" t="inlineStr">
        <is>
          <t>Insufficient evidence</t>
        </is>
      </c>
      <c r="G50" t="inlineStr">
        <is>
          <t>Insufficient evidence</t>
        </is>
      </c>
      <c r="H50" t="inlineStr">
        <is>
          <t>Insufficient evidence</t>
        </is>
      </c>
      <c r="I50" t="inlineStr">
        <is>
          <t>Insufficient evidence</t>
        </is>
      </c>
      <c r="J50" t="inlineStr">
        <is>
          <t>sin evidencia: Asignacion</t>
        </is>
      </c>
    </row>
    <row r="51">
      <c r="A51" t="inlineStr">
        <is>
          <t>E6</t>
        </is>
      </c>
      <c r="B51" t="inlineStr">
        <is>
          <t>Multicloud</t>
        </is>
      </c>
      <c r="C51" t="inlineStr">
        <is>
          <t>nOps</t>
        </is>
      </c>
      <c r="D51" t="n">
        <v>66.67</v>
      </c>
      <c r="E51" t="n">
        <v>68</v>
      </c>
      <c r="F51" t="inlineStr">
        <is>
          <t>Insufficient evidence</t>
        </is>
      </c>
      <c r="G51" t="inlineStr">
        <is>
          <t>Insufficient evidence</t>
        </is>
      </c>
      <c r="H51" t="inlineStr">
        <is>
          <t>Insufficient evidence</t>
        </is>
      </c>
      <c r="I51" t="inlineStr">
        <is>
          <t>Insufficient evidence</t>
        </is>
      </c>
      <c r="J51" t="inlineStr">
        <is>
          <t>sin evidencia: Visibilidad, Integracion</t>
        </is>
      </c>
    </row>
    <row r="52">
      <c r="A52" t="inlineStr">
        <is>
          <t>E3</t>
        </is>
      </c>
      <c r="B52" t="inlineStr">
        <is>
          <t>Kubernetes</t>
        </is>
      </c>
      <c r="C52" t="inlineStr">
        <is>
          <t>OpenCost</t>
        </is>
      </c>
      <c r="D52" t="n">
        <v>77.78</v>
      </c>
      <c r="E52" t="n">
        <v>80</v>
      </c>
      <c r="F52" t="n">
        <v>33.33</v>
      </c>
      <c r="G52" t="n">
        <v>34.58</v>
      </c>
      <c r="H52" t="inlineStr">
        <is>
          <t>Basic</t>
        </is>
      </c>
      <c r="I52" t="inlineStr">
        <is>
          <t>Basic</t>
        </is>
      </c>
      <c r="J52" t="inlineStr">
        <is>
          <t>Optimizacion incumplido, Automatizacion incumplido</t>
        </is>
      </c>
    </row>
    <row r="53">
      <c r="A53" t="inlineStr">
        <is>
          <t>E5</t>
        </is>
      </c>
      <c r="B53" t="inlineStr">
        <is>
          <t>Kubernetes</t>
        </is>
      </c>
      <c r="C53" t="inlineStr">
        <is>
          <t>OpenCost</t>
        </is>
      </c>
      <c r="D53" t="n">
        <v>66.67</v>
      </c>
      <c r="E53" t="n">
        <v>65</v>
      </c>
      <c r="F53" t="inlineStr">
        <is>
          <t>Insufficient evidence</t>
        </is>
      </c>
      <c r="G53" t="inlineStr">
        <is>
          <t>Insufficient evidence</t>
        </is>
      </c>
      <c r="H53" t="inlineStr">
        <is>
          <t>Insufficient evidence</t>
        </is>
      </c>
      <c r="I53" t="inlineStr">
        <is>
          <t>Insufficient evidence</t>
        </is>
      </c>
      <c r="J53" t="inlineStr">
        <is>
          <t>sin evidencia: Asignacion</t>
        </is>
      </c>
    </row>
    <row r="54">
      <c r="A54" t="inlineStr">
        <is>
          <t>E3</t>
        </is>
      </c>
      <c r="B54" t="inlineStr">
        <is>
          <t>Kubernetes</t>
        </is>
      </c>
      <c r="C54" t="inlineStr">
        <is>
          <t>Kubecost</t>
        </is>
      </c>
      <c r="D54" t="n">
        <v>77.78</v>
      </c>
      <c r="E54" t="n">
        <v>80</v>
      </c>
      <c r="F54" t="n">
        <v>50</v>
      </c>
      <c r="G54" t="n">
        <v>50.62</v>
      </c>
      <c r="H54" t="inlineStr">
        <is>
          <t>Solid</t>
        </is>
      </c>
      <c r="I54" t="inlineStr">
        <is>
          <t>Solid</t>
        </is>
      </c>
      <c r="J54" t="inlineStr">
        <is>
          <t>-</t>
        </is>
      </c>
    </row>
    <row r="55">
      <c r="A55" t="inlineStr">
        <is>
          <t>E5</t>
        </is>
      </c>
      <c r="B55" t="inlineStr">
        <is>
          <t>Kubernetes</t>
        </is>
      </c>
      <c r="C55" t="inlineStr">
        <is>
          <t>Kubecost</t>
        </is>
      </c>
      <c r="D55" t="n">
        <v>44.44</v>
      </c>
      <c r="E55" t="n">
        <v>48</v>
      </c>
      <c r="F55" t="inlineStr">
        <is>
          <t>Insufficient evidence</t>
        </is>
      </c>
      <c r="G55" t="inlineStr">
        <is>
          <t>Insufficient evidence</t>
        </is>
      </c>
      <c r="H55" t="inlineStr">
        <is>
          <t>Insufficient evidence</t>
        </is>
      </c>
      <c r="I55" t="inlineStr">
        <is>
          <t>Insufficient evidence</t>
        </is>
      </c>
      <c r="J55" t="inlineStr">
        <is>
          <t>sin evidencia: Asignacion</t>
        </is>
      </c>
    </row>
    <row r="56">
      <c r="A56" t="inlineStr">
        <is>
          <t>E3</t>
        </is>
      </c>
      <c r="B56" t="inlineStr">
        <is>
          <t>Kubernetes</t>
        </is>
      </c>
      <c r="C56" t="inlineStr">
        <is>
          <t>Cast AI</t>
        </is>
      </c>
      <c r="D56" t="n">
        <v>55.56</v>
      </c>
      <c r="E56" t="n">
        <v>58</v>
      </c>
      <c r="F56" t="inlineStr">
        <is>
          <t>Insufficient evidence</t>
        </is>
      </c>
      <c r="G56" t="inlineStr">
        <is>
          <t>Insufficient evidence</t>
        </is>
      </c>
      <c r="H56" t="inlineStr">
        <is>
          <t>Insufficient evidence</t>
        </is>
      </c>
      <c r="I56" t="inlineStr">
        <is>
          <t>Insufficient evidence</t>
        </is>
      </c>
      <c r="J56" t="inlineStr">
        <is>
          <t>-</t>
        </is>
      </c>
    </row>
    <row r="57">
      <c r="A57" t="inlineStr">
        <is>
          <t>E5</t>
        </is>
      </c>
      <c r="B57" t="inlineStr">
        <is>
          <t>Kubernetes</t>
        </is>
      </c>
      <c r="C57" t="inlineStr">
        <is>
          <t>Cast AI</t>
        </is>
      </c>
      <c r="D57" t="n">
        <v>44.44</v>
      </c>
      <c r="E57" t="n">
        <v>43</v>
      </c>
      <c r="F57" t="inlineStr">
        <is>
          <t>Insufficient evidence</t>
        </is>
      </c>
      <c r="G57" t="inlineStr">
        <is>
          <t>Insufficient evidence</t>
        </is>
      </c>
      <c r="H57" t="inlineStr">
        <is>
          <t>Insufficient evidence</t>
        </is>
      </c>
      <c r="I57" t="inlineStr">
        <is>
          <t>Insufficient evidence</t>
        </is>
      </c>
      <c r="J57" t="inlineStr">
        <is>
          <t>sin evidencia: Asignacion, Visibilidad</t>
        </is>
      </c>
    </row>
    <row r="58">
      <c r="A58" t="inlineStr">
        <is>
          <t>E3</t>
        </is>
      </c>
      <c r="B58" t="inlineStr">
        <is>
          <t>Kubernetes</t>
        </is>
      </c>
      <c r="C58" t="inlineStr">
        <is>
          <t>StormForge</t>
        </is>
      </c>
      <c r="D58" t="n">
        <v>33.33</v>
      </c>
      <c r="E58" t="n">
        <v>35</v>
      </c>
      <c r="F58" t="inlineStr">
        <is>
          <t>Insufficient evidence</t>
        </is>
      </c>
      <c r="G58" t="inlineStr">
        <is>
          <t>Insufficient evidence</t>
        </is>
      </c>
      <c r="H58" t="inlineStr">
        <is>
          <t>Insufficient evidence</t>
        </is>
      </c>
      <c r="I58" t="inlineStr">
        <is>
          <t>Insufficient evidence</t>
        </is>
      </c>
      <c r="J58" t="inlineStr">
        <is>
          <t>-</t>
        </is>
      </c>
    </row>
    <row r="59">
      <c r="A59" t="inlineStr">
        <is>
          <t>E5</t>
        </is>
      </c>
      <c r="B59" t="inlineStr">
        <is>
          <t>Kubernetes</t>
        </is>
      </c>
      <c r="C59" t="inlineStr">
        <is>
          <t>StormForge</t>
        </is>
      </c>
      <c r="D59" t="n">
        <v>33.33</v>
      </c>
      <c r="E59" t="n">
        <v>35</v>
      </c>
      <c r="F59" t="inlineStr">
        <is>
          <t>Insufficient evidence</t>
        </is>
      </c>
      <c r="G59" t="inlineStr">
        <is>
          <t>Insufficient evidence</t>
        </is>
      </c>
      <c r="H59" t="inlineStr">
        <is>
          <t>Insufficient evidence</t>
        </is>
      </c>
      <c r="I59" t="inlineStr">
        <is>
          <t>Insufficient evidence</t>
        </is>
      </c>
      <c r="J59" t="inlineStr">
        <is>
          <t>sin evidencia: Asignacion, Visibilidad</t>
        </is>
      </c>
    </row>
    <row r="60">
      <c r="A60" t="inlineStr">
        <is>
          <t>E4</t>
        </is>
      </c>
      <c r="B60" t="inlineStr">
        <is>
          <t>Estimacion temprana</t>
        </is>
      </c>
      <c r="C60" t="inlineStr">
        <is>
          <t>Infracost</t>
        </is>
      </c>
      <c r="D60" t="n">
        <v>75</v>
      </c>
      <c r="E60" t="n">
        <v>82.34999999999999</v>
      </c>
      <c r="F60" t="n">
        <v>47.22</v>
      </c>
      <c r="G60" t="n">
        <v>49.76</v>
      </c>
      <c r="H60" t="inlineStr">
        <is>
          <t>Basic</t>
        </is>
      </c>
      <c r="I60" t="inlineStr">
        <is>
          <t>Basic</t>
        </is>
      </c>
      <c r="J60" t="inlineStr">
        <is>
          <t>-</t>
        </is>
      </c>
    </row>
    <row r="61">
      <c r="A61" t="inlineStr">
        <is>
          <t>E4</t>
        </is>
      </c>
      <c r="B61" t="inlineStr">
        <is>
          <t>Estimacion temprana</t>
        </is>
      </c>
      <c r="C61" t="inlineStr">
        <is>
          <t>Cloud Custodian</t>
        </is>
      </c>
      <c r="D61" t="n">
        <v>77.78</v>
      </c>
      <c r="E61" t="n">
        <v>85</v>
      </c>
      <c r="F61" t="n">
        <v>19.05</v>
      </c>
      <c r="G61" t="n">
        <v>16.67</v>
      </c>
      <c r="H61" t="inlineStr">
        <is>
          <t>Basic</t>
        </is>
      </c>
      <c r="I61" t="inlineStr">
        <is>
          <t>Basic</t>
        </is>
      </c>
      <c r="J61" t="inlineStr">
        <is>
          <t>Precio incumplido</t>
        </is>
      </c>
    </row>
    <row r="62">
      <c r="A62" t="inlineStr">
        <is>
          <t>VALIDACION</t>
        </is>
      </c>
      <c r="B62" t="inlineStr">
        <is>
          <t>Ejemplo sintético FP-177</t>
        </is>
      </c>
      <c r="C62" t="inlineStr">
        <is>
          <t>Herramienta Aurora (no es un producto real)</t>
        </is>
      </c>
      <c r="D62" t="n">
        <v>100</v>
      </c>
      <c r="E62" t="n">
        <v>100</v>
      </c>
      <c r="F62" t="n">
        <v>51.85</v>
      </c>
      <c r="G62" t="n">
        <v>54</v>
      </c>
      <c r="H62" t="inlineStr">
        <is>
          <t>Solid</t>
        </is>
      </c>
      <c r="I62" t="inlineStr">
        <is>
          <t>Solid</t>
        </is>
      </c>
      <c r="J62" t="inlineStr">
        <is>
          <t>-</t>
        </is>
      </c>
    </row>
    <row r="63">
      <c r="A63" t="inlineStr">
        <is>
          <t>E1</t>
        </is>
      </c>
      <c r="B63" t="inlineStr">
        <is>
          <t>Cloud nativa</t>
        </is>
      </c>
      <c r="C63" t="inlineStr">
        <is>
          <t>OCI Cost Analysis</t>
        </is>
      </c>
      <c r="D63" t="n">
        <v>55.56</v>
      </c>
      <c r="E63" t="n">
        <v>56</v>
      </c>
      <c r="F63" t="inlineStr">
        <is>
          <t>Insufficient evidence</t>
        </is>
      </c>
      <c r="G63" t="inlineStr">
        <is>
          <t>Insufficient evidence</t>
        </is>
      </c>
      <c r="H63" t="inlineStr">
        <is>
          <t>Insufficient evidence</t>
        </is>
      </c>
      <c r="I63" t="inlineStr">
        <is>
          <t>Insufficient evidence</t>
        </is>
      </c>
      <c r="J63" t="inlineStr">
        <is>
          <t>sin evidencia: Asignacion</t>
        </is>
      </c>
    </row>
    <row r="64">
      <c r="A64" t="inlineStr">
        <is>
          <t>E2</t>
        </is>
      </c>
      <c r="B64" t="inlineStr">
        <is>
          <t>Cloud nativa</t>
        </is>
      </c>
      <c r="C64" t="inlineStr">
        <is>
          <t>OCI Cost Analysis</t>
        </is>
      </c>
      <c r="D64" t="n">
        <v>0</v>
      </c>
      <c r="E64" t="n">
        <v>0</v>
      </c>
      <c r="F64" t="inlineStr">
        <is>
          <t>Insufficient evidence</t>
        </is>
      </c>
      <c r="G64" t="inlineStr">
        <is>
          <t>Insufficient evidence</t>
        </is>
      </c>
      <c r="H64" t="inlineStr">
        <is>
          <t>Insufficient evidence</t>
        </is>
      </c>
      <c r="I64" t="inlineStr">
        <is>
          <t>Insufficient evidence</t>
        </is>
      </c>
      <c r="J64" t="inlineStr">
        <is>
          <t>sin evidencia: Precio</t>
        </is>
      </c>
    </row>
    <row r="65">
      <c r="A65" t="inlineStr">
        <is>
          <t>E3</t>
        </is>
      </c>
      <c r="B65" t="inlineStr">
        <is>
          <t>Cloud nativa</t>
        </is>
      </c>
      <c r="C65" t="inlineStr">
        <is>
          <t>OCI Cost Analysis</t>
        </is>
      </c>
      <c r="D65" t="n">
        <v>11.11</v>
      </c>
      <c r="E65" t="n">
        <v>8</v>
      </c>
      <c r="F65" t="inlineStr">
        <is>
          <t>Insufficient evidence</t>
        </is>
      </c>
      <c r="G65" t="inlineStr">
        <is>
          <t>Insufficient evidence</t>
        </is>
      </c>
      <c r="H65" t="inlineStr">
        <is>
          <t>Insufficient evidence</t>
        </is>
      </c>
      <c r="I65" t="inlineStr">
        <is>
          <t>Insufficient evidence</t>
        </is>
      </c>
      <c r="J65" t="inlineStr">
        <is>
          <t>sin evidencia: Optimizacion, Automatizacion</t>
        </is>
      </c>
    </row>
    <row r="66">
      <c r="A66" t="inlineStr">
        <is>
          <t>E5</t>
        </is>
      </c>
      <c r="B66" t="inlineStr">
        <is>
          <t>Cloud nativa</t>
        </is>
      </c>
      <c r="C66" t="inlineStr">
        <is>
          <t>OCI Cost Analysis</t>
        </is>
      </c>
      <c r="D66" t="n">
        <v>55.56</v>
      </c>
      <c r="E66" t="n">
        <v>56</v>
      </c>
      <c r="F66" t="inlineStr">
        <is>
          <t>Insufficient evidence</t>
        </is>
      </c>
      <c r="G66" t="inlineStr">
        <is>
          <t>Insufficient evidence</t>
        </is>
      </c>
      <c r="H66" t="inlineStr">
        <is>
          <t>Insufficient evidence</t>
        </is>
      </c>
      <c r="I66" t="inlineStr">
        <is>
          <t>Insufficient evidence</t>
        </is>
      </c>
      <c r="J66" t="inlineStr">
        <is>
          <t>sin evidencia: Asignacion</t>
        </is>
      </c>
    </row>
    <row r="67">
      <c r="A67" t="inlineStr">
        <is>
          <t>E6</t>
        </is>
      </c>
      <c r="B67" t="inlineStr">
        <is>
          <t>Cloud nativa</t>
        </is>
      </c>
      <c r="C67" t="inlineStr">
        <is>
          <t>OCI Cost Analysis</t>
        </is>
      </c>
      <c r="D67" t="n">
        <v>33.33</v>
      </c>
      <c r="E67" t="n">
        <v>31</v>
      </c>
      <c r="F67" t="inlineStr">
        <is>
          <t>Insufficient evidence</t>
        </is>
      </c>
      <c r="G67" t="inlineStr">
        <is>
          <t>Insufficient evidence</t>
        </is>
      </c>
      <c r="H67" t="inlineStr">
        <is>
          <t>Insufficient evidence</t>
        </is>
      </c>
      <c r="I67" t="inlineStr">
        <is>
          <t>Insufficient evidence</t>
        </is>
      </c>
      <c r="J67" t="inlineStr">
        <is>
          <t>sin evidencia: Visibilidad, Integracion</t>
        </is>
      </c>
    </row>
    <row r="68">
      <c r="A68" t="inlineStr">
        <is>
          <t>E1</t>
        </is>
      </c>
      <c r="B68" t="inlineStr">
        <is>
          <t>Cloud nativa</t>
        </is>
      </c>
      <c r="C68" t="inlineStr">
        <is>
          <t>IBM Cloud Cost Estimator</t>
        </is>
      </c>
      <c r="D68" t="n">
        <v>66.67</v>
      </c>
      <c r="E68" t="n">
        <v>70</v>
      </c>
      <c r="F68" t="inlineStr">
        <is>
          <t>Insufficient evidence</t>
        </is>
      </c>
      <c r="G68" t="n">
        <v>20.95</v>
      </c>
      <c r="H68" t="inlineStr">
        <is>
          <t>Insufficient evidence</t>
        </is>
      </c>
      <c r="I68" t="inlineStr">
        <is>
          <t>Basic</t>
        </is>
      </c>
      <c r="J68" t="inlineStr">
        <is>
          <t>Visibilidad incumplido, Asignacion incumplido</t>
        </is>
      </c>
    </row>
    <row r="69">
      <c r="A69" t="inlineStr">
        <is>
          <t>E2</t>
        </is>
      </c>
      <c r="B69" t="inlineStr">
        <is>
          <t>Cloud nativa</t>
        </is>
      </c>
      <c r="C69" t="inlineStr">
        <is>
          <t>IBM Cloud Cost Estimator</t>
        </is>
      </c>
      <c r="D69" t="n">
        <v>0</v>
      </c>
      <c r="E69" t="n">
        <v>0</v>
      </c>
      <c r="F69" t="inlineStr">
        <is>
          <t>Insufficient evidence</t>
        </is>
      </c>
      <c r="G69" t="inlineStr">
        <is>
          <t>Insufficient evidence</t>
        </is>
      </c>
      <c r="H69" t="inlineStr">
        <is>
          <t>Insufficient evidence</t>
        </is>
      </c>
      <c r="I69" t="inlineStr">
        <is>
          <t>Insufficient evidence</t>
        </is>
      </c>
      <c r="J69" t="inlineStr">
        <is>
          <t>sin evidencia: Precio</t>
        </is>
      </c>
    </row>
    <row r="70">
      <c r="A70" t="inlineStr">
        <is>
          <t>E3</t>
        </is>
      </c>
      <c r="B70" t="inlineStr">
        <is>
          <t>Cloud nativa</t>
        </is>
      </c>
      <c r="C70" t="inlineStr">
        <is>
          <t>IBM Cloud Cost Estimator</t>
        </is>
      </c>
      <c r="D70" t="n">
        <v>11.11</v>
      </c>
      <c r="E70" t="n">
        <v>8</v>
      </c>
      <c r="F70" t="inlineStr">
        <is>
          <t>Insufficient evidence</t>
        </is>
      </c>
      <c r="G70" t="inlineStr">
        <is>
          <t>Insufficient evidence</t>
        </is>
      </c>
      <c r="H70" t="inlineStr">
        <is>
          <t>Insufficient evidence</t>
        </is>
      </c>
      <c r="I70" t="inlineStr">
        <is>
          <t>Insufficient evidence</t>
        </is>
      </c>
      <c r="J70" t="inlineStr">
        <is>
          <t>sin evidencia: Optimizacion, Automatizacion</t>
        </is>
      </c>
    </row>
    <row r="71">
      <c r="A71" t="inlineStr">
        <is>
          <t>E5</t>
        </is>
      </c>
      <c r="B71" t="inlineStr">
        <is>
          <t>Cloud nativa</t>
        </is>
      </c>
      <c r="C71" t="inlineStr">
        <is>
          <t>IBM Cloud Cost Estimator</t>
        </is>
      </c>
      <c r="D71" t="n">
        <v>55.56</v>
      </c>
      <c r="E71" t="n">
        <v>55</v>
      </c>
      <c r="F71" t="inlineStr">
        <is>
          <t>Insufficient evidence</t>
        </is>
      </c>
      <c r="G71" t="inlineStr">
        <is>
          <t>Insufficient evidence</t>
        </is>
      </c>
      <c r="H71" t="inlineStr">
        <is>
          <t>Insufficient evidence</t>
        </is>
      </c>
      <c r="I71" t="inlineStr">
        <is>
          <t>Insufficient evidence</t>
        </is>
      </c>
      <c r="J71" t="inlineStr">
        <is>
          <t>Visibilidad incumplido | sin evidencia: Asignacion</t>
        </is>
      </c>
    </row>
    <row r="72">
      <c r="A72" t="inlineStr">
        <is>
          <t>E6</t>
        </is>
      </c>
      <c r="B72" t="inlineStr">
        <is>
          <t>Cloud nativa</t>
        </is>
      </c>
      <c r="C72" t="inlineStr">
        <is>
          <t>IBM Cloud Cost Estimator</t>
        </is>
      </c>
      <c r="D72" t="n">
        <v>44.44</v>
      </c>
      <c r="E72" t="n">
        <v>45</v>
      </c>
      <c r="F72" t="inlineStr">
        <is>
          <t>Insufficient evidence</t>
        </is>
      </c>
      <c r="G72" t="inlineStr">
        <is>
          <t>Insufficient evidence</t>
        </is>
      </c>
      <c r="H72" t="inlineStr">
        <is>
          <t>Insufficient evidence</t>
        </is>
      </c>
      <c r="I72" t="inlineStr">
        <is>
          <t>Insufficient evidence</t>
        </is>
      </c>
      <c r="J72" t="inlineStr">
        <is>
          <t>sin evidencia: Visibilidad, Integracion</t>
        </is>
      </c>
    </row>
    <row r="73">
      <c r="A73" t="inlineStr">
        <is>
          <t>E1</t>
        </is>
      </c>
      <c r="B73" t="inlineStr">
        <is>
          <t>Multicloud</t>
        </is>
      </c>
      <c r="C73" t="inlineStr">
        <is>
          <t>Harness Cloud Cost Management</t>
        </is>
      </c>
      <c r="D73" t="n">
        <v>11.11</v>
      </c>
      <c r="E73" t="n">
        <v>10</v>
      </c>
      <c r="F73" t="inlineStr">
        <is>
          <t>Insufficient evidence</t>
        </is>
      </c>
      <c r="G73" t="inlineStr">
        <is>
          <t>Insufficient evidence</t>
        </is>
      </c>
      <c r="H73" t="inlineStr">
        <is>
          <t>Insufficient evidence</t>
        </is>
      </c>
      <c r="I73" t="inlineStr">
        <is>
          <t>Insufficient evidence</t>
        </is>
      </c>
      <c r="J73" t="inlineStr">
        <is>
          <t>sin evidencia: Visibilidad, Asignacion</t>
        </is>
      </c>
    </row>
    <row r="74">
      <c r="A74" t="inlineStr">
        <is>
          <t>E2</t>
        </is>
      </c>
      <c r="B74" t="inlineStr">
        <is>
          <t>Multicloud</t>
        </is>
      </c>
      <c r="C74" t="inlineStr">
        <is>
          <t>Harness Cloud Cost Management</t>
        </is>
      </c>
      <c r="D74" t="n">
        <v>11.11</v>
      </c>
      <c r="E74" t="n">
        <v>10</v>
      </c>
      <c r="F74" t="inlineStr">
        <is>
          <t>Insufficient evidence</t>
        </is>
      </c>
      <c r="G74" t="inlineStr">
        <is>
          <t>Insufficient evidence</t>
        </is>
      </c>
      <c r="H74" t="inlineStr">
        <is>
          <t>Insufficient evidence</t>
        </is>
      </c>
      <c r="I74" t="inlineStr">
        <is>
          <t>Insufficient evidence</t>
        </is>
      </c>
      <c r="J74" t="inlineStr">
        <is>
          <t>sin evidencia: Multicloud, Precio</t>
        </is>
      </c>
    </row>
    <row r="75">
      <c r="A75" t="inlineStr">
        <is>
          <t>E5</t>
        </is>
      </c>
      <c r="B75" t="inlineStr">
        <is>
          <t>Multicloud</t>
        </is>
      </c>
      <c r="C75" t="inlineStr">
        <is>
          <t>Harness Cloud Cost Management</t>
        </is>
      </c>
      <c r="D75" t="n">
        <v>11.11</v>
      </c>
      <c r="E75" t="n">
        <v>10</v>
      </c>
      <c r="F75" t="inlineStr">
        <is>
          <t>Insufficient evidence</t>
        </is>
      </c>
      <c r="G75" t="inlineStr">
        <is>
          <t>Insufficient evidence</t>
        </is>
      </c>
      <c r="H75" t="inlineStr">
        <is>
          <t>Insufficient evidence</t>
        </is>
      </c>
      <c r="I75" t="inlineStr">
        <is>
          <t>Insufficient evidence</t>
        </is>
      </c>
      <c r="J75" t="inlineStr">
        <is>
          <t>sin evidencia: Asignacion, Visibilidad</t>
        </is>
      </c>
    </row>
    <row r="76">
      <c r="A76" t="inlineStr">
        <is>
          <t>E6</t>
        </is>
      </c>
      <c r="B76" t="inlineStr">
        <is>
          <t>Multicloud</t>
        </is>
      </c>
      <c r="C76" t="inlineStr">
        <is>
          <t>Harness Cloud Cost Management</t>
        </is>
      </c>
      <c r="D76" t="n">
        <v>0</v>
      </c>
      <c r="E76" t="n">
        <v>0</v>
      </c>
      <c r="F76" t="inlineStr">
        <is>
          <t>Insufficient evidence</t>
        </is>
      </c>
      <c r="G76" t="inlineStr">
        <is>
          <t>Insufficient evidence</t>
        </is>
      </c>
      <c r="H76" t="inlineStr">
        <is>
          <t>Insufficient evidence</t>
        </is>
      </c>
      <c r="I76" t="inlineStr">
        <is>
          <t>Insufficient evidence</t>
        </is>
      </c>
      <c r="J76" t="inlineStr">
        <is>
          <t>sin evidencia: Visibilidad, Integracion</t>
        </is>
      </c>
    </row>
    <row r="77">
      <c r="A77" t="inlineStr">
        <is>
          <t>E1</t>
        </is>
      </c>
      <c r="B77" t="inlineStr">
        <is>
          <t>Multicloud</t>
        </is>
      </c>
      <c r="C77" t="inlineStr">
        <is>
          <t>Densify</t>
        </is>
      </c>
      <c r="D77" t="n">
        <v>33.33</v>
      </c>
      <c r="E77" t="n">
        <v>38</v>
      </c>
      <c r="F77" t="inlineStr">
        <is>
          <t>Insufficient evidence</t>
        </is>
      </c>
      <c r="G77" t="inlineStr">
        <is>
          <t>Insufficient evidence</t>
        </is>
      </c>
      <c r="H77" t="inlineStr">
        <is>
          <t>Insufficient evidence</t>
        </is>
      </c>
      <c r="I77" t="inlineStr">
        <is>
          <t>Insufficient evidence</t>
        </is>
      </c>
      <c r="J77" t="inlineStr">
        <is>
          <t>Visibilidad incumplido, Asignacion incumplido</t>
        </is>
      </c>
    </row>
    <row r="78">
      <c r="A78" t="inlineStr">
        <is>
          <t>E2</t>
        </is>
      </c>
      <c r="B78" t="inlineStr">
        <is>
          <t>Multicloud</t>
        </is>
      </c>
      <c r="C78" t="inlineStr">
        <is>
          <t>Densify</t>
        </is>
      </c>
      <c r="D78" t="n">
        <v>33.33</v>
      </c>
      <c r="E78" t="n">
        <v>38</v>
      </c>
      <c r="F78" t="inlineStr">
        <is>
          <t>Insufficient evidence</t>
        </is>
      </c>
      <c r="G78" t="inlineStr">
        <is>
          <t>Insufficient evidence</t>
        </is>
      </c>
      <c r="H78" t="inlineStr">
        <is>
          <t>Insufficient evidence</t>
        </is>
      </c>
      <c r="I78" t="inlineStr">
        <is>
          <t>Insufficient evidence</t>
        </is>
      </c>
      <c r="J78" t="inlineStr">
        <is>
          <t>Multicloud incumplido | sin evidencia: Precio</t>
        </is>
      </c>
    </row>
    <row r="79">
      <c r="A79" t="inlineStr">
        <is>
          <t>E5</t>
        </is>
      </c>
      <c r="B79" t="inlineStr">
        <is>
          <t>Multicloud</t>
        </is>
      </c>
      <c r="C79" t="inlineStr">
        <is>
          <t>Densify</t>
        </is>
      </c>
      <c r="D79" t="n">
        <v>22.22</v>
      </c>
      <c r="E79" t="n">
        <v>23</v>
      </c>
      <c r="F79" t="inlineStr">
        <is>
          <t>Insufficient evidence</t>
        </is>
      </c>
      <c r="G79" t="inlineStr">
        <is>
          <t>Insufficient evidence</t>
        </is>
      </c>
      <c r="H79" t="inlineStr">
        <is>
          <t>Insufficient evidence</t>
        </is>
      </c>
      <c r="I79" t="inlineStr">
        <is>
          <t>Insufficient evidence</t>
        </is>
      </c>
      <c r="J79" t="inlineStr">
        <is>
          <t>Visibilidad incumplido | sin evidencia: Asignacion</t>
        </is>
      </c>
    </row>
    <row r="80">
      <c r="A80" t="inlineStr">
        <is>
          <t>E6</t>
        </is>
      </c>
      <c r="B80" t="inlineStr">
        <is>
          <t>Multicloud</t>
        </is>
      </c>
      <c r="C80" t="inlineStr">
        <is>
          <t>Densify</t>
        </is>
      </c>
      <c r="D80" t="n">
        <v>22.22</v>
      </c>
      <c r="E80" t="n">
        <v>23</v>
      </c>
      <c r="F80" t="inlineStr">
        <is>
          <t>Insufficient evidence</t>
        </is>
      </c>
      <c r="G80" t="inlineStr">
        <is>
          <t>Insufficient evidence</t>
        </is>
      </c>
      <c r="H80" t="inlineStr">
        <is>
          <t>Insufficient evidence</t>
        </is>
      </c>
      <c r="I80" t="inlineStr">
        <is>
          <t>Insufficient evidence</t>
        </is>
      </c>
      <c r="J80" t="inlineStr">
        <is>
          <t>sin evidencia: Visibilidad, Integracion</t>
        </is>
      </c>
    </row>
    <row r="81">
      <c r="A81" t="inlineStr">
        <is>
          <t>E3</t>
        </is>
      </c>
      <c r="B81" t="inlineStr">
        <is>
          <t>Kubernetes</t>
        </is>
      </c>
      <c r="C81" t="inlineStr">
        <is>
          <t>PerfectScale</t>
        </is>
      </c>
      <c r="D81" t="n">
        <v>22.22</v>
      </c>
      <c r="E81" t="n">
        <v>20</v>
      </c>
      <c r="F81" t="inlineStr">
        <is>
          <t>Insufficient evidence</t>
        </is>
      </c>
      <c r="G81" t="inlineStr">
        <is>
          <t>Insufficient evidence</t>
        </is>
      </c>
      <c r="H81" t="inlineStr">
        <is>
          <t>Insufficient evidence</t>
        </is>
      </c>
      <c r="I81" t="inlineStr">
        <is>
          <t>Insufficient evidence</t>
        </is>
      </c>
      <c r="J81" t="inlineStr">
        <is>
          <t>sin evidencia: Optimizacion</t>
        </is>
      </c>
    </row>
    <row r="82">
      <c r="A82" t="inlineStr">
        <is>
          <t>E5</t>
        </is>
      </c>
      <c r="B82" t="inlineStr">
        <is>
          <t>Kubernetes</t>
        </is>
      </c>
      <c r="C82" t="inlineStr">
        <is>
          <t>PerfectScale</t>
        </is>
      </c>
      <c r="D82" t="n">
        <v>22.22</v>
      </c>
      <c r="E82" t="n">
        <v>20</v>
      </c>
      <c r="F82" t="inlineStr">
        <is>
          <t>Insufficient evidence</t>
        </is>
      </c>
      <c r="G82" t="inlineStr">
        <is>
          <t>Insufficient evidence</t>
        </is>
      </c>
      <c r="H82" t="inlineStr">
        <is>
          <t>Insufficient evidence</t>
        </is>
      </c>
      <c r="I82" t="inlineStr">
        <is>
          <t>Insufficient evidence</t>
        </is>
      </c>
      <c r="J82" t="inlineStr">
        <is>
          <t>sin evidencia: Asignacion, Visibilidad</t>
        </is>
      </c>
    </row>
    <row r="83">
      <c r="A83" t="inlineStr">
        <is>
          <t>E3</t>
        </is>
      </c>
      <c r="B83" t="inlineStr">
        <is>
          <t>Kubernetes</t>
        </is>
      </c>
      <c r="C83" t="inlineStr">
        <is>
          <t>ScaleOps</t>
        </is>
      </c>
      <c r="D83" t="n">
        <v>22.22</v>
      </c>
      <c r="E83" t="n">
        <v>25</v>
      </c>
      <c r="F83" t="inlineStr">
        <is>
          <t>Insufficient evidence</t>
        </is>
      </c>
      <c r="G83" t="inlineStr">
        <is>
          <t>Insufficient evidence</t>
        </is>
      </c>
      <c r="H83" t="inlineStr">
        <is>
          <t>Insufficient evidence</t>
        </is>
      </c>
      <c r="I83" t="inlineStr">
        <is>
          <t>Insufficient evidence</t>
        </is>
      </c>
      <c r="J83" t="inlineStr">
        <is>
          <t>sin evidencia: Optimizacion, Automatizacion</t>
        </is>
      </c>
    </row>
    <row r="84">
      <c r="A84" t="inlineStr">
        <is>
          <t>E5</t>
        </is>
      </c>
      <c r="B84" t="inlineStr">
        <is>
          <t>Kubernetes</t>
        </is>
      </c>
      <c r="C84" t="inlineStr">
        <is>
          <t>ScaleOps</t>
        </is>
      </c>
      <c r="D84" t="n">
        <v>22.22</v>
      </c>
      <c r="E84" t="n">
        <v>25</v>
      </c>
      <c r="F84" t="inlineStr">
        <is>
          <t>Insufficient evidence</t>
        </is>
      </c>
      <c r="G84" t="inlineStr">
        <is>
          <t>Insufficient evidence</t>
        </is>
      </c>
      <c r="H84" t="inlineStr">
        <is>
          <t>Insufficient evidence</t>
        </is>
      </c>
      <c r="I84" t="inlineStr">
        <is>
          <t>Insufficient evidence</t>
        </is>
      </c>
      <c r="J84" t="inlineStr">
        <is>
          <t>sin evidencia: Asignacion</t>
        </is>
      </c>
    </row>
    <row r="85">
      <c r="A85" t="inlineStr">
        <is>
          <t>E4</t>
        </is>
      </c>
      <c r="B85" t="inlineStr">
        <is>
          <t>Estimacion temprana</t>
        </is>
      </c>
      <c r="C85" t="inlineStr">
        <is>
          <t>AWS Pricing Calculator</t>
        </is>
      </c>
      <c r="D85" t="n">
        <v>87.5</v>
      </c>
      <c r="E85" t="n">
        <v>90.59</v>
      </c>
      <c r="F85" t="n">
        <v>35.71</v>
      </c>
      <c r="G85" t="n">
        <v>35.93</v>
      </c>
      <c r="H85" t="inlineStr">
        <is>
          <t>Basic</t>
        </is>
      </c>
      <c r="I85" t="inlineStr">
        <is>
          <t>Basic</t>
        </is>
      </c>
      <c r="J85" t="inlineStr">
        <is>
          <t>-</t>
        </is>
      </c>
    </row>
    <row r="86">
      <c r="A86" t="inlineStr">
        <is>
          <t>E4</t>
        </is>
      </c>
      <c r="B86" t="inlineStr">
        <is>
          <t>Estimacion temprana</t>
        </is>
      </c>
      <c r="C86" t="inlineStr">
        <is>
          <t>Azure Pricing Calculator</t>
        </is>
      </c>
      <c r="D86" t="n">
        <v>75</v>
      </c>
      <c r="E86" t="n">
        <v>82.34999999999999</v>
      </c>
      <c r="F86" t="n">
        <v>30.56</v>
      </c>
      <c r="G86" t="n">
        <v>32.86</v>
      </c>
      <c r="H86" t="inlineStr">
        <is>
          <t>Basic</t>
        </is>
      </c>
      <c r="I86" t="inlineStr">
        <is>
          <t>Basic</t>
        </is>
      </c>
      <c r="J86" t="inlineStr">
        <is>
          <t>-</t>
        </is>
      </c>
    </row>
    <row r="87">
      <c r="A87" t="inlineStr">
        <is>
          <t>E4</t>
        </is>
      </c>
      <c r="B87" t="inlineStr">
        <is>
          <t>Cloud nativa</t>
        </is>
      </c>
      <c r="C87" t="inlineStr">
        <is>
          <t>IBM Cloud Cost Estimator</t>
        </is>
      </c>
      <c r="D87" t="n">
        <v>75</v>
      </c>
      <c r="E87" t="n">
        <v>82.34999999999999</v>
      </c>
      <c r="F87" t="n">
        <v>38.89</v>
      </c>
      <c r="G87" t="n">
        <v>42.38</v>
      </c>
      <c r="H87" t="inlineStr">
        <is>
          <t>Basic</t>
        </is>
      </c>
      <c r="I87" t="inlineStr">
        <is>
          <t>Basic</t>
        </is>
      </c>
      <c r="J87" t="inlineStr">
        <is>
          <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Graficos de S por escenario, vinculados a la hoja Resultados. Los pares marcados 'Insufficient evidence' no aparecen con barra: esa ausencia es el resultado, no un dato faltante.</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2026-09-16T17:02:52Z</dcterms:created>
  <dcterms:modified xmlns:dcterms="http://purl.org/dc/terms/" xmlns:xsi="http://www.w3.org/2001/XMLSchema-instance" xsi:type="dcterms:W3CDTF">2026-09-17T17:20:39Z</dcterms:modified>
</cp:coreProperties>
</file>