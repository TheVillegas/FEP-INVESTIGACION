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dcb3174b743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9ed84139ef8457f"/>
    <x:sheet xmlns:r="http://schemas.openxmlformats.org/officeDocument/2006/relationships" name="Supuestos" sheetId="2" r:id="R3283e1ac34744342"/>
    <x:sheet xmlns:r="http://schemas.openxmlformats.org/officeDocument/2006/relationships" name="Flujo mensual" sheetId="3" r:id="R165b826ed7864857"/>
    <x:sheet xmlns:r="http://schemas.openxmlformats.org/officeDocument/2006/relationships" name="Escenarios" sheetId="4" r:id="R5683e8b88fd5499d"/>
    <x:sheet xmlns:r="http://schemas.openxmlformats.org/officeDocument/2006/relationships" name="Fuentes" sheetId="5" r:id="R6a7dcbb556cb4cdf"/>
    <x:sheet xmlns:r="http://schemas.openxmlformats.org/officeDocument/2006/relationships" name="Auditoría" sheetId="6" r:id="R12c1a3570b854d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.00"/>
    <x:numFmt numFmtId="201" formatCode="0.00%"/>
    <x:numFmt numFmtId="202" formatCode="yyyy-mm-dd"/>
    <x:numFmt numFmtId="203" formatCode="#,##0.00"/>
    <x:numFmt numFmtId="204" formatCode="0.00"/>
    <x:numFmt numFmtId="205" formatCode="0"/>
    <x:numFmt numFmtId="206" formatCode="0.0000"/>
  </x:numFmts>
  <x:fonts count="9">
    <x:font>
      <x:sz val="11"/>
      <x:name val="Carlito"/>
    </x:font>
    <x:font>
      <x:b/>
      <x:sz val="16"/>
      <x:color rgb="FF17324D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  <x:font>
      <x:i/>
      <x:sz val="11"/>
      <x:color rgb="FF7F6000"/>
      <x:name val="Aptos"/>
    </x:font>
    <x:font>
      <x:sz val="10"/>
      <x:color rgb="FF0070C0"/>
      <x:name val="Aptos"/>
    </x:font>
    <x:font>
      <x:sz val="10"/>
      <x:color rgb="FF000000"/>
      <x:name val="Aptos"/>
    </x:font>
    <x:font>
      <x:b/>
      <x:sz val="10"/>
      <x:color rgb="FF1F2937"/>
      <x:name val="Aptos"/>
    </x:font>
    <x:font>
      <x:i/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201" fontId="5" fillId="3" borderId="1" xfId="0" applyNumberFormat="1" applyFont="1" applyFill="1" applyBorder="1" applyAlignment="1">
      <x:alignment vertical="top" wrapText="1"/>
    </x:xf>
    <x:xf numFmtId="201" fontId="6" fillId="3" borderId="1" xfId="0" applyNumberFormat="1" applyFont="1" applyFill="1" applyBorder="1" applyAlignment="1">
      <x:alignment vertical="top" wrapText="1"/>
    </x:xf>
    <x:xf numFmtId="202" fontId="6" fillId="3" borderId="1" xfId="0" applyNumberFormat="1" applyFont="1" applyFill="1" applyBorder="1" applyAlignment="1">
      <x:alignment vertical="top" wrapText="1"/>
    </x:xf>
    <x:xf numFmtId="200" fontId="6" fillId="3" borderId="1" xfId="0" applyNumberFormat="1" applyFont="1" applyFill="1" applyBorder="1" applyAlignment="1">
      <x:alignment vertical="top" wrapText="1"/>
    </x:xf>
    <x:xf numFmtId="200" fontId="5" fillId="3" borderId="1" xfId="0" applyNumberFormat="1" applyFont="1" applyFill="1" applyBorder="1" applyAlignment="1">
      <x:alignment vertical="top" wrapText="1"/>
    </x:xf>
    <x:xf numFmtId="203" fontId="5" fillId="3" borderId="1" xfId="0" applyNumberFormat="1" applyFont="1" applyFill="1" applyBorder="1" applyAlignment="1">
      <x:alignment vertical="top" wrapText="1"/>
    </x:xf>
    <x:xf numFmtId="203" fontId="6" fillId="3" borderId="1" xfId="0" applyNumberFormat="1" applyFont="1" applyFill="1" applyBorder="1" applyAlignment="1">
      <x:alignment vertical="top" wrapText="1"/>
    </x:xf>
    <x:xf numFmtId="204" fontId="3" fillId="0" borderId="1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205" fontId="3" fillId="0" borderId="1" xfId="0" applyNumberFormat="1" applyFont="1" applyFill="1" applyBorder="1" applyAlignment="1">
      <x:alignment vertical="top" wrapText="1"/>
    </x:xf>
    <x:xf numFmtId="206" fontId="3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7" fillId="2" borderId="1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201" fontId="3" fillId="3" borderId="1" xfId="0" applyNumberFormat="1" applyFont="1" applyFill="1" applyBorder="1" applyAlignment="1">
      <x:alignment vertical="top" wrapText="1"/>
    </x:xf>
    <x:xf numFmtId="202" fontId="3" fillId="3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top" wrapText="1"/>
    </x:xf>
    <x:xf numFmtId="203" fontId="3" fillId="3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80e2478684b4d" /><Relationship Type="http://schemas.openxmlformats.org/officeDocument/2006/relationships/theme" Target="/xl/theme/theme1.xml" Id="R1280d8b476f34bab" /><Relationship Type="http://schemas.openxmlformats.org/officeDocument/2006/relationships/sharedStrings" Target="/xl/sharedStrings.xml" Id="R84f22193530440d2" /><Relationship Type="http://schemas.openxmlformats.org/officeDocument/2006/relationships/worksheet" Target="/xl/worksheets/sheet1.xml" Id="R59ed84139ef8457f" /><Relationship Type="http://schemas.openxmlformats.org/officeDocument/2006/relationships/worksheet" Target="/xl/worksheets/sheet2.xml" Id="R3283e1ac34744342" /><Relationship Type="http://schemas.openxmlformats.org/officeDocument/2006/relationships/worksheet" Target="/xl/worksheets/sheet3.xml" Id="R165b826ed7864857" /><Relationship Type="http://schemas.openxmlformats.org/officeDocument/2006/relationships/worksheet" Target="/xl/worksheets/sheet4.xml" Id="R5683e8b88fd5499d" /><Relationship Type="http://schemas.openxmlformats.org/officeDocument/2006/relationships/worksheet" Target="/xl/worksheets/sheet5.xml" Id="R6a7dcbb556cb4cdf" /><Relationship Type="http://schemas.openxmlformats.org/officeDocument/2006/relationships/worksheet" Target="/xl/worksheets/sheet6.xml" Id="R12c1a3570b854d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7" hidden="0" customWidth="1"/>
    <x:col min="4" max="4" width="18" hidden="0" customWidth="1"/>
    <x:col min="5" max="5" width="16" hidden="0" customWidth="1"/>
    <x:col min="6" max="6" width="16" hidden="0" customWidth="1"/>
    <x:col min="7" max="7" width="17" hidden="0" customWidth="1"/>
    <x:col min="8" max="8" width="16" hidden="0" customWidth="1"/>
    <x:col min="9" max="9" width="16" hidden="0" customWidth="1"/>
    <x:col min="10" max="10" width="18" hidden="0" customWidth="1"/>
    <x:col min="11" max="11" width="28" hidden="0" customWidth="1"/>
  </x:cols>
  <x:sheetData>
    <x:row r="1" ht="19.200000762939453" hidden="0" customHeight="1">
      <x:c r="A1" s="43" t="str">
        <x:v>FP-187 — Flujo de caja, VAN y TIR de TINV-06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</x:row>
    <x:row r="2" ht="15" hidden="0" customHeight="1">
      <x:c r="A2" s="44" t="str">
        <x:v>Modelo financiero vinculado a FP-183/FP-184 con proxies públicos para tasa y costo de mano de obra. Sustituirlos por datos internos cuando estén disponibles.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</x:row>
    <x:row r="4" ht="26.399999618530273" hidden="0" customHeight="1">
      <x:c r="A4" s="36" t="str">
        <x:v>Indicador</x:v>
      </x:c>
      <x:c r="B4" s="36" t="str">
        <x:v>Región</x:v>
      </x:c>
      <x:c r="C4" s="36" t="str">
        <x:v>TCO base cloud 60m</x:v>
      </x:c>
      <x:c r="D4" s="36" t="str">
        <x:v>TCO optimizado cloud 60m</x:v>
      </x:c>
      <x:c r="E4" s="36" t="str">
        <x:v>Ahorro bruto 60m</x:v>
      </x:c>
      <x:c r="F4" s="36" t="str">
        <x:v>Operación 60m</x:v>
      </x:c>
      <x:c r="G4" s="36" t="str">
        <x:v>Implementación inicial</x:v>
      </x:c>
      <x:c r="H4" s="36" t="str">
        <x:v>VAN bruto ahorro</x:v>
      </x:c>
      <x:c r="I4" s="36" t="str">
        <x:v>VAN incremental</x:v>
      </x:c>
      <x:c r="J4" s="36" t="str">
        <x:v>TIR incremental anual</x:v>
      </x:c>
      <x:c r="K4" s="36" t="str">
        <x:v>Estado</x:v>
      </x:c>
    </x:row>
    <x:row r="5" ht="15" hidden="0" customHeight="1">
      <x:c r="A5" s="11" t="str">
        <x:v>FP-187</x:v>
      </x:c>
      <x:c r="B5" s="11" t="str">
        <x:v>Chile Central</x:v>
      </x:c>
      <x:c r="C5" s="12" t="n">
        <x:f>SUM('Flujo mensual'!C8:C67)</x:f>
        <x:v>23256.321466174068</x:v>
      </x:c>
      <x:c r="D5" s="12" t="n">
        <x:f>SUM('Flujo mensual'!D8:D67)</x:f>
        <x:v>21803.16946617406</x:v>
      </x:c>
      <x:c r="E5" s="12" t="n">
        <x:f>SUM('Flujo mensual'!E8:E67)</x:f>
        <x:v>1453.152</x:v>
      </x:c>
      <x:c r="F5" s="12" t="n">
        <x:f>IF(OR(Supuestos!$B$13="",Supuestos!$B$14=""),"",Supuestos!$B$13*Supuestos!$B$14*Supuestos!$B$7)</x:f>
        <x:v>512.0715698398056</x:v>
      </x:c>
      <x:c r="G5" s="12" t="n">
        <x:f>IF(Supuestos!$B$15="","",Supuestos!$B$15)</x:f>
        <x:v>426.72630819983806</x:v>
      </x:c>
      <x:c r="H5" s="12" t="n">
        <x:f>SUM('Flujo mensual'!T8:T67)</x:f>
        <x:v>1272.0574803852714</x:v>
      </x:c>
      <x:c r="I5" s="12" t="n">
        <x:f>SUM('Flujo mensual'!V7:V67)</x:f>
        <x:v>397.07491894602447</x:v>
      </x:c>
      <x:c r="J5" s="13" t="n">
        <x:f>IF(OR(G5="",G5&lt;=0),"",(1+IRR('Flujo mensual'!I7:I67))^12-1)</x:f>
        <x:v>0.4391345109616156</x:v>
      </x:c>
      <x:c r="K5" s="14" t="str">
        <x:f>IF(OR(G5="",Supuestos!$B$13="",Supuestos!$B$14=""),"Provisional: completar inputs",Supuestos!$B$18)</x:f>
        <x:v>Provisional: proxies públicos</x:v>
      </x:c>
    </x:row>
    <x:row r="6" ht="15" hidden="0" customHeight="1">
      <x:c r="A6" s="11" t="str">
        <x:v>FP-187</x:v>
      </x:c>
      <x:c r="B6" s="11" t="str">
        <x:v>East US</x:v>
      </x:c>
      <x:c r="C6" s="12" t="n">
        <x:f>SUM('Flujo mensual'!K8:K67)</x:f>
        <x:v>16474.602674550486</x:v>
      </x:c>
      <x:c r="D6" s="12" t="n">
        <x:f>SUM('Flujo mensual'!L8:L67)</x:f>
        <x:v>15538.122674550485</x:v>
      </x:c>
      <x:c r="E6" s="12" t="n">
        <x:f>SUM('Flujo mensual'!M8:M67)</x:f>
        <x:v>936.4799999999987</x:v>
      </x:c>
      <x:c r="F6" s="12" t="n">
        <x:f>IF(OR(Supuestos!$B$13="",Supuestos!$B$14=""),"",Supuestos!$B$13*Supuestos!$B$14*Supuestos!$B$7)</x:f>
        <x:v>512.0715698398056</x:v>
      </x:c>
      <x:c r="G6" s="12" t="n">
        <x:f>IF(Supuestos!$B$16="","",Supuestos!$B$16)</x:f>
        <x:v>426.72630819983806</x:v>
      </x:c>
      <x:c r="H6" s="12" t="n">
        <x:f>SUM('Flujo mensual'!U8:U67)</x:f>
        <x:v>819.7741111949742</x:v>
      </x:c>
      <x:c r="I6" s="12" t="n">
        <x:f>SUM('Flujo mensual'!W7:W67)</x:f>
        <x:v>-55.208450244272946</x:v>
      </x:c>
      <x:c r="J6" s="13" t="n">
        <x:f>IF(OR(G6="",G6&lt;=0),"",(1+IRR('Flujo mensual'!Q7:Q67))^12-1)</x:f>
        <x:v>-0.002138745694702626</x:v>
      </x:c>
      <x:c r="K6" s="14" t="str">
        <x:f>IF(OR(G6="",Supuestos!$B$13="",Supuestos!$B$14=""),"Provisional: completar inputs",Supuestos!$B$18)</x:f>
        <x:v>Provisional: proxies públicos</x:v>
      </x:c>
    </x:row>
    <x:row r="7">
      <x:c r="A7" s="44"/>
      <x:c r="B7" s="44"/>
      <x:c r="C7" s="44"/>
      <x:c r="D7" s="44"/>
      <x:c r="E7" s="44"/>
      <x:c r="F7" s="44"/>
      <x:c r="G7" s="44"/>
      <x:c r="H7" s="44"/>
      <x:c r="I7" s="44"/>
      <x:c r="J7" s="44"/>
      <x:c r="K7" s="44"/>
    </x:row>
    <x:row r="8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</x:row>
    <x:row r="9" ht="15" hidden="0" customHeight="1">
      <x:c r="A9" s="37" t="str">
        <x:v>Lectura: VAN bruto representa el ahorro cloud descontado. VAN incremental descuenta implementación y operación FinOps mensual. TIR es anualizada desde el flujo incremental neto.</x:v>
      </x:c>
      <x:c r="B9" s="37"/>
      <x:c r="C9" s="37"/>
      <x:c r="D9" s="37"/>
      <x:c r="E9" s="37"/>
      <x:c r="F9" s="37"/>
      <x:c r="G9" s="37"/>
      <x:c r="H9" s="37"/>
      <x:c r="I9" s="37"/>
      <x:c r="J9" s="37"/>
      <x:c r="K9" s="37"/>
    </x:row>
    <x:row r="10" ht="15" hidden="0" customHeight="1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</x:row>
    <x:row r="11" ht="15" hidden="0" customHeight="1">
      <x:c r="A11" s="37" t="str">
        <x:v>Limitación: tasa, tarifa y esfuerzo usan proxies públicos/estimaciones de ingeniería, no datos internos. El escenario es defendible como estimación provisional, no como presupuesto contractual.</x:v>
      </x:c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</x:row>
    <x:row r="12"/>
  </x:sheetData>
  <x:mergeCells>
    <x:mergeCell ref="A1:K1"/>
    <x:mergeCell ref="A2:K2"/>
    <x:mergeCell ref="A9:K9"/>
    <x:mergeCell ref="A11:K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16" hidden="0" customWidth="1"/>
    <x:col min="4" max="4" width="46" hidden="0" customWidth="1"/>
  </x:cols>
  <x:sheetData>
    <x:row r="1">
      <x:c r="A1" s="43" t="str">
        <x:v>FP-187 — Supuestos financieros y parámetros editables</x:v>
      </x:c>
      <x:c r="B1" s="43"/>
      <x:c r="C1" s="43"/>
      <x:c r="D1" s="43"/>
    </x:row>
    <x:row r="2">
      <x:c r="A2" s="44"/>
      <x:c r="B2" s="44"/>
      <x:c r="C2" s="44"/>
      <x:c r="D2" s="44"/>
    </x:row>
    <x:row r="3">
      <x:c r="A3" s="44" t="str">
        <x:v>Las celdas amarillas contienen proxies públicos o estimaciones editables. Los valores no representan tarifas internas ni una cotización contractual.</x:v>
      </x:c>
      <x:c r="B3" s="44"/>
      <x:c r="C3" s="44"/>
      <x:c r="D3" s="44"/>
    </x:row>
    <x:row r="4">
      <x:c r="A4" s="44"/>
      <x:c r="B4" s="44"/>
      <x:c r="C4" s="44"/>
      <x:c r="D4" s="44"/>
    </x:row>
    <x:row r="5">
      <x:c r="A5" s="44"/>
      <x:c r="B5" s="44"/>
      <x:c r="C5" s="44"/>
      <x:c r="D5" s="44"/>
    </x:row>
    <x:row r="6">
      <x:c r="A6" s="36" t="str">
        <x:v>Variable</x:v>
      </x:c>
      <x:c r="B6" s="36" t="str">
        <x:v>Valor</x:v>
      </x:c>
      <x:c r="C6" s="36" t="str">
        <x:v>Unidad</x:v>
      </x:c>
      <x:c r="D6" s="36" t="str">
        <x:v>Origen / regla</x:v>
      </x:c>
    </x:row>
    <x:row r="7">
      <x:c r="A7" s="11" t="str">
        <x:v>Horizonte</x:v>
      </x:c>
      <x:c r="B7" s="14" t="n">
        <x:v>60</x:v>
      </x:c>
      <x:c r="C7" s="11" t="str">
        <x:v>meses</x:v>
      </x:c>
      <x:c r="D7" s="11" t="str">
        <x:v>FP-183: 5 años</x:v>
      </x:c>
    </x:row>
    <x:row r="8">
      <x:c r="A8" s="11" t="str">
        <x:v>Tasa descuento anual</x:v>
      </x:c>
      <x:c r="B8" s="38" t="n">
        <x:v>0.055</x:v>
      </x:c>
      <x:c r="C8" s="11" t="str">
        <x:v>%</x:v>
      </x:c>
      <x:c r="D8" s="11" t="str">
        <x:v>Proxy público: Tasa Social de Descuento 2026 del MDSF</x:v>
      </x:c>
    </x:row>
    <x:row r="9">
      <x:c r="A9" s="11" t="str">
        <x:v>Tasa descuento mensual</x:v>
      </x:c>
      <x:c r="B9" s="38" t="n">
        <x:f>(1+B8)^(1/12)-1</x:f>
        <x:v>0.004471698917043021</x:v>
      </x:c>
      <x:c r="C9" s="11" t="str">
        <x:v>%</x:v>
      </x:c>
      <x:c r="D9" s="11" t="str">
        <x:v>Fórmula: (1+tasa anual)^(1/12)-1</x:v>
      </x:c>
    </x:row>
    <x:row r="10">
      <x:c r="A10" s="11" t="str">
        <x:v>Fecha inicio</x:v>
      </x:c>
      <x:c r="B10" s="39" t="n">
        <x:v>46023</x:v>
      </x:c>
      <x:c r="C10" s="11" t="str">
        <x:v>fecha</x:v>
      </x:c>
      <x:c r="D10" s="11" t="str">
        <x:v>Inicio del calendario FP-183</x:v>
      </x:c>
    </x:row>
    <x:row r="11">
      <x:c r="A11" s="11" t="str">
        <x:v>Inversión inicial Chile</x:v>
      </x:c>
      <x:c r="B11" s="40" t="n">
        <x:v>0</x:v>
      </x:c>
      <x:c r="C11" s="11" t="str">
        <x:v>USD</x:v>
      </x:c>
      <x:c r="D11" s="11" t="str">
        <x:v>Decisión: la evaluación incremental aísla la optimización; no incluye migración</x:v>
      </x:c>
    </x:row>
    <x:row r="12">
      <x:c r="A12" s="11" t="str">
        <x:v>Inversión inicial East US</x:v>
      </x:c>
      <x:c r="B12" s="40" t="n">
        <x:v>0</x:v>
      </x:c>
      <x:c r="C12" s="11" t="str">
        <x:v>USD</x:v>
      </x:c>
      <x:c r="D12" s="11" t="str">
        <x:v>Decisión: la evaluación incremental aísla la optimización; no incluye migración</x:v>
      </x:c>
    </x:row>
    <x:row r="13">
      <x:c r="A13" s="11" t="str">
        <x:v>Horas operación FinOps mensuales</x:v>
      </x:c>
      <x:c r="B13" s="14" t="n">
        <x:f>B30</x:f>
        <x:v>1</x:v>
      </x:c>
      <x:c r="C13" s="11" t="str">
        <x:v>horas/mes</x:v>
      </x:c>
      <x:c r="D13" s="11" t="str">
        <x:v>Derivada del desglose mensual; reemplazar por timesheets</x:v>
      </x:c>
    </x:row>
    <x:row r="14">
      <x:c r="A14" s="11" t="str">
        <x:v>Tarifa operación</x:v>
      </x:c>
      <x:c r="B14" s="14" t="n">
        <x:f>B28</x:f>
        <x:v>8.53452616399676</x:v>
      </x:c>
      <x:c r="C14" s="11" t="str">
        <x:v>USD/hora</x:v>
      </x:c>
      <x:c r="D14" s="11" t="str">
        <x:v>Proxy derivada de ingreso INE, jornada DT y dólar BCCh</x:v>
      </x:c>
    </x:row>
    <x:row r="15">
      <x:c r="A15" s="11" t="str">
        <x:v>Implementación optimización Chile</x:v>
      </x:c>
      <x:c r="B15" s="40" t="n">
        <x:f>B29*B14</x:f>
        <x:v>426.72630819983806</x:v>
      </x:c>
      <x:c r="C15" s="11" t="str">
        <x:v>USD</x:v>
      </x:c>
      <x:c r="D15" s="11" t="str">
        <x:v>50 h × tarifa proxy; escenario alternativo, no acumulable con East US</x:v>
      </x:c>
    </x:row>
    <x:row r="16">
      <x:c r="A16" s="11" t="str">
        <x:v>Implementación optimización East US</x:v>
      </x:c>
      <x:c r="B16" s="40" t="n">
        <x:f>B29*B14</x:f>
        <x:v>426.72630819983806</x:v>
      </x:c>
      <x:c r="C16" s="11" t="str">
        <x:v>USD</x:v>
      </x:c>
      <x:c r="D16" s="11" t="str">
        <x:v>50 h × tarifa proxy; escenario alternativo, no acumulable con Chile</x:v>
      </x:c>
    </x:row>
    <x:row r="17">
      <x:c r="A17" s="11" t="str">
        <x:v>Moneda</x:v>
      </x:c>
      <x:c r="B17" s="14" t="str">
        <x:v>USD</x:v>
      </x:c>
      <x:c r="C17" s="11" t="str">
        <x:v>moneda</x:v>
      </x:c>
      <x:c r="D17" s="11" t="str">
        <x:v>Base común con FP-183/FP-184</x:v>
      </x:c>
    </x:row>
    <x:row r="18">
      <x:c r="A18" s="11" t="str">
        <x:v>Estado aprobación</x:v>
      </x:c>
      <x:c r="B18" s="14" t="str">
        <x:v>Provisional: proxies públicos</x:v>
      </x:c>
      <x:c r="C18" s="11" t="str">
        <x:v>estado</x:v>
      </x:c>
      <x:c r="D18" s="11" t="str">
        <x:v>Reemplazar por datos internos antes de presupuesto/contrato</x:v>
      </x:c>
    </x:row>
    <x:row r="19">
      <x:c r="A19" s="11" t="str">
        <x:v>Ahorro bruto FP-184 Chile</x:v>
      </x:c>
      <x:c r="B19" s="40" t="n">
        <x:v>1453.152</x:v>
      </x:c>
      <x:c r="C19" s="11" t="str">
        <x:v>USD/60m</x:v>
      </x:c>
      <x:c r="D19" s="11" t="str">
        <x:v>FP-184 Resumen: ahorro bruto combinado</x:v>
      </x:c>
    </x:row>
    <x:row r="20">
      <x:c r="A20" s="11" t="str">
        <x:v>Ahorro bruto FP-184 East US</x:v>
      </x:c>
      <x:c r="B20" s="40" t="n">
        <x:v>936.48</x:v>
      </x:c>
      <x:c r="C20" s="11" t="str">
        <x:v>USD/60m</x:v>
      </x:c>
      <x:c r="D20" s="11" t="str">
        <x:v>FP-184 Resumen: ahorro bruto combinado</x:v>
      </x:c>
    </x:row>
    <x:row r="21">
      <x:c r="A21" s="11" t="str">
        <x:v>Ahorro mensual Chile</x:v>
      </x:c>
      <x:c r="B21" s="40" t="n">
        <x:f>B19/B7</x:f>
        <x:v>24.2192</x:v>
      </x:c>
      <x:c r="C21" s="11" t="str">
        <x:v>USD/mes</x:v>
      </x:c>
      <x:c r="D21" s="11" t="str">
        <x:v>Ahorro bruto / 60</x:v>
      </x:c>
    </x:row>
    <x:row r="22">
      <x:c r="A22" s="11" t="str">
        <x:v>Ahorro mensual East US</x:v>
      </x:c>
      <x:c r="B22" s="40" t="n">
        <x:f>B20/B7</x:f>
        <x:v>15.608</x:v>
      </x:c>
      <x:c r="C22" s="11" t="str">
        <x:v>USD/mes</x:v>
      </x:c>
      <x:c r="D22" s="11" t="str">
        <x:v>Ahorro bruto / 60</x:v>
      </x:c>
    </x:row>
    <x:row r="23">
      <x:c r="A23" s="11" t="str">
        <x:v>Nota de modelación</x:v>
      </x:c>
      <x:c r="B23" s="14" t="str">
        <x:v>El flujo incremental mide la decisión de optimización; no sustituye al TCO.</x:v>
      </x:c>
      <x:c r="C23" s="11" t="str">
        <x:v>texto</x:v>
      </x:c>
      <x:c r="D23" s="11" t="str">
        <x:v>FP-183 + FP-184</x:v>
      </x:c>
    </x:row>
    <x:row r="24">
      <x:c r="A24" s="11" t="str">
        <x:v>Tipo de cambio</x:v>
      </x:c>
      <x:c r="B24" s="41" t="n">
        <x:v>954.85</x:v>
      </x:c>
      <x:c r="C24" s="11" t="str">
        <x:v>CLP/USD</x:v>
      </x:c>
      <x:c r="D24" s="11" t="str">
        <x:v>Banco Central de Chile, dólar observado 2026-09-17</x:v>
      </x:c>
    </x:row>
    <x:row r="25">
      <x:c r="A25" s="11" t="str">
        <x:v>Ingreso neto mensual universitario</x:v>
      </x:c>
      <x:c r="B25" s="41" t="n">
        <x:v>1483153</x:v>
      </x:c>
      <x:c r="C25" s="11" t="str">
        <x:v>CLP/mes</x:v>
      </x:c>
      <x:c r="D25" s="11" t="str">
        <x:v>INE ESI 2024; proxy de mano de obra profesional</x:v>
      </x:c>
    </x:row>
    <x:row r="26">
      <x:c r="A26" s="11" t="str">
        <x:v>Jornada semanal</x:v>
      </x:c>
      <x:c r="B26" s="14" t="n">
        <x:v>42</x:v>
      </x:c>
      <x:c r="C26" s="11" t="str">
        <x:v>horas/semana</x:v>
      </x:c>
      <x:c r="D26" s="11" t="str">
        <x:v>Dirección del Trabajo; vigente desde 2026-04-26</x:v>
      </x:c>
    </x:row>
    <x:row r="27">
      <x:c r="A27" s="11" t="str">
        <x:v>Horas laborales mensuales</x:v>
      </x:c>
      <x:c r="B27" s="41" t="n">
        <x:f>B26*52/12</x:f>
        <x:v>182</x:v>
      </x:c>
      <x:c r="C27" s="11" t="str">
        <x:v>horas/mes</x:v>
      </x:c>
      <x:c r="D27" s="11" t="str">
        <x:v>Jornada semanal × 52 / 12</x:v>
      </x:c>
    </x:row>
    <x:row r="28">
      <x:c r="A28" s="11" t="str">
        <x:v>Tarifa horaria proxy</x:v>
      </x:c>
      <x:c r="B28" s="41" t="n">
        <x:f>B25/B27/B24</x:f>
        <x:v>8.53452616399676</x:v>
      </x:c>
      <x:c r="C28" s="11" t="str">
        <x:v>USD/hora</x:v>
      </x:c>
      <x:c r="D28" s="11" t="str">
        <x:v>Ingreso neto / horas mensuales / tipo de cambio</x:v>
      </x:c>
    </x:row>
    <x:row r="29">
      <x:c r="A29" s="11" t="str">
        <x:v>Horas implementación por escenario</x:v>
      </x:c>
      <x:c r="B29" s="41" t="n">
        <x:f>B40</x:f>
        <x:v>50</x:v>
      </x:c>
      <x:c r="C29" s="11" t="str">
        <x:v>horas</x:v>
      </x:c>
      <x:c r="D29" s="11" t="str">
        <x:v>Desglose bottom-up; referencia FinOps Foundation: esfuerzo × tarifa</x:v>
      </x:c>
    </x:row>
    <x:row r="30">
      <x:c r="A30" s="11" t="str">
        <x:v>Horas operación por escenario</x:v>
      </x:c>
      <x:c r="B30" s="41" t="n">
        <x:f>B47</x:f>
        <x:v>1</x:v>
      </x:c>
      <x:c r="C30" s="11" t="str">
        <x:v>horas/mes</x:v>
      </x:c>
      <x:c r="D30" s="11" t="str">
        <x:v>Desglose bottom-up para una carga pequeña</x:v>
      </x:c>
    </x:row>
    <x:row r="31">
      <x:c r="A31" s="11" t="str">
        <x:v>Alcance financiero</x:v>
      </x:c>
      <x:c r="B31" s="14" t="str">
        <x:v>USD constantes; sin impuestos, inflación ni valor residual</x:v>
      </x:c>
      <x:c r="C31" s="11" t="str">
        <x:v>texto</x:v>
      </x:c>
      <x:c r="D31" s="11" t="str">
        <x:v>Supuesto explícito para comparación incremental</x:v>
      </x:c>
    </x:row>
    <x:row r="32">
      <x:c r="A32" s="44"/>
      <x:c r="B32" s="44"/>
      <x:c r="C32" s="44"/>
      <x:c r="D32" s="44"/>
    </x:row>
    <x:row r="33">
      <x:c r="A33" s="44"/>
      <x:c r="B33" s="44"/>
      <x:c r="C33" s="44"/>
      <x:c r="D33" s="44"/>
    </x:row>
    <x:row r="34">
      <x:c r="A34" s="36" t="str">
        <x:v>Implementación por escenario</x:v>
      </x:c>
      <x:c r="B34" s="36" t="str">
        <x:v>Horas</x:v>
      </x:c>
      <x:c r="C34" s="36" t="str">
        <x:v>Base de estimación</x:v>
      </x:c>
      <x:c r="D34" s="44"/>
    </x:row>
    <x:row r="35">
      <x:c r="A35" s="11" t="str">
        <x:v>Revisión de línea base y plan</x:v>
      </x:c>
      <x:c r="B35" s="27" t="n">
        <x:v>8</x:v>
      </x:c>
      <x:c r="C35" s="11" t="str">
        <x:v>Conciliar FP-183/FP-184 y preparar cambio</x:v>
      </x:c>
      <x:c r="D35" s="44"/>
    </x:row>
    <x:row r="36">
      <x:c r="A36" s="11" t="str">
        <x:v>Rightsizing PostgreSQL</x:v>
      </x:c>
      <x:c r="B36" s="27" t="n">
        <x:v>12</x:v>
      </x:c>
      <x:c r="C36" s="11" t="str">
        <x:v>Analizar, configurar y probar</x:v>
      </x:c>
      <x:c r="D36" s="44"/>
    </x:row>
    <x:row r="37">
      <x:c r="A37" s="11" t="str">
        <x:v>Programación de no producción</x:v>
      </x:c>
      <x:c r="B37" s="27" t="n">
        <x:v>10</x:v>
      </x:c>
      <x:c r="C37" s="11" t="str">
        <x:v>Automatización, prueba y rollback</x:v>
      </x:c>
      <x:c r="D37" s="44"/>
    </x:row>
    <x:row r="38">
      <x:c r="A38" s="11" t="str">
        <x:v>Retención e ingesta de logs</x:v>
      </x:c>
      <x:c r="B38" s="27" t="n">
        <x:v>8</x:v>
      </x:c>
      <x:c r="C38" s="11" t="str">
        <x:v>Política, configuración y validación</x:v>
      </x:c>
      <x:c r="D38" s="44"/>
    </x:row>
    <x:row r="39">
      <x:c r="A39" s="11" t="str">
        <x:v>Control, documentación y cierre</x:v>
      </x:c>
      <x:c r="B39" s="27" t="n">
        <x:v>12</x:v>
      </x:c>
      <x:c r="C39" s="11" t="str">
        <x:v>Evidencia, revisión y seguimiento</x:v>
      </x:c>
      <x:c r="D39" s="44"/>
    </x:row>
    <x:row r="40">
      <x:c r="A40" s="11" t="str">
        <x:v>Total</x:v>
      </x:c>
      <x:c r="B40" s="27" t="n">
        <x:f>SUM(B35:B39)</x:f>
        <x:v>50</x:v>
      </x:c>
      <x:c r="C40" s="11" t="str">
        <x:v>Suma del esfuerzo por alternativa regional</x:v>
      </x:c>
      <x:c r="D40" s="44"/>
    </x:row>
    <x:row r="41">
      <x:c r="A41" s="44"/>
      <x:c r="B41" s="44"/>
      <x:c r="C41" s="44"/>
      <x:c r="D41" s="44"/>
    </x:row>
    <x:row r="42">
      <x:c r="A42" s="44"/>
      <x:c r="B42" s="44"/>
      <x:c r="C42" s="44"/>
      <x:c r="D42" s="44"/>
    </x:row>
    <x:row r="43">
      <x:c r="A43" s="36" t="str">
        <x:v>Operación FinOps mensual</x:v>
      </x:c>
      <x:c r="B43" s="36" t="str">
        <x:v>Horas/mes</x:v>
      </x:c>
      <x:c r="C43" s="36" t="str">
        <x:v>Base de estimación</x:v>
      </x:c>
      <x:c r="D43" s="44"/>
    </x:row>
    <x:row r="44">
      <x:c r="A44" s="11" t="str">
        <x:v>Revisión de costo y uso</x:v>
      </x:c>
      <x:c r="B44" s="27" t="n">
        <x:v>0.5</x:v>
      </x:c>
      <x:c r="C44" s="11" t="str">
        <x:v>Revisión mensual de una carga pequeña</x:v>
      </x:c>
      <x:c r="D44" s="44"/>
    </x:row>
    <x:row r="45">
      <x:c r="A45" s="11" t="str">
        <x:v>Anomalías, presupuesto y reporte</x:v>
      </x:c>
      <x:c r="B45" s="27" t="n">
        <x:v>0.25</x:v>
      </x:c>
      <x:c r="C45" s="11" t="str">
        <x:v>Control mensual</x:v>
      </x:c>
      <x:c r="D45" s="44"/>
    </x:row>
    <x:row r="46">
      <x:c r="A46" s="11" t="str">
        <x:v>Seguimiento de optimización</x:v>
      </x:c>
      <x:c r="B46" s="27" t="n">
        <x:v>0.25</x:v>
      </x:c>
      <x:c r="C46" s="11" t="str">
        <x:v>Revisión de acciones abiertas</x:v>
      </x:c>
      <x:c r="D46" s="44"/>
    </x:row>
    <x:row r="47">
      <x:c r="A47" s="11" t="str">
        <x:v>Total</x:v>
      </x:c>
      <x:c r="B47" s="27" t="n">
        <x:f>SUM(B44:B46)</x:f>
        <x:v>1</x:v>
      </x:c>
      <x:c r="C47" s="11" t="str">
        <x:v>Suma mensual por alternativa regional</x:v>
      </x:c>
      <x:c r="D47" s="44"/>
    </x:row>
  </x:sheetData>
  <x:mergeCells>
    <x:mergeCell ref="A1:D1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13" hidden="0" customWidth="1"/>
    <x:col min="3" max="3" width="16" hidden="0" customWidth="1"/>
    <x:col min="4" max="4" width="18" hidden="0" customWidth="1"/>
    <x:col min="5" max="5" width="16" hidden="0" customWidth="1"/>
    <x:col min="6" max="6" width="15" hidden="0" customWidth="1"/>
    <x:col min="7" max="7" width="16" hidden="0" customWidth="1"/>
    <x:col min="8" max="8" width="18" hidden="0" customWidth="1"/>
    <x:col min="9" max="9" width="17" hidden="0" customWidth="1"/>
    <x:col min="10" max="10" width="22" hidden="0" customWidth="1"/>
    <x:col min="11" max="11" width="16" hidden="0" customWidth="1"/>
    <x:col min="12" max="12" width="18" hidden="0" customWidth="1"/>
    <x:col min="13" max="13" width="16" hidden="0" customWidth="1"/>
    <x:col min="14" max="14" width="15" hidden="0" customWidth="1"/>
    <x:col min="15" max="15" width="16" hidden="0" customWidth="1"/>
    <x:col min="16" max="16" width="18" hidden="0" customWidth="1"/>
    <x:col min="17" max="17" width="17" hidden="0" customWidth="1"/>
    <x:col min="18" max="18" width="22" hidden="0" customWidth="1"/>
    <x:col min="19" max="19" width="14" hidden="0" customWidth="1"/>
    <x:col min="20" max="20" width="17" hidden="0" customWidth="1"/>
    <x:col min="21" max="21" width="17" hidden="0" customWidth="1"/>
    <x:col min="22" max="22" width="19" hidden="0" customWidth="1"/>
    <x:col min="23" max="23" width="19" hidden="0" customWidth="1"/>
  </x:cols>
  <x:sheetData>
    <x:row r="1">
      <x:c r="A1" s="43" t="str">
        <x:v>FP-187 — Flujo mensual base, optimizado e incremental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</x:row>
    <x:row r="2">
      <x:c r="A2" s="44"/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</x:row>
    <x:row r="3">
      <x:c r="A3" s="44" t="str">
        <x:v>Mes 0 contiene las inversiones iniciales. Meses 1–60 enlazan costos cloud de FP-183 y ahorro bruto de FP-184. El flujo incremental es el usado para VAN/TIR.</x:v>
      </x:c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</x:row>
    <x:row r="4">
      <x:c r="A4" s="44"/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</x:row>
    <x:row r="5">
      <x:c r="A5" s="44"/>
      <x:c r="B5" s="44"/>
      <x:c r="C5" s="44"/>
      <x:c r="D5" s="44"/>
      <x:c r="E5" s="44"/>
      <x:c r="F5" s="44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</x:row>
    <x:row r="6">
      <x:c r="A6" s="36" t="str">
        <x:v>Mes</x:v>
      </x:c>
      <x:c r="B6" s="36" t="str">
        <x:v>Fecha</x:v>
      </x:c>
      <x:c r="C6" s="36" t="str">
        <x:v>Chile base cloud</x:v>
      </x:c>
      <x:c r="D6" s="36" t="str">
        <x:v>Chile optimizado cloud</x:v>
      </x:c>
      <x:c r="E6" s="36" t="str">
        <x:v>Chile ahorro bruto</x:v>
      </x:c>
      <x:c r="F6" s="36" t="str">
        <x:v>Chile operación</x:v>
      </x:c>
      <x:c r="G6" s="36" t="str">
        <x:v>Chile CF cloud base</x:v>
      </x:c>
      <x:c r="H6" s="36" t="str">
        <x:v>Chile CF cloud optimizado</x:v>
      </x:c>
      <x:c r="I6" s="36" t="str">
        <x:v>Chile CF incremental</x:v>
      </x:c>
      <x:c r="J6" s="36" t="str">
        <x:v>Chile CF económico optimizado</x:v>
      </x:c>
      <x:c r="K6" s="36" t="str">
        <x:v>East base cloud</x:v>
      </x:c>
      <x:c r="L6" s="36" t="str">
        <x:v>East optimizado cloud</x:v>
      </x:c>
      <x:c r="M6" s="36" t="str">
        <x:v>East ahorro bruto</x:v>
      </x:c>
      <x:c r="N6" s="36" t="str">
        <x:v>East operación</x:v>
      </x:c>
      <x:c r="O6" s="36" t="str">
        <x:v>East CF cloud base</x:v>
      </x:c>
      <x:c r="P6" s="36" t="str">
        <x:v>East CF cloud optimizado</x:v>
      </x:c>
      <x:c r="Q6" s="36" t="str">
        <x:v>East CF incremental</x:v>
      </x:c>
      <x:c r="R6" s="36" t="str">
        <x:v>East CF económico optimizado</x:v>
      </x:c>
      <x:c r="S6" s="36" t="str">
        <x:v>Factor descuento</x:v>
      </x:c>
      <x:c r="T6" s="36" t="str">
        <x:v>Chile PV ahorro bruto</x:v>
      </x:c>
      <x:c r="U6" s="36" t="str">
        <x:v>East PV ahorro bruto</x:v>
      </x:c>
      <x:c r="V6" s="36" t="str">
        <x:v>Chile PV neto incremental</x:v>
      </x:c>
      <x:c r="W6" s="36" t="str">
        <x:v>East PV neto incremental</x:v>
      </x:c>
    </x:row>
    <x:row r="7">
      <x:c r="A7" s="29" t="n">
        <x:v>0</x:v>
      </x:c>
      <x:c r="B7" s="28" t="n">
        <x:v>46023</x:v>
      </x:c>
      <x:c r="C7" s="12" t="n">
        <x:v>0</x:v>
      </x:c>
      <x:c r="D7" s="12" t="n">
        <x:v>0</x:v>
      </x:c>
      <x:c r="E7" s="12" t="n">
        <x:v>0</x:v>
      </x:c>
      <x:c r="F7" s="12" t="n">
        <x:v>0</x:v>
      </x:c>
      <x:c r="G7" s="12" t="n">
        <x:v>0</x:v>
      </x:c>
      <x:c r="H7" s="12" t="n">
        <x:v>0</x:v>
      </x:c>
      <x:c r="I7" s="12" t="n">
        <x:f>IF(Supuestos!$B$15="","",-Supuestos!$B$15)</x:f>
        <x:v>-426.72630819983806</x:v>
      </x:c>
      <x:c r="J7" s="12" t="str">
        <x:f>IF(OR(Supuestos!$B$11="",Supuestos!$B$13="",Supuestos!$B$14="",Supuestos!$B$15=""),"",-(Supuestos!$B$11+Supuestos!$B$15))</x:f>
      </x:c>
      <x:c r="K7" s="12" t="n">
        <x:v>0</x:v>
      </x:c>
      <x:c r="L7" s="12" t="n">
        <x:v>0</x:v>
      </x:c>
      <x:c r="M7" s="12" t="n">
        <x:v>0</x:v>
      </x:c>
      <x:c r="N7" s="12" t="n">
        <x:v>0</x:v>
      </x:c>
      <x:c r="O7" s="12" t="n">
        <x:v>0</x:v>
      </x:c>
      <x:c r="P7" s="12" t="n">
        <x:v>0</x:v>
      </x:c>
      <x:c r="Q7" s="12" t="n">
        <x:f>IF(Supuestos!$B$16="","",-Supuestos!$B$16)</x:f>
        <x:v>-426.72630819983806</x:v>
      </x:c>
      <x:c r="R7" s="12" t="str">
        <x:f>IF(OR(Supuestos!$B$12="",Supuestos!$B$13="",Supuestos!$B$14="",Supuestos!$B$16=""),"",-(Supuestos!$B$12+Supuestos!$B$16))</x:f>
      </x:c>
      <x:c r="S7" s="30" t="n">
        <x:f>1/(1+Supuestos!$B$9)^A7</x:f>
        <x:v>1</x:v>
      </x:c>
      <x:c r="T7" s="12" t="str">
        <x:f>IF(E7="","",E7*S7)</x:f>
      </x:c>
      <x:c r="U7" s="12" t="str">
        <x:f>IF(M7="","",M7*S7)</x:f>
      </x:c>
      <x:c r="V7" s="12" t="n">
        <x:f>IF(I7="","",I7*S7)</x:f>
        <x:v>-426.72630819983806</x:v>
      </x:c>
      <x:c r="W7" s="12" t="n">
        <x:f>IF(Q7="","",Q7*S7)</x:f>
        <x:v>-426.72630819983806</x:v>
      </x:c>
    </x:row>
    <x:row r="8">
      <x:c r="A8" s="29" t="n">
        <x:v>1</x:v>
      </x:c>
      <x:c r="B8" s="28" t="n">
        <x:v>46054</x:v>
      </x:c>
      <x:c r="C8" s="12" t="n">
        <x:f>'Fuentes'!C6</x:f>
        <x:v>379.6164</x:v>
      </x:c>
      <x:c r="D8" s="12" t="n">
        <x:f>C8-E8</x:f>
        <x:v>355.3972</x:v>
      </x:c>
      <x:c r="E8" s="12" t="n">
        <x:f>'Fuentes'!E6</x:f>
        <x:v>24.2192</x:v>
      </x:c>
      <x:c r="F8" s="12" t="n">
        <x:f>IF(OR(Supuestos!$B$13="",Supuestos!$B$14=""),"",Supuestos!$B$13*Supuestos!$B$14)</x:f>
        <x:v>8.53452616399676</x:v>
      </x:c>
      <x:c r="G8" s="12" t="n">
        <x:f>-C8</x:f>
        <x:v>-379.6164</x:v>
      </x:c>
      <x:c r="H8" s="12" t="n">
        <x:f>-D8</x:f>
        <x:v>-355.3972</x:v>
      </x:c>
      <x:c r="I8" s="12" t="n">
        <x:f>IF(OR(Supuestos!$B$15="",F8=""),"",E8-F8)</x:f>
        <x:v>15.68467383600324</x:v>
      </x:c>
      <x:c r="J8" s="12" t="str">
        <x:f>IF(OR(Supuestos!$B$11="",Supuestos!$B$13="",Supuestos!$B$14="",Supuestos!$B$15=""),"",-(D8+F8))</x:f>
      </x:c>
      <x:c r="K8" s="12" t="n">
        <x:f>'Fuentes'!D6</x:f>
        <x:v>268.12600000000003</x:v>
      </x:c>
      <x:c r="L8" s="12" t="n">
        <x:f>K8-M8</x:f>
        <x:v>252.51800000000003</x:v>
      </x:c>
      <x:c r="M8" s="12" t="n">
        <x:f>'Fuentes'!F6</x:f>
        <x:v>15.608</x:v>
      </x:c>
      <x:c r="N8" s="12" t="n">
        <x:f>IF(OR(Supuestos!$B$13="",Supuestos!$B$14=""),"",Supuestos!$B$13*Supuestos!$B$14)</x:f>
        <x:v>8.53452616399676</x:v>
      </x:c>
      <x:c r="O8" s="12" t="n">
        <x:f>-K8</x:f>
        <x:v>-268.12600000000003</x:v>
      </x:c>
      <x:c r="P8" s="12" t="n">
        <x:f>-L8</x:f>
        <x:v>-252.51800000000003</x:v>
      </x:c>
      <x:c r="Q8" s="12" t="n">
        <x:f>IF(OR(Supuestos!$B$16="",N8=""),"",M8-N8)</x:f>
        <x:v>7.07347383600324</x:v>
      </x:c>
      <x:c r="R8" s="12" t="str">
        <x:f>IF(OR(Supuestos!$B$12="",Supuestos!$B$13="",Supuestos!$B$14="",Supuestos!$B$16=""),"",-(L8+N8))</x:f>
      </x:c>
      <x:c r="S8" s="30" t="n">
        <x:f>1/(1+Supuestos!$B$9)^A8</x:f>
        <x:v>0.9955482081557259</x:v>
      </x:c>
      <x:c r="T8" s="12" t="n">
        <x:f>IF(E8="","",E8*S8)</x:f>
        <x:v>24.111381162965156</x:v>
      </x:c>
      <x:c r="U8" s="12" t="n">
        <x:f>IF(M8="","",M8*S8)</x:f>
        <x:v>15.53851643289457</x:v>
      </x:c>
      <x:c r="V8" s="12" t="n">
        <x:f>IF(I8="","",I8*S8)</x:f>
        <x:v>15.61484893294002</x:v>
      </x:c>
      <x:c r="W8" s="12" t="n">
        <x:f>IF(Q8="","",Q8*S8)</x:f>
        <x:v>7.041984202869434</x:v>
      </x:c>
    </x:row>
    <x:row r="9">
      <x:c r="A9" s="29" t="n">
        <x:v>2</x:v>
      </x:c>
      <x:c r="B9" s="28" t="n">
        <x:v>46082</x:v>
      </x:c>
      <x:c r="C9" s="12" t="n">
        <x:f>'Fuentes'!C7</x:f>
        <x:v>379.8135859800365</x:v>
      </x:c>
      <x:c r="D9" s="12" t="n">
        <x:f>C9-E9</x:f>
        <x:v>355.5943859800365</x:v>
      </x:c>
      <x:c r="E9" s="12" t="n">
        <x:f>'Fuentes'!E7</x:f>
        <x:v>24.2192</x:v>
      </x:c>
      <x:c r="F9" s="12" t="n">
        <x:f>IF(OR(Supuestos!$B$13="",Supuestos!$B$14=""),"",Supuestos!$B$13*Supuestos!$B$14)</x:f>
        <x:v>8.53452616399676</x:v>
      </x:c>
      <x:c r="G9" s="12" t="n">
        <x:f>-C9</x:f>
        <x:v>-379.8135859800365</x:v>
      </x:c>
      <x:c r="H9" s="12" t="n">
        <x:f>-D9</x:f>
        <x:v>-355.5943859800365</x:v>
      </x:c>
      <x:c r="I9" s="12" t="n">
        <x:f>IF(OR(Supuestos!$B$15="",F9=""),"",E9-F9)</x:f>
        <x:v>15.68467383600324</x:v>
      </x:c>
      <x:c r="J9" s="12" t="str">
        <x:f>IF(OR(Supuestos!$B$11="",Supuestos!$B$13="",Supuestos!$B$14="",Supuestos!$B$15=""),"",-(D9+F9))</x:f>
      </x:c>
      <x:c r="K9" s="12" t="n">
        <x:f>'Fuentes'!D7</x:f>
        <x:v>268.2852184931972</x:v>
      </x:c>
      <x:c r="L9" s="12" t="n">
        <x:f>K9-M9</x:f>
        <x:v>252.6772184931972</x:v>
      </x:c>
      <x:c r="M9" s="12" t="n">
        <x:f>'Fuentes'!F7</x:f>
        <x:v>15.608</x:v>
      </x:c>
      <x:c r="N9" s="12" t="n">
        <x:f>IF(OR(Supuestos!$B$13="",Supuestos!$B$14=""),"",Supuestos!$B$13*Supuestos!$B$14)</x:f>
        <x:v>8.53452616399676</x:v>
      </x:c>
      <x:c r="O9" s="12" t="n">
        <x:f>-K9</x:f>
        <x:v>-268.2852184931972</x:v>
      </x:c>
      <x:c r="P9" s="12" t="n">
        <x:f>-L9</x:f>
        <x:v>-252.6772184931972</x:v>
      </x:c>
      <x:c r="Q9" s="12" t="n">
        <x:f>IF(OR(Supuestos!$B$16="",N9=""),"",M9-N9)</x:f>
        <x:v>7.07347383600324</x:v>
      </x:c>
      <x:c r="R9" s="12" t="str">
        <x:f>IF(OR(Supuestos!$B$12="",Supuestos!$B$13="",Supuestos!$B$14="",Supuestos!$B$16=""),"",-(L9+N9))</x:f>
      </x:c>
      <x:c r="S9" s="30" t="n">
        <x:f>1/(1+Supuestos!$B$9)^A9</x:f>
        <x:v>0.9911162347620767</x:v>
      </x:c>
      <x:c r="T9" s="12" t="n">
        <x:f>IF(E9="","",E9*S9)</x:f>
        <x:v>24.00404231294969</x:v>
      </x:c>
      <x:c r="U9" s="12" t="n">
        <x:f>IF(M9="","",M9*S9)</x:f>
        <x:v>15.469342192166494</x:v>
      </x:c>
      <x:c r="V9" s="12" t="n">
        <x:f>IF(I9="","",I9*S9)</x:f>
        <x:v>15.54533487581079</x:v>
      </x:c>
      <x:c r="W9" s="12" t="n">
        <x:f>IF(Q9="","",Q9*S9)</x:f>
        <x:v>7.010634755027594</x:v>
      </x:c>
    </x:row>
    <x:row r="10">
      <x:c r="A10" s="29" t="n">
        <x:v>3</x:v>
      </x:c>
      <x:c r="B10" s="28" t="n">
        <x:v>46113</x:v>
      </x:c>
      <x:c r="C10" s="12" t="n">
        <x:f>'Fuentes'!C8</x:f>
        <x:v>380.01379077301743</x:v>
      </x:c>
      <x:c r="D10" s="12" t="n">
        <x:f>C10-E10</x:f>
        <x:v>355.79459077301743</x:v>
      </x:c>
      <x:c r="E10" s="12" t="n">
        <x:f>'Fuentes'!E8</x:f>
        <x:v>24.2192</x:v>
      </x:c>
      <x:c r="F10" s="12" t="n">
        <x:f>IF(OR(Supuestos!$B$13="",Supuestos!$B$14=""),"",Supuestos!$B$13*Supuestos!$B$14)</x:f>
        <x:v>8.53452616399676</x:v>
      </x:c>
      <x:c r="G10" s="12" t="n">
        <x:f>-C10</x:f>
        <x:v>-380.01379077301743</x:v>
      </x:c>
      <x:c r="H10" s="12" t="n">
        <x:f>-D10</x:f>
        <x:v>-355.79459077301743</x:v>
      </x:c>
      <x:c r="I10" s="12" t="n">
        <x:f>IF(OR(Supuestos!$B$15="",F10=""),"",E10-F10)</x:f>
        <x:v>15.68467383600324</x:v>
      </x:c>
      <x:c r="J10" s="12" t="str">
        <x:f>IF(OR(Supuestos!$B$11="",Supuestos!$B$13="",Supuestos!$B$14="",Supuestos!$B$15=""),"",-(D10+F10))</x:f>
      </x:c>
      <x:c r="K10" s="12" t="n">
        <x:f>'Fuentes'!D8</x:f>
        <x:v>268.44687453721906</x:v>
      </x:c>
      <x:c r="L10" s="12" t="n">
        <x:f>K10-M10</x:f>
        <x:v>252.83887453721906</x:v>
      </x:c>
      <x:c r="M10" s="12" t="n">
        <x:f>'Fuentes'!F8</x:f>
        <x:v>15.608</x:v>
      </x:c>
      <x:c r="N10" s="12" t="n">
        <x:f>IF(OR(Supuestos!$B$13="",Supuestos!$B$14=""),"",Supuestos!$B$13*Supuestos!$B$14)</x:f>
        <x:v>8.53452616399676</x:v>
      </x:c>
      <x:c r="O10" s="12" t="n">
        <x:f>-K10</x:f>
        <x:v>-268.44687453721906</x:v>
      </x:c>
      <x:c r="P10" s="12" t="n">
        <x:f>-L10</x:f>
        <x:v>-252.83887453721906</x:v>
      </x:c>
      <x:c r="Q10" s="12" t="n">
        <x:f>IF(OR(Supuestos!$B$16="",N10=""),"",M10-N10)</x:f>
        <x:v>7.07347383600324</x:v>
      </x:c>
      <x:c r="R10" s="12" t="str">
        <x:f>IF(OR(Supuestos!$B$12="",Supuestos!$B$13="",Supuestos!$B$14="",Supuestos!$B$16=""),"",-(L10+N10))</x:f>
      </x:c>
      <x:c r="S10" s="30" t="n">
        <x:f>1/(1+Supuestos!$B$9)^A10</x:f>
        <x:v>0.9867039915914352</x:v>
      </x:c>
      <x:c r="T10" s="12" t="n">
        <x:f>IF(E10="","",E10*S10)</x:f>
        <x:v>23.897181313151286</x:v>
      </x:c>
      <x:c r="U10" s="12" t="n">
        <x:f>IF(M10="","",M10*S10)</x:f>
        <x:v>15.40047590075912</x:v>
      </x:c>
      <x:c r="V10" s="12" t="n">
        <x:f>IF(I10="","",I10*S10)</x:f>
        <x:v>15.476130280794145</x:v>
      </x:c>
      <x:c r="W10" s="12" t="n">
        <x:f>IF(Q10="","",Q10*S10)</x:f>
        <x:v>6.979424868401978</x:v>
      </x:c>
    </x:row>
    <x:row r="11">
      <x:c r="A11" s="29" t="n">
        <x:v>4</x:v>
      </x:c>
      <x:c r="B11" s="28" t="n">
        <x:v>46143</x:v>
      </x:c>
      <x:c r="C11" s="12" t="n">
        <x:f>'Fuentes'!C9</x:f>
        <x:v>380.2170605953703</x:v>
      </x:c>
      <x:c r="D11" s="12" t="n">
        <x:f>C11-E11</x:f>
        <x:v>355.9978605953703</x:v>
      </x:c>
      <x:c r="E11" s="12" t="n">
        <x:f>'Fuentes'!E9</x:f>
        <x:v>24.2192</x:v>
      </x:c>
      <x:c r="F11" s="12" t="n">
        <x:f>IF(OR(Supuestos!$B$13="",Supuestos!$B$14=""),"",Supuestos!$B$13*Supuestos!$B$14)</x:f>
        <x:v>8.53452616399676</x:v>
      </x:c>
      <x:c r="G11" s="12" t="n">
        <x:f>-C11</x:f>
        <x:v>-380.2170605953703</x:v>
      </x:c>
      <x:c r="H11" s="12" t="n">
        <x:f>-D11</x:f>
        <x:v>-355.9978605953703</x:v>
      </x:c>
      <x:c r="I11" s="12" t="n">
        <x:f>IF(OR(Supuestos!$B$15="",F11=""),"",E11-F11)</x:f>
        <x:v>15.68467383600324</x:v>
      </x:c>
      <x:c r="J11" s="12" t="str">
        <x:f>IF(OR(Supuestos!$B$11="",Supuestos!$B$13="",Supuestos!$B$14="",Supuestos!$B$15=""),"",-(D11+F11))</x:f>
      </x:c>
      <x:c r="K11" s="12" t="n">
        <x:f>'Fuentes'!D9</x:f>
        <x:v>268.6110054496779</x:v>
      </x:c>
      <x:c r="L11" s="12" t="n">
        <x:f>K11-M11</x:f>
        <x:v>253.00300544967791</x:v>
      </x:c>
      <x:c r="M11" s="12" t="n">
        <x:f>'Fuentes'!F9</x:f>
        <x:v>15.608</x:v>
      </x:c>
      <x:c r="N11" s="12" t="n">
        <x:f>IF(OR(Supuestos!$B$13="",Supuestos!$B$14=""),"",Supuestos!$B$13*Supuestos!$B$14)</x:f>
        <x:v>8.53452616399676</x:v>
      </x:c>
      <x:c r="O11" s="12" t="n">
        <x:f>-K11</x:f>
        <x:v>-268.6110054496779</x:v>
      </x:c>
      <x:c r="P11" s="12" t="n">
        <x:f>-L11</x:f>
        <x:v>-253.00300544967791</x:v>
      </x:c>
      <x:c r="Q11" s="12" t="n">
        <x:f>IF(OR(Supuestos!$B$16="",N11=""),"",M11-N11)</x:f>
        <x:v>7.07347383600324</x:v>
      </x:c>
      <x:c r="R11" s="12" t="str">
        <x:f>IF(OR(Supuestos!$B$12="",Supuestos!$B$13="",Supuestos!$B$14="",Supuestos!$B$16=""),"",-(L11+N11))</x:f>
      </x:c>
      <x:c r="S11" s="30" t="n">
        <x:f>1/(1+Supuestos!$B$9)^A11</x:f>
        <x:v>0.9823113908089557</x:v>
      </x:c>
      <x:c r="T11" s="12" t="n">
        <x:f>IF(E11="","",E11*S11)</x:f>
        <x:v>23.79079603628026</x:v>
      </x:c>
      <x:c r="U11" s="12" t="n">
        <x:f>IF(M11="","",M11*S11)</x:f>
        <x:v>15.331916187746181</x:v>
      </x:c>
      <x:c r="V11" s="12" t="n">
        <x:f>IF(I11="","",I11*S11)</x:f>
        <x:v>15.407233770229182</x:v>
      </x:c>
      <x:c r="W11" s="12" t="n">
        <x:f>IF(Q11="","",Q11*S11)</x:f>
        <x:v>6.948353921695102</x:v>
      </x:c>
    </x:row>
    <x:row r="12">
      <x:c r="A12" s="29" t="n">
        <x:v>5</x:v>
      </x:c>
      <x:c r="B12" s="28" t="n">
        <x:v>46174</x:v>
      </x:c>
      <x:c r="C12" s="12" t="n">
        <x:f>'Fuentes'!C10</x:f>
        <x:v>380.42344237107204</x:v>
      </x:c>
      <x:c r="D12" s="12" t="n">
        <x:f>C12-E12</x:f>
        <x:v>356.20424237107204</x:v>
      </x:c>
      <x:c r="E12" s="12" t="n">
        <x:f>'Fuentes'!E10</x:f>
        <x:v>24.2192</x:v>
      </x:c>
      <x:c r="F12" s="12" t="n">
        <x:f>IF(OR(Supuestos!$B$13="",Supuestos!$B$14=""),"",Supuestos!$B$13*Supuestos!$B$14)</x:f>
        <x:v>8.53452616399676</x:v>
      </x:c>
      <x:c r="G12" s="12" t="n">
        <x:f>-C12</x:f>
        <x:v>-380.42344237107204</x:v>
      </x:c>
      <x:c r="H12" s="12" t="n">
        <x:f>-D12</x:f>
        <x:v>-356.20424237107204</x:v>
      </x:c>
      <x:c r="I12" s="12" t="n">
        <x:f>IF(OR(Supuestos!$B$15="",F12=""),"",E12-F12)</x:f>
        <x:v>15.68467383600324</x:v>
      </x:c>
      <x:c r="J12" s="12" t="str">
        <x:f>IF(OR(Supuestos!$B$11="",Supuestos!$B$13="",Supuestos!$B$14="",Supuestos!$B$15=""),"",-(D12+F12))</x:f>
      </x:c>
      <x:c r="K12" s="12" t="n">
        <x:f>'Fuentes'!D10</x:f>
        <x:v>268.7776491194992</x:v>
      </x:c>
      <x:c r="L12" s="12" t="n">
        <x:f>K12-M12</x:f>
        <x:v>253.16964911949918</x:v>
      </x:c>
      <x:c r="M12" s="12" t="n">
        <x:f>'Fuentes'!F10</x:f>
        <x:v>15.608</x:v>
      </x:c>
      <x:c r="N12" s="12" t="n">
        <x:f>IF(OR(Supuestos!$B$13="",Supuestos!$B$14=""),"",Supuestos!$B$13*Supuestos!$B$14)</x:f>
        <x:v>8.53452616399676</x:v>
      </x:c>
      <x:c r="O12" s="12" t="n">
        <x:f>-K12</x:f>
        <x:v>-268.7776491194992</x:v>
      </x:c>
      <x:c r="P12" s="12" t="n">
        <x:f>-L12</x:f>
        <x:v>-253.16964911949918</x:v>
      </x:c>
      <x:c r="Q12" s="12" t="n">
        <x:f>IF(OR(Supuestos!$B$16="",N12=""),"",M12-N12)</x:f>
        <x:v>7.07347383600324</x:v>
      </x:c>
      <x:c r="R12" s="12" t="str">
        <x:f>IF(OR(Supuestos!$B$12="",Supuestos!$B$13="",Supuestos!$B$14="",Supuestos!$B$16=""),"",-(L12+N12))</x:f>
      </x:c>
      <x:c r="S12" s="30" t="n">
        <x:f>1/(1+Supuestos!$B$9)^A12</x:f>
        <x:v>0.9779383449708149</x:v>
      </x:c>
      <x:c r="T12" s="12" t="n">
        <x:f>IF(E12="","",E12*S12)</x:f>
        <x:v>23.68488436451716</x:v>
      </x:c>
      <x:c r="U12" s="12" t="n">
        <x:f>IF(M12="","",M12*S12)</x:f>
        <x:v>15.26366168830448</x:v>
      </x:c>
      <x:c r="V12" s="12" t="n">
        <x:f>IF(I12="","",I12*S12)</x:f>
        <x:v>15.33864397258805</x:v>
      </x:c>
      <x:c r="W12" s="12" t="n">
        <x:f>IF(Q12="","",Q12*S12)</x:f>
        <x:v>6.91742129637537</x:v>
      </x:c>
    </x:row>
    <x:row r="13">
      <x:c r="A13" s="29" t="n">
        <x:v>6</x:v>
      </x:c>
      <x:c r="B13" s="28" t="n">
        <x:v>46204</x:v>
      </x:c>
      <x:c r="C13" s="12" t="n">
        <x:f>'Fuentes'!C11</x:f>
        <x:v>380.6329837424805</x:v>
      </x:c>
      <x:c r="D13" s="12" t="n">
        <x:f>C13-E13</x:f>
        <x:v>356.4137837424805</x:v>
      </x:c>
      <x:c r="E13" s="12" t="n">
        <x:f>'Fuentes'!E11</x:f>
        <x:v>24.2192</x:v>
      </x:c>
      <x:c r="F13" s="12" t="n">
        <x:f>IF(OR(Supuestos!$B$13="",Supuestos!$B$14=""),"",Supuestos!$B$13*Supuestos!$B$14)</x:f>
        <x:v>8.53452616399676</x:v>
      </x:c>
      <x:c r="G13" s="12" t="n">
        <x:f>-C13</x:f>
        <x:v>-380.6329837424805</x:v>
      </x:c>
      <x:c r="H13" s="12" t="n">
        <x:f>-D13</x:f>
        <x:v>-356.4137837424805</x:v>
      </x:c>
      <x:c r="I13" s="12" t="n">
        <x:f>IF(OR(Supuestos!$B$15="",F13=""),"",E13-F13)</x:f>
        <x:v>15.68467383600324</x:v>
      </x:c>
      <x:c r="J13" s="12" t="str">
        <x:f>IF(OR(Supuestos!$B$11="",Supuestos!$B$13="",Supuestos!$B$14="",Supuestos!$B$15=""),"",-(D13+F13))</x:f>
      </x:c>
      <x:c r="K13" s="12" t="n">
        <x:f>'Fuentes'!D11</x:f>
        <x:v>268.9468440156675</x:v>
      </x:c>
      <x:c r="L13" s="12" t="n">
        <x:f>K13-M13</x:f>
        <x:v>253.33884401566752</x:v>
      </x:c>
      <x:c r="M13" s="12" t="n">
        <x:f>'Fuentes'!F11</x:f>
        <x:v>15.608</x:v>
      </x:c>
      <x:c r="N13" s="12" t="n">
        <x:f>IF(OR(Supuestos!$B$13="",Supuestos!$B$14=""),"",Supuestos!$B$13*Supuestos!$B$14)</x:f>
        <x:v>8.53452616399676</x:v>
      </x:c>
      <x:c r="O13" s="12" t="n">
        <x:f>-K13</x:f>
        <x:v>-268.9468440156675</x:v>
      </x:c>
      <x:c r="P13" s="12" t="n">
        <x:f>-L13</x:f>
        <x:v>-253.33884401566752</x:v>
      </x:c>
      <x:c r="Q13" s="12" t="n">
        <x:f>IF(OR(Supuestos!$B$16="",N13=""),"",M13-N13)</x:f>
        <x:v>7.07347383600324</x:v>
      </x:c>
      <x:c r="R13" s="12" t="str">
        <x:f>IF(OR(Supuestos!$B$12="",Supuestos!$B$13="",Supuestos!$B$14="",Supuestos!$B$16=""),"",-(L13+N13))</x:f>
      </x:c>
      <x:c r="S13" s="30" t="n">
        <x:f>1/(1+Supuestos!$B$9)^A13</x:f>
        <x:v>0.973584767022471</x:v>
      </x:c>
      <x:c r="T13" s="12" t="n">
        <x:f>IF(E13="","",E13*S13)</x:f>
        <x:v>23.57944418947063</x:v>
      </x:c>
      <x:c r="U13" s="12" t="n">
        <x:f>IF(M13="","",M13*S13)</x:f>
        <x:v>15.195711043686728</x:v>
      </x:c>
      <x:c r="V13" s="12" t="n">
        <x:f>IF(I13="","",I13*S13)</x:f>
        <x:v>15.270359522448661</x:v>
      </x:c>
      <x:c r="W13" s="12" t="n">
        <x:f>IF(Q13="","",Q13*S13)</x:f>
        <x:v>6.886626376664759</x:v>
      </x:c>
    </x:row>
    <x:row r="14">
      <x:c r="A14" s="29" t="n">
        <x:v>7</x:v>
      </x:c>
      <x:c r="B14" s="28" t="n">
        <x:v>46235</x:v>
      </x:c>
      <x:c r="C14" s="12" t="n">
        <x:f>'Fuentes'!C12</x:f>
        <x:v>380.8457330813331</x:v>
      </x:c>
      <x:c r="D14" s="12" t="n">
        <x:f>C14-E14</x:f>
        <x:v>356.6265330813331</x:v>
      </x:c>
      <x:c r="E14" s="12" t="n">
        <x:f>'Fuentes'!E12</x:f>
        <x:v>24.2192</x:v>
      </x:c>
      <x:c r="F14" s="12" t="n">
        <x:f>IF(OR(Supuestos!$B$13="",Supuestos!$B$14=""),"",Supuestos!$B$13*Supuestos!$B$14)</x:f>
        <x:v>8.53452616399676</x:v>
      </x:c>
      <x:c r="G14" s="12" t="n">
        <x:f>-C14</x:f>
        <x:v>-380.8457330813331</x:v>
      </x:c>
      <x:c r="H14" s="12" t="n">
        <x:f>-D14</x:f>
        <x:v>-356.6265330813331</x:v>
      </x:c>
      <x:c r="I14" s="12" t="n">
        <x:f>IF(OR(Supuestos!$B$15="",F14=""),"",E14-F14)</x:f>
        <x:v>15.68467383600324</x:v>
      </x:c>
      <x:c r="J14" s="12" t="str">
        <x:f>IF(OR(Supuestos!$B$11="",Supuestos!$B$13="",Supuestos!$B$14="",Supuestos!$B$15=""),"",-(D14+F14))</x:f>
      </x:c>
      <x:c r="K14" s="12" t="n">
        <x:f>'Fuentes'!D12</x:f>
        <x:v>269.11862919610746</x:v>
      </x:c>
      <x:c r="L14" s="12" t="n">
        <x:f>K14-M14</x:f>
        <x:v>253.51062919610746</x:v>
      </x:c>
      <x:c r="M14" s="12" t="n">
        <x:f>'Fuentes'!F12</x:f>
        <x:v>15.608</x:v>
      </x:c>
      <x:c r="N14" s="12" t="n">
        <x:f>IF(OR(Supuestos!$B$13="",Supuestos!$B$14=""),"",Supuestos!$B$13*Supuestos!$B$14)</x:f>
        <x:v>8.53452616399676</x:v>
      </x:c>
      <x:c r="O14" s="12" t="n">
        <x:f>-K14</x:f>
        <x:v>-269.11862919610746</x:v>
      </x:c>
      <x:c r="P14" s="12" t="n">
        <x:f>-L14</x:f>
        <x:v>-253.51062919610746</x:v>
      </x:c>
      <x:c r="Q14" s="12" t="n">
        <x:f>IF(OR(Supuestos!$B$16="",N14=""),"",M14-N14)</x:f>
        <x:v>7.07347383600324</x:v>
      </x:c>
      <x:c r="R14" s="12" t="str">
        <x:f>IF(OR(Supuestos!$B$12="",Supuestos!$B$13="",Supuestos!$B$14="",Supuestos!$B$16=""),"",-(L14+N14))</x:f>
      </x:c>
      <x:c r="S14" s="30" t="n">
        <x:f>1/(1+Supuestos!$B$9)^A14</x:f>
        <x:v>0.9692505702969308</x:v>
      </x:c>
      <x:c r="T14" s="12" t="n">
        <x:f>IF(E14="","",E14*S14)</x:f>
        <x:v>23.474473412135428</x:v>
      </x:c>
      <x:c r="U14" s="12" t="n">
        <x:f>IF(M14="","",M14*S14)</x:f>
        <x:v>15.128062901194497</x:v>
      </x:c>
      <x:c r="V14" s="12" t="n">
        <x:f>IF(I14="","",I14*S14)</x:f>
        <x:v>15.202379060467491</x:v>
      </x:c>
      <x:c r="W14" s="12" t="n">
        <x:f>IF(Q14="","",Q14*S14)</x:f>
        <x:v>6.855968549526559</x:v>
      </x:c>
    </x:row>
    <x:row r="15">
      <x:c r="A15" s="29" t="n">
        <x:v>8</x:v>
      </x:c>
      <x:c r="B15" s="28" t="n">
        <x:v>46266</x:v>
      </x:c>
      <x:c r="C15" s="12" t="n">
        <x:f>'Fuentes'!C13</x:f>
        <x:v>381.0617394999126</x:v>
      </x:c>
      <x:c r="D15" s="12" t="n">
        <x:f>C15-E15</x:f>
        <x:v>356.8425394999126</x:v>
      </x:c>
      <x:c r="E15" s="12" t="n">
        <x:f>'Fuentes'!E13</x:f>
        <x:v>24.2192</x:v>
      </x:c>
      <x:c r="F15" s="12" t="n">
        <x:f>IF(OR(Supuestos!$B$13="",Supuestos!$B$14=""),"",Supuestos!$B$13*Supuestos!$B$14)</x:f>
        <x:v>8.53452616399676</x:v>
      </x:c>
      <x:c r="G15" s="12" t="n">
        <x:f>-C15</x:f>
        <x:v>-381.0617394999126</x:v>
      </x:c>
      <x:c r="H15" s="12" t="n">
        <x:f>-D15</x:f>
        <x:v>-356.8425394999126</x:v>
      </x:c>
      <x:c r="I15" s="12" t="n">
        <x:f>IF(OR(Supuestos!$B$15="",F15=""),"",E15-F15)</x:f>
        <x:v>15.68467383600324</x:v>
      </x:c>
      <x:c r="J15" s="12" t="str">
        <x:f>IF(OR(Supuestos!$B$11="",Supuestos!$B$13="",Supuestos!$B$14="",Supuestos!$B$15=""),"",-(D15+F15))</x:f>
      </x:c>
      <x:c r="K15" s="12" t="n">
        <x:f>'Fuentes'!D13</x:f>
        <x:v>269.29304431669965</x:v>
      </x:c>
      <x:c r="L15" s="12" t="n">
        <x:f>K15-M15</x:f>
        <x:v>253.68504431669965</x:v>
      </x:c>
      <x:c r="M15" s="12" t="n">
        <x:f>'Fuentes'!F13</x:f>
        <x:v>15.608</x:v>
      </x:c>
      <x:c r="N15" s="12" t="n">
        <x:f>IF(OR(Supuestos!$B$13="",Supuestos!$B$14=""),"",Supuestos!$B$13*Supuestos!$B$14)</x:f>
        <x:v>8.53452616399676</x:v>
      </x:c>
      <x:c r="O15" s="12" t="n">
        <x:f>-K15</x:f>
        <x:v>-269.29304431669965</x:v>
      </x:c>
      <x:c r="P15" s="12" t="n">
        <x:f>-L15</x:f>
        <x:v>-253.68504431669965</x:v>
      </x:c>
      <x:c r="Q15" s="12" t="n">
        <x:f>IF(OR(Supuestos!$B$16="",N15=""),"",M15-N15)</x:f>
        <x:v>7.07347383600324</x:v>
      </x:c>
      <x:c r="R15" s="12" t="str">
        <x:f>IF(OR(Supuestos!$B$12="",Supuestos!$B$13="",Supuestos!$B$14="",Supuestos!$B$16=""),"",-(L15+N15))</x:f>
      </x:c>
      <x:c r="S15" s="30" t="n">
        <x:f>1/(1+Supuestos!$B$9)^A15</x:f>
        <x:v>0.964935668513025</x:v>
      </x:c>
      <x:c r="T15" s="12" t="n">
        <x:f>IF(E15="","",E15*S15)</x:f>
        <x:v>23.369969942850656</x:v>
      </x:c>
      <x:c r="U15" s="12" t="n">
        <x:f>IF(M15="","",M15*S15)</x:f>
        <x:v>15.060715914151295</x:v>
      </x:c>
      <x:c r="V15" s="12" t="n">
        <x:f>IF(I15="","",I15*S15)</x:f>
        <x:v>15.134701233352539</x:v>
      </x:c>
      <x:c r="W15" s="12" t="n">
        <x:f>IF(Q15="","",Q15*S15)</x:f>
        <x:v>6.825447204653178</x:v>
      </x:c>
    </x:row>
    <x:row r="16">
      <x:c r="A16" s="29" t="n">
        <x:v>9</x:v>
      </x:c>
      <x:c r="B16" s="28" t="n">
        <x:v>46296</x:v>
      </x:c>
      <x:c r="C16" s="12" t="n">
        <x:f>'Fuentes'!C14</x:f>
        <x:v>381.2810528623852</x:v>
      </x:c>
      <x:c r="D16" s="12" t="n">
        <x:f>C16-E16</x:f>
        <x:v>357.0618528623852</x:v>
      </x:c>
      <x:c r="E16" s="12" t="n">
        <x:f>'Fuentes'!E14</x:f>
        <x:v>24.2192</x:v>
      </x:c>
      <x:c r="F16" s="12" t="n">
        <x:f>IF(OR(Supuestos!$B$13="",Supuestos!$B$14=""),"",Supuestos!$B$13*Supuestos!$B$14)</x:f>
        <x:v>8.53452616399676</x:v>
      </x:c>
      <x:c r="G16" s="12" t="n">
        <x:f>-C16</x:f>
        <x:v>-381.2810528623852</x:v>
      </x:c>
      <x:c r="H16" s="12" t="n">
        <x:f>-D16</x:f>
        <x:v>-357.0618528623852</x:v>
      </x:c>
      <x:c r="I16" s="12" t="n">
        <x:f>IF(OR(Supuestos!$B$15="",F16=""),"",E16-F16)</x:f>
        <x:v>15.68467383600324</x:v>
      </x:c>
      <x:c r="J16" s="12" t="str">
        <x:f>IF(OR(Supuestos!$B$11="",Supuestos!$B$13="",Supuestos!$B$14="",Supuestos!$B$15=""),"",-(D16+F16))</x:f>
      </x:c>
      <x:c r="K16" s="12" t="n">
        <x:f>'Fuentes'!D14</x:f>
        <x:v>269.47012964043523</x:v>
      </x:c>
      <x:c r="L16" s="12" t="n">
        <x:f>K16-M16</x:f>
        <x:v>253.86212964043523</x:v>
      </x:c>
      <x:c r="M16" s="12" t="n">
        <x:f>'Fuentes'!F14</x:f>
        <x:v>15.608</x:v>
      </x:c>
      <x:c r="N16" s="12" t="n">
        <x:f>IF(OR(Supuestos!$B$13="",Supuestos!$B$14=""),"",Supuestos!$B$13*Supuestos!$B$14)</x:f>
        <x:v>8.53452616399676</x:v>
      </x:c>
      <x:c r="O16" s="12" t="n">
        <x:f>-K16</x:f>
        <x:v>-269.47012964043523</x:v>
      </x:c>
      <x:c r="P16" s="12" t="n">
        <x:f>-L16</x:f>
        <x:v>-253.86212964043523</x:v>
      </x:c>
      <x:c r="Q16" s="12" t="n">
        <x:f>IF(OR(Supuestos!$B$16="",N16=""),"",M16-N16)</x:f>
        <x:v>7.07347383600324</x:v>
      </x:c>
      <x:c r="R16" s="12" t="str">
        <x:f>IF(OR(Supuestos!$B$12="",Supuestos!$B$13="",Supuestos!$B$14="",Supuestos!$B$16=""),"",-(L16+N16))</x:f>
      </x:c>
      <x:c r="S16" s="30" t="n">
        <x:f>1/(1+Supuestos!$B$9)^A16</x:f>
        <x:v>0.9606399757736895</x:v>
      </x:c>
      <x:c r="T16" s="12" t="n">
        <x:f>IF(E16="","",E16*S16)</x:f>
        <x:v>23.265931701258143</x:v>
      </x:c>
      <x:c r="U16" s="12" t="n">
        <x:f>IF(M16="","",M16*S16)</x:f>
        <x:v>14.993668741875746</x:v>
      </x:c>
      <x:c r="V16" s="12" t="n">
        <x:f>IF(I16="","",I16*S16)</x:f>
        <x:v>15.067324693836374</x:v>
      </x:c>
      <x:c r="W16" s="12" t="n">
        <x:f>IF(Q16="","",Q16*S16)</x:f>
        <x:v>6.795061734453979</x:v>
      </x:c>
    </x:row>
    <x:row r="17">
      <x:c r="A17" s="29" t="n">
        <x:v>10</x:v>
      </x:c>
      <x:c r="B17" s="28" t="n">
        <x:v>46327</x:v>
      </x:c>
      <x:c r="C17" s="12" t="n">
        <x:f>'Fuentes'!C15</x:f>
        <x:v>381.5037237963107</x:v>
      </x:c>
      <x:c r="D17" s="12" t="n">
        <x:f>C17-E17</x:f>
        <x:v>357.2845237963107</x:v>
      </x:c>
      <x:c r="E17" s="12" t="n">
        <x:f>'Fuentes'!E15</x:f>
        <x:v>24.2192</x:v>
      </x:c>
      <x:c r="F17" s="12" t="n">
        <x:f>IF(OR(Supuestos!$B$13="",Supuestos!$B$14=""),"",Supuestos!$B$13*Supuestos!$B$14)</x:f>
        <x:v>8.53452616399676</x:v>
      </x:c>
      <x:c r="G17" s="12" t="n">
        <x:f>-C17</x:f>
        <x:v>-381.5037237963107</x:v>
      </x:c>
      <x:c r="H17" s="12" t="n">
        <x:f>-D17</x:f>
        <x:v>-357.2845237963107</x:v>
      </x:c>
      <x:c r="I17" s="12" t="n">
        <x:f>IF(OR(Supuestos!$B$15="",F17=""),"",E17-F17)</x:f>
        <x:v>15.68467383600324</x:v>
      </x:c>
      <x:c r="J17" s="12" t="str">
        <x:f>IF(OR(Supuestos!$B$11="",Supuestos!$B$13="",Supuestos!$B$14="",Supuestos!$B$15=""),"",-(D17+F17))</x:f>
      </x:c>
      <x:c r="K17" s="12" t="n">
        <x:f>'Fuentes'!D15</x:f>
        <x:v>269.6499260467105</x:v>
      </x:c>
      <x:c r="L17" s="12" t="n">
        <x:f>K17-M17</x:f>
        <x:v>254.0419260467105</x:v>
      </x:c>
      <x:c r="M17" s="12" t="n">
        <x:f>'Fuentes'!F15</x:f>
        <x:v>15.608</x:v>
      </x:c>
      <x:c r="N17" s="12" t="n">
        <x:f>IF(OR(Supuestos!$B$13="",Supuestos!$B$14=""),"",Supuestos!$B$13*Supuestos!$B$14)</x:f>
        <x:v>8.53452616399676</x:v>
      </x:c>
      <x:c r="O17" s="12" t="n">
        <x:f>-K17</x:f>
        <x:v>-269.6499260467105</x:v>
      </x:c>
      <x:c r="P17" s="12" t="n">
        <x:f>-L17</x:f>
        <x:v>-254.0419260467105</x:v>
      </x:c>
      <x:c r="Q17" s="12" t="n">
        <x:f>IF(OR(Supuestos!$B$16="",N17=""),"",M17-N17)</x:f>
        <x:v>7.07347383600324</x:v>
      </x:c>
      <x:c r="R17" s="12" t="str">
        <x:f>IF(OR(Supuestos!$B$12="",Supuestos!$B$13="",Supuestos!$B$14="",Supuestos!$B$16=""),"",-(L17+N17))</x:f>
      </x:c>
      <x:c r="S17" s="30" t="n">
        <x:f>1/(1+Supuestos!$B$9)^A17</x:f>
        <x:v>0.9563634065642566</x:v>
      </x:c>
      <x:c r="T17" s="12" t="n">
        <x:f>IF(E17="","",E17*S17)</x:f>
        <x:v>23.162356616261043</x:v>
      </x:c>
      <x:c r="U17" s="12" t="n">
        <x:f>IF(M17="","",M17*S17)</x:f>
        <x:v>14.926920049654917</x:v>
      </x:c>
      <x:c r="V17" s="12" t="n">
        <x:f>IF(I17="","",I17*S17)</x:f>
        <x:v>15.000248100649324</x:v>
      </x:c>
      <x:c r="W17" s="12" t="n">
        <x:f>IF(Q17="","",Q17*S17)</x:f>
        <x:v>6.764811534043198</x:v>
      </x:c>
    </x:row>
    <x:row r="18">
      <x:c r="A18" s="29" t="n">
        <x:v>11</x:v>
      </x:c>
      <x:c r="B18" s="28" t="n">
        <x:v>46357</x:v>
      </x:c>
      <x:c r="C18" s="12" t="n">
        <x:f>'Fuentes'!C16</x:f>
        <x:v>381.7298037043303</x:v>
      </x:c>
      <x:c r="D18" s="12" t="n">
        <x:f>C18-E18</x:f>
        <x:v>357.5106037043303</x:v>
      </x:c>
      <x:c r="E18" s="12" t="n">
        <x:f>'Fuentes'!E16</x:f>
        <x:v>24.2192</x:v>
      </x:c>
      <x:c r="F18" s="12" t="n">
        <x:f>IF(OR(Supuestos!$B$13="",Supuestos!$B$14=""),"",Supuestos!$B$13*Supuestos!$B$14)</x:f>
        <x:v>8.53452616399676</x:v>
      </x:c>
      <x:c r="G18" s="12" t="n">
        <x:f>-C18</x:f>
        <x:v>-381.7298037043303</x:v>
      </x:c>
      <x:c r="H18" s="12" t="n">
        <x:f>-D18</x:f>
        <x:v>-357.5106037043303</x:v>
      </x:c>
      <x:c r="I18" s="12" t="n">
        <x:f>IF(OR(Supuestos!$B$15="",F18=""),"",E18-F18)</x:f>
        <x:v>15.68467383600324</x:v>
      </x:c>
      <x:c r="J18" s="12" t="str">
        <x:f>IF(OR(Supuestos!$B$11="",Supuestos!$B$13="",Supuestos!$B$14="",Supuestos!$B$15=""),"",-(D18+F18))</x:f>
      </x:c>
      <x:c r="K18" s="12" t="n">
        <x:f>'Fuentes'!D16</x:f>
        <x:v>269.8324750407636</x:v>
      </x:c>
      <x:c r="L18" s="12" t="n">
        <x:f>K18-M18</x:f>
        <x:v>254.2244750407636</x:v>
      </x:c>
      <x:c r="M18" s="12" t="n">
        <x:f>'Fuentes'!F16</x:f>
        <x:v>15.608</x:v>
      </x:c>
      <x:c r="N18" s="12" t="n">
        <x:f>IF(OR(Supuestos!$B$13="",Supuestos!$B$14=""),"",Supuestos!$B$13*Supuestos!$B$14)</x:f>
        <x:v>8.53452616399676</x:v>
      </x:c>
      <x:c r="O18" s="12" t="n">
        <x:f>-K18</x:f>
        <x:v>-269.8324750407636</x:v>
      </x:c>
      <x:c r="P18" s="12" t="n">
        <x:f>-L18</x:f>
        <x:v>-254.2244750407636</x:v>
      </x:c>
      <x:c r="Q18" s="12" t="n">
        <x:f>IF(OR(Supuestos!$B$16="",N18=""),"",M18-N18)</x:f>
        <x:v>7.07347383600324</x:v>
      </x:c>
      <x:c r="R18" s="12" t="str">
        <x:f>IF(OR(Supuestos!$B$12="",Supuestos!$B$13="",Supuestos!$B$14="",Supuestos!$B$16=""),"",-(L18+N18))</x:f>
      </x:c>
      <x:c r="S18" s="30" t="n">
        <x:f>1/(1+Supuestos!$B$9)^A18</x:f>
        <x:v>0.9521058757507516</x:v>
      </x:c>
      <x:c r="T18" s="12" t="n">
        <x:f>IF(E18="","",E18*S18)</x:f>
        <x:v>23.059242625982602</x:v>
      </x:c>
      <x:c r="U18" s="12" t="n">
        <x:f>IF(M18="","",M18*S18)</x:f>
        <x:v>14.86046850871773</x:v>
      </x:c>
      <x:c r="V18" s="12" t="n">
        <x:f>IF(I18="","",I18*S18)</x:f>
        <x:v>14.933470118492766</x:v>
      </x:c>
      <x:c r="W18" s="12" t="n">
        <x:f>IF(Q18="","",Q18*S18)</x:f>
        <x:v>6.734696001227893</x:v>
      </x:c>
    </x:row>
    <x:row r="19">
      <x:c r="A19" s="29" t="n">
        <x:v>12</x:v>
      </x:c>
      <x:c r="B19" s="28" t="n">
        <x:v>46388</x:v>
      </x:c>
      <x:c r="C19" s="12" t="n">
        <x:f>'Fuentes'!C17</x:f>
        <x:v>381.9593447760323</x:v>
      </x:c>
      <x:c r="D19" s="12" t="n">
        <x:f>C19-E19</x:f>
        <x:v>357.7401447760323</x:v>
      </x:c>
      <x:c r="E19" s="12" t="n">
        <x:f>'Fuentes'!E17</x:f>
        <x:v>24.2192</x:v>
      </x:c>
      <x:c r="F19" s="12" t="n">
        <x:f>IF(OR(Supuestos!$B$13="",Supuestos!$B$14=""),"",Supuestos!$B$13*Supuestos!$B$14)</x:f>
        <x:v>8.53452616399676</x:v>
      </x:c>
      <x:c r="G19" s="12" t="n">
        <x:f>-C19</x:f>
        <x:v>-381.9593447760323</x:v>
      </x:c>
      <x:c r="H19" s="12" t="n">
        <x:f>-D19</x:f>
        <x:v>-357.7401447760323</x:v>
      </x:c>
      <x:c r="I19" s="12" t="n">
        <x:f>IF(OR(Supuestos!$B$15="",F19=""),"",E19-F19)</x:f>
        <x:v>15.68467383600324</x:v>
      </x:c>
      <x:c r="J19" s="12" t="str">
        <x:f>IF(OR(Supuestos!$B$11="",Supuestos!$B$13="",Supuestos!$B$14="",Supuestos!$B$15=""),"",-(D19+F19))</x:f>
      </x:c>
      <x:c r="K19" s="12" t="n">
        <x:f>'Fuentes'!D17</x:f>
        <x:v>270.0178187632559</x:v>
      </x:c>
      <x:c r="L19" s="12" t="n">
        <x:f>K19-M19</x:f>
        <x:v>254.40981876325588</x:v>
      </x:c>
      <x:c r="M19" s="12" t="n">
        <x:f>'Fuentes'!F17</x:f>
        <x:v>15.608</x:v>
      </x:c>
      <x:c r="N19" s="12" t="n">
        <x:f>IF(OR(Supuestos!$B$13="",Supuestos!$B$14=""),"",Supuestos!$B$13*Supuestos!$B$14)</x:f>
        <x:v>8.53452616399676</x:v>
      </x:c>
      <x:c r="O19" s="12" t="n">
        <x:f>-K19</x:f>
        <x:v>-270.0178187632559</x:v>
      </x:c>
      <x:c r="P19" s="12" t="n">
        <x:f>-L19</x:f>
        <x:v>-254.40981876325588</x:v>
      </x:c>
      <x:c r="Q19" s="12" t="n">
        <x:f>IF(OR(Supuestos!$B$16="",N19=""),"",M19-N19)</x:f>
        <x:v>7.07347383600324</x:v>
      </x:c>
      <x:c r="R19" s="12" t="str">
        <x:f>IF(OR(Supuestos!$B$12="",Supuestos!$B$13="",Supuestos!$B$14="",Supuestos!$B$16=""),"",-(L19+N19))</x:f>
      </x:c>
      <x:c r="S19" s="30" t="n">
        <x:f>1/(1+Supuestos!$B$9)^A19</x:f>
        <x:v>0.947867298578199</x:v>
      </x:c>
      <x:c r="T19" s="12" t="n">
        <x:f>IF(E19="","",E19*S19)</x:f>
        <x:v>22.956587677725118</x:v>
      </x:c>
      <x:c r="U19" s="12" t="n">
        <x:f>IF(M19="","",M19*S19)</x:f>
        <x:v>14.79431279620853</x:v>
      </x:c>
      <x:c r="V19" s="12" t="n">
        <x:f>IF(I19="","",I19*S19)</x:f>
        <x:v>14.866989418012547</x:v>
      </x:c>
      <x:c r="W19" s="12" t="n">
        <x:f>IF(Q19="","",Q19*S19)</x:f>
        <x:v>6.7047145364959615</x:v>
      </x:c>
    </x:row>
    <x:row r="20">
      <x:c r="A20" s="29" t="n">
        <x:v>13</x:v>
      </x:c>
      <x:c r="B20" s="28" t="n">
        <x:v>46419</x:v>
      </x:c>
      <x:c r="C20" s="12" t="n">
        <x:f>'Fuentes'!C18</x:f>
        <x:v>382.1924</x:v>
      </x:c>
      <x:c r="D20" s="12" t="n">
        <x:f>C20-E20</x:f>
        <x:v>357.9732</x:v>
      </x:c>
      <x:c r="E20" s="12" t="n">
        <x:f>'Fuentes'!E18</x:f>
        <x:v>24.2192</x:v>
      </x:c>
      <x:c r="F20" s="12" t="n">
        <x:f>IF(OR(Supuestos!$B$13="",Supuestos!$B$14=""),"",Supuestos!$B$13*Supuestos!$B$14)</x:f>
        <x:v>8.53452616399676</x:v>
      </x:c>
      <x:c r="G20" s="12" t="n">
        <x:f>-C20</x:f>
        <x:v>-382.1924</x:v>
      </x:c>
      <x:c r="H20" s="12" t="n">
        <x:f>-D20</x:f>
        <x:v>-357.9732</x:v>
      </x:c>
      <x:c r="I20" s="12" t="n">
        <x:f>IF(OR(Supuestos!$B$15="",F20=""),"",E20-F20)</x:f>
        <x:v>15.68467383600324</x:v>
      </x:c>
      <x:c r="J20" s="12" t="str">
        <x:f>IF(OR(Supuestos!$B$11="",Supuestos!$B$13="",Supuestos!$B$14="",Supuestos!$B$15=""),"",-(D20+F20))</x:f>
      </x:c>
      <x:c r="K20" s="12" t="n">
        <x:f>'Fuentes'!D18</x:f>
        <x:v>270.206</x:v>
      </x:c>
      <x:c r="L20" s="12" t="n">
        <x:f>K20-M20</x:f>
        <x:v>254.598</x:v>
      </x:c>
      <x:c r="M20" s="12" t="n">
        <x:f>'Fuentes'!F18</x:f>
        <x:v>15.608</x:v>
      </x:c>
      <x:c r="N20" s="12" t="n">
        <x:f>IF(OR(Supuestos!$B$13="",Supuestos!$B$14=""),"",Supuestos!$B$13*Supuestos!$B$14)</x:f>
        <x:v>8.53452616399676</x:v>
      </x:c>
      <x:c r="O20" s="12" t="n">
        <x:f>-K20</x:f>
        <x:v>-270.206</x:v>
      </x:c>
      <x:c r="P20" s="12" t="n">
        <x:f>-L20</x:f>
        <x:v>-254.598</x:v>
      </x:c>
      <x:c r="Q20" s="12" t="n">
        <x:f>IF(OR(Supuestos!$B$16="",N20=""),"",M20-N20)</x:f>
        <x:v>7.07347383600324</x:v>
      </x:c>
      <x:c r="R20" s="12" t="str">
        <x:f>IF(OR(Supuestos!$B$12="",Supuestos!$B$13="",Supuestos!$B$14="",Supuestos!$B$16=""),"",-(L20+N20))</x:f>
      </x:c>
      <x:c r="S20" s="30" t="n">
        <x:f>1/(1+Supuestos!$B$9)^A20</x:f>
        <x:v>0.9436475906689343</x:v>
      </x:c>
      <x:c r="T20" s="12" t="n">
        <x:f>IF(E20="","",E20*S20)</x:f>
        <x:v>22.854389727929053</x:v>
      </x:c>
      <x:c r="U20" s="12" t="n">
        <x:f>IF(M20="","",M20*S20)</x:f>
        <x:v>14.728451595160728</x:v>
      </x:c>
      <x:c r="V20" s="12" t="n">
        <x:f>IF(I20="","",I20*S20)</x:f>
        <x:v>14.800804675772529</x:v>
      </x:c>
      <x:c r="W20" s="12" t="n">
        <x:f>IF(Q20="","",Q20*S20)</x:f>
        <x:v>6.674866543004202</x:v>
      </x:c>
    </x:row>
    <x:row r="21">
      <x:c r="A21" s="29" t="n">
        <x:v>14</x:v>
      </x:c>
      <x:c r="B21" s="28" t="n">
        <x:v>46447</x:v>
      </x:c>
      <x:c r="C21" s="12" t="n">
        <x:f>'Fuentes'!C19</x:f>
        <x:v>382.42902317604387</x:v>
      </x:c>
      <x:c r="D21" s="12" t="n">
        <x:f>C21-E21</x:f>
        <x:v>358.20982317604387</x:v>
      </x:c>
      <x:c r="E21" s="12" t="n">
        <x:f>'Fuentes'!E19</x:f>
        <x:v>24.2192</x:v>
      </x:c>
      <x:c r="F21" s="12" t="n">
        <x:f>IF(OR(Supuestos!$B$13="",Supuestos!$B$14=""),"",Supuestos!$B$13*Supuestos!$B$14)</x:f>
        <x:v>8.53452616399676</x:v>
      </x:c>
      <x:c r="G21" s="12" t="n">
        <x:f>-C21</x:f>
        <x:v>-382.42902317604387</x:v>
      </x:c>
      <x:c r="H21" s="12" t="n">
        <x:f>-D21</x:f>
        <x:v>-358.20982317604387</x:v>
      </x:c>
      <x:c r="I21" s="12" t="n">
        <x:f>IF(OR(Supuestos!$B$15="",F21=""),"",E21-F21)</x:f>
        <x:v>15.68467383600324</x:v>
      </x:c>
      <x:c r="J21" s="12" t="str">
        <x:f>IF(OR(Supuestos!$B$11="",Supuestos!$B$13="",Supuestos!$B$14="",Supuestos!$B$15=""),"",-(D21+F21))</x:f>
      </x:c>
      <x:c r="K21" s="12" t="n">
        <x:f>'Fuentes'!D19</x:f>
        <x:v>270.3970621918367</x:v>
      </x:c>
      <x:c r="L21" s="12" t="n">
        <x:f>K21-M21</x:f>
        <x:v>254.7890621918367</x:v>
      </x:c>
      <x:c r="M21" s="12" t="n">
        <x:f>'Fuentes'!F19</x:f>
        <x:v>15.608</x:v>
      </x:c>
      <x:c r="N21" s="12" t="n">
        <x:f>IF(OR(Supuestos!$B$13="",Supuestos!$B$14=""),"",Supuestos!$B$13*Supuestos!$B$14)</x:f>
        <x:v>8.53452616399676</x:v>
      </x:c>
      <x:c r="O21" s="12" t="n">
        <x:f>-K21</x:f>
        <x:v>-270.3970621918367</x:v>
      </x:c>
      <x:c r="P21" s="12" t="n">
        <x:f>-L21</x:f>
        <x:v>-254.7890621918367</x:v>
      </x:c>
      <x:c r="Q21" s="12" t="n">
        <x:f>IF(OR(Supuestos!$B$16="",N21=""),"",M21-N21)</x:f>
        <x:v>7.07347383600324</x:v>
      </x:c>
      <x:c r="R21" s="12" t="str">
        <x:f>IF(OR(Supuestos!$B$12="",Supuestos!$B$13="",Supuestos!$B$14="",Supuestos!$B$16=""),"",-(L21+N21))</x:f>
      </x:c>
      <x:c r="S21" s="30" t="n">
        <x:f>1/(1+Supuestos!$B$9)^A21</x:f>
        <x:v>0.9394466680209257</x:v>
      </x:c>
      <x:c r="T21" s="12" t="n">
        <x:f>IF(E21="","",E21*S21)</x:f>
        <x:v>22.752646742132406</x:v>
      </x:c>
      <x:c r="U21" s="12" t="n">
        <x:f>IF(M21="","",M21*S21)</x:f>
        <x:v>14.662883594470609</x:v>
      </x:c>
      <x:c r="V21" s="12" t="n">
        <x:f>IF(I21="","",I21*S21)</x:f>
        <x:v>14.734914574228235</x:v>
      </x:c>
      <x:c r="W21" s="12" t="n">
        <x:f>IF(Q21="","",Q21*S21)</x:f>
        <x:v>6.645151426566439</x:v>
      </x:c>
    </x:row>
    <x:row r="22">
      <x:c r="A22" s="29" t="n">
        <x:v>15</x:v>
      </x:c>
      <x:c r="B22" s="28" t="n">
        <x:v>46478</x:v>
      </x:c>
      <x:c r="C22" s="12" t="n">
        <x:f>'Fuentes'!C20</x:f>
        <x:v>382.6692689276209</x:v>
      </x:c>
      <x:c r="D22" s="12" t="n">
        <x:f>C22-E22</x:f>
        <x:v>358.4500689276209</x:v>
      </x:c>
      <x:c r="E22" s="12" t="n">
        <x:f>'Fuentes'!E20</x:f>
        <x:v>24.2192</x:v>
      </x:c>
      <x:c r="F22" s="12" t="n">
        <x:f>IF(OR(Supuestos!$B$13="",Supuestos!$B$14=""),"",Supuestos!$B$13*Supuestos!$B$14)</x:f>
        <x:v>8.53452616399676</x:v>
      </x:c>
      <x:c r="G22" s="12" t="n">
        <x:f>-C22</x:f>
        <x:v>-382.6692689276209</x:v>
      </x:c>
      <x:c r="H22" s="12" t="n">
        <x:f>-D22</x:f>
        <x:v>-358.4500689276209</x:v>
      </x:c>
      <x:c r="I22" s="12" t="n">
        <x:f>IF(OR(Supuestos!$B$15="",F22=""),"",E22-F22)</x:f>
        <x:v>15.68467383600324</x:v>
      </x:c>
      <x:c r="J22" s="12" t="str">
        <x:f>IF(OR(Supuestos!$B$11="",Supuestos!$B$13="",Supuestos!$B$14="",Supuestos!$B$15=""),"",-(D22+F22))</x:f>
      </x:c>
      <x:c r="K22" s="12" t="n">
        <x:f>'Fuentes'!D20</x:f>
        <x:v>270.5910494446628</x:v>
      </x:c>
      <x:c r="L22" s="12" t="n">
        <x:f>K22-M22</x:f>
        <x:v>254.9830494446628</x:v>
      </x:c>
      <x:c r="M22" s="12" t="n">
        <x:f>'Fuentes'!F20</x:f>
        <x:v>15.608</x:v>
      </x:c>
      <x:c r="N22" s="12" t="n">
        <x:f>IF(OR(Supuestos!$B$13="",Supuestos!$B$14=""),"",Supuestos!$B$13*Supuestos!$B$14)</x:f>
        <x:v>8.53452616399676</x:v>
      </x:c>
      <x:c r="O22" s="12" t="n">
        <x:f>-K22</x:f>
        <x:v>-270.5910494446628</x:v>
      </x:c>
      <x:c r="P22" s="12" t="n">
        <x:f>-L22</x:f>
        <x:v>-254.9830494446628</x:v>
      </x:c>
      <x:c r="Q22" s="12" t="n">
        <x:f>IF(OR(Supuestos!$B$16="",N22=""),"",M22-N22)</x:f>
        <x:v>7.07347383600324</x:v>
      </x:c>
      <x:c r="R22" s="12" t="str">
        <x:f>IF(OR(Supuestos!$B$12="",Supuestos!$B$13="",Supuestos!$B$14="",Supuestos!$B$16=""),"",-(L22+N22))</x:f>
      </x:c>
      <x:c r="S22" s="30" t="n">
        <x:f>1/(1+Supuestos!$B$9)^A22</x:f>
        <x:v>0.9352644470060996</x:v>
      </x:c>
      <x:c r="T22" s="12" t="n">
        <x:f>IF(E22="","",E22*S22)</x:f>
        <x:v>22.651356694930126</x:v>
      </x:c>
      <x:c r="U22" s="12" t="n">
        <x:f>IF(M22="","",M22*S22)</x:f>
        <x:v>14.597607488871203</x:v>
      </x:c>
      <x:c r="V22" s="12" t="n">
        <x:f>IF(I22="","",I22*S22)</x:f>
        <x:v>14.66931780170061</x:v>
      </x:c>
      <x:c r="W22" s="12" t="n">
        <x:f>IF(Q22="","",Q22*S22)</x:f>
        <x:v>6.615568595641684</x:v>
      </x:c>
    </x:row>
    <x:row r="23">
      <x:c r="A23" s="29" t="n">
        <x:v>16</x:v>
      </x:c>
      <x:c r="B23" s="28" t="n">
        <x:v>46508</x:v>
      </x:c>
      <x:c r="C23" s="12" t="n">
        <x:f>'Fuentes'!C21</x:f>
        <x:v>382.9131927144444</x:v>
      </x:c>
      <x:c r="D23" s="12" t="n">
        <x:f>C23-E23</x:f>
        <x:v>358.6939927144444</x:v>
      </x:c>
      <x:c r="E23" s="12" t="n">
        <x:f>'Fuentes'!E21</x:f>
        <x:v>24.2192</x:v>
      </x:c>
      <x:c r="F23" s="12" t="n">
        <x:f>IF(OR(Supuestos!$B$13="",Supuestos!$B$14=""),"",Supuestos!$B$13*Supuestos!$B$14)</x:f>
        <x:v>8.53452616399676</x:v>
      </x:c>
      <x:c r="G23" s="12" t="n">
        <x:f>-C23</x:f>
        <x:v>-382.9131927144444</x:v>
      </x:c>
      <x:c r="H23" s="12" t="n">
        <x:f>-D23</x:f>
        <x:v>-358.6939927144444</x:v>
      </x:c>
      <x:c r="I23" s="12" t="n">
        <x:f>IF(OR(Supuestos!$B$15="",F23=""),"",E23-F23)</x:f>
        <x:v>15.68467383600324</x:v>
      </x:c>
      <x:c r="J23" s="12" t="str">
        <x:f>IF(OR(Supuestos!$B$11="",Supuestos!$B$13="",Supuestos!$B$14="",Supuestos!$B$15=""),"",-(D23+F23))</x:f>
      </x:c>
      <x:c r="K23" s="12" t="n">
        <x:f>'Fuentes'!D21</x:f>
        <x:v>270.7880065396135</x:v>
      </x:c>
      <x:c r="L23" s="12" t="n">
        <x:f>K23-M23</x:f>
        <x:v>255.1800065396135</x:v>
      </x:c>
      <x:c r="M23" s="12" t="n">
        <x:f>'Fuentes'!F21</x:f>
        <x:v>15.608</x:v>
      </x:c>
      <x:c r="N23" s="12" t="n">
        <x:f>IF(OR(Supuestos!$B$13="",Supuestos!$B$14=""),"",Supuestos!$B$13*Supuestos!$B$14)</x:f>
        <x:v>8.53452616399676</x:v>
      </x:c>
      <x:c r="O23" s="12" t="n">
        <x:f>-K23</x:f>
        <x:v>-270.7880065396135</x:v>
      </x:c>
      <x:c r="P23" s="12" t="n">
        <x:f>-L23</x:f>
        <x:v>-255.1800065396135</x:v>
      </x:c>
      <x:c r="Q23" s="12" t="n">
        <x:f>IF(OR(Supuestos!$B$16="",N23=""),"",M23-N23)</x:f>
        <x:v>7.07347383600324</x:v>
      </x:c>
      <x:c r="R23" s="12" t="str">
        <x:f>IF(OR(Supuestos!$B$12="",Supuestos!$B$13="",Supuestos!$B$14="",Supuestos!$B$16=""),"",-(L23+N23))</x:f>
      </x:c>
      <x:c r="S23" s="30" t="n">
        <x:f>1/(1+Supuestos!$B$9)^A23</x:f>
        <x:v>0.9311008443686783</x:v>
      </x:c>
      <x:c r="T23" s="12" t="n">
        <x:f>IF(E23="","",E23*S23)</x:f>
        <x:v>22.550517569933895</x:v>
      </x:c>
      <x:c r="U23" s="12" t="n">
        <x:f>IF(M23="","",M23*S23)</x:f>
        <x:v>14.532621978906333</x:v>
      </x:c>
      <x:c r="V23" s="12" t="n">
        <x:f>IF(I23="","",I23*S23)</x:f>
        <x:v>14.604013052349934</x:v>
      </x:c>
      <x:c r="W23" s="12" t="n">
        <x:f>IF(Q23="","",Q23*S23)</x:f>
        <x:v>6.586117461322371</x:v>
      </x:c>
    </x:row>
    <x:row r="24">
      <x:c r="A24" s="29" t="n">
        <x:v>17</x:v>
      </x:c>
      <x:c r="B24" s="28" t="n">
        <x:v>46539</x:v>
      </x:c>
      <x:c r="C24" s="12" t="n">
        <x:f>'Fuentes'!C22</x:f>
        <x:v>383.16085084528646</x:v>
      </x:c>
      <x:c r="D24" s="12" t="n">
        <x:f>C24-E24</x:f>
        <x:v>358.94165084528646</x:v>
      </x:c>
      <x:c r="E24" s="12" t="n">
        <x:f>'Fuentes'!E22</x:f>
        <x:v>24.2192</x:v>
      </x:c>
      <x:c r="F24" s="12" t="n">
        <x:f>IF(OR(Supuestos!$B$13="",Supuestos!$B$14=""),"",Supuestos!$B$13*Supuestos!$B$14)</x:f>
        <x:v>8.53452616399676</x:v>
      </x:c>
      <x:c r="G24" s="12" t="n">
        <x:f>-C24</x:f>
        <x:v>-383.16085084528646</x:v>
      </x:c>
      <x:c r="H24" s="12" t="n">
        <x:f>-D24</x:f>
        <x:v>-358.94165084528646</x:v>
      </x:c>
      <x:c r="I24" s="12" t="n">
        <x:f>IF(OR(Supuestos!$B$15="",F24=""),"",E24-F24)</x:f>
        <x:v>15.68467383600324</x:v>
      </x:c>
      <x:c r="J24" s="12" t="str">
        <x:f>IF(OR(Supuestos!$B$11="",Supuestos!$B$13="",Supuestos!$B$14="",Supuestos!$B$15=""),"",-(D24+F24))</x:f>
      </x:c>
      <x:c r="K24" s="12" t="n">
        <x:f>'Fuentes'!D22</x:f>
        <x:v>270.987978943399</x:v>
      </x:c>
      <x:c r="L24" s="12" t="n">
        <x:f>K24-M24</x:f>
        <x:v>255.379978943399</x:v>
      </x:c>
      <x:c r="M24" s="12" t="n">
        <x:f>'Fuentes'!F22</x:f>
        <x:v>15.608</x:v>
      </x:c>
      <x:c r="N24" s="12" t="n">
        <x:f>IF(OR(Supuestos!$B$13="",Supuestos!$B$14=""),"",Supuestos!$B$13*Supuestos!$B$14)</x:f>
        <x:v>8.53452616399676</x:v>
      </x:c>
      <x:c r="O24" s="12" t="n">
        <x:f>-K24</x:f>
        <x:v>-270.987978943399</x:v>
      </x:c>
      <x:c r="P24" s="12" t="n">
        <x:f>-L24</x:f>
        <x:v>-255.379978943399</x:v>
      </x:c>
      <x:c r="Q24" s="12" t="n">
        <x:f>IF(OR(Supuestos!$B$16="",N24=""),"",M24-N24)</x:f>
        <x:v>7.07347383600324</x:v>
      </x:c>
      <x:c r="R24" s="12" t="str">
        <x:f>IF(OR(Supuestos!$B$12="",Supuestos!$B$13="",Supuestos!$B$14="",Supuestos!$B$16=""),"",-(L24+N24))</x:f>
      </x:c>
      <x:c r="S24" s="30" t="n">
        <x:f>1/(1+Supuestos!$B$9)^A24</x:f>
        <x:v>0.9269557772235212</x:v>
      </x:c>
      <x:c r="T24" s="12" t="n">
        <x:f>IF(E24="","",E24*S24)</x:f>
        <x:v>22.450127359731905</x:v>
      </x:c>
      <x:c r="U24" s="12" t="n">
        <x:f>IF(M24="","",M24*S24)</x:f>
        <x:v>14.467925770904719</x:v>
      </x:c>
      <x:c r="V24" s="12" t="n">
        <x:f>IF(I24="","",I24*S24)</x:f>
        <x:v>14.538999026149812</x:v>
      </x:c>
      <x:c r="W24" s="12" t="n">
        <x:f>IF(Q24="","",Q24*S24)</x:f>
        <x:v>6.556797437322625</x:v>
      </x:c>
    </x:row>
    <x:row r="25">
      <x:c r="A25" s="29" t="n">
        <x:v>18</x:v>
      </x:c>
      <x:c r="B25" s="28" t="n">
        <x:v>46569</x:v>
      </x:c>
      <x:c r="C25" s="12" t="n">
        <x:f>'Fuentes'!C23</x:f>
        <x:v>383.41230049097663</x:v>
      </x:c>
      <x:c r="D25" s="12" t="n">
        <x:f>C25-E25</x:f>
        <x:v>359.19310049097663</x:v>
      </x:c>
      <x:c r="E25" s="12" t="n">
        <x:f>'Fuentes'!E23</x:f>
        <x:v>24.2192</x:v>
      </x:c>
      <x:c r="F25" s="12" t="n">
        <x:f>IF(OR(Supuestos!$B$13="",Supuestos!$B$14=""),"",Supuestos!$B$13*Supuestos!$B$14)</x:f>
        <x:v>8.53452616399676</x:v>
      </x:c>
      <x:c r="G25" s="12" t="n">
        <x:f>-C25</x:f>
        <x:v>-383.41230049097663</x:v>
      </x:c>
      <x:c r="H25" s="12" t="n">
        <x:f>-D25</x:f>
        <x:v>-359.19310049097663</x:v>
      </x:c>
      <x:c r="I25" s="12" t="n">
        <x:f>IF(OR(Supuestos!$B$15="",F25=""),"",E25-F25)</x:f>
        <x:v>15.68467383600324</x:v>
      </x:c>
      <x:c r="J25" s="12" t="str">
        <x:f>IF(OR(Supuestos!$B$11="",Supuestos!$B$13="",Supuestos!$B$14="",Supuestos!$B$15=""),"",-(D25+F25))</x:f>
      </x:c>
      <x:c r="K25" s="12" t="n">
        <x:f>'Fuentes'!D23</x:f>
        <x:v>271.191012818801</x:v>
      </x:c>
      <x:c r="L25" s="12" t="n">
        <x:f>K25-M25</x:f>
        <x:v>255.58301281880102</x:v>
      </x:c>
      <x:c r="M25" s="12" t="n">
        <x:f>'Fuentes'!F23</x:f>
        <x:v>15.608</x:v>
      </x:c>
      <x:c r="N25" s="12" t="n">
        <x:f>IF(OR(Supuestos!$B$13="",Supuestos!$B$14=""),"",Supuestos!$B$13*Supuestos!$B$14)</x:f>
        <x:v>8.53452616399676</x:v>
      </x:c>
      <x:c r="O25" s="12" t="n">
        <x:f>-K25</x:f>
        <x:v>-271.191012818801</x:v>
      </x:c>
      <x:c r="P25" s="12" t="n">
        <x:f>-L25</x:f>
        <x:v>-255.58301281880102</x:v>
      </x:c>
      <x:c r="Q25" s="12" t="n">
        <x:f>IF(OR(Supuestos!$B$16="",N25=""),"",M25-N25)</x:f>
        <x:v>7.07347383600324</x:v>
      </x:c>
      <x:c r="R25" s="12" t="str">
        <x:f>IF(OR(Supuestos!$B$12="",Supuestos!$B$13="",Supuestos!$B$14="",Supuestos!$B$16=""),"",-(L25+N25))</x:f>
      </x:c>
      <x:c r="S25" s="30" t="n">
        <x:f>1/(1+Supuestos!$B$9)^A25</x:f>
        <x:v>0.9228291630544746</x:v>
      </x:c>
      <x:c r="T25" s="12" t="n">
        <x:f>IF(E25="","",E25*S25)</x:f>
        <x:v>22.350184065848932</x:v>
      </x:c>
      <x:c r="U25" s="12" t="n">
        <x:f>IF(M25="","",M25*S25)</x:f>
        <x:v>14.40351757695424</x:v>
      </x:c>
      <x:c r="V25" s="12" t="n">
        <x:f>IF(I25="","",I25*S25)</x:f>
        <x:v>14.474274428861285</x:v>
      </x:c>
      <x:c r="W25" s="12" t="n">
        <x:f>IF(Q25="","",Q25*S25)</x:f>
        <x:v>6.527607939966594</x:v>
      </x:c>
    </x:row>
    <x:row r="26">
      <x:c r="A26" s="29" t="n">
        <x:v>19</x:v>
      </x:c>
      <x:c r="B26" s="28" t="n">
        <x:v>46600</x:v>
      </x:c>
      <x:c r="C26" s="12" t="n">
        <x:f>'Fuentes'!C24</x:f>
        <x:v>383.6675996975997</x:v>
      </x:c>
      <x:c r="D26" s="12" t="n">
        <x:f>C26-E26</x:f>
        <x:v>359.4483996975997</x:v>
      </x:c>
      <x:c r="E26" s="12" t="n">
        <x:f>'Fuentes'!E24</x:f>
        <x:v>24.2192</x:v>
      </x:c>
      <x:c r="F26" s="12" t="n">
        <x:f>IF(OR(Supuestos!$B$13="",Supuestos!$B$14=""),"",Supuestos!$B$13*Supuestos!$B$14)</x:f>
        <x:v>8.53452616399676</x:v>
      </x:c>
      <x:c r="G26" s="12" t="n">
        <x:f>-C26</x:f>
        <x:v>-383.6675996975997</x:v>
      </x:c>
      <x:c r="H26" s="12" t="n">
        <x:f>-D26</x:f>
        <x:v>-359.4483996975997</x:v>
      </x:c>
      <x:c r="I26" s="12" t="n">
        <x:f>IF(OR(Supuestos!$B$15="",F26=""),"",E26-F26)</x:f>
        <x:v>15.68467383600324</x:v>
      </x:c>
      <x:c r="J26" s="12" t="str">
        <x:f>IF(OR(Supuestos!$B$11="",Supuestos!$B$13="",Supuestos!$B$14="",Supuestos!$B$15=""),"",-(D26+F26))</x:f>
      </x:c>
      <x:c r="K26" s="12" t="n">
        <x:f>'Fuentes'!D24</x:f>
        <x:v>271.397155035329</x:v>
      </x:c>
      <x:c r="L26" s="12" t="n">
        <x:f>K26-M26</x:f>
        <x:v>255.78915503532897</x:v>
      </x:c>
      <x:c r="M26" s="12" t="n">
        <x:f>'Fuentes'!F24</x:f>
        <x:v>15.608</x:v>
      </x:c>
      <x:c r="N26" s="12" t="n">
        <x:f>IF(OR(Supuestos!$B$13="",Supuestos!$B$14=""),"",Supuestos!$B$13*Supuestos!$B$14)</x:f>
        <x:v>8.53452616399676</x:v>
      </x:c>
      <x:c r="O26" s="12" t="n">
        <x:f>-K26</x:f>
        <x:v>-271.397155035329</x:v>
      </x:c>
      <x:c r="P26" s="12" t="n">
        <x:f>-L26</x:f>
        <x:v>-255.78915503532897</x:v>
      </x:c>
      <x:c r="Q26" s="12" t="n">
        <x:f>IF(OR(Supuestos!$B$16="",N26=""),"",M26-N26)</x:f>
        <x:v>7.07347383600324</x:v>
      </x:c>
      <x:c r="R26" s="12" t="str">
        <x:f>IF(OR(Supuestos!$B$12="",Supuestos!$B$13="",Supuestos!$B$14="",Supuestos!$B$16=""),"",-(L26+N26))</x:f>
      </x:c>
      <x:c r="S26" s="30" t="n">
        <x:f>1/(1+Supuestos!$B$9)^A26</x:f>
        <x:v>0.9187209197127305</x:v>
      </x:c>
      <x:c r="T26" s="12" t="n">
        <x:f>IF(E26="","",E26*S26)</x:f>
        <x:v>22.25068569870656</x:v>
      </x:c>
      <x:c r="U26" s="12" t="n">
        <x:f>IF(M26="","",M26*S26)</x:f>
        <x:v>14.339396114876298</x:v>
      </x:c>
      <x:c r="V26" s="12" t="n">
        <x:f>IF(I26="","",I26*S26)</x:f>
        <x:v>14.409837972007098</x:v>
      </x:c>
      <x:c r="W26" s="12" t="n">
        <x:f>IF(Q26="","",Q26*S26)</x:f>
        <x:v>6.4985483881768324</x:v>
      </x:c>
    </x:row>
    <x:row r="27">
      <x:c r="A27" s="29" t="n">
        <x:v>20</x:v>
      </x:c>
      <x:c r="B27" s="28" t="n">
        <x:v>46631</x:v>
      </x:c>
      <x:c r="C27" s="12" t="n">
        <x:f>'Fuentes'!C25</x:f>
        <x:v>383.92680739989515</x:v>
      </x:c>
      <x:c r="D27" s="12" t="n">
        <x:f>C27-E27</x:f>
        <x:v>359.70760739989515</x:v>
      </x:c>
      <x:c r="E27" s="12" t="n">
        <x:f>'Fuentes'!E25</x:f>
        <x:v>24.2192</x:v>
      </x:c>
      <x:c r="F27" s="12" t="n">
        <x:f>IF(OR(Supuestos!$B$13="",Supuestos!$B$14=""),"",Supuestos!$B$13*Supuestos!$B$14)</x:f>
        <x:v>8.53452616399676</x:v>
      </x:c>
      <x:c r="G27" s="12" t="n">
        <x:f>-C27</x:f>
        <x:v>-383.92680739989515</x:v>
      </x:c>
      <x:c r="H27" s="12" t="n">
        <x:f>-D27</x:f>
        <x:v>-359.70760739989515</x:v>
      </x:c>
      <x:c r="I27" s="12" t="n">
        <x:f>IF(OR(Supuestos!$B$15="",F27=""),"",E27-F27)</x:f>
        <x:v>15.68467383600324</x:v>
      </x:c>
      <x:c r="J27" s="12" t="str">
        <x:f>IF(OR(Supuestos!$B$11="",Supuestos!$B$13="",Supuestos!$B$14="",Supuestos!$B$15=""),"",-(D27+F27))</x:f>
      </x:c>
      <x:c r="K27" s="12" t="n">
        <x:f>'Fuentes'!D25</x:f>
        <x:v>271.6064531800396</x:v>
      </x:c>
      <x:c r="L27" s="12" t="n">
        <x:f>K27-M27</x:f>
        <x:v>255.99845318003958</x:v>
      </x:c>
      <x:c r="M27" s="12" t="n">
        <x:f>'Fuentes'!F25</x:f>
        <x:v>15.608</x:v>
      </x:c>
      <x:c r="N27" s="12" t="n">
        <x:f>IF(OR(Supuestos!$B$13="",Supuestos!$B$14=""),"",Supuestos!$B$13*Supuestos!$B$14)</x:f>
        <x:v>8.53452616399676</x:v>
      </x:c>
      <x:c r="O27" s="12" t="n">
        <x:f>-K27</x:f>
        <x:v>-271.6064531800396</x:v>
      </x:c>
      <x:c r="P27" s="12" t="n">
        <x:f>-L27</x:f>
        <x:v>-255.99845318003958</x:v>
      </x:c>
      <x:c r="Q27" s="12" t="n">
        <x:f>IF(OR(Supuestos!$B$16="",N27=""),"",M27-N27)</x:f>
        <x:v>7.07347383600324</x:v>
      </x:c>
      <x:c r="R27" s="12" t="str">
        <x:f>IF(OR(Supuestos!$B$12="",Supuestos!$B$13="",Supuestos!$B$14="",Supuestos!$B$16=""),"",-(L27+N27))</x:f>
      </x:c>
      <x:c r="S27" s="30" t="n">
        <x:f>1/(1+Supuestos!$B$9)^A27</x:f>
        <x:v>0.9146309654151893</x:v>
      </x:c>
      <x:c r="T27" s="12" t="n">
        <x:f>IF(E27="","",E27*S27)</x:f>
        <x:v>22.151630277583553</x:v>
      </x:c>
      <x:c r="U27" s="12" t="n">
        <x:f>IF(M27="","",M27*S27)</x:f>
        <x:v>14.275560108200274</x:v>
      </x:c>
      <x:c r="V27" s="12" t="n">
        <x:f>IF(I27="","",I27*S27)</x:f>
        <x:v>14.345688372846004</x:v>
      </x:c>
      <x:c r="W27" s="12" t="n">
        <x:f>IF(Q27="","",Q27*S27)</x:f>
        <x:v>6.469618203462725</x:v>
      </x:c>
    </x:row>
    <x:row r="28">
      <x:c r="A28" s="29" t="n">
        <x:v>21</x:v>
      </x:c>
      <x:c r="B28" s="28" t="n">
        <x:v>46661</x:v>
      </x:c>
      <x:c r="C28" s="12" t="n">
        <x:f>'Fuentes'!C26</x:f>
        <x:v>384.1899834348622</x:v>
      </x:c>
      <x:c r="D28" s="12" t="n">
        <x:f>C28-E28</x:f>
        <x:v>359.9707834348622</x:v>
      </x:c>
      <x:c r="E28" s="12" t="n">
        <x:f>'Fuentes'!E26</x:f>
        <x:v>24.2192</x:v>
      </x:c>
      <x:c r="F28" s="12" t="n">
        <x:f>IF(OR(Supuestos!$B$13="",Supuestos!$B$14=""),"",Supuestos!$B$13*Supuestos!$B$14)</x:f>
        <x:v>8.53452616399676</x:v>
      </x:c>
      <x:c r="G28" s="12" t="n">
        <x:f>-C28</x:f>
        <x:v>-384.1899834348622</x:v>
      </x:c>
      <x:c r="H28" s="12" t="n">
        <x:f>-D28</x:f>
        <x:v>-359.9707834348622</x:v>
      </x:c>
      <x:c r="I28" s="12" t="n">
        <x:f>IF(OR(Supuestos!$B$15="",F28=""),"",E28-F28)</x:f>
        <x:v>15.68467383600324</x:v>
      </x:c>
      <x:c r="J28" s="12" t="str">
        <x:f>IF(OR(Supuestos!$B$11="",Supuestos!$B$13="",Supuestos!$B$14="",Supuestos!$B$15=""),"",-(D28+F28))</x:f>
      </x:c>
      <x:c r="K28" s="12" t="n">
        <x:f>'Fuentes'!D26</x:f>
        <x:v>271.8189555685223</x:v>
      </x:c>
      <x:c r="L28" s="12" t="n">
        <x:f>K28-M28</x:f>
        <x:v>256.2109555685223</x:v>
      </x:c>
      <x:c r="M28" s="12" t="n">
        <x:f>'Fuentes'!F26</x:f>
        <x:v>15.608</x:v>
      </x:c>
      <x:c r="N28" s="12" t="n">
        <x:f>IF(OR(Supuestos!$B$13="",Supuestos!$B$14=""),"",Supuestos!$B$13*Supuestos!$B$14)</x:f>
        <x:v>8.53452616399676</x:v>
      </x:c>
      <x:c r="O28" s="12" t="n">
        <x:f>-K28</x:f>
        <x:v>-271.8189555685223</x:v>
      </x:c>
      <x:c r="P28" s="12" t="n">
        <x:f>-L28</x:f>
        <x:v>-256.2109555685223</x:v>
      </x:c>
      <x:c r="Q28" s="12" t="n">
        <x:f>IF(OR(Supuestos!$B$16="",N28=""),"",M28-N28)</x:f>
        <x:v>7.07347383600324</x:v>
      </x:c>
      <x:c r="R28" s="12" t="str">
        <x:f>IF(OR(Supuestos!$B$12="",Supuestos!$B$13="",Supuestos!$B$14="",Supuestos!$B$16=""),"",-(L28+N28))</x:f>
      </x:c>
      <x:c r="S28" s="30" t="n">
        <x:f>1/(1+Supuestos!$B$9)^A28</x:f>
        <x:v>0.9105592187428335</x:v>
      </x:c>
      <x:c r="T28" s="12" t="n">
        <x:f>IF(E28="","",E28*S28)</x:f>
        <x:v>22.053015830576435</x:v>
      </x:c>
      <x:c r="U28" s="12" t="n">
        <x:f>IF(M28="","",M28*S28)</x:f>
        <x:v>14.212008286138147</x:v>
      </x:c>
      <x:c r="V28" s="12" t="n">
        <x:f>IF(I28="","",I28*S28)</x:f>
        <x:v>14.281824354347272</x:v>
      </x:c>
      <x:c r="W28" s="12" t="n">
        <x:f>IF(Q28="","",Q28*S28)</x:f>
        <x:v>6.440816809908984</x:v>
      </x:c>
    </x:row>
    <x:row r="29">
      <x:c r="A29" s="29" t="n">
        <x:v>22</x:v>
      </x:c>
      <x:c r="B29" s="28" t="n">
        <x:v>46692</x:v>
      </x:c>
      <x:c r="C29" s="12" t="n">
        <x:f>'Fuentes'!C27</x:f>
        <x:v>384.4571885555728</x:v>
      </x:c>
      <x:c r="D29" s="12" t="n">
        <x:f>C29-E29</x:f>
        <x:v>360.2379885555728</x:v>
      </x:c>
      <x:c r="E29" s="12" t="n">
        <x:f>'Fuentes'!E27</x:f>
        <x:v>24.2192</x:v>
      </x:c>
      <x:c r="F29" s="12" t="n">
        <x:f>IF(OR(Supuestos!$B$13="",Supuestos!$B$14=""),"",Supuestos!$B$13*Supuestos!$B$14)</x:f>
        <x:v>8.53452616399676</x:v>
      </x:c>
      <x:c r="G29" s="12" t="n">
        <x:f>-C29</x:f>
        <x:v>-384.4571885555728</x:v>
      </x:c>
      <x:c r="H29" s="12" t="n">
        <x:f>-D29</x:f>
        <x:v>-360.2379885555728</x:v>
      </x:c>
      <x:c r="I29" s="12" t="n">
        <x:f>IF(OR(Supuestos!$B$15="",F29=""),"",E29-F29)</x:f>
        <x:v>15.68467383600324</x:v>
      </x:c>
      <x:c r="J29" s="12" t="str">
        <x:f>IF(OR(Supuestos!$B$11="",Supuestos!$B$13="",Supuestos!$B$14="",Supuestos!$B$15=""),"",-(D29+F29))</x:f>
      </x:c>
      <x:c r="K29" s="12" t="n">
        <x:f>'Fuentes'!D27</x:f>
        <x:v>272.0347112560526</x:v>
      </x:c>
      <x:c r="L29" s="12" t="n">
        <x:f>K29-M29</x:f>
        <x:v>256.4267112560526</x:v>
      </x:c>
      <x:c r="M29" s="12" t="n">
        <x:f>'Fuentes'!F27</x:f>
        <x:v>15.608</x:v>
      </x:c>
      <x:c r="N29" s="12" t="n">
        <x:f>IF(OR(Supuestos!$B$13="",Supuestos!$B$14=""),"",Supuestos!$B$13*Supuestos!$B$14)</x:f>
        <x:v>8.53452616399676</x:v>
      </x:c>
      <x:c r="O29" s="12" t="n">
        <x:f>-K29</x:f>
        <x:v>-272.0347112560526</x:v>
      </x:c>
      <x:c r="P29" s="12" t="n">
        <x:f>-L29</x:f>
        <x:v>-256.4267112560526</x:v>
      </x:c>
      <x:c r="Q29" s="12" t="n">
        <x:f>IF(OR(Supuestos!$B$16="",N29=""),"",M29-N29)</x:f>
        <x:v>7.07347383600324</x:v>
      </x:c>
      <x:c r="R29" s="12" t="str">
        <x:f>IF(OR(Supuestos!$B$12="",Supuestos!$B$13="",Supuestos!$B$14="",Supuestos!$B$16=""),"",-(L29+N29))</x:f>
      </x:c>
      <x:c r="S29" s="30" t="n">
        <x:f>1/(1+Supuestos!$B$9)^A29</x:f>
        <x:v>0.9065055986391056</x:v>
      </x:c>
      <x:c r="T29" s="12" t="n">
        <x:f>IF(E29="","",E29*S29)</x:f>
        <x:v>21.95484039456023</x:v>
      </x:c>
      <x:c r="U29" s="12" t="n">
        <x:f>IF(M29="","",M29*S29)</x:f>
        <x:v>14.14873938355916</x:v>
      </x:c>
      <x:c r="V29" s="12" t="n">
        <x:f>IF(I29="","",I29*S29)</x:f>
        <x:v>14.218244645165234</x:v>
      </x:c>
      <x:c r="W29" s="12" t="n">
        <x:f>IF(Q29="","",Q29*S29)</x:f>
        <x:v>6.412143634164168</x:v>
      </x:c>
    </x:row>
    <x:row r="30">
      <x:c r="A30" s="29" t="n">
        <x:v>23</x:v>
      </x:c>
      <x:c r="B30" s="28" t="n">
        <x:v>46722</x:v>
      </x:c>
      <x:c r="C30" s="12" t="n">
        <x:f>'Fuentes'!C28</x:f>
        <x:v>384.72848444519633</x:v>
      </x:c>
      <x:c r="D30" s="12" t="n">
        <x:f>C30-E30</x:f>
        <x:v>360.50928444519633</x:v>
      </x:c>
      <x:c r="E30" s="12" t="n">
        <x:f>'Fuentes'!E28</x:f>
        <x:v>24.2192</x:v>
      </x:c>
      <x:c r="F30" s="12" t="n">
        <x:f>IF(OR(Supuestos!$B$13="",Supuestos!$B$14=""),"",Supuestos!$B$13*Supuestos!$B$14)</x:f>
        <x:v>8.53452616399676</x:v>
      </x:c>
      <x:c r="G30" s="12" t="n">
        <x:f>-C30</x:f>
        <x:v>-384.72848444519633</x:v>
      </x:c>
      <x:c r="H30" s="12" t="n">
        <x:f>-D30</x:f>
        <x:v>-360.50928444519633</x:v>
      </x:c>
      <x:c r="I30" s="12" t="n">
        <x:f>IF(OR(Supuestos!$B$15="",F30=""),"",E30-F30)</x:f>
        <x:v>15.68467383600324</x:v>
      </x:c>
      <x:c r="J30" s="12" t="str">
        <x:f>IF(OR(Supuestos!$B$11="",Supuestos!$B$13="",Supuestos!$B$14="",Supuestos!$B$15=""),"",-(D30+F30))</x:f>
      </x:c>
      <x:c r="K30" s="12" t="n">
        <x:f>'Fuentes'!D28</x:f>
        <x:v>272.25377004891635</x:v>
      </x:c>
      <x:c r="L30" s="12" t="n">
        <x:f>K30-M30</x:f>
        <x:v>256.64577004891635</x:v>
      </x:c>
      <x:c r="M30" s="12" t="n">
        <x:f>'Fuentes'!F28</x:f>
        <x:v>15.608</x:v>
      </x:c>
      <x:c r="N30" s="12" t="n">
        <x:f>IF(OR(Supuestos!$B$13="",Supuestos!$B$14=""),"",Supuestos!$B$13*Supuestos!$B$14)</x:f>
        <x:v>8.53452616399676</x:v>
      </x:c>
      <x:c r="O30" s="12" t="n">
        <x:f>-K30</x:f>
        <x:v>-272.25377004891635</x:v>
      </x:c>
      <x:c r="P30" s="12" t="n">
        <x:f>-L30</x:f>
        <x:v>-256.64577004891635</x:v>
      </x:c>
      <x:c r="Q30" s="12" t="n">
        <x:f>IF(OR(Supuestos!$B$16="",N30=""),"",M30-N30)</x:f>
        <x:v>7.07347383600324</x:v>
      </x:c>
      <x:c r="R30" s="12" t="str">
        <x:f>IF(OR(Supuestos!$B$12="",Supuestos!$B$13="",Supuestos!$B$14="",Supuestos!$B$16=""),"",-(L30+N30))</x:f>
      </x:c>
      <x:c r="S30" s="30" t="n">
        <x:f>1/(1+Supuestos!$B$9)^A30</x:f>
        <x:v>0.9024700244082953</x:v>
      </x:c>
      <x:c r="T30" s="12" t="n">
        <x:f>IF(E30="","",E30*S30)</x:f>
        <x:v>21.857102015149387</x:v>
      </x:c>
      <x:c r="U30" s="12" t="n">
        <x:f>IF(M30="","",M30*S30)</x:f>
        <x:v>14.085752140964672</x:v>
      </x:c>
      <x:c r="V30" s="12" t="n">
        <x:f>IF(I30="","",I30*S30)</x:f>
        <x:v>14.154947979613993</x:v>
      </x:c>
      <x:c r="W30" s="12" t="n">
        <x:f>IF(Q30="","",Q30*S30)</x:f>
        <x:v>6.383598105429281</x:v>
      </x:c>
    </x:row>
    <x:row r="31">
      <x:c r="A31" s="29" t="n">
        <x:v>24</x:v>
      </x:c>
      <x:c r="B31" s="28" t="n">
        <x:v>46753</x:v>
      </x:c>
      <x:c r="C31" s="12" t="n">
        <x:f>'Fuentes'!C29</x:f>
        <x:v>385.00393373123876</x:v>
      </x:c>
      <x:c r="D31" s="12" t="n">
        <x:f>C31-E31</x:f>
        <x:v>360.78473373123876</x:v>
      </x:c>
      <x:c r="E31" s="12" t="n">
        <x:f>'Fuentes'!E29</x:f>
        <x:v>24.2192</x:v>
      </x:c>
      <x:c r="F31" s="12" t="n">
        <x:f>IF(OR(Supuestos!$B$13="",Supuestos!$B$14=""),"",Supuestos!$B$13*Supuestos!$B$14)</x:f>
        <x:v>8.53452616399676</x:v>
      </x:c>
      <x:c r="G31" s="12" t="n">
        <x:f>-C31</x:f>
        <x:v>-385.00393373123876</x:v>
      </x:c>
      <x:c r="H31" s="12" t="n">
        <x:f>-D31</x:f>
        <x:v>-360.78473373123876</x:v>
      </x:c>
      <x:c r="I31" s="12" t="n">
        <x:f>IF(OR(Supuestos!$B$15="",F31=""),"",E31-F31)</x:f>
        <x:v>15.68467383600324</x:v>
      </x:c>
      <x:c r="J31" s="12" t="str">
        <x:f>IF(OR(Supuestos!$B$11="",Supuestos!$B$13="",Supuestos!$B$14="",Supuestos!$B$15=""),"",-(D31+F31))</x:f>
      </x:c>
      <x:c r="K31" s="12" t="n">
        <x:f>'Fuentes'!D29</x:f>
        <x:v>272.4761825159071</x:v>
      </x:c>
      <x:c r="L31" s="12" t="n">
        <x:f>K31-M31</x:f>
        <x:v>256.8681825159071</x:v>
      </x:c>
      <x:c r="M31" s="12" t="n">
        <x:f>'Fuentes'!F29</x:f>
        <x:v>15.608</x:v>
      </x:c>
      <x:c r="N31" s="12" t="n">
        <x:f>IF(OR(Supuestos!$B$13="",Supuestos!$B$14=""),"",Supuestos!$B$13*Supuestos!$B$14)</x:f>
        <x:v>8.53452616399676</x:v>
      </x:c>
      <x:c r="O31" s="12" t="n">
        <x:f>-K31</x:f>
        <x:v>-272.4761825159071</x:v>
      </x:c>
      <x:c r="P31" s="12" t="n">
        <x:f>-L31</x:f>
        <x:v>-256.8681825159071</x:v>
      </x:c>
      <x:c r="Q31" s="12" t="n">
        <x:f>IF(OR(Supuestos!$B$16="",N31=""),"",M31-N31)</x:f>
        <x:v>7.07347383600324</x:v>
      </x:c>
      <x:c r="R31" s="12" t="str">
        <x:f>IF(OR(Supuestos!$B$12="",Supuestos!$B$13="",Supuestos!$B$14="",Supuestos!$B$16=""),"",-(L31+N31))</x:f>
      </x:c>
      <x:c r="S31" s="30" t="n">
        <x:f>1/(1+Supuestos!$B$9)^A31</x:f>
        <x:v>0.8984524157139326</x:v>
      </x:c>
      <x:c r="T31" s="12" t="n">
        <x:f>IF(E31="","",E31*S31)</x:f>
        <x:v>21.759798746658877</x:v>
      </x:c>
      <x:c r="U31" s="12" t="n">
        <x:f>IF(M31="","",M31*S31)</x:f>
        <x:v>14.02304530446306</x:v>
      </x:c>
      <x:c r="V31" s="12" t="n">
        <x:f>IF(I31="","",I31*S31)</x:f>
        <x:v>14.091933097642226</x:v>
      </x:c>
      <x:c r="W31" s="12" t="n">
        <x:f>IF(Q31="","",Q31*S31)</x:f>
        <x:v>6.355179655446409</x:v>
      </x:c>
    </x:row>
    <x:row r="32">
      <x:c r="A32" s="29" t="n">
        <x:v>25</x:v>
      </x:c>
      <x:c r="B32" s="28" t="n">
        <x:v>46784</x:v>
      </x:c>
      <x:c r="C32" s="12" t="n">
        <x:f>'Fuentes'!C30</x:f>
        <x:v>385.2836</x:v>
      </x:c>
      <x:c r="D32" s="12" t="n">
        <x:f>C32-E32</x:f>
        <x:v>361.0644</x:v>
      </x:c>
      <x:c r="E32" s="12" t="n">
        <x:f>'Fuentes'!E30</x:f>
        <x:v>24.2192</x:v>
      </x:c>
      <x:c r="F32" s="12" t="n">
        <x:f>IF(OR(Supuestos!$B$13="",Supuestos!$B$14=""),"",Supuestos!$B$13*Supuestos!$B$14)</x:f>
        <x:v>8.53452616399676</x:v>
      </x:c>
      <x:c r="G32" s="12" t="n">
        <x:f>-C32</x:f>
        <x:v>-385.2836</x:v>
      </x:c>
      <x:c r="H32" s="12" t="n">
        <x:f>-D32</x:f>
        <x:v>-361.0644</x:v>
      </x:c>
      <x:c r="I32" s="12" t="n">
        <x:f>IF(OR(Supuestos!$B$15="",F32=""),"",E32-F32)</x:f>
        <x:v>15.68467383600324</x:v>
      </x:c>
      <x:c r="J32" s="12" t="str">
        <x:f>IF(OR(Supuestos!$B$11="",Supuestos!$B$13="",Supuestos!$B$14="",Supuestos!$B$15=""),"",-(D32+F32))</x:f>
      </x:c>
      <x:c r="K32" s="12" t="n">
        <x:f>'Fuentes'!D30</x:f>
        <x:v>272.70200000000006</x:v>
      </x:c>
      <x:c r="L32" s="12" t="n">
        <x:f>K32-M32</x:f>
        <x:v>257.09400000000005</x:v>
      </x:c>
      <x:c r="M32" s="12" t="n">
        <x:f>'Fuentes'!F30</x:f>
        <x:v>15.608</x:v>
      </x:c>
      <x:c r="N32" s="12" t="n">
        <x:f>IF(OR(Supuestos!$B$13="",Supuestos!$B$14=""),"",Supuestos!$B$13*Supuestos!$B$14)</x:f>
        <x:v>8.53452616399676</x:v>
      </x:c>
      <x:c r="O32" s="12" t="n">
        <x:f>-K32</x:f>
        <x:v>-272.70200000000006</x:v>
      </x:c>
      <x:c r="P32" s="12" t="n">
        <x:f>-L32</x:f>
        <x:v>-257.09400000000005</x:v>
      </x:c>
      <x:c r="Q32" s="12" t="n">
        <x:f>IF(OR(Supuestos!$B$16="",N32=""),"",M32-N32)</x:f>
        <x:v>7.07347383600324</x:v>
      </x:c>
      <x:c r="R32" s="12" t="str">
        <x:f>IF(OR(Supuestos!$B$12="",Supuestos!$B$13="",Supuestos!$B$14="",Supuestos!$B$16=""),"",-(L32+N32))</x:f>
      </x:c>
      <x:c r="S32" s="30" t="n">
        <x:f>1/(1+Supuestos!$B$9)^A32</x:f>
        <x:v>0.894452692577189</x:v>
      </x:c>
      <x:c r="T32" s="12" t="n">
        <x:f>IF(E32="","",E32*S32)</x:f>
        <x:v>21.662928652065457</x:v>
      </x:c>
      <x:c r="U32" s="12" t="n">
        <x:f>IF(M32="","",M32*S32)</x:f>
        <x:v>13.960617625744765</x:v>
      </x:c>
      <x:c r="V32" s="12" t="n">
        <x:f>IF(I32="","",I32*S32)</x:f>
        <x:v>14.029198744808085</x:v>
      </x:c>
      <x:c r="W32" s="12" t="n">
        <x:f>IF(Q32="","",Q32*S32)</x:f>
        <x:v>6.326887718487395</x:v>
      </x:c>
    </x:row>
    <x:row r="33">
      <x:c r="A33" s="29" t="n">
        <x:v>26</x:v>
      </x:c>
      <x:c r="B33" s="28" t="n">
        <x:v>46813</x:v>
      </x:c>
      <x:c r="C33" s="12" t="n">
        <x:f>'Fuentes'!C31</x:f>
        <x:v>385.5675478112526</x:v>
      </x:c>
      <x:c r="D33" s="12" t="n">
        <x:f>C33-E33</x:f>
        <x:v>361.3483478112526</x:v>
      </x:c>
      <x:c r="E33" s="12" t="n">
        <x:f>'Fuentes'!E31</x:f>
        <x:v>24.2192</x:v>
      </x:c>
      <x:c r="F33" s="12" t="n">
        <x:f>IF(OR(Supuestos!$B$13="",Supuestos!$B$14=""),"",Supuestos!$B$13*Supuestos!$B$14)</x:f>
        <x:v>8.53452616399676</x:v>
      </x:c>
      <x:c r="G33" s="12" t="n">
        <x:f>-C33</x:f>
        <x:v>-385.5675478112526</x:v>
      </x:c>
      <x:c r="H33" s="12" t="n">
        <x:f>-D33</x:f>
        <x:v>-361.3483478112526</x:v>
      </x:c>
      <x:c r="I33" s="12" t="n">
        <x:f>IF(OR(Supuestos!$B$15="",F33=""),"",E33-F33)</x:f>
        <x:v>15.68467383600324</x:v>
      </x:c>
      <x:c r="J33" s="12" t="str">
        <x:f>IF(OR(Supuestos!$B$11="",Supuestos!$B$13="",Supuestos!$B$14="",Supuestos!$B$15=""),"",-(D33+F33))</x:f>
      </x:c>
      <x:c r="K33" s="12" t="n">
        <x:f>'Fuentes'!D31</x:f>
        <x:v>272.931274630204</x:v>
      </x:c>
      <x:c r="L33" s="12" t="n">
        <x:f>K33-M33</x:f>
        <x:v>257.32327463020397</x:v>
      </x:c>
      <x:c r="M33" s="12" t="n">
        <x:f>'Fuentes'!F31</x:f>
        <x:v>15.608</x:v>
      </x:c>
      <x:c r="N33" s="12" t="n">
        <x:f>IF(OR(Supuestos!$B$13="",Supuestos!$B$14=""),"",Supuestos!$B$13*Supuestos!$B$14)</x:f>
        <x:v>8.53452616399676</x:v>
      </x:c>
      <x:c r="O33" s="12" t="n">
        <x:f>-K33</x:f>
        <x:v>-272.931274630204</x:v>
      </x:c>
      <x:c r="P33" s="12" t="n">
        <x:f>-L33</x:f>
        <x:v>-257.32327463020397</x:v>
      </x:c>
      <x:c r="Q33" s="12" t="n">
        <x:f>IF(OR(Supuestos!$B$16="",N33=""),"",M33-N33)</x:f>
        <x:v>7.07347383600324</x:v>
      </x:c>
      <x:c r="R33" s="12" t="str">
        <x:f>IF(OR(Supuestos!$B$12="",Supuestos!$B$13="",Supuestos!$B$14="",Supuestos!$B$16=""),"",-(L33+N33))</x:f>
      </x:c>
      <x:c r="S33" s="30" t="n">
        <x:f>1/(1+Supuestos!$B$9)^A33</x:f>
        <x:v>0.8904707753752847</x:v>
      </x:c>
      <x:c r="T33" s="12" t="n">
        <x:f>IF(E33="","",E33*S33)</x:f>
        <x:v>21.566489802969098</x:v>
      </x:c>
      <x:c r="U33" s="12" t="n">
        <x:f>IF(M33="","",M33*S33)</x:f>
        <x:v>13.898467862057444</x:v>
      </x:c>
      <x:c r="V33" s="12" t="n">
        <x:f>IF(I33="","",I33*S33)</x:f>
        <x:v>13.966743672254246</x:v>
      </x:c>
      <x:c r="W33" s="12" t="n">
        <x:f>IF(Q33="","",Q33*S33)</x:f>
        <x:v>6.298721731342595</x:v>
      </x:c>
    </x:row>
    <x:row r="34">
      <x:c r="A34" s="29" t="n">
        <x:v>27</x:v>
      </x:c>
      <x:c r="B34" s="28" t="n">
        <x:v>46844</x:v>
      </x:c>
      <x:c r="C34" s="12" t="n">
        <x:f>'Fuentes'!C32</x:f>
        <x:v>385.8558427131451</x:v>
      </x:c>
      <x:c r="D34" s="12" t="n">
        <x:f>C34-E34</x:f>
        <x:v>361.6366427131451</x:v>
      </x:c>
      <x:c r="E34" s="12" t="n">
        <x:f>'Fuentes'!E32</x:f>
        <x:v>24.2192</x:v>
      </x:c>
      <x:c r="F34" s="12" t="n">
        <x:f>IF(OR(Supuestos!$B$13="",Supuestos!$B$14=""),"",Supuestos!$B$13*Supuestos!$B$14)</x:f>
        <x:v>8.53452616399676</x:v>
      </x:c>
      <x:c r="G34" s="12" t="n">
        <x:f>-C34</x:f>
        <x:v>-385.8558427131451</x:v>
      </x:c>
      <x:c r="H34" s="12" t="n">
        <x:f>-D34</x:f>
        <x:v>-361.6366427131451</x:v>
      </x:c>
      <x:c r="I34" s="12" t="n">
        <x:f>IF(OR(Supuestos!$B$15="",F34=""),"",E34-F34)</x:f>
        <x:v>15.68467383600324</x:v>
      </x:c>
      <x:c r="J34" s="12" t="str">
        <x:f>IF(OR(Supuestos!$B$11="",Supuestos!$B$13="",Supuestos!$B$14="",Supuestos!$B$15=""),"",-(D34+F34))</x:f>
      </x:c>
      <x:c r="K34" s="12" t="n">
        <x:f>'Fuentes'!D32</x:f>
        <x:v>273.1640593335954</x:v>
      </x:c>
      <x:c r="L34" s="12" t="n">
        <x:f>K34-M34</x:f>
        <x:v>257.5560593335954</x:v>
      </x:c>
      <x:c r="M34" s="12" t="n">
        <x:f>'Fuentes'!F32</x:f>
        <x:v>15.608</x:v>
      </x:c>
      <x:c r="N34" s="12" t="n">
        <x:f>IF(OR(Supuestos!$B$13="",Supuestos!$B$14=""),"",Supuestos!$B$13*Supuestos!$B$14)</x:f>
        <x:v>8.53452616399676</x:v>
      </x:c>
      <x:c r="O34" s="12" t="n">
        <x:f>-K34</x:f>
        <x:v>-273.1640593335954</x:v>
      </x:c>
      <x:c r="P34" s="12" t="n">
        <x:f>-L34</x:f>
        <x:v>-257.5560593335954</x:v>
      </x:c>
      <x:c r="Q34" s="12" t="n">
        <x:f>IF(OR(Supuestos!$B$16="",N34=""),"",M34-N34)</x:f>
        <x:v>7.07347383600324</x:v>
      </x:c>
      <x:c r="R34" s="12" t="str">
        <x:f>IF(OR(Supuestos!$B$12="",Supuestos!$B$13="",Supuestos!$B$14="",Supuestos!$B$16=""),"",-(L34+N34))</x:f>
      </x:c>
      <x:c r="S34" s="30" t="n">
        <x:f>1/(1+Supuestos!$B$9)^A34</x:f>
        <x:v>0.8865065848399046</x:v>
      </x:c>
      <x:c r="T34" s="12" t="n">
        <x:f>IF(E34="","",E34*S34)</x:f>
        <x:v>21.470480279554618</x:v>
      </x:c>
      <x:c r="U34" s="12" t="n">
        <x:f>IF(M34="","",M34*S34)</x:f>
        <x:v>13.836594776181231</x:v>
      </x:c>
      <x:c r="V34" s="12" t="n">
        <x:f>IF(I34="","",I34*S34)</x:f>
        <x:v>13.90456663668304</x:v>
      </x:c>
      <x:c r="W34" s="12" t="n">
        <x:f>IF(Q34="","",Q34*S34)</x:f>
        <x:v>6.270681133309652</x:v>
      </x:c>
    </x:row>
    <x:row r="35">
      <x:c r="A35" s="29" t="n">
        <x:v>28</x:v>
      </x:c>
      <x:c r="B35" s="28" t="n">
        <x:v>46874</x:v>
      </x:c>
      <x:c r="C35" s="12" t="n">
        <x:f>'Fuentes'!C33</x:f>
        <x:v>386.1485512573333</x:v>
      </x:c>
      <x:c r="D35" s="12" t="n">
        <x:f>C35-E35</x:f>
        <x:v>361.9293512573333</x:v>
      </x:c>
      <x:c r="E35" s="12" t="n">
        <x:f>'Fuentes'!E33</x:f>
        <x:v>24.2192</x:v>
      </x:c>
      <x:c r="F35" s="12" t="n">
        <x:f>IF(OR(Supuestos!$B$13="",Supuestos!$B$14=""),"",Supuestos!$B$13*Supuestos!$B$14)</x:f>
        <x:v>8.53452616399676</x:v>
      </x:c>
      <x:c r="G35" s="12" t="n">
        <x:f>-C35</x:f>
        <x:v>-386.1485512573333</x:v>
      </x:c>
      <x:c r="H35" s="12" t="n">
        <x:f>-D35</x:f>
        <x:v>-361.9293512573333</x:v>
      </x:c>
      <x:c r="I35" s="12" t="n">
        <x:f>IF(OR(Supuestos!$B$15="",F35=""),"",E35-F35)</x:f>
        <x:v>15.68467383600324</x:v>
      </x:c>
      <x:c r="J35" s="12" t="str">
        <x:f>IF(OR(Supuestos!$B$11="",Supuestos!$B$13="",Supuestos!$B$14="",Supuestos!$B$15=""),"",-(D35+F35))</x:f>
      </x:c>
      <x:c r="K35" s="12" t="n">
        <x:f>'Fuentes'!D33</x:f>
        <x:v>273.4004078475362</x:v>
      </x:c>
      <x:c r="L35" s="12" t="n">
        <x:f>K35-M35</x:f>
        <x:v>257.7924078475362</x:v>
      </x:c>
      <x:c r="M35" s="12" t="n">
        <x:f>'Fuentes'!F33</x:f>
        <x:v>15.608</x:v>
      </x:c>
      <x:c r="N35" s="12" t="n">
        <x:f>IF(OR(Supuestos!$B$13="",Supuestos!$B$14=""),"",Supuestos!$B$13*Supuestos!$B$14)</x:f>
        <x:v>8.53452616399676</x:v>
      </x:c>
      <x:c r="O35" s="12" t="n">
        <x:f>-K35</x:f>
        <x:v>-273.4004078475362</x:v>
      </x:c>
      <x:c r="P35" s="12" t="n">
        <x:f>-L35</x:f>
        <x:v>-257.7924078475362</x:v>
      </x:c>
      <x:c r="Q35" s="12" t="n">
        <x:f>IF(OR(Supuestos!$B$16="",N35=""),"",M35-N35)</x:f>
        <x:v>7.07347383600324</x:v>
      </x:c>
      <x:c r="R35" s="12" t="str">
        <x:f>IF(OR(Supuestos!$B$12="",Supuestos!$B$13="",Supuestos!$B$14="",Supuestos!$B$16=""),"",-(L35+N35))</x:f>
      </x:c>
      <x:c r="S35" s="30" t="n">
        <x:f>1/(1+Supuestos!$B$9)^A35</x:f>
        <x:v>0.8825600420556191</x:v>
      </x:c>
      <x:c r="T35" s="12" t="n">
        <x:f>IF(E35="","",E35*S35)</x:f>
        <x:v>21.37489817055345</x:v>
      </x:c>
      <x:c r="U35" s="12" t="n">
        <x:f>IF(M35="","",M35*S35)</x:f>
        <x:v>13.774997136404103</x:v>
      </x:c>
      <x:c r="V35" s="12" t="n">
        <x:f>IF(I35="","",I35*S35)</x:f>
        <x:v>13.842666400331689</x:v>
      </x:c>
      <x:c r="W35" s="12" t="n">
        <x:f>IF(Q35="","",Q35*S35)</x:f>
        <x:v>6.242765366182341</x:v>
      </x:c>
    </x:row>
    <x:row r="36">
      <x:c r="A36" s="29" t="n">
        <x:v>29</x:v>
      </x:c>
      <x:c r="B36" s="28" t="n">
        <x:v>46905</x:v>
      </x:c>
      <x:c r="C36" s="12" t="n">
        <x:f>'Fuentes'!C34</x:f>
        <x:v>386.44574101434375</x:v>
      </x:c>
      <x:c r="D36" s="12" t="n">
        <x:f>C36-E36</x:f>
        <x:v>362.22654101434375</x:v>
      </x:c>
      <x:c r="E36" s="12" t="n">
        <x:f>'Fuentes'!E34</x:f>
        <x:v>24.2192</x:v>
      </x:c>
      <x:c r="F36" s="12" t="n">
        <x:f>IF(OR(Supuestos!$B$13="",Supuestos!$B$14=""),"",Supuestos!$B$13*Supuestos!$B$14)</x:f>
        <x:v>8.53452616399676</x:v>
      </x:c>
      <x:c r="G36" s="12" t="n">
        <x:f>-C36</x:f>
        <x:v>-386.44574101434375</x:v>
      </x:c>
      <x:c r="H36" s="12" t="n">
        <x:f>-D36</x:f>
        <x:v>-362.22654101434375</x:v>
      </x:c>
      <x:c r="I36" s="12" t="n">
        <x:f>IF(OR(Supuestos!$B$15="",F36=""),"",E36-F36)</x:f>
        <x:v>15.68467383600324</x:v>
      </x:c>
      <x:c r="J36" s="12" t="str">
        <x:f>IF(OR(Supuestos!$B$11="",Supuestos!$B$13="",Supuestos!$B$14="",Supuestos!$B$15=""),"",-(D36+F36))</x:f>
      </x:c>
      <x:c r="K36" s="12" t="n">
        <x:f>'Fuentes'!D34</x:f>
        <x:v>273.6403747320788</x:v>
      </x:c>
      <x:c r="L36" s="12" t="n">
        <x:f>K36-M36</x:f>
        <x:v>258.0323747320788</x:v>
      </x:c>
      <x:c r="M36" s="12" t="n">
        <x:f>'Fuentes'!F34</x:f>
        <x:v>15.608</x:v>
      </x:c>
      <x:c r="N36" s="12" t="n">
        <x:f>IF(OR(Supuestos!$B$13="",Supuestos!$B$14=""),"",Supuestos!$B$13*Supuestos!$B$14)</x:f>
        <x:v>8.53452616399676</x:v>
      </x:c>
      <x:c r="O36" s="12" t="n">
        <x:f>-K36</x:f>
        <x:v>-273.6403747320788</x:v>
      </x:c>
      <x:c r="P36" s="12" t="n">
        <x:f>-L36</x:f>
        <x:v>-258.0323747320788</x:v>
      </x:c>
      <x:c r="Q36" s="12" t="n">
        <x:f>IF(OR(Supuestos!$B$16="",N36=""),"",M36-N36)</x:f>
        <x:v>7.07347383600324</x:v>
      </x:c>
      <x:c r="R36" s="12" t="str">
        <x:f>IF(OR(Supuestos!$B$12="",Supuestos!$B$13="",Supuestos!$B$14="",Supuestos!$B$16=""),"",-(L36+N36))</x:f>
      </x:c>
      <x:c r="S36" s="30" t="n">
        <x:f>1/(1+Supuestos!$B$9)^A36</x:f>
        <x:v>0.8786310684583137</x:v>
      </x:c>
      <x:c r="T36" s="12" t="n">
        <x:f>IF(E36="","",E36*S36)</x:f>
        <x:v>21.27974157320559</x:v>
      </x:c>
      <x:c r="U36" s="12" t="n">
        <x:f>IF(M36="","",M36*S36)</x:f>
        <x:v>13.713673716497361</x:v>
      </x:c>
      <x:c r="V36" s="12" t="n">
        <x:f>IF(I36="","",I36*S36)</x:f>
        <x:v>13.781041730947685</x:v>
      </x:c>
      <x:c r="W36" s="12" t="n">
        <x:f>IF(Q36="","",Q36*S36)</x:f>
        <x:v>6.214973874239454</x:v>
      </x:c>
    </x:row>
    <x:row r="37">
      <x:c r="A37" s="29" t="n">
        <x:v>30</x:v>
      </x:c>
      <x:c r="B37" s="28" t="n">
        <x:v>46935</x:v>
      </x:c>
      <x:c r="C37" s="12" t="n">
        <x:f>'Fuentes'!C35</x:f>
        <x:v>386.74748058917197</x:v>
      </x:c>
      <x:c r="D37" s="12" t="n">
        <x:f>C37-E37</x:f>
        <x:v>362.52828058917197</x:v>
      </x:c>
      <x:c r="E37" s="12" t="n">
        <x:f>'Fuentes'!E35</x:f>
        <x:v>24.2192</x:v>
      </x:c>
      <x:c r="F37" s="12" t="n">
        <x:f>IF(OR(Supuestos!$B$13="",Supuestos!$B$14=""),"",Supuestos!$B$13*Supuestos!$B$14)</x:f>
        <x:v>8.53452616399676</x:v>
      </x:c>
      <x:c r="G37" s="12" t="n">
        <x:f>-C37</x:f>
        <x:v>-386.74748058917197</x:v>
      </x:c>
      <x:c r="H37" s="12" t="n">
        <x:f>-D37</x:f>
        <x:v>-362.52828058917197</x:v>
      </x:c>
      <x:c r="I37" s="12" t="n">
        <x:f>IF(OR(Supuestos!$B$15="",F37=""),"",E37-F37)</x:f>
        <x:v>15.68467383600324</x:v>
      </x:c>
      <x:c r="J37" s="12" t="str">
        <x:f>IF(OR(Supuestos!$B$11="",Supuestos!$B$13="",Supuestos!$B$14="",Supuestos!$B$15=""),"",-(D37+F37))</x:f>
      </x:c>
      <x:c r="K37" s="12" t="n">
        <x:f>'Fuentes'!D35</x:f>
        <x:v>273.88401538256124</x:v>
      </x:c>
      <x:c r="L37" s="12" t="n">
        <x:f>K37-M37</x:f>
        <x:v>258.27601538256124</x:v>
      </x:c>
      <x:c r="M37" s="12" t="n">
        <x:f>'Fuentes'!F35</x:f>
        <x:v>15.608</x:v>
      </x:c>
      <x:c r="N37" s="12" t="n">
        <x:f>IF(OR(Supuestos!$B$13="",Supuestos!$B$14=""),"",Supuestos!$B$13*Supuestos!$B$14)</x:f>
        <x:v>8.53452616399676</x:v>
      </x:c>
      <x:c r="O37" s="12" t="n">
        <x:f>-K37</x:f>
        <x:v>-273.88401538256124</x:v>
      </x:c>
      <x:c r="P37" s="12" t="n">
        <x:f>-L37</x:f>
        <x:v>-258.27601538256124</x:v>
      </x:c>
      <x:c r="Q37" s="12" t="n">
        <x:f>IF(OR(Supuestos!$B$16="",N37=""),"",M37-N37)</x:f>
        <x:v>7.07347383600324</x:v>
      </x:c>
      <x:c r="R37" s="12" t="str">
        <x:f>IF(OR(Supuestos!$B$12="",Supuestos!$B$13="",Supuestos!$B$14="",Supuestos!$B$16=""),"",-(L37+N37))</x:f>
      </x:c>
      <x:c r="S37" s="30" t="n">
        <x:f>1/(1+Supuestos!$B$9)^A37</x:f>
        <x:v>0.8747195858336252</x:v>
      </x:c>
      <x:c r="T37" s="12" t="n">
        <x:f>IF(E37="","",E37*S37)</x:f>
        <x:v>21.185008593221735</x:v>
      </x:c>
      <x:c r="U37" s="12" t="n">
        <x:f>IF(M37="","",M37*S37)</x:f>
        <x:v>13.652623295691223</x:v>
      </x:c>
      <x:c r="V37" s="12" t="n">
        <x:f>IF(I37="","",I37*S37)</x:f>
        <x:v>13.719691401764251</x:v>
      </x:c>
      <x:c r="W37" s="12" t="n">
        <x:f>IF(Q37="","",Q37*S37)</x:f>
        <x:v>6.187306104233738</x:v>
      </x:c>
    </x:row>
    <x:row r="38">
      <x:c r="A38" s="29" t="n">
        <x:v>31</x:v>
      </x:c>
      <x:c r="B38" s="28" t="n">
        <x:v>46966</x:v>
      </x:c>
      <x:c r="C38" s="12" t="n">
        <x:f>'Fuentes'!C36</x:f>
        <x:v>387.0538396371196</x:v>
      </x:c>
      <x:c r="D38" s="12" t="n">
        <x:f>C38-E38</x:f>
        <x:v>362.8346396371196</x:v>
      </x:c>
      <x:c r="E38" s="12" t="n">
        <x:f>'Fuentes'!E36</x:f>
        <x:v>24.2192</x:v>
      </x:c>
      <x:c r="F38" s="12" t="n">
        <x:f>IF(OR(Supuestos!$B$13="",Supuestos!$B$14=""),"",Supuestos!$B$13*Supuestos!$B$14)</x:f>
        <x:v>8.53452616399676</x:v>
      </x:c>
      <x:c r="G38" s="12" t="n">
        <x:f>-C38</x:f>
        <x:v>-387.0538396371196</x:v>
      </x:c>
      <x:c r="H38" s="12" t="n">
        <x:f>-D38</x:f>
        <x:v>-362.8346396371196</x:v>
      </x:c>
      <x:c r="I38" s="12" t="n">
        <x:f>IF(OR(Supuestos!$B$15="",F38=""),"",E38-F38)</x:f>
        <x:v>15.68467383600324</x:v>
      </x:c>
      <x:c r="J38" s="12" t="str">
        <x:f>IF(OR(Supuestos!$B$11="",Supuestos!$B$13="",Supuestos!$B$14="",Supuestos!$B$15=""),"",-(D38+F38))</x:f>
      </x:c>
      <x:c r="K38" s="12" t="n">
        <x:f>'Fuentes'!D36</x:f>
        <x:v>274.13138604239475</x:v>
      </x:c>
      <x:c r="L38" s="12" t="n">
        <x:f>K38-M38</x:f>
        <x:v>258.52338604239475</x:v>
      </x:c>
      <x:c r="M38" s="12" t="n">
        <x:f>'Fuentes'!F36</x:f>
        <x:v>15.608</x:v>
      </x:c>
      <x:c r="N38" s="12" t="n">
        <x:f>IF(OR(Supuestos!$B$13="",Supuestos!$B$14=""),"",Supuestos!$B$13*Supuestos!$B$14)</x:f>
        <x:v>8.53452616399676</x:v>
      </x:c>
      <x:c r="O38" s="12" t="n">
        <x:f>-K38</x:f>
        <x:v>-274.13138604239475</x:v>
      </x:c>
      <x:c r="P38" s="12" t="n">
        <x:f>-L38</x:f>
        <x:v>-258.52338604239475</x:v>
      </x:c>
      <x:c r="Q38" s="12" t="n">
        <x:f>IF(OR(Supuestos!$B$16="",N38=""),"",M38-N38)</x:f>
        <x:v>7.07347383600324</x:v>
      </x:c>
      <x:c r="R38" s="12" t="str">
        <x:f>IF(OR(Supuestos!$B$12="",Supuestos!$B$13="",Supuestos!$B$14="",Supuestos!$B$16=""),"",-(L38+N38))</x:f>
      </x:c>
      <x:c r="S38" s="30" t="n">
        <x:f>1/(1+Supuestos!$B$9)^A38</x:f>
        <x:v>0.8708255163153843</x:v>
      </x:c>
      <x:c r="T38" s="12" t="n">
        <x:f>IF(E38="","",E38*S38)</x:f>
        <x:v>21.090697344745557</x:v>
      </x:c>
      <x:c r="U38" s="12" t="n">
        <x:f>IF(M38="","",M38*S38)</x:f>
        <x:v>13.591844658650519</x:v>
      </x:c>
      <x:c r="V38" s="12" t="n">
        <x:f>IF(I38="","",I38*S38)</x:f>
        <x:v>13.658614191475921</x:v>
      </x:c>
      <x:c r="W38" s="12" t="n">
        <x:f>IF(Q38="","",Q38*S38)</x:f>
        <x:v>6.159761505380883</x:v>
      </x:c>
    </x:row>
    <x:row r="39">
      <x:c r="A39" s="29" t="n">
        <x:v>32</x:v>
      </x:c>
      <x:c r="B39" s="28" t="n">
        <x:v>46997</x:v>
      </x:c>
      <x:c r="C39" s="12" t="n">
        <x:f>'Fuentes'!C37</x:f>
        <x:v>387.3648888798742</x:v>
      </x:c>
      <x:c r="D39" s="12" t="n">
        <x:f>C39-E39</x:f>
        <x:v>363.14568887987417</x:v>
      </x:c>
      <x:c r="E39" s="12" t="n">
        <x:f>'Fuentes'!E37</x:f>
        <x:v>24.2192</x:v>
      </x:c>
      <x:c r="F39" s="12" t="n">
        <x:f>IF(OR(Supuestos!$B$13="",Supuestos!$B$14=""),"",Supuestos!$B$13*Supuestos!$B$14)</x:f>
        <x:v>8.53452616399676</x:v>
      </x:c>
      <x:c r="G39" s="12" t="n">
        <x:f>-C39</x:f>
        <x:v>-387.3648888798742</x:v>
      </x:c>
      <x:c r="H39" s="12" t="n">
        <x:f>-D39</x:f>
        <x:v>-363.14568887987417</x:v>
      </x:c>
      <x:c r="I39" s="12" t="n">
        <x:f>IF(OR(Supuestos!$B$15="",F39=""),"",E39-F39)</x:f>
        <x:v>15.68467383600324</x:v>
      </x:c>
      <x:c r="J39" s="12" t="str">
        <x:f>IF(OR(Supuestos!$B$11="",Supuestos!$B$13="",Supuestos!$B$14="",Supuestos!$B$15=""),"",-(D39+F39))</x:f>
      </x:c>
      <x:c r="K39" s="12" t="n">
        <x:f>'Fuentes'!D37</x:f>
        <x:v>274.38254381604753</x:v>
      </x:c>
      <x:c r="L39" s="12" t="n">
        <x:f>K39-M39</x:f>
        <x:v>258.7745438160475</x:v>
      </x:c>
      <x:c r="M39" s="12" t="n">
        <x:f>'Fuentes'!F37</x:f>
        <x:v>15.608</x:v>
      </x:c>
      <x:c r="N39" s="12" t="n">
        <x:f>IF(OR(Supuestos!$B$13="",Supuestos!$B$14=""),"",Supuestos!$B$13*Supuestos!$B$14)</x:f>
        <x:v>8.53452616399676</x:v>
      </x:c>
      <x:c r="O39" s="12" t="n">
        <x:f>-K39</x:f>
        <x:v>-274.38254381604753</x:v>
      </x:c>
      <x:c r="P39" s="12" t="n">
        <x:f>-L39</x:f>
        <x:v>-258.7745438160475</x:v>
      </x:c>
      <x:c r="Q39" s="12" t="n">
        <x:f>IF(OR(Supuestos!$B$16="",N39=""),"",M39-N39)</x:f>
        <x:v>7.07347383600324</x:v>
      </x:c>
      <x:c r="R39" s="12" t="str">
        <x:f>IF(OR(Supuestos!$B$12="",Supuestos!$B$13="",Supuestos!$B$14="",Supuestos!$B$16=""),"",-(L39+N39))</x:f>
      </x:c>
      <x:c r="S39" s="30" t="n">
        <x:f>1/(1+Supuestos!$B$9)^A39</x:f>
        <x:v>0.8669487823840657</x:v>
      </x:c>
      <x:c r="T39" s="12" t="n">
        <x:f>IF(E39="","",E39*S39)</x:f>
        <x:v>20.996805950316165</x:v>
      </x:c>
      <x:c r="U39" s="12" t="n">
        <x:f>IF(M39="","",M39*S39)</x:f>
        <x:v>13.531336595450497</x:v>
      </x:c>
      <x:c r="V39" s="12" t="n">
        <x:f>IF(I39="","",I39*S39)</x:f>
        <x:v>13.597808884214222</x:v>
      </x:c>
      <x:c r="W39" s="12" t="n">
        <x:f>IF(Q39="","",Q39*S39)</x:f>
        <x:v>6.132339529348555</x:v>
      </x:c>
    </x:row>
    <x:row r="40">
      <x:c r="A40" s="29" t="n">
        <x:v>33</x:v>
      </x:c>
      <x:c r="B40" s="28" t="n">
        <x:v>47027</x:v>
      </x:c>
      <x:c r="C40" s="12" t="n">
        <x:f>'Fuentes'!C38</x:f>
        <x:v>387.68070012183466</x:v>
      </x:c>
      <x:c r="D40" s="12" t="n">
        <x:f>C40-E40</x:f>
        <x:v>363.46150012183466</x:v>
      </x:c>
      <x:c r="E40" s="12" t="n">
        <x:f>'Fuentes'!E38</x:f>
        <x:v>24.2192</x:v>
      </x:c>
      <x:c r="F40" s="12" t="n">
        <x:f>IF(OR(Supuestos!$B$13="",Supuestos!$B$14=""),"",Supuestos!$B$13*Supuestos!$B$14)</x:f>
        <x:v>8.53452616399676</x:v>
      </x:c>
      <x:c r="G40" s="12" t="n">
        <x:f>-C40</x:f>
        <x:v>-387.68070012183466</x:v>
      </x:c>
      <x:c r="H40" s="12" t="n">
        <x:f>-D40</x:f>
        <x:v>-363.46150012183466</x:v>
      </x:c>
      <x:c r="I40" s="12" t="n">
        <x:f>IF(OR(Supuestos!$B$15="",F40=""),"",E40-F40)</x:f>
        <x:v>15.68467383600324</x:v>
      </x:c>
      <x:c r="J40" s="12" t="str">
        <x:f>IF(OR(Supuestos!$B$11="",Supuestos!$B$13="",Supuestos!$B$14="",Supuestos!$B$15=""),"",-(D40+F40))</x:f>
      </x:c>
      <x:c r="K40" s="12" t="n">
        <x:f>'Fuentes'!D38</x:f>
        <x:v>274.63754668222674</x:v>
      </x:c>
      <x:c r="L40" s="12" t="n">
        <x:f>K40-M40</x:f>
        <x:v>259.02954668222674</x:v>
      </x:c>
      <x:c r="M40" s="12" t="n">
        <x:f>'Fuentes'!F38</x:f>
        <x:v>15.608</x:v>
      </x:c>
      <x:c r="N40" s="12" t="n">
        <x:f>IF(OR(Supuestos!$B$13="",Supuestos!$B$14=""),"",Supuestos!$B$13*Supuestos!$B$14)</x:f>
        <x:v>8.53452616399676</x:v>
      </x:c>
      <x:c r="O40" s="12" t="n">
        <x:f>-K40</x:f>
        <x:v>-274.63754668222674</x:v>
      </x:c>
      <x:c r="P40" s="12" t="n">
        <x:f>-L40</x:f>
        <x:v>-259.02954668222674</x:v>
      </x:c>
      <x:c r="Q40" s="12" t="n">
        <x:f>IF(OR(Supuestos!$B$16="",N40=""),"",M40-N40)</x:f>
        <x:v>7.07347383600324</x:v>
      </x:c>
      <x:c r="R40" s="12" t="str">
        <x:f>IF(OR(Supuestos!$B$12="",Supuestos!$B$13="",Supuestos!$B$14="",Supuestos!$B$16=""),"",-(L40+N40))</x:f>
      </x:c>
      <x:c r="S40" s="30" t="n">
        <x:f>1/(1+Supuestos!$B$9)^A40</x:f>
        <x:v>0.863089306865245</x:v>
      </x:c>
      <x:c r="T40" s="12" t="n">
        <x:f>IF(E40="","",E40*S40)</x:f>
        <x:v>20.903332540830743</x:v>
      </x:c>
      <x:c r="U40" s="12" t="n">
        <x:f>IF(M40="","",M40*S40)</x:f>
        <x:v>13.471097901552744</x:v>
      </x:c>
      <x:c r="V40" s="12" t="n">
        <x:f>IF(I40="","",I40*S40)</x:f>
        <x:v>13.53727426952348</x:v>
      </x:c>
      <x:c r="W40" s="12" t="n">
        <x:f>IF(Q40="","",Q40*S40)</x:f>
        <x:v>6.105039630245482</x:v>
      </x:c>
    </x:row>
    <x:row r="41">
      <x:c r="A41" s="29" t="n">
        <x:v>34</x:v>
      </x:c>
      <x:c r="B41" s="28" t="n">
        <x:v>47058</x:v>
      </x:c>
      <x:c r="C41" s="12" t="n">
        <x:f>'Fuentes'!C39</x:f>
        <x:v>388.0013462666874</x:v>
      </x:c>
      <x:c r="D41" s="12" t="n">
        <x:f>C41-E41</x:f>
        <x:v>363.7821462666874</x:v>
      </x:c>
      <x:c r="E41" s="12" t="n">
        <x:f>'Fuentes'!E39</x:f>
        <x:v>24.2192</x:v>
      </x:c>
      <x:c r="F41" s="12" t="n">
        <x:f>IF(OR(Supuestos!$B$13="",Supuestos!$B$14=""),"",Supuestos!$B$13*Supuestos!$B$14)</x:f>
        <x:v>8.53452616399676</x:v>
      </x:c>
      <x:c r="G41" s="12" t="n">
        <x:f>-C41</x:f>
        <x:v>-388.0013462666874</x:v>
      </x:c>
      <x:c r="H41" s="12" t="n">
        <x:f>-D41</x:f>
        <x:v>-363.7821462666874</x:v>
      </x:c>
      <x:c r="I41" s="12" t="n">
        <x:f>IF(OR(Supuestos!$B$15="",F41=""),"",E41-F41)</x:f>
        <x:v>15.68467383600324</x:v>
      </x:c>
      <x:c r="J41" s="12" t="str">
        <x:f>IF(OR(Supuestos!$B$11="",Supuestos!$B$13="",Supuestos!$B$14="",Supuestos!$B$15=""),"",-(D41+F41))</x:f>
      </x:c>
      <x:c r="K41" s="12" t="n">
        <x:f>'Fuentes'!D39</x:f>
        <x:v>274.8964535072632</x:v>
      </x:c>
      <x:c r="L41" s="12" t="n">
        <x:f>K41-M41</x:f>
        <x:v>259.28845350726317</x:v>
      </x:c>
      <x:c r="M41" s="12" t="n">
        <x:f>'Fuentes'!F39</x:f>
        <x:v>15.608</x:v>
      </x:c>
      <x:c r="N41" s="12" t="n">
        <x:f>IF(OR(Supuestos!$B$13="",Supuestos!$B$14=""),"",Supuestos!$B$13*Supuestos!$B$14)</x:f>
        <x:v>8.53452616399676</x:v>
      </x:c>
      <x:c r="O41" s="12" t="n">
        <x:f>-K41</x:f>
        <x:v>-274.8964535072632</x:v>
      </x:c>
      <x:c r="P41" s="12" t="n">
        <x:f>-L41</x:f>
        <x:v>-259.28845350726317</x:v>
      </x:c>
      <x:c r="Q41" s="12" t="n">
        <x:f>IF(OR(Supuestos!$B$16="",N41=""),"",M41-N41)</x:f>
        <x:v>7.07347383600324</x:v>
      </x:c>
      <x:c r="R41" s="12" t="str">
        <x:f>IF(OR(Supuestos!$B$12="",Supuestos!$B$13="",Supuestos!$B$14="",Supuestos!$B$16=""),"",-(L41+N41))</x:f>
      </x:c>
      <x:c r="S41" s="30" t="n">
        <x:f>1/(1+Supuestos!$B$9)^A41</x:f>
        <x:v>0.859247012928062</x:v>
      </x:c>
      <x:c r="T41" s="12" t="n">
        <x:f>IF(E41="","",E41*S41)</x:f>
        <x:v>20.81027525550732</x:v>
      </x:c>
      <x:c r="U41" s="12" t="n">
        <x:f>IF(M41="","",M41*S41)</x:f>
        <x:v>13.411127377781193</x:v>
      </x:c>
      <x:c r="V41" s="12" t="n">
        <x:f>IF(I41="","",I41*S41)</x:f>
        <x:v>13.477009142336712</x:v>
      </x:c>
      <x:c r="W41" s="12" t="n">
        <x:f>IF(Q41="","",Q41*S41)</x:f>
        <x:v>6.0778612646105845</x:v>
      </x:c>
    </x:row>
    <x:row r="42">
      <x:c r="A42" s="29" t="n">
        <x:v>35</x:v>
      </x:c>
      <x:c r="B42" s="28" t="n">
        <x:v>47088</x:v>
      </x:c>
      <x:c r="C42" s="12" t="n">
        <x:f>'Fuentes'!C40</x:f>
        <x:v>388.32690133423563</x:v>
      </x:c>
      <x:c r="D42" s="12" t="n">
        <x:f>C42-E42</x:f>
        <x:v>364.1077013342356</x:v>
      </x:c>
      <x:c r="E42" s="12" t="n">
        <x:f>'Fuentes'!E40</x:f>
        <x:v>24.2192</x:v>
      </x:c>
      <x:c r="F42" s="12" t="n">
        <x:f>IF(OR(Supuestos!$B$13="",Supuestos!$B$14=""),"",Supuestos!$B$13*Supuestos!$B$14)</x:f>
        <x:v>8.53452616399676</x:v>
      </x:c>
      <x:c r="G42" s="12" t="n">
        <x:f>-C42</x:f>
        <x:v>-388.32690133423563</x:v>
      </x:c>
      <x:c r="H42" s="12" t="n">
        <x:f>-D42</x:f>
        <x:v>-364.1077013342356</x:v>
      </x:c>
      <x:c r="I42" s="12" t="n">
        <x:f>IF(OR(Supuestos!$B$15="",F42=""),"",E42-F42)</x:f>
        <x:v>15.68467383600324</x:v>
      </x:c>
      <x:c r="J42" s="12" t="str">
        <x:f>IF(OR(Supuestos!$B$11="",Supuestos!$B$13="",Supuestos!$B$14="",Supuestos!$B$15=""),"",-(D42+F42))</x:f>
      </x:c>
      <x:c r="K42" s="12" t="n">
        <x:f>'Fuentes'!D40</x:f>
        <x:v>275.1593240586996</x:v>
      </x:c>
      <x:c r="L42" s="12" t="n">
        <x:f>K42-M42</x:f>
        <x:v>259.5513240586996</x:v>
      </x:c>
      <x:c r="M42" s="12" t="n">
        <x:f>'Fuentes'!F40</x:f>
        <x:v>15.608</x:v>
      </x:c>
      <x:c r="N42" s="12" t="n">
        <x:f>IF(OR(Supuestos!$B$13="",Supuestos!$B$14=""),"",Supuestos!$B$13*Supuestos!$B$14)</x:f>
        <x:v>8.53452616399676</x:v>
      </x:c>
      <x:c r="O42" s="12" t="n">
        <x:f>-K42</x:f>
        <x:v>-275.1593240586996</x:v>
      </x:c>
      <x:c r="P42" s="12" t="n">
        <x:f>-L42</x:f>
        <x:v>-259.5513240586996</x:v>
      </x:c>
      <x:c r="Q42" s="12" t="n">
        <x:f>IF(OR(Supuestos!$B$16="",N42=""),"",M42-N42)</x:f>
        <x:v>7.07347383600324</x:v>
      </x:c>
      <x:c r="R42" s="12" t="str">
        <x:f>IF(OR(Supuestos!$B$12="",Supuestos!$B$13="",Supuestos!$B$14="",Supuestos!$B$16=""),"",-(L42+N42))</x:f>
      </x:c>
      <x:c r="S42" s="30" t="n">
        <x:f>1/(1+Supuestos!$B$9)^A42</x:f>
        <x:v>0.855421824083692</x:v>
      </x:c>
      <x:c r="T42" s="12" t="n">
        <x:f>IF(E42="","",E42*S42)</x:f>
        <x:v>20.717632241847756</x:v>
      </x:c>
      <x:c r="U42" s="12" t="n">
        <x:f>IF(M42="","",M42*S42)</x:f>
        <x:v>13.351423830298266</x:v>
      </x:c>
      <x:c r="V42" s="12" t="n">
        <x:f>IF(I42="","",I42*S42)</x:f>
        <x:v>13.417012302951651</x:v>
      </x:c>
      <x:c r="W42" s="12" t="n">
        <x:f>IF(Q42="","",Q42*S42)</x:f>
        <x:v>6.050803891402162</x:v>
      </x:c>
    </x:row>
    <x:row r="43">
      <x:c r="A43" s="29" t="n">
        <x:v>36</x:v>
      </x:c>
      <x:c r="B43" s="28" t="n">
        <x:v>47119</x:v>
      </x:c>
      <x:c r="C43" s="12" t="n">
        <x:f>'Fuentes'!C41</x:f>
        <x:v>388.6574404774865</x:v>
      </x:c>
      <x:c r="D43" s="12" t="n">
        <x:f>C43-E43</x:f>
        <x:v>364.4382404774865</x:v>
      </x:c>
      <x:c r="E43" s="12" t="n">
        <x:f>'Fuentes'!E41</x:f>
        <x:v>24.2192</x:v>
      </x:c>
      <x:c r="F43" s="12" t="n">
        <x:f>IF(OR(Supuestos!$B$13="",Supuestos!$B$14=""),"",Supuestos!$B$13*Supuestos!$B$14)</x:f>
        <x:v>8.53452616399676</x:v>
      </x:c>
      <x:c r="G43" s="12" t="n">
        <x:f>-C43</x:f>
        <x:v>-388.6574404774865</x:v>
      </x:c>
      <x:c r="H43" s="12" t="n">
        <x:f>-D43</x:f>
        <x:v>-364.4382404774865</x:v>
      </x:c>
      <x:c r="I43" s="12" t="n">
        <x:f>IF(OR(Supuestos!$B$15="",F43=""),"",E43-F43)</x:f>
        <x:v>15.68467383600324</x:v>
      </x:c>
      <x:c r="J43" s="12" t="str">
        <x:f>IF(OR(Supuestos!$B$11="",Supuestos!$B$13="",Supuestos!$B$14="",Supuestos!$B$15=""),"",-(D43+F43))</x:f>
      </x:c>
      <x:c r="K43" s="12" t="n">
        <x:f>'Fuentes'!D41</x:f>
        <x:v>275.4262190190885</x:v>
      </x:c>
      <x:c r="L43" s="12" t="n">
        <x:f>K43-M43</x:f>
        <x:v>259.8182190190885</x:v>
      </x:c>
      <x:c r="M43" s="12" t="n">
        <x:f>'Fuentes'!F41</x:f>
        <x:v>15.608</x:v>
      </x:c>
      <x:c r="N43" s="12" t="n">
        <x:f>IF(OR(Supuestos!$B$13="",Supuestos!$B$14=""),"",Supuestos!$B$13*Supuestos!$B$14)</x:f>
        <x:v>8.53452616399676</x:v>
      </x:c>
      <x:c r="O43" s="12" t="n">
        <x:f>-K43</x:f>
        <x:v>-275.4262190190885</x:v>
      </x:c>
      <x:c r="P43" s="12" t="n">
        <x:f>-L43</x:f>
        <x:v>-259.8182190190885</x:v>
      </x:c>
      <x:c r="Q43" s="12" t="n">
        <x:f>IF(OR(Supuestos!$B$16="",N43=""),"",M43-N43)</x:f>
        <x:v>7.07347383600324</x:v>
      </x:c>
      <x:c r="R43" s="12" t="str">
        <x:f>IF(OR(Supuestos!$B$12="",Supuestos!$B$13="",Supuestos!$B$14="",Supuestos!$B$16=""),"",-(L43+N43))</x:f>
      </x:c>
      <x:c r="S43" s="30" t="n">
        <x:f>1/(1+Supuestos!$B$9)^A43</x:f>
        <x:v>0.8516136641838221</x:v>
      </x:c>
      <x:c r="T43" s="12" t="n">
        <x:f>IF(E43="","",E43*S43)</x:f>
        <x:v>20.625401655600825</x:v>
      </x:c>
      <x:c r="U43" s="12" t="n">
        <x:f>IF(M43="","",M43*S43)</x:f>
        <x:v>13.291986070581096</x:v>
      </x:c>
      <x:c r="V43" s="12" t="n">
        <x:f>IF(I43="","",I43*S43)</x:f>
        <x:v>13.357282557006844</x:v>
      </x:c>
      <x:c r="W43" s="12" t="n">
        <x:f>IF(Q43="","",Q43*S43)</x:f>
        <x:v>6.023866971987115</x:v>
      </x:c>
    </x:row>
    <x:row r="44">
      <x:c r="A44" s="29" t="n">
        <x:v>37</x:v>
      </x:c>
      <x:c r="B44" s="28" t="n">
        <x:v>47150</x:v>
      </x:c>
      <x:c r="C44" s="12" t="n">
        <x:f>'Fuentes'!C42</x:f>
        <x:v>388.99304</x:v>
      </x:c>
      <x:c r="D44" s="12" t="n">
        <x:f>C44-E44</x:f>
        <x:v>364.77384</x:v>
      </x:c>
      <x:c r="E44" s="12" t="n">
        <x:f>'Fuentes'!E42</x:f>
        <x:v>24.2192</x:v>
      </x:c>
      <x:c r="F44" s="12" t="n">
        <x:f>IF(OR(Supuestos!$B$13="",Supuestos!$B$14=""),"",Supuestos!$B$13*Supuestos!$B$14)</x:f>
        <x:v>8.53452616399676</x:v>
      </x:c>
      <x:c r="G44" s="12" t="n">
        <x:f>-C44</x:f>
        <x:v>-388.99304</x:v>
      </x:c>
      <x:c r="H44" s="12" t="n">
        <x:f>-D44</x:f>
        <x:v>-364.77384</x:v>
      </x:c>
      <x:c r="I44" s="12" t="n">
        <x:f>IF(OR(Supuestos!$B$15="",F44=""),"",E44-F44)</x:f>
        <x:v>15.68467383600324</x:v>
      </x:c>
      <x:c r="J44" s="12" t="str">
        <x:f>IF(OR(Supuestos!$B$11="",Supuestos!$B$13="",Supuestos!$B$14="",Supuestos!$B$15=""),"",-(D44+F44))</x:f>
      </x:c>
      <x:c r="K44" s="12" t="n">
        <x:f>'Fuentes'!D42</x:f>
        <x:v>275.6972</x:v>
      </x:c>
      <x:c r="L44" s="12" t="n">
        <x:f>K44-M44</x:f>
        <x:v>260.0892</x:v>
      </x:c>
      <x:c r="M44" s="12" t="n">
        <x:f>'Fuentes'!F42</x:f>
        <x:v>15.608</x:v>
      </x:c>
      <x:c r="N44" s="12" t="n">
        <x:f>IF(OR(Supuestos!$B$13="",Supuestos!$B$14=""),"",Supuestos!$B$13*Supuestos!$B$14)</x:f>
        <x:v>8.53452616399676</x:v>
      </x:c>
      <x:c r="O44" s="12" t="n">
        <x:f>-K44</x:f>
        <x:v>-275.6972</x:v>
      </x:c>
      <x:c r="P44" s="12" t="n">
        <x:f>-L44</x:f>
        <x:v>-260.0892</x:v>
      </x:c>
      <x:c r="Q44" s="12" t="n">
        <x:f>IF(OR(Supuestos!$B$16="",N44=""),"",M44-N44)</x:f>
        <x:v>7.07347383600324</x:v>
      </x:c>
      <x:c r="R44" s="12" t="str">
        <x:f>IF(OR(Supuestos!$B$12="",Supuestos!$B$13="",Supuestos!$B$14="",Supuestos!$B$16=""),"",-(L44+N44))</x:f>
      </x:c>
      <x:c r="S44" s="30" t="n">
        <x:f>1/(1+Supuestos!$B$9)^A44</x:f>
        <x:v>0.8478224574191363</x:v>
      </x:c>
      <x:c r="T44" s="12" t="n">
        <x:f>IF(E44="","",E44*S44)</x:f>
        <x:v>20.533581660725545</x:v>
      </x:c>
      <x:c r="U44" s="12" t="n">
        <x:f>IF(M44="","",M44*S44)</x:f>
        <x:v>13.23281291539788</x:v>
      </x:c>
      <x:c r="V44" s="12" t="n">
        <x:f>IF(I44="","",I44*S44)</x:f>
        <x:v>13.297818715457899</x:v>
      </x:c>
      <x:c r="W44" s="12" t="n">
        <x:f>IF(Q44="","",Q44*S44)</x:f>
        <x:v>5.997049970130232</x:v>
      </x:c>
    </x:row>
    <x:row r="45">
      <x:c r="A45" s="29" t="n">
        <x:v>38</x:v>
      </x:c>
      <x:c r="B45" s="28" t="n">
        <x:v>47178</x:v>
      </x:c>
      <x:c r="C45" s="12" t="n">
        <x:f>'Fuentes'!C43</x:f>
        <x:v>389.33377737350315</x:v>
      </x:c>
      <x:c r="D45" s="12" t="n">
        <x:f>C45-E45</x:f>
        <x:v>365.11457737350315</x:v>
      </x:c>
      <x:c r="E45" s="12" t="n">
        <x:f>'Fuentes'!E43</x:f>
        <x:v>24.2192</x:v>
      </x:c>
      <x:c r="F45" s="12" t="n">
        <x:f>IF(OR(Supuestos!$B$13="",Supuestos!$B$14=""),"",Supuestos!$B$13*Supuestos!$B$14)</x:f>
        <x:v>8.53452616399676</x:v>
      </x:c>
      <x:c r="G45" s="12" t="n">
        <x:f>-C45</x:f>
        <x:v>-389.33377737350315</x:v>
      </x:c>
      <x:c r="H45" s="12" t="n">
        <x:f>-D45</x:f>
        <x:v>-365.11457737350315</x:v>
      </x:c>
      <x:c r="I45" s="12" t="n">
        <x:f>IF(OR(Supuestos!$B$15="",F45=""),"",E45-F45)</x:f>
        <x:v>15.68467383600324</x:v>
      </x:c>
      <x:c r="J45" s="12" t="str">
        <x:f>IF(OR(Supuestos!$B$11="",Supuestos!$B$13="",Supuestos!$B$14="",Supuestos!$B$15=""),"",-(D45+F45))</x:f>
      </x:c>
      <x:c r="K45" s="12" t="n">
        <x:f>'Fuentes'!D43</x:f>
        <x:v>275.9723295562448</x:v>
      </x:c>
      <x:c r="L45" s="12" t="n">
        <x:f>K45-M45</x:f>
        <x:v>260.3643295562448</x:v>
      </x:c>
      <x:c r="M45" s="12" t="n">
        <x:f>'Fuentes'!F43</x:f>
        <x:v>15.608</x:v>
      </x:c>
      <x:c r="N45" s="12" t="n">
        <x:f>IF(OR(Supuestos!$B$13="",Supuestos!$B$14=""),"",Supuestos!$B$13*Supuestos!$B$14)</x:f>
        <x:v>8.53452616399676</x:v>
      </x:c>
      <x:c r="O45" s="12" t="n">
        <x:f>-K45</x:f>
        <x:v>-275.9723295562448</x:v>
      </x:c>
      <x:c r="P45" s="12" t="n">
        <x:f>-L45</x:f>
        <x:v>-260.3643295562448</x:v>
      </x:c>
      <x:c r="Q45" s="12" t="n">
        <x:f>IF(OR(Supuestos!$B$16="",N45=""),"",M45-N45)</x:f>
        <x:v>7.07347383600324</x:v>
      </x:c>
      <x:c r="R45" s="12" t="str">
        <x:f>IF(OR(Supuestos!$B$12="",Supuestos!$B$13="",Supuestos!$B$14="",Supuestos!$B$16=""),"",-(L45+N45))</x:f>
      </x:c>
      <x:c r="S45" s="30" t="n">
        <x:f>1/(1+Supuestos!$B$9)^A45</x:f>
        <x:v>0.8440481283178054</x:v>
      </x:c>
      <x:c r="T45" s="12" t="n">
        <x:f>IF(E45="","",E45*S45)</x:f>
        <x:v>20.442170429354594</x:v>
      </x:c>
      <x:c r="U45" s="12" t="n">
        <x:f>IF(M45="","",M45*S45)</x:f>
        <x:v>13.173903186784306</x:v>
      </x:c>
      <x:c r="V45" s="12" t="n">
        <x:f>IF(I45="","",I45*S45)</x:f>
        <x:v>13.238619594553787</x:v>
      </x:c>
      <x:c r="W45" s="12" t="n">
        <x:f>IF(Q45="","",Q45*S45)</x:f>
        <x:v>5.970352351983502</x:v>
      </x:c>
    </x:row>
    <x:row r="46">
      <x:c r="A46" s="29" t="n">
        <x:v>39</x:v>
      </x:c>
      <x:c r="B46" s="28" t="n">
        <x:v>47209</x:v>
      </x:c>
      <x:c r="C46" s="12" t="n">
        <x:f>'Fuentes'!C44</x:f>
        <x:v>389.6797312557741</x:v>
      </x:c>
      <x:c r="D46" s="12" t="n">
        <x:f>C46-E46</x:f>
        <x:v>365.4605312557741</x:v>
      </x:c>
      <x:c r="E46" s="12" t="n">
        <x:f>'Fuentes'!E44</x:f>
        <x:v>24.2192</x:v>
      </x:c>
      <x:c r="F46" s="12" t="n">
        <x:f>IF(OR(Supuestos!$B$13="",Supuestos!$B$14=""),"",Supuestos!$B$13*Supuestos!$B$14)</x:f>
        <x:v>8.53452616399676</x:v>
      </x:c>
      <x:c r="G46" s="12" t="n">
        <x:f>-C46</x:f>
        <x:v>-389.6797312557741</x:v>
      </x:c>
      <x:c r="H46" s="12" t="n">
        <x:f>-D46</x:f>
        <x:v>-365.4605312557741</x:v>
      </x:c>
      <x:c r="I46" s="12" t="n">
        <x:f>IF(OR(Supuestos!$B$15="",F46=""),"",E46-F46)</x:f>
        <x:v>15.68467383600324</x:v>
      </x:c>
      <x:c r="J46" s="12" t="str">
        <x:f>IF(OR(Supuestos!$B$11="",Supuestos!$B$13="",Supuestos!$B$14="",Supuestos!$B$15=""),"",-(D46+F46))</x:f>
      </x:c>
      <x:c r="K46" s="12" t="n">
        <x:f>'Fuentes'!D44</x:f>
        <x:v>276.2516712003145</x:v>
      </x:c>
      <x:c r="L46" s="12" t="n">
        <x:f>K46-M46</x:f>
        <x:v>260.6436712003145</x:v>
      </x:c>
      <x:c r="M46" s="12" t="n">
        <x:f>'Fuentes'!F44</x:f>
        <x:v>15.608</x:v>
      </x:c>
      <x:c r="N46" s="12" t="n">
        <x:f>IF(OR(Supuestos!$B$13="",Supuestos!$B$14=""),"",Supuestos!$B$13*Supuestos!$B$14)</x:f>
        <x:v>8.53452616399676</x:v>
      </x:c>
      <x:c r="O46" s="12" t="n">
        <x:f>-K46</x:f>
        <x:v>-276.2516712003145</x:v>
      </x:c>
      <x:c r="P46" s="12" t="n">
        <x:f>-L46</x:f>
        <x:v>-260.6436712003145</x:v>
      </x:c>
      <x:c r="Q46" s="12" t="n">
        <x:f>IF(OR(Supuestos!$B$16="",N46=""),"",M46-N46)</x:f>
        <x:v>7.07347383600324</x:v>
      </x:c>
      <x:c r="R46" s="12" t="str">
        <x:f>IF(OR(Supuestos!$B$12="",Supuestos!$B$13="",Supuestos!$B$14="",Supuestos!$B$16=""),"",-(L46+N46))</x:f>
      </x:c>
      <x:c r="S46" s="30" t="n">
        <x:f>1/(1+Supuestos!$B$9)^A46</x:f>
        <x:v>0.8402906017439854</x:v>
      </x:c>
      <x:c r="T46" s="12" t="n">
        <x:f>IF(E46="","",E46*S46)</x:f>
        <x:v>20.351166141757933</x:v>
      </x:c>
      <x:c r="U46" s="12" t="n">
        <x:f>IF(M46="","",M46*S46)</x:f>
        <x:v>13.115255712020124</x:v>
      </x:c>
      <x:c r="V46" s="12" t="n">
        <x:f>IF(I46="","",I46*S46)</x:f>
        <x:v>13.179684015813306</x:v>
      </x:c>
      <x:c r="W46" s="12" t="n">
        <x:f>IF(Q46="","",Q46*S46)</x:f>
        <x:v>5.943773586075499</x:v>
      </x:c>
    </x:row>
    <x:row r="47">
      <x:c r="A47" s="29" t="n">
        <x:v>40</x:v>
      </x:c>
      <x:c r="B47" s="28" t="n">
        <x:v>47239</x:v>
      </x:c>
      <x:c r="C47" s="12" t="n">
        <x:f>'Fuentes'!C45</x:f>
        <x:v>390.0309815087999</x:v>
      </x:c>
      <x:c r="D47" s="12" t="n">
        <x:f>C47-E47</x:f>
        <x:v>365.8117815087999</x:v>
      </x:c>
      <x:c r="E47" s="12" t="n">
        <x:f>'Fuentes'!E45</x:f>
        <x:v>24.2192</x:v>
      </x:c>
      <x:c r="F47" s="12" t="n">
        <x:f>IF(OR(Supuestos!$B$13="",Supuestos!$B$14=""),"",Supuestos!$B$13*Supuestos!$B$14)</x:f>
        <x:v>8.53452616399676</x:v>
      </x:c>
      <x:c r="G47" s="12" t="n">
        <x:f>-C47</x:f>
        <x:v>-390.0309815087999</x:v>
      </x:c>
      <x:c r="H47" s="12" t="n">
        <x:f>-D47</x:f>
        <x:v>-365.8117815087999</x:v>
      </x:c>
      <x:c r="I47" s="12" t="n">
        <x:f>IF(OR(Supuestos!$B$15="",F47=""),"",E47-F47)</x:f>
        <x:v>15.68467383600324</x:v>
      </x:c>
      <x:c r="J47" s="12" t="str">
        <x:f>IF(OR(Supuestos!$B$11="",Supuestos!$B$13="",Supuestos!$B$14="",Supuestos!$B$15=""),"",-(D47+F47))</x:f>
      </x:c>
      <x:c r="K47" s="12" t="n">
        <x:f>'Fuentes'!D45</x:f>
        <x:v>276.53528941704343</x:v>
      </x:c>
      <x:c r="L47" s="12" t="n">
        <x:f>K47-M47</x:f>
        <x:v>260.9272894170434</x:v>
      </x:c>
      <x:c r="M47" s="12" t="n">
        <x:f>'Fuentes'!F45</x:f>
        <x:v>15.608</x:v>
      </x:c>
      <x:c r="N47" s="12" t="n">
        <x:f>IF(OR(Supuestos!$B$13="",Supuestos!$B$14=""),"",Supuestos!$B$13*Supuestos!$B$14)</x:f>
        <x:v>8.53452616399676</x:v>
      </x:c>
      <x:c r="O47" s="12" t="n">
        <x:f>-K47</x:f>
        <x:v>-276.53528941704343</x:v>
      </x:c>
      <x:c r="P47" s="12" t="n">
        <x:f>-L47</x:f>
        <x:v>-260.9272894170434</x:v>
      </x:c>
      <x:c r="Q47" s="12" t="n">
        <x:f>IF(OR(Supuestos!$B$16="",N47=""),"",M47-N47)</x:f>
        <x:v>7.07347383600324</x:v>
      </x:c>
      <x:c r="R47" s="12" t="str">
        <x:f>IF(OR(Supuestos!$B$12="",Supuestos!$B$13="",Supuestos!$B$14="",Supuestos!$B$16=""),"",-(L47+N47))</x:f>
      </x:c>
      <x:c r="S47" s="30" t="n">
        <x:f>1/(1+Supuestos!$B$9)^A47</x:f>
        <x:v>0.8365498028963214</x:v>
      </x:c>
      <x:c r="T47" s="12" t="n">
        <x:f>IF(E47="","",E47*S47)</x:f>
        <x:v>20.26056698630659</x:v>
      </x:c>
      <x:c r="U47" s="12" t="n">
        <x:f>IF(M47="","",M47*S47)</x:f>
        <x:v>13.056869323605785</x:v>
      </x:c>
      <x:c r="V47" s="12" t="n">
        <x:f>IF(I47="","",I47*S47)</x:f>
        <x:v>13.1210108060016</x:v>
      </x:c>
      <x:c r="W47" s="12" t="n">
        <x:f>IF(Q47="","",Q47*S47)</x:f>
        <x:v>5.917313143300797</x:v>
      </x:c>
    </x:row>
    <x:row r="48">
      <x:c r="A48" s="29" t="n">
        <x:v>41</x:v>
      </x:c>
      <x:c r="B48" s="28" t="n">
        <x:v>47270</x:v>
      </x:c>
      <x:c r="C48" s="12" t="n">
        <x:f>'Fuentes'!C46</x:f>
        <x:v>390.38760921721246</x:v>
      </x:c>
      <x:c r="D48" s="12" t="n">
        <x:f>C48-E48</x:f>
        <x:v>366.16840921721246</x:v>
      </x:c>
      <x:c r="E48" s="12" t="n">
        <x:f>'Fuentes'!E46</x:f>
        <x:v>24.2192</x:v>
      </x:c>
      <x:c r="F48" s="12" t="n">
        <x:f>IF(OR(Supuestos!$B$13="",Supuestos!$B$14=""),"",Supuestos!$B$13*Supuestos!$B$14)</x:f>
        <x:v>8.53452616399676</x:v>
      </x:c>
      <x:c r="G48" s="12" t="n">
        <x:f>-C48</x:f>
        <x:v>-390.38760921721246</x:v>
      </x:c>
      <x:c r="H48" s="12" t="n">
        <x:f>-D48</x:f>
        <x:v>-366.16840921721246</x:v>
      </x:c>
      <x:c r="I48" s="12" t="n">
        <x:f>IF(OR(Supuestos!$B$15="",F48=""),"",E48-F48)</x:f>
        <x:v>15.68467383600324</x:v>
      </x:c>
      <x:c r="J48" s="12" t="str">
        <x:f>IF(OR(Supuestos!$B$11="",Supuestos!$B$13="",Supuestos!$B$14="",Supuestos!$B$15=""),"",-(D48+F48))</x:f>
      </x:c>
      <x:c r="K48" s="12" t="n">
        <x:f>'Fuentes'!D46</x:f>
        <x:v>276.82324967849456</x:v>
      </x:c>
      <x:c r="L48" s="12" t="n">
        <x:f>K48-M48</x:f>
        <x:v>261.21524967849456</x:v>
      </x:c>
      <x:c r="M48" s="12" t="n">
        <x:f>'Fuentes'!F46</x:f>
        <x:v>15.608</x:v>
      </x:c>
      <x:c r="N48" s="12" t="n">
        <x:f>IF(OR(Supuestos!$B$13="",Supuestos!$B$14=""),"",Supuestos!$B$13*Supuestos!$B$14)</x:f>
        <x:v>8.53452616399676</x:v>
      </x:c>
      <x:c r="O48" s="12" t="n">
        <x:f>-K48</x:f>
        <x:v>-276.82324967849456</x:v>
      </x:c>
      <x:c r="P48" s="12" t="n">
        <x:f>-L48</x:f>
        <x:v>-261.21524967849456</x:v>
      </x:c>
      <x:c r="Q48" s="12" t="n">
        <x:f>IF(OR(Supuestos!$B$16="",N48=""),"",M48-N48)</x:f>
        <x:v>7.07347383600324</x:v>
      </x:c>
      <x:c r="R48" s="12" t="str">
        <x:f>IF(OR(Supuestos!$B$12="",Supuestos!$B$13="",Supuestos!$B$14="",Supuestos!$B$16=""),"",-(L48+N48))</x:f>
      </x:c>
      <x:c r="S48" s="30" t="n">
        <x:f>1/(1+Supuestos!$B$9)^A48</x:f>
        <x:v>0.8328256573064585</x:v>
      </x:c>
      <x:c r="T48" s="12" t="n">
        <x:f>IF(E48="","",E48*S48)</x:f>
        <x:v>20.17037115943658</x:v>
      </x:c>
      <x:c r="U48" s="12" t="n">
        <x:f>IF(M48="","",M48*S48)</x:f>
        <x:v>12.998742859239204</x:v>
      </x:c>
      <x:c r="V48" s="12" t="n">
        <x:f>IF(I48="","",I48*S48)</x:f>
        <x:v>13.06259879710681</x:v>
      </x:c>
      <x:c r="W48" s="12" t="n">
        <x:f>IF(Q48="","",Q48*S48)</x:f>
        <x:v>5.890970496909435</x:v>
      </x:c>
    </x:row>
    <x:row r="49">
      <x:c r="A49" s="29" t="n">
        <x:v>42</x:v>
      </x:c>
      <x:c r="B49" s="28" t="n">
        <x:v>47300</x:v>
      </x:c>
      <x:c r="C49" s="12" t="n">
        <x:f>'Fuentes'!C47</x:f>
        <x:v>390.74969670700636</x:v>
      </x:c>
      <x:c r="D49" s="12" t="n">
        <x:f>C49-E49</x:f>
        <x:v>366.53049670700636</x:v>
      </x:c>
      <x:c r="E49" s="12" t="n">
        <x:f>'Fuentes'!E47</x:f>
        <x:v>24.2192</x:v>
      </x:c>
      <x:c r="F49" s="12" t="n">
        <x:f>IF(OR(Supuestos!$B$13="",Supuestos!$B$14=""),"",Supuestos!$B$13*Supuestos!$B$14)</x:f>
        <x:v>8.53452616399676</x:v>
      </x:c>
      <x:c r="G49" s="12" t="n">
        <x:f>-C49</x:f>
        <x:v>-390.74969670700636</x:v>
      </x:c>
      <x:c r="H49" s="12" t="n">
        <x:f>-D49</x:f>
        <x:v>-366.53049670700636</x:v>
      </x:c>
      <x:c r="I49" s="12" t="n">
        <x:f>IF(OR(Supuestos!$B$15="",F49=""),"",E49-F49)</x:f>
        <x:v>15.68467383600324</x:v>
      </x:c>
      <x:c r="J49" s="12" t="str">
        <x:f>IF(OR(Supuestos!$B$11="",Supuestos!$B$13="",Supuestos!$B$14="",Supuestos!$B$15=""),"",-(D49+F49))</x:f>
      </x:c>
      <x:c r="K49" s="12" t="n">
        <x:f>'Fuentes'!D47</x:f>
        <x:v>277.11561845907346</x:v>
      </x:c>
      <x:c r="L49" s="12" t="n">
        <x:f>K49-M49</x:f>
        <x:v>261.50761845907346</x:v>
      </x:c>
      <x:c r="M49" s="12" t="n">
        <x:f>'Fuentes'!F47</x:f>
        <x:v>15.608</x:v>
      </x:c>
      <x:c r="N49" s="12" t="n">
        <x:f>IF(OR(Supuestos!$B$13="",Supuestos!$B$14=""),"",Supuestos!$B$13*Supuestos!$B$14)</x:f>
        <x:v>8.53452616399676</x:v>
      </x:c>
      <x:c r="O49" s="12" t="n">
        <x:f>-K49</x:f>
        <x:v>-277.11561845907346</x:v>
      </x:c>
      <x:c r="P49" s="12" t="n">
        <x:f>-L49</x:f>
        <x:v>-261.50761845907346</x:v>
      </x:c>
      <x:c r="Q49" s="12" t="n">
        <x:f>IF(OR(Supuestos!$B$16="",N49=""),"",M49-N49)</x:f>
        <x:v>7.07347383600324</x:v>
      </x:c>
      <x:c r="R49" s="12" t="str">
        <x:f>IF(OR(Supuestos!$B$12="",Supuestos!$B$13="",Supuestos!$B$14="",Supuestos!$B$16=""),"",-(L49+N49))</x:f>
      </x:c>
      <x:c r="S49" s="30" t="n">
        <x:f>1/(1+Supuestos!$B$9)^A49</x:f>
        <x:v>0.8291180908375594</x:v>
      </x:c>
      <x:c r="T49" s="12" t="n">
        <x:f>IF(E49="","",E49*S49)</x:f>
        <x:v>20.08057686561302</x:v>
      </x:c>
      <x:c r="U49" s="12" t="n">
        <x:f>IF(M49="","",M49*S49)</x:f>
        <x:v>12.940875161792627</x:v>
      </x:c>
      <x:c r="V49" s="12" t="n">
        <x:f>IF(I49="","",I49*S49)</x:f>
        <x:v>13.004446826316826</x:v>
      </x:c>
      <x:c r="W49" s="12" t="n">
        <x:f>IF(Q49="","",Q49*S49)</x:f>
        <x:v>5.8647451224964335</x:v>
      </x:c>
    </x:row>
    <x:row r="50">
      <x:c r="A50" s="29" t="n">
        <x:v>43</x:v>
      </x:c>
      <x:c r="B50" s="28" t="n">
        <x:v>47331</x:v>
      </x:c>
      <x:c r="C50" s="12" t="n">
        <x:f>'Fuentes'!C48</x:f>
        <x:v>391.1173275645436</x:v>
      </x:c>
      <x:c r="D50" s="12" t="n">
        <x:f>C50-E50</x:f>
        <x:v>366.8981275645436</x:v>
      </x:c>
      <x:c r="E50" s="12" t="n">
        <x:f>'Fuentes'!E48</x:f>
        <x:v>24.2192</x:v>
      </x:c>
      <x:c r="F50" s="12" t="n">
        <x:f>IF(OR(Supuestos!$B$13="",Supuestos!$B$14=""),"",Supuestos!$B$13*Supuestos!$B$14)</x:f>
        <x:v>8.53452616399676</x:v>
      </x:c>
      <x:c r="G50" s="12" t="n">
        <x:f>-C50</x:f>
        <x:v>-391.1173275645436</x:v>
      </x:c>
      <x:c r="H50" s="12" t="n">
        <x:f>-D50</x:f>
        <x:v>-366.8981275645436</x:v>
      </x:c>
      <x:c r="I50" s="12" t="n">
        <x:f>IF(OR(Supuestos!$B$15="",F50=""),"",E50-F50)</x:f>
        <x:v>15.68467383600324</x:v>
      </x:c>
      <x:c r="J50" s="12" t="str">
        <x:f>IF(OR(Supuestos!$B$11="",Supuestos!$B$13="",Supuestos!$B$14="",Supuestos!$B$15=""),"",-(D50+F50))</x:f>
      </x:c>
      <x:c r="K50" s="12" t="n">
        <x:f>'Fuentes'!D48</x:f>
        <x:v>277.4124632508737</x:v>
      </x:c>
      <x:c r="L50" s="12" t="n">
        <x:f>K50-M50</x:f>
        <x:v>261.8044632508737</x:v>
      </x:c>
      <x:c r="M50" s="12" t="n">
        <x:f>'Fuentes'!F48</x:f>
        <x:v>15.608</x:v>
      </x:c>
      <x:c r="N50" s="12" t="n">
        <x:f>IF(OR(Supuestos!$B$13="",Supuestos!$B$14=""),"",Supuestos!$B$13*Supuestos!$B$14)</x:f>
        <x:v>8.53452616399676</x:v>
      </x:c>
      <x:c r="O50" s="12" t="n">
        <x:f>-K50</x:f>
        <x:v>-277.4124632508737</x:v>
      </x:c>
      <x:c r="P50" s="12" t="n">
        <x:f>-L50</x:f>
        <x:v>-261.8044632508737</x:v>
      </x:c>
      <x:c r="Q50" s="12" t="n">
        <x:f>IF(OR(Supuestos!$B$16="",N50=""),"",M50-N50)</x:f>
        <x:v>7.07347383600324</x:v>
      </x:c>
      <x:c r="R50" s="12" t="str">
        <x:f>IF(OR(Supuestos!$B$12="",Supuestos!$B$13="",Supuestos!$B$14="",Supuestos!$B$16=""),"",-(L50+N50))</x:f>
      </x:c>
      <x:c r="S50" s="30" t="n">
        <x:f>1/(1+Supuestos!$B$9)^A50</x:f>
        <x:v>0.8254270296828286</x:v>
      </x:c>
      <x:c r="T50" s="12" t="n">
        <x:f>IF(E50="","",E50*S50)</x:f>
        <x:v>19.991182317294363</x:v>
      </x:c>
      <x:c r="U50" s="12" t="n">
        <x:f>IF(M50="","",M50*S50)</x:f>
        <x:v>12.883265079289588</x:v>
      </x:c>
      <x:c r="V50" s="12" t="n">
        <x:f>IF(I50="","",I50*S50)</x:f>
        <x:v>12.946553735996131</x:v>
      </x:c>
      <x:c r="W50" s="12" t="n">
        <x:f>IF(Q50="","",Q50*S50)</x:f>
        <x:v>5.838636497991358</x:v>
      </x:c>
    </x:row>
    <x:row r="51">
      <x:c r="A51" s="29" t="n">
        <x:v>44</x:v>
      </x:c>
      <x:c r="B51" s="28" t="n">
        <x:v>47362</x:v>
      </x:c>
      <x:c r="C51" s="12" t="n">
        <x:f>'Fuentes'!C49</x:f>
        <x:v>391.49058665584903</x:v>
      </x:c>
      <x:c r="D51" s="12" t="n">
        <x:f>C51-E51</x:f>
        <x:v>367.271386655849</x:v>
      </x:c>
      <x:c r="E51" s="12" t="n">
        <x:f>'Fuentes'!E49</x:f>
        <x:v>24.2192</x:v>
      </x:c>
      <x:c r="F51" s="12" t="n">
        <x:f>IF(OR(Supuestos!$B$13="",Supuestos!$B$14=""),"",Supuestos!$B$13*Supuestos!$B$14)</x:f>
        <x:v>8.53452616399676</x:v>
      </x:c>
      <x:c r="G51" s="12" t="n">
        <x:f>-C51</x:f>
        <x:v>-391.49058665584903</x:v>
      </x:c>
      <x:c r="H51" s="12" t="n">
        <x:f>-D51</x:f>
        <x:v>-367.271386655849</x:v>
      </x:c>
      <x:c r="I51" s="12" t="n">
        <x:f>IF(OR(Supuestos!$B$15="",F51=""),"",E51-F51)</x:f>
        <x:v>15.68467383600324</x:v>
      </x:c>
      <x:c r="J51" s="12" t="str">
        <x:f>IF(OR(Supuestos!$B$11="",Supuestos!$B$13="",Supuestos!$B$14="",Supuestos!$B$15=""),"",-(D51+F51))</x:f>
      </x:c>
      <x:c r="K51" s="12" t="n">
        <x:f>'Fuentes'!D49</x:f>
        <x:v>277.713852579257</x:v>
      </x:c>
      <x:c r="L51" s="12" t="n">
        <x:f>K51-M51</x:f>
        <x:v>262.105852579257</x:v>
      </x:c>
      <x:c r="M51" s="12" t="n">
        <x:f>'Fuentes'!F49</x:f>
        <x:v>15.608</x:v>
      </x:c>
      <x:c r="N51" s="12" t="n">
        <x:f>IF(OR(Supuestos!$B$13="",Supuestos!$B$14=""),"",Supuestos!$B$13*Supuestos!$B$14)</x:f>
        <x:v>8.53452616399676</x:v>
      </x:c>
      <x:c r="O51" s="12" t="n">
        <x:f>-K51</x:f>
        <x:v>-277.713852579257</x:v>
      </x:c>
      <x:c r="P51" s="12" t="n">
        <x:f>-L51</x:f>
        <x:v>-262.105852579257</x:v>
      </x:c>
      <x:c r="Q51" s="12" t="n">
        <x:f>IF(OR(Supuestos!$B$16="",N51=""),"",M51-N51)</x:f>
        <x:v>7.07347383600324</x:v>
      </x:c>
      <x:c r="R51" s="12" t="str">
        <x:f>IF(OR(Supuestos!$B$12="",Supuestos!$B$13="",Supuestos!$B$14="",Supuestos!$B$16=""),"",-(L51+N51))</x:f>
      </x:c>
      <x:c r="S51" s="30" t="n">
        <x:f>1/(1+Supuestos!$B$9)^A51</x:f>
        <x:v>0.8217524003640432</x:v>
      </x:c>
      <x:c r="T51" s="12" t="n">
        <x:f>IF(E51="","",E51*S51)</x:f>
        <x:v>19.902185734896836</x:v>
      </x:c>
      <x:c r="U51" s="12" t="n">
        <x:f>IF(M51="","",M51*S51)</x:f>
        <x:v>12.825911464881987</x:v>
      </x:c>
      <x:c r="V51" s="12" t="n">
        <x:f>IF(I51="","",I51*S51)</x:f>
        <x:v>12.888918373662767</x:v>
      </x:c>
      <x:c r="W51" s="12" t="n">
        <x:f>IF(Q51="","",Q51*S51)</x:f>
        <x:v>5.812644103647918</x:v>
      </x:c>
    </x:row>
    <x:row r="52">
      <x:c r="A52" s="29" t="n">
        <x:v>45</x:v>
      </x:c>
      <x:c r="B52" s="28" t="n">
        <x:v>47392</x:v>
      </x:c>
      <x:c r="C52" s="12" t="n">
        <x:f>'Fuentes'!C50</x:f>
        <x:v>391.8695601462016</x:v>
      </x:c>
      <x:c r="D52" s="12" t="n">
        <x:f>C52-E52</x:f>
        <x:v>367.6503601462016</x:v>
      </x:c>
      <x:c r="E52" s="12" t="n">
        <x:f>'Fuentes'!E50</x:f>
        <x:v>24.2192</x:v>
      </x:c>
      <x:c r="F52" s="12" t="n">
        <x:f>IF(OR(Supuestos!$B$13="",Supuestos!$B$14=""),"",Supuestos!$B$13*Supuestos!$B$14)</x:f>
        <x:v>8.53452616399676</x:v>
      </x:c>
      <x:c r="G52" s="12" t="n">
        <x:f>-C52</x:f>
        <x:v>-391.8695601462016</x:v>
      </x:c>
      <x:c r="H52" s="12" t="n">
        <x:f>-D52</x:f>
        <x:v>-367.6503601462016</x:v>
      </x:c>
      <x:c r="I52" s="12" t="n">
        <x:f>IF(OR(Supuestos!$B$15="",F52=""),"",E52-F52)</x:f>
        <x:v>15.68467383600324</x:v>
      </x:c>
      <x:c r="J52" s="12" t="str">
        <x:f>IF(OR(Supuestos!$B$11="",Supuestos!$B$13="",Supuestos!$B$14="",Supuestos!$B$15=""),"",-(D52+F52))</x:f>
      </x:c>
      <x:c r="K52" s="12" t="n">
        <x:f>'Fuentes'!D50</x:f>
        <x:v>278.0198560186721</x:v>
      </x:c>
      <x:c r="L52" s="12" t="n">
        <x:f>K52-M52</x:f>
        <x:v>262.4118560186721</x:v>
      </x:c>
      <x:c r="M52" s="12" t="n">
        <x:f>'Fuentes'!F50</x:f>
        <x:v>15.608</x:v>
      </x:c>
      <x:c r="N52" s="12" t="n">
        <x:f>IF(OR(Supuestos!$B$13="",Supuestos!$B$14=""),"",Supuestos!$B$13*Supuestos!$B$14)</x:f>
        <x:v>8.53452616399676</x:v>
      </x:c>
      <x:c r="O52" s="12" t="n">
        <x:f>-K52</x:f>
        <x:v>-278.0198560186721</x:v>
      </x:c>
      <x:c r="P52" s="12" t="n">
        <x:f>-L52</x:f>
        <x:v>-262.4118560186721</x:v>
      </x:c>
      <x:c r="Q52" s="12" t="n">
        <x:f>IF(OR(Supuestos!$B$16="",N52=""),"",M52-N52)</x:f>
        <x:v>7.07347383600324</x:v>
      </x:c>
      <x:c r="R52" s="12" t="str">
        <x:f>IF(OR(Supuestos!$B$12="",Supuestos!$B$13="",Supuestos!$B$14="",Supuestos!$B$16=""),"",-(L52+N52))</x:f>
      </x:c>
      <x:c r="S52" s="30" t="n">
        <x:f>1/(1+Supuestos!$B$9)^A52</x:f>
        <x:v>0.8180941297300899</x:v>
      </x:c>
      <x:c r="T52" s="12" t="n">
        <x:f>IF(E52="","",E52*S52)</x:f>
        <x:v>19.813585346758995</x:v>
      </x:c>
      <x:c r="U52" s="12" t="n">
        <x:f>IF(M52="","",M52*S52)</x:f>
        <x:v>12.768813176827244</x:v>
      </x:c>
      <x:c r="V52" s="12" t="n">
        <x:f>IF(I52="","",I52*S52)</x:f>
        <x:v>12.831539591965381</x:v>
      </x:c>
      <x:c r="W52" s="12" t="n">
        <x:f>IF(Q52="","",Q52*S52)</x:f>
        <x:v>5.786767422033631</x:v>
      </x:c>
    </x:row>
    <x:row r="53">
      <x:c r="A53" s="29" t="n">
        <x:v>46</x:v>
      </x:c>
      <x:c r="B53" s="28" t="n">
        <x:v>47423</x:v>
      </x:c>
      <x:c r="C53" s="12" t="n">
        <x:f>'Fuentes'!C51</x:f>
        <x:v>392.2543355200249</x:v>
      </x:c>
      <x:c r="D53" s="12" t="n">
        <x:f>C53-E53</x:f>
        <x:v>368.0351355200249</x:v>
      </x:c>
      <x:c r="E53" s="12" t="n">
        <x:f>'Fuentes'!E51</x:f>
        <x:v>24.2192</x:v>
      </x:c>
      <x:c r="F53" s="12" t="n">
        <x:f>IF(OR(Supuestos!$B$13="",Supuestos!$B$14=""),"",Supuestos!$B$13*Supuestos!$B$14)</x:f>
        <x:v>8.53452616399676</x:v>
      </x:c>
      <x:c r="G53" s="12" t="n">
        <x:f>-C53</x:f>
        <x:v>-392.2543355200249</x:v>
      </x:c>
      <x:c r="H53" s="12" t="n">
        <x:f>-D53</x:f>
        <x:v>-368.0351355200249</x:v>
      </x:c>
      <x:c r="I53" s="12" t="n">
        <x:f>IF(OR(Supuestos!$B$15="",F53=""),"",E53-F53)</x:f>
        <x:v>15.68467383600324</x:v>
      </x:c>
      <x:c r="J53" s="12" t="str">
        <x:f>IF(OR(Supuestos!$B$11="",Supuestos!$B$13="",Supuestos!$B$14="",Supuestos!$B$15=""),"",-(D53+F53))</x:f>
      </x:c>
      <x:c r="K53" s="12" t="n">
        <x:f>'Fuentes'!D51</x:f>
        <x:v>278.33054420871576</x:v>
      </x:c>
      <x:c r="L53" s="12" t="n">
        <x:f>K53-M53</x:f>
        <x:v>262.72254420871576</x:v>
      </x:c>
      <x:c r="M53" s="12" t="n">
        <x:f>'Fuentes'!F51</x:f>
        <x:v>15.608</x:v>
      </x:c>
      <x:c r="N53" s="12" t="n">
        <x:f>IF(OR(Supuestos!$B$13="",Supuestos!$B$14=""),"",Supuestos!$B$13*Supuestos!$B$14)</x:f>
        <x:v>8.53452616399676</x:v>
      </x:c>
      <x:c r="O53" s="12" t="n">
        <x:f>-K53</x:f>
        <x:v>-278.33054420871576</x:v>
      </x:c>
      <x:c r="P53" s="12" t="n">
        <x:f>-L53</x:f>
        <x:v>-262.72254420871576</x:v>
      </x:c>
      <x:c r="Q53" s="12" t="n">
        <x:f>IF(OR(Supuestos!$B$16="",N53=""),"",M53-N53)</x:f>
        <x:v>7.07347383600324</x:v>
      </x:c>
      <x:c r="R53" s="12" t="str">
        <x:f>IF(OR(Supuestos!$B$12="",Supuestos!$B$13="",Supuestos!$B$14="",Supuestos!$B$16=""),"",-(L53+N53))</x:f>
      </x:c>
      <x:c r="S53" s="30" t="n">
        <x:f>1/(1+Supuestos!$B$9)^A53</x:f>
        <x:v>0.814452144955509</x:v>
      </x:c>
      <x:c r="T53" s="12" t="n">
        <x:f>IF(E53="","",E53*S53)</x:f>
        <x:v>19.725379389106465</x:v>
      </x:c>
      <x:c r="U53" s="12" t="n">
        <x:f>IF(M53="","",M53*S53)</x:f>
        <x:v>12.711969078465584</x:v>
      </x:c>
      <x:c r="V53" s="12" t="n">
        <x:f>IF(I53="","",I53*S53)</x:f>
        <x:v>12.77441624866039</x:v>
      </x:c>
      <x:c r="W53" s="12" t="n">
        <x:f>IF(Q53="","",Q53*S53)</x:f>
        <x:v>5.761005938019511</x:v>
      </x:c>
    </x:row>
    <x:row r="54">
      <x:c r="A54" s="29" t="n">
        <x:v>47</x:v>
      </x:c>
      <x:c r="B54" s="28" t="n">
        <x:v>47453</x:v>
      </x:c>
      <x:c r="C54" s="12" t="n">
        <x:f>'Fuentes'!C52</x:f>
        <x:v>392.64500160108275</x:v>
      </x:c>
      <x:c r="D54" s="12" t="n">
        <x:f>C54-E54</x:f>
        <x:v>368.42580160108275</x:v>
      </x:c>
      <x:c r="E54" s="12" t="n">
        <x:f>'Fuentes'!E52</x:f>
        <x:v>24.2192</x:v>
      </x:c>
      <x:c r="F54" s="12" t="n">
        <x:f>IF(OR(Supuestos!$B$13="",Supuestos!$B$14=""),"",Supuestos!$B$13*Supuestos!$B$14)</x:f>
        <x:v>8.53452616399676</x:v>
      </x:c>
      <x:c r="G54" s="12" t="n">
        <x:f>-C54</x:f>
        <x:v>-392.64500160108275</x:v>
      </x:c>
      <x:c r="H54" s="12" t="n">
        <x:f>-D54</x:f>
        <x:v>-368.42580160108275</x:v>
      </x:c>
      <x:c r="I54" s="12" t="n">
        <x:f>IF(OR(Supuestos!$B$15="",F54=""),"",E54-F54)</x:f>
        <x:v>15.68467383600324</x:v>
      </x:c>
      <x:c r="J54" s="12" t="str">
        <x:f>IF(OR(Supuestos!$B$11="",Supuestos!$B$13="",Supuestos!$B$14="",Supuestos!$B$15=""),"",-(D54+F54))</x:f>
      </x:c>
      <x:c r="K54" s="12" t="n">
        <x:f>'Fuentes'!D52</x:f>
        <x:v>278.6459888704395</x:v>
      </x:c>
      <x:c r="L54" s="12" t="n">
        <x:f>K54-M54</x:f>
        <x:v>263.0379888704395</x:v>
      </x:c>
      <x:c r="M54" s="12" t="n">
        <x:f>'Fuentes'!F52</x:f>
        <x:v>15.608</x:v>
      </x:c>
      <x:c r="N54" s="12" t="n">
        <x:f>IF(OR(Supuestos!$B$13="",Supuestos!$B$14=""),"",Supuestos!$B$13*Supuestos!$B$14)</x:f>
        <x:v>8.53452616399676</x:v>
      </x:c>
      <x:c r="O54" s="12" t="n">
        <x:f>-K54</x:f>
        <x:v>-278.6459888704395</x:v>
      </x:c>
      <x:c r="P54" s="12" t="n">
        <x:f>-L54</x:f>
        <x:v>-263.0379888704395</x:v>
      </x:c>
      <x:c r="Q54" s="12" t="n">
        <x:f>IF(OR(Supuestos!$B$16="",N54=""),"",M54-N54)</x:f>
        <x:v>7.07347383600324</x:v>
      </x:c>
      <x:c r="R54" s="12" t="str">
        <x:f>IF(OR(Supuestos!$B$12="",Supuestos!$B$13="",Supuestos!$B$14="",Supuestos!$B$16=""),"",-(L54+N54))</x:f>
      </x:c>
      <x:c r="S54" s="30" t="n">
        <x:f>1/(1+Supuestos!$B$9)^A54</x:f>
        <x:v>0.8108263735390445</x:v>
      </x:c>
      <x:c r="T54" s="12" t="n">
        <x:f>IF(E54="","",E54*S54)</x:f>
        <x:v>19.637566106016827</x:v>
      </x:c>
      <x:c r="U54" s="12" t="n">
        <x:f>IF(M54="","",M54*S54)</x:f>
        <x:v>12.655378038197407</x:v>
      </x:c>
      <x:c r="V54" s="12" t="n">
        <x:f>IF(I54="","",I54*S54)</x:f>
        <x:v>12.717547206589241</x:v>
      </x:c>
      <x:c r="W54" s="12" t="n">
        <x:f>IF(Q54="","",Q54*S54)</x:f>
        <x:v>5.735359138769821</x:v>
      </x:c>
    </x:row>
    <x:row r="55">
      <x:c r="A55" s="29" t="n">
        <x:v>48</x:v>
      </x:c>
      <x:c r="B55" s="28" t="n">
        <x:v>47484</x:v>
      </x:c>
      <x:c r="C55" s="12" t="n">
        <x:f>'Fuentes'!C53</x:f>
        <x:v>393.04164857298383</x:v>
      </x:c>
      <x:c r="D55" s="12" t="n">
        <x:f>C55-E55</x:f>
        <x:v>368.82244857298383</x:v>
      </x:c>
      <x:c r="E55" s="12" t="n">
        <x:f>'Fuentes'!E53</x:f>
        <x:v>24.2192</x:v>
      </x:c>
      <x:c r="F55" s="12" t="n">
        <x:f>IF(OR(Supuestos!$B$13="",Supuestos!$B$14=""),"",Supuestos!$B$13*Supuestos!$B$14)</x:f>
        <x:v>8.53452616399676</x:v>
      </x:c>
      <x:c r="G55" s="12" t="n">
        <x:f>-C55</x:f>
        <x:v>-393.04164857298383</x:v>
      </x:c>
      <x:c r="H55" s="12" t="n">
        <x:f>-D55</x:f>
        <x:v>-368.82244857298383</x:v>
      </x:c>
      <x:c r="I55" s="12" t="n">
        <x:f>IF(OR(Supuestos!$B$15="",F55=""),"",E55-F55)</x:f>
        <x:v>15.68467383600324</x:v>
      </x:c>
      <x:c r="J55" s="12" t="str">
        <x:f>IF(OR(Supuestos!$B$11="",Supuestos!$B$13="",Supuestos!$B$14="",Supuestos!$B$15=""),"",-(D55+F55))</x:f>
      </x:c>
      <x:c r="K55" s="12" t="n">
        <x:f>'Fuentes'!D53</x:f>
        <x:v>278.96626282290623</x:v>
      </x:c>
      <x:c r="L55" s="12" t="n">
        <x:f>K55-M55</x:f>
        <x:v>263.3582628229062</x:v>
      </x:c>
      <x:c r="M55" s="12" t="n">
        <x:f>'Fuentes'!F53</x:f>
        <x:v>15.608</x:v>
      </x:c>
      <x:c r="N55" s="12" t="n">
        <x:f>IF(OR(Supuestos!$B$13="",Supuestos!$B$14=""),"",Supuestos!$B$13*Supuestos!$B$14)</x:f>
        <x:v>8.53452616399676</x:v>
      </x:c>
      <x:c r="O55" s="12" t="n">
        <x:f>-K55</x:f>
        <x:v>-278.96626282290623</x:v>
      </x:c>
      <x:c r="P55" s="12" t="n">
        <x:f>-L55</x:f>
        <x:v>-263.3582628229062</x:v>
      </x:c>
      <x:c r="Q55" s="12" t="n">
        <x:f>IF(OR(Supuestos!$B$16="",N55=""),"",M55-N55)</x:f>
        <x:v>7.07347383600324</x:v>
      </x:c>
      <x:c r="R55" s="12" t="str">
        <x:f>IF(OR(Supuestos!$B$12="",Supuestos!$B$13="",Supuestos!$B$14="",Supuestos!$B$16=""),"",-(L55+N55))</x:f>
      </x:c>
      <x:c r="S55" s="30" t="n">
        <x:f>1/(1+Supuestos!$B$9)^A55</x:f>
        <x:v>0.8072167433022012</x:v>
      </x:c>
      <x:c r="T55" s="12" t="n">
        <x:f>IF(E55="","",E55*S55)</x:f>
        <x:v>19.55014374938467</x:v>
      </x:c>
      <x:c r="U55" s="12" t="n">
        <x:f>IF(M55="","",M55*S55)</x:f>
        <x:v>12.599038929460756</x:v>
      </x:c>
      <x:c r="V55" s="12" t="n">
        <x:f>IF(I55="","",I55*S55)</x:f>
        <x:v>12.660931333655778</x:v>
      </x:c>
      <x:c r="W55" s="12" t="n">
        <x:f>IF(Q55="","",Q55*S55)</x:f>
        <x:v>5.709826513731864</x:v>
      </x:c>
    </x:row>
    <x:row r="56">
      <x:c r="A56" s="29" t="n">
        <x:v>49</x:v>
      </x:c>
      <x:c r="B56" s="28" t="n">
        <x:v>47515</x:v>
      </x:c>
      <x:c r="C56" s="12" t="n">
        <x:f>'Fuentes'!C54</x:f>
        <x:v>393.444368</x:v>
      </x:c>
      <x:c r="D56" s="12" t="n">
        <x:f>C56-E56</x:f>
        <x:v>369.225168</x:v>
      </x:c>
      <x:c r="E56" s="12" t="n">
        <x:f>'Fuentes'!E54</x:f>
        <x:v>24.2192</x:v>
      </x:c>
      <x:c r="F56" s="12" t="n">
        <x:f>IF(OR(Supuestos!$B$13="",Supuestos!$B$14=""),"",Supuestos!$B$13*Supuestos!$B$14)</x:f>
        <x:v>8.53452616399676</x:v>
      </x:c>
      <x:c r="G56" s="12" t="n">
        <x:f>-C56</x:f>
        <x:v>-393.444368</x:v>
      </x:c>
      <x:c r="H56" s="12" t="n">
        <x:f>-D56</x:f>
        <x:v>-369.225168</x:v>
      </x:c>
      <x:c r="I56" s="12" t="n">
        <x:f>IF(OR(Supuestos!$B$15="",F56=""),"",E56-F56)</x:f>
        <x:v>15.68467383600324</x:v>
      </x:c>
      <x:c r="J56" s="12" t="str">
        <x:f>IF(OR(Supuestos!$B$11="",Supuestos!$B$13="",Supuestos!$B$14="",Supuestos!$B$15=""),"",-(D56+F56))</x:f>
      </x:c>
      <x:c r="K56" s="12" t="n">
        <x:f>'Fuentes'!D54</x:f>
        <x:v>279.29144</x:v>
      </x:c>
      <x:c r="L56" s="12" t="n">
        <x:f>K56-M56</x:f>
        <x:v>263.68344</x:v>
      </x:c>
      <x:c r="M56" s="12" t="n">
        <x:f>'Fuentes'!F54</x:f>
        <x:v>15.608</x:v>
      </x:c>
      <x:c r="N56" s="12" t="n">
        <x:f>IF(OR(Supuestos!$B$13="",Supuestos!$B$14=""),"",Supuestos!$B$13*Supuestos!$B$14)</x:f>
        <x:v>8.53452616399676</x:v>
      </x:c>
      <x:c r="O56" s="12" t="n">
        <x:f>-K56</x:f>
        <x:v>-279.29144</x:v>
      </x:c>
      <x:c r="P56" s="12" t="n">
        <x:f>-L56</x:f>
        <x:v>-263.68344</x:v>
      </x:c>
      <x:c r="Q56" s="12" t="n">
        <x:f>IF(OR(Supuestos!$B$16="",N56=""),"",M56-N56)</x:f>
        <x:v>7.07347383600324</x:v>
      </x:c>
      <x:c r="R56" s="12" t="str">
        <x:f>IF(OR(Supuestos!$B$12="",Supuestos!$B$13="",Supuestos!$B$14="",Supuestos!$B$16=""),"",-(L56+N56))</x:f>
      </x:c>
      <x:c r="S56" s="30" t="n">
        <x:f>1/(1+Supuestos!$B$9)^A56</x:f>
        <x:v>0.8036231823878068</x:v>
      </x:c>
      <x:c r="T56" s="12" t="n">
        <x:f>IF(E56="","",E56*S56)</x:f>
        <x:v>19.463110578886774</x:v>
      </x:c>
      <x:c r="U56" s="12" t="n">
        <x:f>IF(M56="","",M56*S56)</x:f>
        <x:v>12.542950630708889</x:v>
      </x:c>
      <x:c r="V56" s="12" t="n">
        <x:f>IF(I56="","",I56*S56)</x:f>
        <x:v>12.604567502803693</x:v>
      </x:c>
      <x:c r="W56" s="12" t="n">
        <x:f>IF(Q56="","",Q56*S56)</x:f>
        <x:v>5.684407554625811</x:v>
      </x:c>
    </x:row>
    <x:row r="57">
      <x:c r="A57" s="29" t="n">
        <x:v>50</x:v>
      </x:c>
      <x:c r="B57" s="28" t="n">
        <x:v>47543</x:v>
      </x:c>
      <x:c r="C57" s="12" t="n">
        <x:f>'Fuentes'!C55</x:f>
        <x:v>393.85325284820374</x:v>
      </x:c>
      <x:c r="D57" s="12" t="n">
        <x:f>C57-E57</x:f>
        <x:v>369.63405284820374</x:v>
      </x:c>
      <x:c r="E57" s="12" t="n">
        <x:f>'Fuentes'!E55</x:f>
        <x:v>24.2192</x:v>
      </x:c>
      <x:c r="F57" s="12" t="n">
        <x:f>IF(OR(Supuestos!$B$13="",Supuestos!$B$14=""),"",Supuestos!$B$13*Supuestos!$B$14)</x:f>
        <x:v>8.53452616399676</x:v>
      </x:c>
      <x:c r="G57" s="12" t="n">
        <x:f>-C57</x:f>
        <x:v>-393.85325284820374</x:v>
      </x:c>
      <x:c r="H57" s="12" t="n">
        <x:f>-D57</x:f>
        <x:v>-369.63405284820374</x:v>
      </x:c>
      <x:c r="I57" s="12" t="n">
        <x:f>IF(OR(Supuestos!$B$15="",F57=""),"",E57-F57)</x:f>
        <x:v>15.68467383600324</x:v>
      </x:c>
      <x:c r="J57" s="12" t="str">
        <x:f>IF(OR(Supuestos!$B$11="",Supuestos!$B$13="",Supuestos!$B$14="",Supuestos!$B$15=""),"",-(D57+F57))</x:f>
      </x:c>
      <x:c r="K57" s="12" t="n">
        <x:f>'Fuentes'!D55</x:f>
        <x:v>279.62159546749376</x:v>
      </x:c>
      <x:c r="L57" s="12" t="n">
        <x:f>K57-M57</x:f>
        <x:v>264.01359546749376</x:v>
      </x:c>
      <x:c r="M57" s="12" t="n">
        <x:f>'Fuentes'!F55</x:f>
        <x:v>15.608</x:v>
      </x:c>
      <x:c r="N57" s="12" t="n">
        <x:f>IF(OR(Supuestos!$B$13="",Supuestos!$B$14=""),"",Supuestos!$B$13*Supuestos!$B$14)</x:f>
        <x:v>8.53452616399676</x:v>
      </x:c>
      <x:c r="O57" s="12" t="n">
        <x:f>-K57</x:f>
        <x:v>-279.62159546749376</x:v>
      </x:c>
      <x:c r="P57" s="12" t="n">
        <x:f>-L57</x:f>
        <x:v>-264.01359546749376</x:v>
      </x:c>
      <x:c r="Q57" s="12" t="n">
        <x:f>IF(OR(Supuestos!$B$16="",N57=""),"",M57-N57)</x:f>
        <x:v>7.07347383600324</x:v>
      </x:c>
      <x:c r="R57" s="12" t="str">
        <x:f>IF(OR(Supuestos!$B$12="",Supuestos!$B$13="",Supuestos!$B$14="",Supuestos!$B$16=""),"",-(L57+N57))</x:f>
      </x:c>
      <x:c r="S57" s="30" t="n">
        <x:f>1/(1+Supuestos!$B$9)^A57</x:f>
        <x:v>0.8000456192585832</x:v>
      </x:c>
      <x:c r="T57" s="12" t="n">
        <x:f>IF(E57="","",E57*S57)</x:f>
        <x:v>19.37646486194748</x:v>
      </x:c>
      <x:c r="U57" s="12" t="n">
        <x:f>IF(M57="","",M57*S57)</x:f>
        <x:v>12.487112025387967</x:v>
      </x:c>
      <x:c r="V57" s="12" t="n">
        <x:f>IF(I57="","",I57*S57)</x:f>
        <x:v>12.54845459199411</x:v>
      </x:c>
      <x:c r="W57" s="12" t="n">
        <x:f>IF(Q57="","",Q57*S57)</x:f>
        <x:v>5.659101755434598</x:v>
      </x:c>
    </x:row>
    <x:row r="58">
      <x:c r="A58" s="29" t="n">
        <x:v>51</x:v>
      </x:c>
      <x:c r="B58" s="28" t="n">
        <x:v>47574</x:v>
      </x:c>
      <x:c r="C58" s="12" t="n">
        <x:f>'Fuentes'!C56</x:f>
        <x:v>394.2683975069289</x:v>
      </x:c>
      <x:c r="D58" s="12" t="n">
        <x:f>C58-E58</x:f>
        <x:v>370.0491975069289</x:v>
      </x:c>
      <x:c r="E58" s="12" t="n">
        <x:f>'Fuentes'!E56</x:f>
        <x:v>24.2192</x:v>
      </x:c>
      <x:c r="F58" s="12" t="n">
        <x:f>IF(OR(Supuestos!$B$13="",Supuestos!$B$14=""),"",Supuestos!$B$13*Supuestos!$B$14)</x:f>
        <x:v>8.53452616399676</x:v>
      </x:c>
      <x:c r="G58" s="12" t="n">
        <x:f>-C58</x:f>
        <x:v>-394.2683975069289</x:v>
      </x:c>
      <x:c r="H58" s="12" t="n">
        <x:f>-D58</x:f>
        <x:v>-370.0491975069289</x:v>
      </x:c>
      <x:c r="I58" s="12" t="n">
        <x:f>IF(OR(Supuestos!$B$15="",F58=""),"",E58-F58)</x:f>
        <x:v>15.68467383600324</x:v>
      </x:c>
      <x:c r="J58" s="12" t="str">
        <x:f>IF(OR(Supuestos!$B$11="",Supuestos!$B$13="",Supuestos!$B$14="",Supuestos!$B$15=""),"",-(D58+F58))</x:f>
      </x:c>
      <x:c r="K58" s="12" t="n">
        <x:f>'Fuentes'!D56</x:f>
        <x:v>279.9568054403774</x:v>
      </x:c>
      <x:c r="L58" s="12" t="n">
        <x:f>K58-M58</x:f>
        <x:v>264.3488054403774</x:v>
      </x:c>
      <x:c r="M58" s="12" t="n">
        <x:f>'Fuentes'!F56</x:f>
        <x:v>15.608</x:v>
      </x:c>
      <x:c r="N58" s="12" t="n">
        <x:f>IF(OR(Supuestos!$B$13="",Supuestos!$B$14=""),"",Supuestos!$B$13*Supuestos!$B$14)</x:f>
        <x:v>8.53452616399676</x:v>
      </x:c>
      <x:c r="O58" s="12" t="n">
        <x:f>-K58</x:f>
        <x:v>-279.9568054403774</x:v>
      </x:c>
      <x:c r="P58" s="12" t="n">
        <x:f>-L58</x:f>
        <x:v>-264.3488054403774</x:v>
      </x:c>
      <x:c r="Q58" s="12" t="n">
        <x:f>IF(OR(Supuestos!$B$16="",N58=""),"",M58-N58)</x:f>
        <x:v>7.07347383600324</x:v>
      </x:c>
      <x:c r="R58" s="12" t="str">
        <x:f>IF(OR(Supuestos!$B$12="",Supuestos!$B$13="",Supuestos!$B$14="",Supuestos!$B$16=""),"",-(L58+N58))</x:f>
      </x:c>
      <x:c r="S58" s="30" t="n">
        <x:f>1/(1+Supuestos!$B$9)^A58</x:f>
        <x:v>0.7964839826957206</x:v>
      </x:c>
      <x:c r="T58" s="12" t="n">
        <x:f>IF(E58="","",E58*S58)</x:f>
        <x:v>19.290204873704198</x:v>
      </x:c>
      <x:c r="U58" s="12" t="n">
        <x:f>IF(M58="","",M58*S58)</x:f>
        <x:v>12.431522001914807</x:v>
      </x:c>
      <x:c r="V58" s="12" t="n">
        <x:f>IF(I58="","",I58*S58)</x:f>
        <x:v>12.492591484183226</x:v>
      </x:c>
      <x:c r="W58" s="12" t="n">
        <x:f>IF(Q58="","",Q58*S58)</x:f>
        <x:v>5.633908612393837</x:v>
      </x:c>
    </x:row>
    <x:row r="59">
      <x:c r="A59" s="29" t="n">
        <x:v>52</x:v>
      </x:c>
      <x:c r="B59" s="28" t="n">
        <x:v>47604</x:v>
      </x:c>
      <x:c r="C59" s="12" t="n">
        <x:f>'Fuentes'!C57</x:f>
        <x:v>394.6898978105599</x:v>
      </x:c>
      <x:c r="D59" s="12" t="n">
        <x:f>C59-E59</x:f>
        <x:v>370.4706978105599</x:v>
      </x:c>
      <x:c r="E59" s="12" t="n">
        <x:f>'Fuentes'!E57</x:f>
        <x:v>24.2192</x:v>
      </x:c>
      <x:c r="F59" s="12" t="n">
        <x:f>IF(OR(Supuestos!$B$13="",Supuestos!$B$14=""),"",Supuestos!$B$13*Supuestos!$B$14)</x:f>
        <x:v>8.53452616399676</x:v>
      </x:c>
      <x:c r="G59" s="12" t="n">
        <x:f>-C59</x:f>
        <x:v>-394.6898978105599</x:v>
      </x:c>
      <x:c r="H59" s="12" t="n">
        <x:f>-D59</x:f>
        <x:v>-370.4706978105599</x:v>
      </x:c>
      <x:c r="I59" s="12" t="n">
        <x:f>IF(OR(Supuestos!$B$15="",F59=""),"",E59-F59)</x:f>
        <x:v>15.68467383600324</x:v>
      </x:c>
      <x:c r="J59" s="12" t="str">
        <x:f>IF(OR(Supuestos!$B$11="",Supuestos!$B$13="",Supuestos!$B$14="",Supuestos!$B$15=""),"",-(D59+F59))</x:f>
      </x:c>
      <x:c r="K59" s="12" t="n">
        <x:f>'Fuentes'!D57</x:f>
        <x:v>280.2971473004521</x:v>
      </x:c>
      <x:c r="L59" s="12" t="n">
        <x:f>K59-M59</x:f>
        <x:v>264.6891473004521</x:v>
      </x:c>
      <x:c r="M59" s="12" t="n">
        <x:f>'Fuentes'!F57</x:f>
        <x:v>15.608</x:v>
      </x:c>
      <x:c r="N59" s="12" t="n">
        <x:f>IF(OR(Supuestos!$B$13="",Supuestos!$B$14=""),"",Supuestos!$B$13*Supuestos!$B$14)</x:f>
        <x:v>8.53452616399676</x:v>
      </x:c>
      <x:c r="O59" s="12" t="n">
        <x:f>-K59</x:f>
        <x:v>-280.2971473004521</x:v>
      </x:c>
      <x:c r="P59" s="12" t="n">
        <x:f>-L59</x:f>
        <x:v>-264.6891473004521</x:v>
      </x:c>
      <x:c r="Q59" s="12" t="n">
        <x:f>IF(OR(Supuestos!$B$16="",N59=""),"",M59-N59)</x:f>
        <x:v>7.07347383600324</x:v>
      </x:c>
      <x:c r="R59" s="12" t="str">
        <x:f>IF(OR(Supuestos!$B$12="",Supuestos!$B$13="",Supuestos!$B$14="",Supuestos!$B$16=""),"",-(L59+N59))</x:f>
      </x:c>
      <x:c r="S59" s="30" t="n">
        <x:f>1/(1+Supuestos!$B$9)^A59</x:f>
        <x:v>0.792938201797461</x:v>
      </x:c>
      <x:c r="T59" s="12" t="n">
        <x:f>IF(E59="","",E59*S59)</x:f>
        <x:v>19.204328896973067</x:v>
      </x:c>
      <x:c r="U59" s="12" t="n">
        <x:f>IF(M59="","",M59*S59)</x:f>
        <x:v>12.376179453654771</x:v>
      </x:c>
      <x:c r="V59" s="12" t="n">
        <x:f>IF(I59="","",I59*S59)</x:f>
        <x:v>12.436977067300093</x:v>
      </x:c>
      <x:c r="W59" s="12" t="n">
        <x:f>IF(Q59="","",Q59*S59)</x:f>
        <x:v>5.608827623981798</x:v>
      </x:c>
    </x:row>
    <x:row r="60">
      <x:c r="A60" s="29" t="n">
        <x:v>53</x:v>
      </x:c>
      <x:c r="B60" s="28" t="n">
        <x:v>47635</x:v>
      </x:c>
      <x:c r="C60" s="12" t="n">
        <x:f>'Fuentes'!C58</x:f>
        <x:v>395.11785106065497</x:v>
      </x:c>
      <x:c r="D60" s="12" t="n">
        <x:f>C60-E60</x:f>
        <x:v>370.89865106065497</x:v>
      </x:c>
      <x:c r="E60" s="12" t="n">
        <x:f>'Fuentes'!E58</x:f>
        <x:v>24.2192</x:v>
      </x:c>
      <x:c r="F60" s="12" t="n">
        <x:f>IF(OR(Supuestos!$B$13="",Supuestos!$B$14=""),"",Supuestos!$B$13*Supuestos!$B$14)</x:f>
        <x:v>8.53452616399676</x:v>
      </x:c>
      <x:c r="G60" s="12" t="n">
        <x:f>-C60</x:f>
        <x:v>-395.11785106065497</x:v>
      </x:c>
      <x:c r="H60" s="12" t="n">
        <x:f>-D60</x:f>
        <x:v>-370.89865106065497</x:v>
      </x:c>
      <x:c r="I60" s="12" t="n">
        <x:f>IF(OR(Supuestos!$B$15="",F60=""),"",E60-F60)</x:f>
        <x:v>15.68467383600324</x:v>
      </x:c>
      <x:c r="J60" s="12" t="str">
        <x:f>IF(OR(Supuestos!$B$11="",Supuestos!$B$13="",Supuestos!$B$14="",Supuestos!$B$15=""),"",-(D60+F60))</x:f>
      </x:c>
      <x:c r="K60" s="12" t="n">
        <x:f>'Fuentes'!D58</x:f>
        <x:v>280.6426996141935</x:v>
      </x:c>
      <x:c r="L60" s="12" t="n">
        <x:f>K60-M60</x:f>
        <x:v>265.03469961419347</x:v>
      </x:c>
      <x:c r="M60" s="12" t="n">
        <x:f>'Fuentes'!F58</x:f>
        <x:v>15.608</x:v>
      </x:c>
      <x:c r="N60" s="12" t="n">
        <x:f>IF(OR(Supuestos!$B$13="",Supuestos!$B$14=""),"",Supuestos!$B$13*Supuestos!$B$14)</x:f>
        <x:v>8.53452616399676</x:v>
      </x:c>
      <x:c r="O60" s="12" t="n">
        <x:f>-K60</x:f>
        <x:v>-280.6426996141935</x:v>
      </x:c>
      <x:c r="P60" s="12" t="n">
        <x:f>-L60</x:f>
        <x:v>-265.03469961419347</x:v>
      </x:c>
      <x:c r="Q60" s="12" t="n">
        <x:f>IF(OR(Supuestos!$B$16="",N60=""),"",M60-N60)</x:f>
        <x:v>7.07347383600324</x:v>
      </x:c>
      <x:c r="R60" s="12" t="str">
        <x:f>IF(OR(Supuestos!$B$12="",Supuestos!$B$13="",Supuestos!$B$14="",Supuestos!$B$16=""),"",-(L60+N60))</x:f>
      </x:c>
      <x:c r="S60" s="30" t="n">
        <x:f>1/(1+Supuestos!$B$9)^A60</x:f>
        <x:v>0.7894082059776857</x:v>
      </x:c>
      <x:c r="T60" s="12" t="n">
        <x:f>IF(E60="","",E60*S60)</x:f>
        <x:v>19.118835222214766</x:v>
      </x:c>
      <x:c r="U60" s="12" t="n">
        <x:f>IF(M60="","",M60*S60)</x:f>
        <x:v>12.321083278899719</x:v>
      </x:c>
      <x:c r="V60" s="12" t="n">
        <x:f>IF(I60="","",I60*S60)</x:f>
        <x:v>12.381610234224464</x:v>
      </x:c>
      <x:c r="W60" s="12" t="n">
        <x:f>IF(Q60="","",Q60*S60)</x:f>
        <x:v>5.583858290909416</x:v>
      </x:c>
    </x:row>
    <x:row r="61">
      <x:c r="A61" s="29" t="n">
        <x:v>54</x:v>
      </x:c>
      <x:c r="B61" s="28" t="n">
        <x:v>47665</x:v>
      </x:c>
      <x:c r="C61" s="12" t="n">
        <x:f>'Fuentes'!C59</x:f>
        <x:v>395.5523560484076</x:v>
      </x:c>
      <x:c r="D61" s="12" t="n">
        <x:f>C61-E61</x:f>
        <x:v>371.3331560484076</x:v>
      </x:c>
      <x:c r="E61" s="12" t="n">
        <x:f>'Fuentes'!E59</x:f>
        <x:v>24.2192</x:v>
      </x:c>
      <x:c r="F61" s="12" t="n">
        <x:f>IF(OR(Supuestos!$B$13="",Supuestos!$B$14=""),"",Supuestos!$B$13*Supuestos!$B$14)</x:f>
        <x:v>8.53452616399676</x:v>
      </x:c>
      <x:c r="G61" s="12" t="n">
        <x:f>-C61</x:f>
        <x:v>-395.5523560484076</x:v>
      </x:c>
      <x:c r="H61" s="12" t="n">
        <x:f>-D61</x:f>
        <x:v>-371.3331560484076</x:v>
      </x:c>
      <x:c r="I61" s="12" t="n">
        <x:f>IF(OR(Supuestos!$B$15="",F61=""),"",E61-F61)</x:f>
        <x:v>15.68467383600324</x:v>
      </x:c>
      <x:c r="J61" s="12" t="str">
        <x:f>IF(OR(Supuestos!$B$11="",Supuestos!$B$13="",Supuestos!$B$14="",Supuestos!$B$15=""),"",-(D61+F61))</x:f>
      </x:c>
      <x:c r="K61" s="12" t="n">
        <x:f>'Fuentes'!D59</x:f>
        <x:v>280.9935421508882</x:v>
      </x:c>
      <x:c r="L61" s="12" t="n">
        <x:f>K61-M61</x:f>
        <x:v>265.38554215088817</x:v>
      </x:c>
      <x:c r="M61" s="12" t="n">
        <x:f>'Fuentes'!F59</x:f>
        <x:v>15.608</x:v>
      </x:c>
      <x:c r="N61" s="12" t="n">
        <x:f>IF(OR(Supuestos!$B$13="",Supuestos!$B$14=""),"",Supuestos!$B$13*Supuestos!$B$14)</x:f>
        <x:v>8.53452616399676</x:v>
      </x:c>
      <x:c r="O61" s="12" t="n">
        <x:f>-K61</x:f>
        <x:v>-280.9935421508882</x:v>
      </x:c>
      <x:c r="P61" s="12" t="n">
        <x:f>-L61</x:f>
        <x:v>-265.38554215088817</x:v>
      </x:c>
      <x:c r="Q61" s="12" t="n">
        <x:f>IF(OR(Supuestos!$B$16="",N61=""),"",M61-N61)</x:f>
        <x:v>7.07347383600324</x:v>
      </x:c>
      <x:c r="R61" s="12" t="str">
        <x:f>IF(OR(Supuestos!$B$12="",Supuestos!$B$13="",Supuestos!$B$14="",Supuestos!$B$16=""),"",-(L61+N61))</x:f>
      </x:c>
      <x:c r="S61" s="30" t="n">
        <x:f>1/(1+Supuestos!$B$9)^A61</x:f>
        <x:v>0.7858939249645112</x:v>
      </x:c>
      <x:c r="T61" s="12" t="n">
        <x:f>IF(E61="","",E61*S61)</x:f>
        <x:v>19.03372214750049</x:v>
      </x:c>
      <x:c r="U61" s="12" t="n">
        <x:f>IF(M61="","",M61*S61)</x:f>
        <x:v>12.266232380846091</x:v>
      </x:c>
      <x:c r="V61" s="12" t="n">
        <x:f>IF(I61="","",I61*S61)</x:f>
        <x:v>12.326489882764761</x:v>
      </x:c>
      <x:c r="W61" s="12" t="n">
        <x:f>IF(Q61="","",Q61*S61)</x:f>
        <x:v>5.559000116110363</x:v>
      </x:c>
    </x:row>
    <x:row r="62">
      <x:c r="A62" s="29" t="n">
        <x:v>55</x:v>
      </x:c>
      <x:c r="B62" s="28" t="n">
        <x:v>47696</x:v>
      </x:c>
      <x:c r="C62" s="12" t="n">
        <x:f>'Fuentes'!C60</x:f>
        <x:v>395.9935130774523</x:v>
      </x:c>
      <x:c r="D62" s="12" t="n">
        <x:f>C62-E62</x:f>
        <x:v>371.7743130774523</x:v>
      </x:c>
      <x:c r="E62" s="12" t="n">
        <x:f>'Fuentes'!E60</x:f>
        <x:v>24.2192</x:v>
      </x:c>
      <x:c r="F62" s="12" t="n">
        <x:f>IF(OR(Supuestos!$B$13="",Supuestos!$B$14=""),"",Supuestos!$B$13*Supuestos!$B$14)</x:f>
        <x:v>8.53452616399676</x:v>
      </x:c>
      <x:c r="G62" s="12" t="n">
        <x:f>-C62</x:f>
        <x:v>-395.9935130774523</x:v>
      </x:c>
      <x:c r="H62" s="12" t="n">
        <x:f>-D62</x:f>
        <x:v>-371.7743130774523</x:v>
      </x:c>
      <x:c r="I62" s="12" t="n">
        <x:f>IF(OR(Supuestos!$B$15="",F62=""),"",E62-F62)</x:f>
        <x:v>15.68467383600324</x:v>
      </x:c>
      <x:c r="J62" s="12" t="str">
        <x:f>IF(OR(Supuestos!$B$11="",Supuestos!$B$13="",Supuestos!$B$14="",Supuestos!$B$15=""),"",-(D62+F62))</x:f>
      </x:c>
      <x:c r="K62" s="12" t="n">
        <x:f>'Fuentes'!D60</x:f>
        <x:v>281.34975590104847</x:v>
      </x:c>
      <x:c r="L62" s="12" t="n">
        <x:f>K62-M62</x:f>
        <x:v>265.74175590104846</x:v>
      </x:c>
      <x:c r="M62" s="12" t="n">
        <x:f>'Fuentes'!F60</x:f>
        <x:v>15.608</x:v>
      </x:c>
      <x:c r="N62" s="12" t="n">
        <x:f>IF(OR(Supuestos!$B$13="",Supuestos!$B$14=""),"",Supuestos!$B$13*Supuestos!$B$14)</x:f>
        <x:v>8.53452616399676</x:v>
      </x:c>
      <x:c r="O62" s="12" t="n">
        <x:f>-K62</x:f>
        <x:v>-281.34975590104847</x:v>
      </x:c>
      <x:c r="P62" s="12" t="n">
        <x:f>-L62</x:f>
        <x:v>-265.74175590104846</x:v>
      </x:c>
      <x:c r="Q62" s="12" t="n">
        <x:f>IF(OR(Supuestos!$B$16="",N62=""),"",M62-N62)</x:f>
        <x:v>7.07347383600324</x:v>
      </x:c>
      <x:c r="R62" s="12" t="str">
        <x:f>IF(OR(Supuestos!$B$12="",Supuestos!$B$13="",Supuestos!$B$14="",Supuestos!$B$16=""),"",-(L62+N62))</x:f>
      </x:c>
      <x:c r="S62" s="30" t="n">
        <x:f>1/(1+Supuestos!$B$9)^A62</x:f>
        <x:v>0.7823952887988896</x:v>
      </x:c>
      <x:c r="T62" s="12" t="n">
        <x:f>IF(E62="","",E62*S62)</x:f>
        <x:v>18.94898797847807</x:v>
      </x:c>
      <x:c r="U62" s="12" t="n">
        <x:f>IF(M62="","",M62*S62)</x:f>
        <x:v>12.21162566757307</x:v>
      </x:c>
      <x:c r="V62" s="12" t="n">
        <x:f>IF(I62="","",I62*S62)</x:f>
        <x:v>12.271614915636142</x:v>
      </x:c>
      <x:c r="W62" s="12" t="n">
        <x:f>IF(Q62="","",Q62*S62)</x:f>
        <x:v>5.534252604731145</x:v>
      </x:c>
    </x:row>
    <x:row r="63">
      <x:c r="A63" s="29" t="n">
        <x:v>56</x:v>
      </x:c>
      <x:c r="B63" s="28" t="n">
        <x:v>47727</x:v>
      </x:c>
      <x:c r="C63" s="12" t="n">
        <x:f>'Fuentes'!C61</x:f>
        <x:v>396.4414239870188</x:v>
      </x:c>
      <x:c r="D63" s="12" t="n">
        <x:f>C63-E63</x:f>
        <x:v>372.2222239870188</x:v>
      </x:c>
      <x:c r="E63" s="12" t="n">
        <x:f>'Fuentes'!E61</x:f>
        <x:v>24.2192</x:v>
      </x:c>
      <x:c r="F63" s="12" t="n">
        <x:f>IF(OR(Supuestos!$B$13="",Supuestos!$B$14=""),"",Supuestos!$B$13*Supuestos!$B$14)</x:f>
        <x:v>8.53452616399676</x:v>
      </x:c>
      <x:c r="G63" s="12" t="n">
        <x:f>-C63</x:f>
        <x:v>-396.4414239870188</x:v>
      </x:c>
      <x:c r="H63" s="12" t="n">
        <x:f>-D63</x:f>
        <x:v>-372.2222239870188</x:v>
      </x:c>
      <x:c r="I63" s="12" t="n">
        <x:f>IF(OR(Supuestos!$B$15="",F63=""),"",E63-F63)</x:f>
        <x:v>15.68467383600324</x:v>
      </x:c>
      <x:c r="J63" s="12" t="str">
        <x:f>IF(OR(Supuestos!$B$11="",Supuestos!$B$13="",Supuestos!$B$14="",Supuestos!$B$15=""),"",-(D63+F63))</x:f>
      </x:c>
      <x:c r="K63" s="12" t="n">
        <x:f>'Fuentes'!D61</x:f>
        <x:v>281.7114230951084</x:v>
      </x:c>
      <x:c r="L63" s="12" t="n">
        <x:f>K63-M63</x:f>
        <x:v>266.1034230951084</x:v>
      </x:c>
      <x:c r="M63" s="12" t="n">
        <x:f>'Fuentes'!F61</x:f>
        <x:v>15.608</x:v>
      </x:c>
      <x:c r="N63" s="12" t="n">
        <x:f>IF(OR(Supuestos!$B$13="",Supuestos!$B$14=""),"",Supuestos!$B$13*Supuestos!$B$14)</x:f>
        <x:v>8.53452616399676</x:v>
      </x:c>
      <x:c r="O63" s="12" t="n">
        <x:f>-K63</x:f>
        <x:v>-281.7114230951084</x:v>
      </x:c>
      <x:c r="P63" s="12" t="n">
        <x:f>-L63</x:f>
        <x:v>-266.1034230951084</x:v>
      </x:c>
      <x:c r="Q63" s="12" t="n">
        <x:f>IF(OR(Supuestos!$B$16="",N63=""),"",M63-N63)</x:f>
        <x:v>7.07347383600324</x:v>
      </x:c>
      <x:c r="R63" s="12" t="str">
        <x:f>IF(OR(Supuestos!$B$12="",Supuestos!$B$13="",Supuestos!$B$14="",Supuestos!$B$16=""),"",-(L63+N63))</x:f>
      </x:c>
      <x:c r="S63" s="30" t="n">
        <x:f>1/(1+Supuestos!$B$9)^A63</x:f>
        <x:v>0.7789122278332162</x:v>
      </x:c>
      <x:c r="T63" s="12" t="n">
        <x:f>IF(E63="","",E63*S63)</x:f>
        <x:v>18.86463102833823</x:v>
      </x:c>
      <x:c r="U63" s="12" t="n">
        <x:f>IF(M63="","",M63*S63)</x:f>
        <x:v>12.157262052020839</x:v>
      </x:c>
      <x:c r="V63" s="12" t="n">
        <x:f>IF(I63="","",I63*S63)</x:f>
        <x:v>12.216984240438642</x:v>
      </x:c>
      <x:c r="W63" s="12" t="n">
        <x:f>IF(Q63="","",Q63*S63)</x:f>
        <x:v>5.5096152641212495</x:v>
      </x:c>
    </x:row>
    <x:row r="64">
      <x:c r="A64" s="29" t="n">
        <x:v>57</x:v>
      </x:c>
      <x:c r="B64" s="28" t="n">
        <x:v>47757</x:v>
      </x:c>
      <x:c r="C64" s="12" t="n">
        <x:f>'Fuentes'!C62</x:f>
        <x:v>396.8961921754419</x:v>
      </x:c>
      <x:c r="D64" s="12" t="n">
        <x:f>C64-E64</x:f>
        <x:v>372.6769921754419</x:v>
      </x:c>
      <x:c r="E64" s="12" t="n">
        <x:f>'Fuentes'!E62</x:f>
        <x:v>24.2192</x:v>
      </x:c>
      <x:c r="F64" s="12" t="n">
        <x:f>IF(OR(Supuestos!$B$13="",Supuestos!$B$14=""),"",Supuestos!$B$13*Supuestos!$B$14)</x:f>
        <x:v>8.53452616399676</x:v>
      </x:c>
      <x:c r="G64" s="12" t="n">
        <x:f>-C64</x:f>
        <x:v>-396.8961921754419</x:v>
      </x:c>
      <x:c r="H64" s="12" t="n">
        <x:f>-D64</x:f>
        <x:v>-372.6769921754419</x:v>
      </x:c>
      <x:c r="I64" s="12" t="n">
        <x:f>IF(OR(Supuestos!$B$15="",F64=""),"",E64-F64)</x:f>
        <x:v>15.68467383600324</x:v>
      </x:c>
      <x:c r="J64" s="12" t="str">
        <x:f>IF(OR(Supuestos!$B$11="",Supuestos!$B$13="",Supuestos!$B$14="",Supuestos!$B$15=""),"",-(D64+F64))</x:f>
      </x:c>
      <x:c r="K64" s="12" t="n">
        <x:f>'Fuentes'!D62</x:f>
        <x:v>282.0786272224065</x:v>
      </x:c>
      <x:c r="L64" s="12" t="n">
        <x:f>K64-M64</x:f>
        <x:v>266.4706272224065</x:v>
      </x:c>
      <x:c r="M64" s="12" t="n">
        <x:f>'Fuentes'!F62</x:f>
        <x:v>15.608</x:v>
      </x:c>
      <x:c r="N64" s="12" t="n">
        <x:f>IF(OR(Supuestos!$B$13="",Supuestos!$B$14=""),"",Supuestos!$B$13*Supuestos!$B$14)</x:f>
        <x:v>8.53452616399676</x:v>
      </x:c>
      <x:c r="O64" s="12" t="n">
        <x:f>-K64</x:f>
        <x:v>-282.0786272224065</x:v>
      </x:c>
      <x:c r="P64" s="12" t="n">
        <x:f>-L64</x:f>
        <x:v>-266.4706272224065</x:v>
      </x:c>
      <x:c r="Q64" s="12" t="n">
        <x:f>IF(OR(Supuestos!$B$16="",N64=""),"",M64-N64)</x:f>
        <x:v>7.07347383600324</x:v>
      </x:c>
      <x:c r="R64" s="12" t="str">
        <x:f>IF(OR(Supuestos!$B$12="",Supuestos!$B$13="",Supuestos!$B$14="",Supuestos!$B$16=""),"",-(L64+N64))</x:f>
      </x:c>
      <x:c r="S64" s="30" t="n">
        <x:f>1/(1+Supuestos!$B$9)^A64</x:f>
        <x:v>0.775444672729943</x:v>
      </x:c>
      <x:c r="T64" s="12" t="n">
        <x:f>IF(E64="","",E64*S64)</x:f>
        <x:v>18.780649617781037</x:v>
      </x:c>
      <x:c r="U64" s="12" t="n">
        <x:f>IF(M64="","",M64*S64)</x:f>
        <x:v>12.103140451968951</x:v>
      </x:c>
      <x:c r="V64" s="12" t="n">
        <x:f>IF(I64="","",I64*S64)</x:f>
        <x:v>12.162596769635432</x:v>
      </x:c>
      <x:c r="W64" s="12" t="n">
        <x:f>IF(Q64="","",Q64*S64)</x:f>
        <x:v>5.485087603823347</x:v>
      </x:c>
    </x:row>
    <x:row r="65">
      <x:c r="A65" s="29" t="n">
        <x:v>58</x:v>
      </x:c>
      <x:c r="B65" s="28" t="n">
        <x:v>47788</x:v>
      </x:c>
      <x:c r="C65" s="12" t="n">
        <x:f>'Fuentes'!C63</x:f>
        <x:v>397.35792262402987</x:v>
      </x:c>
      <x:c r="D65" s="12" t="n">
        <x:f>C65-E65</x:f>
        <x:v>373.13872262402987</x:v>
      </x:c>
      <x:c r="E65" s="12" t="n">
        <x:f>'Fuentes'!E63</x:f>
        <x:v>24.2192</x:v>
      </x:c>
      <x:c r="F65" s="12" t="n">
        <x:f>IF(OR(Supuestos!$B$13="",Supuestos!$B$14=""),"",Supuestos!$B$13*Supuestos!$B$14)</x:f>
        <x:v>8.53452616399676</x:v>
      </x:c>
      <x:c r="G65" s="12" t="n">
        <x:f>-C65</x:f>
        <x:v>-397.35792262402987</x:v>
      </x:c>
      <x:c r="H65" s="12" t="n">
        <x:f>-D65</x:f>
        <x:v>-373.13872262402987</x:v>
      </x:c>
      <x:c r="I65" s="12" t="n">
        <x:f>IF(OR(Supuestos!$B$15="",F65=""),"",E65-F65)</x:f>
        <x:v>15.68467383600324</x:v>
      </x:c>
      <x:c r="J65" s="12" t="str">
        <x:f>IF(OR(Supuestos!$B$11="",Supuestos!$B$13="",Supuestos!$B$14="",Supuestos!$B$15=""),"",-(D65+F65))</x:f>
      </x:c>
      <x:c r="K65" s="12" t="n">
        <x:f>'Fuentes'!D63</x:f>
        <x:v>282.45145305045895</x:v>
      </x:c>
      <x:c r="L65" s="12" t="n">
        <x:f>K65-M65</x:f>
        <x:v>266.84345305045895</x:v>
      </x:c>
      <x:c r="M65" s="12" t="n">
        <x:f>'Fuentes'!F63</x:f>
        <x:v>15.608</x:v>
      </x:c>
      <x:c r="N65" s="12" t="n">
        <x:f>IF(OR(Supuestos!$B$13="",Supuestos!$B$14=""),"",Supuestos!$B$13*Supuestos!$B$14)</x:f>
        <x:v>8.53452616399676</x:v>
      </x:c>
      <x:c r="O65" s="12" t="n">
        <x:f>-K65</x:f>
        <x:v>-282.45145305045895</x:v>
      </x:c>
      <x:c r="P65" s="12" t="n">
        <x:f>-L65</x:f>
        <x:v>-266.84345305045895</x:v>
      </x:c>
      <x:c r="Q65" s="12" t="n">
        <x:f>IF(OR(Supuestos!$B$16="",N65=""),"",M65-N65)</x:f>
        <x:v>7.07347383600324</x:v>
      </x:c>
      <x:c r="R65" s="12" t="str">
        <x:f>IF(OR(Supuestos!$B$12="",Supuestos!$B$13="",Supuestos!$B$14="",Supuestos!$B$16=""),"",-(L65+N65))</x:f>
      </x:c>
      <x:c r="S65" s="30" t="n">
        <x:f>1/(1+Supuestos!$B$9)^A65</x:f>
        <x:v>0.7719925544601981</x:v>
      </x:c>
      <x:c r="T65" s="12" t="n">
        <x:f>IF(E65="","",E65*S65)</x:f>
        <x:v>18.69704207498243</x:v>
      </x:c>
      <x:c r="U65" s="12" t="n">
        <x:f>IF(M65="","",M65*S65)</x:f>
        <x:v>12.049259790014773</x:v>
      </x:c>
      <x:c r="V65" s="12" t="n">
        <x:f>IF(I65="","",I65*S65)</x:f>
        <x:v>12.108451420531175</x:v>
      </x:c>
      <x:c r="W65" s="12" t="n">
        <x:f>IF(Q65="","",Q65*S65)</x:f>
        <x:v>5.460669135563517</x:v>
      </x:c>
    </x:row>
    <x:row r="66">
      <x:c r="A66" s="29" t="n">
        <x:v>59</x:v>
      </x:c>
      <x:c r="B66" s="28" t="n">
        <x:v>47818</x:v>
      </x:c>
      <x:c r="C66" s="12" t="n">
        <x:f>'Fuentes'!C64</x:f>
        <x:v>397.8267219212993</x:v>
      </x:c>
      <x:c r="D66" s="12" t="n">
        <x:f>C66-E66</x:f>
        <x:v>373.6075219212993</x:v>
      </x:c>
      <x:c r="E66" s="12" t="n">
        <x:f>'Fuentes'!E64</x:f>
        <x:v>24.2192</x:v>
      </x:c>
      <x:c r="F66" s="12" t="n">
        <x:f>IF(OR(Supuestos!$B$13="",Supuestos!$B$14=""),"",Supuestos!$B$13*Supuestos!$B$14)</x:f>
        <x:v>8.53452616399676</x:v>
      </x:c>
      <x:c r="G66" s="12" t="n">
        <x:f>-C66</x:f>
        <x:v>-397.8267219212993</x:v>
      </x:c>
      <x:c r="H66" s="12" t="n">
        <x:f>-D66</x:f>
        <x:v>-373.6075219212993</x:v>
      </x:c>
      <x:c r="I66" s="12" t="n">
        <x:f>IF(OR(Supuestos!$B$15="",F66=""),"",E66-F66)</x:f>
        <x:v>15.68467383600324</x:v>
      </x:c>
      <x:c r="J66" s="12" t="str">
        <x:f>IF(OR(Supuestos!$B$11="",Supuestos!$B$13="",Supuestos!$B$14="",Supuestos!$B$15=""),"",-(D66+F66))</x:f>
      </x:c>
      <x:c r="K66" s="12" t="n">
        <x:f>'Fuentes'!D64</x:f>
        <x:v>282.8299866445274</x:v>
      </x:c>
      <x:c r="L66" s="12" t="n">
        <x:f>K66-M66</x:f>
        <x:v>267.2219866445274</x:v>
      </x:c>
      <x:c r="M66" s="12" t="n">
        <x:f>'Fuentes'!F64</x:f>
        <x:v>15.608</x:v>
      </x:c>
      <x:c r="N66" s="12" t="n">
        <x:f>IF(OR(Supuestos!$B$13="",Supuestos!$B$14=""),"",Supuestos!$B$13*Supuestos!$B$14)</x:f>
        <x:v>8.53452616399676</x:v>
      </x:c>
      <x:c r="O66" s="12" t="n">
        <x:f>-K66</x:f>
        <x:v>-282.8299866445274</x:v>
      </x:c>
      <x:c r="P66" s="12" t="n">
        <x:f>-L66</x:f>
        <x:v>-267.2219866445274</x:v>
      </x:c>
      <x:c r="Q66" s="12" t="n">
        <x:f>IF(OR(Supuestos!$B$16="",N66=""),"",M66-N66)</x:f>
        <x:v>7.07347383600324</x:v>
      </x:c>
      <x:c r="R66" s="12" t="str">
        <x:f>IF(OR(Supuestos!$B$12="",Supuestos!$B$13="",Supuestos!$B$14="",Supuestos!$B$16=""),"",-(L66+N66))</x:f>
      </x:c>
      <x:c r="S66" s="30" t="n">
        <x:f>1/(1+Supuestos!$B$9)^A66</x:f>
        <x:v>0.7685558043024118</x:v>
      </x:c>
      <x:c r="T66" s="12" t="n">
        <x:f>IF(E66="","",E66*S66)</x:f>
        <x:v>18.61380673556097</x:v>
      </x:c>
      <x:c r="U66" s="12" t="n">
        <x:f>IF(M66="","",M66*S66)</x:f>
        <x:v>11.995618993552043</x:v>
      </x:c>
      <x:c r="V66" s="12" t="n">
        <x:f>IF(I66="","",I66*S66)</x:f>
        <x:v>12.054547115250465</x:v>
      </x:c>
      <x:c r="W66" s="12" t="n">
        <x:f>IF(Q66="","",Q66*S66)</x:f>
        <x:v>5.436359373241536</x:v>
      </x:c>
    </x:row>
    <x:row r="67">
      <x:c r="A67" s="29" t="n">
        <x:v>60</x:v>
      </x:c>
      <x:c r="B67" s="28" t="n">
        <x:v>47849</x:v>
      </x:c>
      <x:c r="C67" s="12" t="n">
        <x:f>'Fuentes'!C65</x:f>
        <x:v>398.3026982875806</x:v>
      </x:c>
      <x:c r="D67" s="12" t="n">
        <x:f>C67-E67</x:f>
        <x:v>374.0834982875806</x:v>
      </x:c>
      <x:c r="E67" s="12" t="n">
        <x:f>'Fuentes'!E65</x:f>
        <x:v>24.2192</x:v>
      </x:c>
      <x:c r="F67" s="12" t="n">
        <x:f>IF(OR(Supuestos!$B$13="",Supuestos!$B$14=""),"",Supuestos!$B$13*Supuestos!$B$14)</x:f>
        <x:v>8.53452616399676</x:v>
      </x:c>
      <x:c r="G67" s="12" t="n">
        <x:f>-C67</x:f>
        <x:v>-398.3026982875806</x:v>
      </x:c>
      <x:c r="H67" s="12" t="n">
        <x:f>-D67</x:f>
        <x:v>-374.0834982875806</x:v>
      </x:c>
      <x:c r="I67" s="12" t="n">
        <x:f>IF(OR(Supuestos!$B$15="",F67=""),"",E67-F67)</x:f>
        <x:v>15.68467383600324</x:v>
      </x:c>
      <x:c r="J67" s="12" t="str">
        <x:f>IF(OR(Supuestos!$B$11="",Supuestos!$B$13="",Supuestos!$B$14="",Supuestos!$B$15=""),"",-(D67+F67))</x:f>
      </x:c>
      <x:c r="K67" s="12" t="n">
        <x:f>'Fuentes'!D65</x:f>
        <x:v>283.21431538748743</x:v>
      </x:c>
      <x:c r="L67" s="12" t="n">
        <x:f>K67-M67</x:f>
        <x:v>267.6063153874874</x:v>
      </x:c>
      <x:c r="M67" s="12" t="n">
        <x:f>'Fuentes'!F65</x:f>
        <x:v>15.608</x:v>
      </x:c>
      <x:c r="N67" s="12" t="n">
        <x:f>IF(OR(Supuestos!$B$13="",Supuestos!$B$14=""),"",Supuestos!$B$13*Supuestos!$B$14)</x:f>
        <x:v>8.53452616399676</x:v>
      </x:c>
      <x:c r="O67" s="12" t="n">
        <x:f>-K67</x:f>
        <x:v>-283.21431538748743</x:v>
      </x:c>
      <x:c r="P67" s="12" t="n">
        <x:f>-L67</x:f>
        <x:v>-267.6063153874874</x:v>
      </x:c>
      <x:c r="Q67" s="12" t="n">
        <x:f>IF(OR(Supuestos!$B$16="",N67=""),"",M67-N67)</x:f>
        <x:v>7.07347383600324</x:v>
      </x:c>
      <x:c r="R67" s="12" t="str">
        <x:f>IF(OR(Supuestos!$B$12="",Supuestos!$B$13="",Supuestos!$B$14="",Supuestos!$B$16=""),"",-(L67+N67))</x:f>
      </x:c>
      <x:c r="S67" s="30" t="n">
        <x:f>1/(1+Supuestos!$B$9)^A67</x:f>
        <x:v>0.7651343538409489</x:v>
      </x:c>
      <x:c r="T67" s="12" t="n">
        <x:f>IF(E67="","",E67*S67)</x:f>
        <x:v>18.530941942544708</x:v>
      </x:c>
      <x:c r="U67" s="12" t="n">
        <x:f>IF(M67="","",M67*S67)</x:f>
        <x:v>11.942216994749531</x:v>
      </x:c>
      <x:c r="V67" s="12" t="n">
        <x:f>IF(I67="","",I67*S67)</x:f>
        <x:v>12.000882780716376</x:v>
      </x:c>
      <x:c r="W67" s="12" t="n">
        <x:f>IF(Q67="","",Q67*S67)</x:f>
        <x:v>5.412157832921197</x:v>
      </x:c>
    </x:row>
  </x:sheetData>
  <x:mergeCells>
    <x:mergeCell ref="A1:W1"/>
    <x:mergeCell ref="A3:W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17" hidden="0" customWidth="1"/>
    <x:col min="7" max="7" width="16" hidden="0" customWidth="1"/>
    <x:col min="8" max="8" width="17" hidden="0" customWidth="1"/>
    <x:col min="9" max="9" width="14" hidden="0" customWidth="1"/>
    <x:col min="10" max="10" width="30" hidden="0" customWidth="1"/>
  </x:cols>
  <x:sheetData>
    <x:row r="1">
      <x:c r="A1" s="43" t="str">
        <x:v>FP-187 — Escenarios financieros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>
      <x:c r="A2" s="44"/>
      <x:c r="B2" s="44"/>
      <x:c r="C2" s="44"/>
      <x:c r="D2" s="44"/>
      <x:c r="E2" s="44"/>
      <x:c r="F2" s="44"/>
      <x:c r="G2" s="44"/>
      <x:c r="H2" s="44"/>
      <x:c r="I2" s="44"/>
      <x:c r="J2" s="44"/>
    </x:row>
    <x:row r="3">
      <x:c r="A3" s="44" t="str">
        <x:v>Esta vista separa el gasto cloud comparable del flujo incremental de optimización. Los valores de operación e implementación permanecen parametrizados.</x:v>
      </x:c>
      <x:c r="B3" s="44"/>
      <x:c r="C3" s="44"/>
      <x:c r="D3" s="44"/>
      <x:c r="E3" s="44"/>
      <x:c r="F3" s="44"/>
      <x:c r="G3" s="44"/>
      <x:c r="H3" s="44"/>
      <x:c r="I3" s="44"/>
      <x:c r="J3" s="44"/>
    </x:row>
    <x:row r="4">
      <x:c r="A4" s="44"/>
      <x:c r="B4" s="44"/>
      <x:c r="C4" s="44"/>
      <x:c r="D4" s="44"/>
      <x:c r="E4" s="44"/>
      <x:c r="F4" s="44"/>
      <x:c r="G4" s="44"/>
      <x:c r="H4" s="44"/>
      <x:c r="I4" s="44"/>
      <x:c r="J4" s="44"/>
    </x:row>
    <x:row r="5">
      <x:c r="A5" s="36" t="str">
        <x:v>Región</x:v>
      </x:c>
      <x:c r="B5" s="36" t="str">
        <x:v>Escenario</x:v>
      </x:c>
      <x:c r="C5" s="36" t="str">
        <x:v>Cloud 60m</x:v>
      </x:c>
      <x:c r="D5" s="36" t="str">
        <x:v>Ahorro bruto 60m</x:v>
      </x:c>
      <x:c r="E5" s="36" t="str">
        <x:v>Operación 60m</x:v>
      </x:c>
      <x:c r="F5" s="36" t="str">
        <x:v>Implementación</x:v>
      </x:c>
      <x:c r="G5" s="36" t="str">
        <x:v>VAN bruto</x:v>
      </x:c>
      <x:c r="H5" s="36" t="str">
        <x:v>VAN incremental</x:v>
      </x:c>
      <x:c r="I5" s="36" t="str">
        <x:v>TIR anual</x:v>
      </x:c>
      <x:c r="J5" s="36" t="str">
        <x:v>Estado</x:v>
      </x:c>
    </x:row>
    <x:row r="6">
      <x:c r="A6" s="11" t="str">
        <x:v>Chile Central</x:v>
      </x:c>
      <x:c r="B6" s="11" t="str">
        <x:v>Base</x:v>
      </x:c>
      <x:c r="C6" s="12" t="n">
        <x:f>'Resumen'!C5</x:f>
        <x:v>23256.321466174068</x:v>
      </x:c>
      <x:c r="D6" s="12" t="n">
        <x:v>0</x:v>
      </x:c>
      <x:c r="E6" s="12" t="n">
        <x:f>'Resumen'!F5</x:f>
        <x:v>512.0715698398056</x:v>
      </x:c>
      <x:c r="F6" s="12" t="n">
        <x:f>0</x:f>
        <x:v>0</x:v>
      </x:c>
      <x:c r="G6" s="12" t="n">
        <x:f>0</x:f>
        <x:v>0</x:v>
      </x:c>
      <x:c r="H6" s="12" t="n">
        <x:f>0</x:f>
        <x:v>0</x:v>
      </x:c>
      <x:c r="I6" s="13" t="str">
        <x:f>""</x:f>
      </x:c>
      <x:c r="J6" s="14" t="str">
        <x:f>'Resumen'!K5</x:f>
        <x:v>Provisional: proxies públicos</x:v>
      </x:c>
    </x:row>
    <x:row r="7">
      <x:c r="A7" s="11" t="str">
        <x:v>Chile Central</x:v>
      </x:c>
      <x:c r="B7" s="11" t="str">
        <x:v>Optimizado</x:v>
      </x:c>
      <x:c r="C7" s="12" t="n">
        <x:f>'Resumen'!D5</x:f>
        <x:v>21803.16946617406</x:v>
      </x:c>
      <x:c r="D7" s="12" t="n">
        <x:v>1453.152</x:v>
      </x:c>
      <x:c r="E7" s="12" t="n">
        <x:f>'Resumen'!F5</x:f>
        <x:v>512.0715698398056</x:v>
      </x:c>
      <x:c r="F7" s="12" t="n">
        <x:f>'Resumen'!G5</x:f>
        <x:v>426.72630819983806</x:v>
      </x:c>
      <x:c r="G7" s="12" t="n">
        <x:f>'Resumen'!H5</x:f>
        <x:v>1272.0574803852714</x:v>
      </x:c>
      <x:c r="H7" s="12" t="n">
        <x:f>'Resumen'!I5</x:f>
        <x:v>397.07491894602447</x:v>
      </x:c>
      <x:c r="I7" s="13" t="n">
        <x:f>'Resumen'!J5</x:f>
        <x:v>0.4391345109616156</x:v>
      </x:c>
      <x:c r="J7" s="14" t="str">
        <x:f>'Resumen'!K5</x:f>
        <x:v>Provisional: proxies públicos</x:v>
      </x:c>
    </x:row>
    <x:row r="8">
      <x:c r="A8" s="11" t="str">
        <x:v>East US</x:v>
      </x:c>
      <x:c r="B8" s="11" t="str">
        <x:v>Base</x:v>
      </x:c>
      <x:c r="C8" s="12" t="n">
        <x:f>'Resumen'!C6</x:f>
        <x:v>16474.602674550486</x:v>
      </x:c>
      <x:c r="D8" s="12" t="n">
        <x:v>0</x:v>
      </x:c>
      <x:c r="E8" s="12" t="n">
        <x:f>'Resumen'!F6</x:f>
        <x:v>512.0715698398056</x:v>
      </x:c>
      <x:c r="F8" s="12" t="n">
        <x:f>0</x:f>
        <x:v>0</x:v>
      </x:c>
      <x:c r="G8" s="12" t="n">
        <x:f>0</x:f>
        <x:v>0</x:v>
      </x:c>
      <x:c r="H8" s="12" t="n">
        <x:f>0</x:f>
        <x:v>0</x:v>
      </x:c>
      <x:c r="I8" s="13" t="str">
        <x:f>""</x:f>
      </x:c>
      <x:c r="J8" s="14" t="str">
        <x:f>'Resumen'!K6</x:f>
        <x:v>Provisional: proxies públicos</x:v>
      </x:c>
    </x:row>
    <x:row r="9">
      <x:c r="A9" s="11" t="str">
        <x:v>East US</x:v>
      </x:c>
      <x:c r="B9" s="11" t="str">
        <x:v>Optimizado</x:v>
      </x:c>
      <x:c r="C9" s="12" t="n">
        <x:f>'Resumen'!D6</x:f>
        <x:v>15538.122674550485</x:v>
      </x:c>
      <x:c r="D9" s="12" t="n">
        <x:v>936.48</x:v>
      </x:c>
      <x:c r="E9" s="12" t="n">
        <x:f>'Resumen'!F6</x:f>
        <x:v>512.0715698398056</x:v>
      </x:c>
      <x:c r="F9" s="12" t="n">
        <x:f>'Resumen'!G6</x:f>
        <x:v>426.72630819983806</x:v>
      </x:c>
      <x:c r="G9" s="12" t="n">
        <x:f>'Resumen'!H6</x:f>
        <x:v>819.7741111949742</x:v>
      </x:c>
      <x:c r="H9" s="12" t="n">
        <x:f>'Resumen'!I6</x:f>
        <x:v>-55.208450244272946</x:v>
      </x:c>
      <x:c r="I9" s="13" t="n">
        <x:f>'Resumen'!J6</x:f>
        <x:v>-0.002138745694702626</x:v>
      </x:c>
      <x:c r="J9" s="14" t="str">
        <x:f>'Resumen'!K6</x:f>
        <x:v>Provisional: proxies públicos</x:v>
      </x:c>
    </x:row>
  </x:sheetData>
  <x:mergeCells>
    <x:mergeCell ref="A1:J1"/>
    <x:mergeCell ref="A3:J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20" hidden="0" customWidth="1"/>
    <x:col min="4" max="4" width="70" hidden="0" customWidth="1"/>
    <x:col min="5" max="5" width="14" hidden="0" customWidth="1"/>
    <x:col min="6" max="6" width="16" hidden="0" customWidth="1"/>
    <x:col min="7" max="7" width="4" hidden="0" customWidth="1"/>
    <x:col min="8" max="8" width="4" hidden="0" customWidth="1"/>
  </x:cols>
  <x:sheetData>
    <x:row r="1">
      <x:c r="A1" s="43" t="str">
        <x:v>FP-187 — Fuentes y datos importados</x:v>
      </x:c>
      <x:c r="B1" s="43"/>
      <x:c r="C1" s="43"/>
      <x:c r="D1" s="43"/>
      <x:c r="E1" s="43"/>
      <x:c r="F1" s="43"/>
      <x:c r="G1" s="43"/>
      <x:c r="H1" s="43"/>
    </x:row>
    <x:row r="2">
      <x:c r="A2" s="44"/>
      <x:c r="B2" s="44"/>
      <x:c r="C2" s="44"/>
      <x:c r="D2" s="44"/>
      <x:c r="E2" s="44"/>
      <x:c r="F2" s="44"/>
      <x:c r="G2" s="44"/>
      <x:c r="H2" s="44"/>
    </x:row>
    <x:row r="3">
      <x:c r="A3" s="44" t="str">
        <x:v>Los costos base son un snapshot de FP-183; los ahorros son un snapshot de FP-184. Cambios futuros deben actualizar estos insumos y su trazabilidad.</x:v>
      </x:c>
      <x:c r="B3" s="44"/>
      <x:c r="C3" s="44"/>
      <x:c r="D3" s="44"/>
      <x:c r="E3" s="44"/>
      <x:c r="F3" s="44"/>
      <x:c r="G3" s="44"/>
      <x:c r="H3" s="44"/>
    </x:row>
    <x:row r="4">
      <x:c r="A4" s="44"/>
      <x:c r="B4" s="44"/>
      <x:c r="C4" s="44"/>
      <x:c r="D4" s="44"/>
      <x:c r="E4" s="44"/>
      <x:c r="F4" s="44"/>
      <x:c r="G4" s="44"/>
      <x:c r="H4" s="44"/>
    </x:row>
    <x:row r="5">
      <x:c r="A5" s="36" t="str">
        <x:v>Mes</x:v>
      </x:c>
      <x:c r="B5" s="36" t="str">
        <x:v>Fecha</x:v>
      </x:c>
      <x:c r="C5" s="36" t="str">
        <x:v>Chile Central base cloud</x:v>
      </x:c>
      <x:c r="D5" s="36" t="str">
        <x:v>East US base cloud</x:v>
      </x:c>
      <x:c r="E5" s="36" t="str">
        <x:v>Ahorro bruto Chile</x:v>
      </x:c>
      <x:c r="F5" s="36" t="str">
        <x:v>Ahorro bruto East US</x:v>
      </x:c>
      <x:c r="G5" s="36" t="str">
        <x:v>Fuente base</x:v>
      </x:c>
      <x:c r="H5" s="36" t="str">
        <x:v>Fuente ahorro</x:v>
      </x:c>
    </x:row>
    <x:row r="6">
      <x:c r="A6" s="11" t="n">
        <x:v>1</x:v>
      </x:c>
      <x:c r="B6" s="28" t="n">
        <x:v>46023</x:v>
      </x:c>
      <x:c r="C6" s="12" t="n">
        <x:v>379.6164</x:v>
      </x:c>
      <x:c r="D6" s="12" t="n">
        <x:v>268.12600000000003</x:v>
      </x:c>
      <x:c r="E6" s="12" t="n">
        <x:v>24.2192</x:v>
      </x:c>
      <x:c r="F6" s="12" t="n">
        <x:v>15.608</x:v>
      </x:c>
      <x:c r="G6" s="11" t="str">
        <x:v>FP-183 Modelo TCO!Modelo TCO G44:BN44</x:v>
      </x:c>
      <x:c r="H6" s="11" t="str">
        <x:v>FP-184 Resumen!Ahorro bruto combinado</x:v>
      </x:c>
    </x:row>
    <x:row r="7">
      <x:c r="A7" s="11" t="n">
        <x:v>2</x:v>
      </x:c>
      <x:c r="B7" s="28" t="n">
        <x:v>46054</x:v>
      </x:c>
      <x:c r="C7" s="12" t="n">
        <x:v>379.8135859800365</x:v>
      </x:c>
      <x:c r="D7" s="12" t="n">
        <x:v>268.2852184931972</x:v>
      </x:c>
      <x:c r="E7" s="12" t="n">
        <x:v>24.2192</x:v>
      </x:c>
      <x:c r="F7" s="12" t="n">
        <x:v>15.608</x:v>
      </x:c>
      <x:c r="G7" s="11" t="str">
        <x:v>FP-183 Modelo TCO!Modelo TCO G44:BN44</x:v>
      </x:c>
      <x:c r="H7" s="11" t="str">
        <x:v>FP-184 Resumen!Ahorro bruto combinado</x:v>
      </x:c>
    </x:row>
    <x:row r="8">
      <x:c r="A8" s="11" t="n">
        <x:v>3</x:v>
      </x:c>
      <x:c r="B8" s="28" t="n">
        <x:v>46082</x:v>
      </x:c>
      <x:c r="C8" s="12" t="n">
        <x:v>380.01379077301743</x:v>
      </x:c>
      <x:c r="D8" s="12" t="n">
        <x:v>268.44687453721906</x:v>
      </x:c>
      <x:c r="E8" s="12" t="n">
        <x:v>24.2192</x:v>
      </x:c>
      <x:c r="F8" s="12" t="n">
        <x:v>15.608</x:v>
      </x:c>
      <x:c r="G8" s="11" t="str">
        <x:v>FP-183 Modelo TCO!Modelo TCO G44:BN44</x:v>
      </x:c>
      <x:c r="H8" s="11" t="str">
        <x:v>FP-184 Resumen!Ahorro bruto combinado</x:v>
      </x:c>
    </x:row>
    <x:row r="9">
      <x:c r="A9" s="11" t="n">
        <x:v>4</x:v>
      </x:c>
      <x:c r="B9" s="28" t="n">
        <x:v>46113</x:v>
      </x:c>
      <x:c r="C9" s="12" t="n">
        <x:v>380.2170605953703</x:v>
      </x:c>
      <x:c r="D9" s="12" t="n">
        <x:v>268.6110054496779</x:v>
      </x:c>
      <x:c r="E9" s="12" t="n">
        <x:v>24.2192</x:v>
      </x:c>
      <x:c r="F9" s="12" t="n">
        <x:v>15.608</x:v>
      </x:c>
      <x:c r="G9" s="11" t="str">
        <x:v>FP-183 Modelo TCO!Modelo TCO G44:BN44</x:v>
      </x:c>
      <x:c r="H9" s="11" t="str">
        <x:v>FP-184 Resumen!Ahorro bruto combinado</x:v>
      </x:c>
    </x:row>
    <x:row r="10">
      <x:c r="A10" s="11" t="n">
        <x:v>5</x:v>
      </x:c>
      <x:c r="B10" s="28" t="n">
        <x:v>46143</x:v>
      </x:c>
      <x:c r="C10" s="12" t="n">
        <x:v>380.42344237107204</x:v>
      </x:c>
      <x:c r="D10" s="12" t="n">
        <x:v>268.7776491194992</x:v>
      </x:c>
      <x:c r="E10" s="12" t="n">
        <x:v>24.2192</x:v>
      </x:c>
      <x:c r="F10" s="12" t="n">
        <x:v>15.608</x:v>
      </x:c>
      <x:c r="G10" s="11" t="str">
        <x:v>FP-183 Modelo TCO!Modelo TCO G44:BN44</x:v>
      </x:c>
      <x:c r="H10" s="11" t="str">
        <x:v>FP-184 Resumen!Ahorro bruto combinado</x:v>
      </x:c>
    </x:row>
    <x:row r="11">
      <x:c r="A11" s="11" t="n">
        <x:v>6</x:v>
      </x:c>
      <x:c r="B11" s="28" t="n">
        <x:v>46174</x:v>
      </x:c>
      <x:c r="C11" s="12" t="n">
        <x:v>380.6329837424805</x:v>
      </x:c>
      <x:c r="D11" s="12" t="n">
        <x:v>268.9468440156675</x:v>
      </x:c>
      <x:c r="E11" s="12" t="n">
        <x:v>24.2192</x:v>
      </x:c>
      <x:c r="F11" s="12" t="n">
        <x:v>15.608</x:v>
      </x:c>
      <x:c r="G11" s="11" t="str">
        <x:v>FP-183 Modelo TCO!Modelo TCO G44:BN44</x:v>
      </x:c>
      <x:c r="H11" s="11" t="str">
        <x:v>FP-184 Resumen!Ahorro bruto combinado</x:v>
      </x:c>
    </x:row>
    <x:row r="12">
      <x:c r="A12" s="11" t="n">
        <x:v>7</x:v>
      </x:c>
      <x:c r="B12" s="28" t="n">
        <x:v>46204</x:v>
      </x:c>
      <x:c r="C12" s="12" t="n">
        <x:v>380.8457330813331</x:v>
      </x:c>
      <x:c r="D12" s="12" t="n">
        <x:v>269.11862919610746</x:v>
      </x:c>
      <x:c r="E12" s="12" t="n">
        <x:v>24.2192</x:v>
      </x:c>
      <x:c r="F12" s="12" t="n">
        <x:v>15.608</x:v>
      </x:c>
      <x:c r="G12" s="11" t="str">
        <x:v>FP-183 Modelo TCO!Modelo TCO G44:BN44</x:v>
      </x:c>
      <x:c r="H12" s="11" t="str">
        <x:v>FP-184 Resumen!Ahorro bruto combinado</x:v>
      </x:c>
    </x:row>
    <x:row r="13">
      <x:c r="A13" s="11" t="n">
        <x:v>8</x:v>
      </x:c>
      <x:c r="B13" s="28" t="n">
        <x:v>46235</x:v>
      </x:c>
      <x:c r="C13" s="12" t="n">
        <x:v>381.0617394999126</x:v>
      </x:c>
      <x:c r="D13" s="12" t="n">
        <x:v>269.29304431669965</x:v>
      </x:c>
      <x:c r="E13" s="12" t="n">
        <x:v>24.2192</x:v>
      </x:c>
      <x:c r="F13" s="12" t="n">
        <x:v>15.608</x:v>
      </x:c>
      <x:c r="G13" s="11" t="str">
        <x:v>FP-183 Modelo TCO!Modelo TCO G44:BN44</x:v>
      </x:c>
      <x:c r="H13" s="11" t="str">
        <x:v>FP-184 Resumen!Ahorro bruto combinado</x:v>
      </x:c>
    </x:row>
    <x:row r="14">
      <x:c r="A14" s="11" t="n">
        <x:v>9</x:v>
      </x:c>
      <x:c r="B14" s="28" t="n">
        <x:v>46266</x:v>
      </x:c>
      <x:c r="C14" s="12" t="n">
        <x:v>381.2810528623852</x:v>
      </x:c>
      <x:c r="D14" s="12" t="n">
        <x:v>269.47012964043523</x:v>
      </x:c>
      <x:c r="E14" s="12" t="n">
        <x:v>24.2192</x:v>
      </x:c>
      <x:c r="F14" s="12" t="n">
        <x:v>15.608</x:v>
      </x:c>
      <x:c r="G14" s="11" t="str">
        <x:v>FP-183 Modelo TCO!Modelo TCO G44:BN44</x:v>
      </x:c>
      <x:c r="H14" s="11" t="str">
        <x:v>FP-184 Resumen!Ahorro bruto combinado</x:v>
      </x:c>
    </x:row>
    <x:row r="15">
      <x:c r="A15" s="11" t="n">
        <x:v>10</x:v>
      </x:c>
      <x:c r="B15" s="28" t="n">
        <x:v>46296</x:v>
      </x:c>
      <x:c r="C15" s="12" t="n">
        <x:v>381.5037237963107</x:v>
      </x:c>
      <x:c r="D15" s="12" t="n">
        <x:v>269.6499260467105</x:v>
      </x:c>
      <x:c r="E15" s="12" t="n">
        <x:v>24.2192</x:v>
      </x:c>
      <x:c r="F15" s="12" t="n">
        <x:v>15.608</x:v>
      </x:c>
      <x:c r="G15" s="11" t="str">
        <x:v>FP-183 Modelo TCO!Modelo TCO G44:BN44</x:v>
      </x:c>
      <x:c r="H15" s="11" t="str">
        <x:v>FP-184 Resumen!Ahorro bruto combinado</x:v>
      </x:c>
    </x:row>
    <x:row r="16">
      <x:c r="A16" s="11" t="n">
        <x:v>11</x:v>
      </x:c>
      <x:c r="B16" s="28" t="n">
        <x:v>46327</x:v>
      </x:c>
      <x:c r="C16" s="12" t="n">
        <x:v>381.7298037043303</x:v>
      </x:c>
      <x:c r="D16" s="12" t="n">
        <x:v>269.8324750407636</x:v>
      </x:c>
      <x:c r="E16" s="12" t="n">
        <x:v>24.2192</x:v>
      </x:c>
      <x:c r="F16" s="12" t="n">
        <x:v>15.608</x:v>
      </x:c>
      <x:c r="G16" s="11" t="str">
        <x:v>FP-183 Modelo TCO!Modelo TCO G44:BN44</x:v>
      </x:c>
      <x:c r="H16" s="11" t="str">
        <x:v>FP-184 Resumen!Ahorro bruto combinado</x:v>
      </x:c>
    </x:row>
    <x:row r="17">
      <x:c r="A17" s="11" t="n">
        <x:v>12</x:v>
      </x:c>
      <x:c r="B17" s="28" t="n">
        <x:v>46357</x:v>
      </x:c>
      <x:c r="C17" s="12" t="n">
        <x:v>381.9593447760323</x:v>
      </x:c>
      <x:c r="D17" s="12" t="n">
        <x:v>270.0178187632559</x:v>
      </x:c>
      <x:c r="E17" s="12" t="n">
        <x:v>24.2192</x:v>
      </x:c>
      <x:c r="F17" s="12" t="n">
        <x:v>15.608</x:v>
      </x:c>
      <x:c r="G17" s="11" t="str">
        <x:v>FP-183 Modelo TCO!Modelo TCO G44:BN44</x:v>
      </x:c>
      <x:c r="H17" s="11" t="str">
        <x:v>FP-184 Resumen!Ahorro bruto combinado</x:v>
      </x:c>
    </x:row>
    <x:row r="18">
      <x:c r="A18" s="11" t="n">
        <x:v>13</x:v>
      </x:c>
      <x:c r="B18" s="28" t="n">
        <x:v>46388</x:v>
      </x:c>
      <x:c r="C18" s="12" t="n">
        <x:v>382.1924</x:v>
      </x:c>
      <x:c r="D18" s="12" t="n">
        <x:v>270.206</x:v>
      </x:c>
      <x:c r="E18" s="12" t="n">
        <x:v>24.2192</x:v>
      </x:c>
      <x:c r="F18" s="12" t="n">
        <x:v>15.608</x:v>
      </x:c>
      <x:c r="G18" s="11" t="str">
        <x:v>FP-183 Modelo TCO!Modelo TCO G44:BN44</x:v>
      </x:c>
      <x:c r="H18" s="11" t="str">
        <x:v>FP-184 Resumen!Ahorro bruto combinado</x:v>
      </x:c>
    </x:row>
    <x:row r="19">
      <x:c r="A19" s="11" t="n">
        <x:v>14</x:v>
      </x:c>
      <x:c r="B19" s="28" t="n">
        <x:v>46419</x:v>
      </x:c>
      <x:c r="C19" s="12" t="n">
        <x:v>382.42902317604387</x:v>
      </x:c>
      <x:c r="D19" s="12" t="n">
        <x:v>270.3970621918367</x:v>
      </x:c>
      <x:c r="E19" s="12" t="n">
        <x:v>24.2192</x:v>
      </x:c>
      <x:c r="F19" s="12" t="n">
        <x:v>15.608</x:v>
      </x:c>
      <x:c r="G19" s="11" t="str">
        <x:v>FP-183 Modelo TCO!Modelo TCO G44:BN44</x:v>
      </x:c>
      <x:c r="H19" s="11" t="str">
        <x:v>FP-184 Resumen!Ahorro bruto combinado</x:v>
      </x:c>
    </x:row>
    <x:row r="20">
      <x:c r="A20" s="11" t="n">
        <x:v>15</x:v>
      </x:c>
      <x:c r="B20" s="28" t="n">
        <x:v>46447</x:v>
      </x:c>
      <x:c r="C20" s="12" t="n">
        <x:v>382.6692689276209</x:v>
      </x:c>
      <x:c r="D20" s="12" t="n">
        <x:v>270.5910494446628</x:v>
      </x:c>
      <x:c r="E20" s="12" t="n">
        <x:v>24.2192</x:v>
      </x:c>
      <x:c r="F20" s="12" t="n">
        <x:v>15.608</x:v>
      </x:c>
      <x:c r="G20" s="11" t="str">
        <x:v>FP-183 Modelo TCO!Modelo TCO G44:BN44</x:v>
      </x:c>
      <x:c r="H20" s="11" t="str">
        <x:v>FP-184 Resumen!Ahorro bruto combinado</x:v>
      </x:c>
    </x:row>
    <x:row r="21">
      <x:c r="A21" s="11" t="n">
        <x:v>16</x:v>
      </x:c>
      <x:c r="B21" s="28" t="n">
        <x:v>46478</x:v>
      </x:c>
      <x:c r="C21" s="12" t="n">
        <x:v>382.9131927144444</x:v>
      </x:c>
      <x:c r="D21" s="12" t="n">
        <x:v>270.7880065396135</x:v>
      </x:c>
      <x:c r="E21" s="12" t="n">
        <x:v>24.2192</x:v>
      </x:c>
      <x:c r="F21" s="12" t="n">
        <x:v>15.608</x:v>
      </x:c>
      <x:c r="G21" s="11" t="str">
        <x:v>FP-183 Modelo TCO!Modelo TCO G44:BN44</x:v>
      </x:c>
      <x:c r="H21" s="11" t="str">
        <x:v>FP-184 Resumen!Ahorro bruto combinado</x:v>
      </x:c>
    </x:row>
    <x:row r="22">
      <x:c r="A22" s="11" t="n">
        <x:v>17</x:v>
      </x:c>
      <x:c r="B22" s="28" t="n">
        <x:v>46508</x:v>
      </x:c>
      <x:c r="C22" s="12" t="n">
        <x:v>383.16085084528646</x:v>
      </x:c>
      <x:c r="D22" s="12" t="n">
        <x:v>270.987978943399</x:v>
      </x:c>
      <x:c r="E22" s="12" t="n">
        <x:v>24.2192</x:v>
      </x:c>
      <x:c r="F22" s="12" t="n">
        <x:v>15.608</x:v>
      </x:c>
      <x:c r="G22" s="11" t="str">
        <x:v>FP-183 Modelo TCO!Modelo TCO G44:BN44</x:v>
      </x:c>
      <x:c r="H22" s="11" t="str">
        <x:v>FP-184 Resumen!Ahorro bruto combinado</x:v>
      </x:c>
    </x:row>
    <x:row r="23">
      <x:c r="A23" s="11" t="n">
        <x:v>18</x:v>
      </x:c>
      <x:c r="B23" s="28" t="n">
        <x:v>46539</x:v>
      </x:c>
      <x:c r="C23" s="12" t="n">
        <x:v>383.41230049097663</x:v>
      </x:c>
      <x:c r="D23" s="12" t="n">
        <x:v>271.191012818801</x:v>
      </x:c>
      <x:c r="E23" s="12" t="n">
        <x:v>24.2192</x:v>
      </x:c>
      <x:c r="F23" s="12" t="n">
        <x:v>15.608</x:v>
      </x:c>
      <x:c r="G23" s="11" t="str">
        <x:v>FP-183 Modelo TCO!Modelo TCO G44:BN44</x:v>
      </x:c>
      <x:c r="H23" s="11" t="str">
        <x:v>FP-184 Resumen!Ahorro bruto combinado</x:v>
      </x:c>
    </x:row>
    <x:row r="24">
      <x:c r="A24" s="11" t="n">
        <x:v>19</x:v>
      </x:c>
      <x:c r="B24" s="28" t="n">
        <x:v>46569</x:v>
      </x:c>
      <x:c r="C24" s="12" t="n">
        <x:v>383.6675996975997</x:v>
      </x:c>
      <x:c r="D24" s="12" t="n">
        <x:v>271.397155035329</x:v>
      </x:c>
      <x:c r="E24" s="12" t="n">
        <x:v>24.2192</x:v>
      </x:c>
      <x:c r="F24" s="12" t="n">
        <x:v>15.608</x:v>
      </x:c>
      <x:c r="G24" s="11" t="str">
        <x:v>FP-183 Modelo TCO!Modelo TCO G44:BN44</x:v>
      </x:c>
      <x:c r="H24" s="11" t="str">
        <x:v>FP-184 Resumen!Ahorro bruto combinado</x:v>
      </x:c>
    </x:row>
    <x:row r="25">
      <x:c r="A25" s="11" t="n">
        <x:v>20</x:v>
      </x:c>
      <x:c r="B25" s="28" t="n">
        <x:v>46600</x:v>
      </x:c>
      <x:c r="C25" s="12" t="n">
        <x:v>383.92680739989515</x:v>
      </x:c>
      <x:c r="D25" s="12" t="n">
        <x:v>271.6064531800396</x:v>
      </x:c>
      <x:c r="E25" s="12" t="n">
        <x:v>24.2192</x:v>
      </x:c>
      <x:c r="F25" s="12" t="n">
        <x:v>15.608</x:v>
      </x:c>
      <x:c r="G25" s="11" t="str">
        <x:v>FP-183 Modelo TCO!Modelo TCO G44:BN44</x:v>
      </x:c>
      <x:c r="H25" s="11" t="str">
        <x:v>FP-184 Resumen!Ahorro bruto combinado</x:v>
      </x:c>
    </x:row>
    <x:row r="26">
      <x:c r="A26" s="11" t="n">
        <x:v>21</x:v>
      </x:c>
      <x:c r="B26" s="28" t="n">
        <x:v>46631</x:v>
      </x:c>
      <x:c r="C26" s="12" t="n">
        <x:v>384.1899834348622</x:v>
      </x:c>
      <x:c r="D26" s="12" t="n">
        <x:v>271.8189555685223</x:v>
      </x:c>
      <x:c r="E26" s="12" t="n">
        <x:v>24.2192</x:v>
      </x:c>
      <x:c r="F26" s="12" t="n">
        <x:v>15.608</x:v>
      </x:c>
      <x:c r="G26" s="11" t="str">
        <x:v>FP-183 Modelo TCO!Modelo TCO G44:BN44</x:v>
      </x:c>
      <x:c r="H26" s="11" t="str">
        <x:v>FP-184 Resumen!Ahorro bruto combinado</x:v>
      </x:c>
    </x:row>
    <x:row r="27">
      <x:c r="A27" s="11" t="n">
        <x:v>22</x:v>
      </x:c>
      <x:c r="B27" s="28" t="n">
        <x:v>46661</x:v>
      </x:c>
      <x:c r="C27" s="12" t="n">
        <x:v>384.4571885555728</x:v>
      </x:c>
      <x:c r="D27" s="12" t="n">
        <x:v>272.0347112560526</x:v>
      </x:c>
      <x:c r="E27" s="12" t="n">
        <x:v>24.2192</x:v>
      </x:c>
      <x:c r="F27" s="12" t="n">
        <x:v>15.608</x:v>
      </x:c>
      <x:c r="G27" s="11" t="str">
        <x:v>FP-183 Modelo TCO!Modelo TCO G44:BN44</x:v>
      </x:c>
      <x:c r="H27" s="11" t="str">
        <x:v>FP-184 Resumen!Ahorro bruto combinado</x:v>
      </x:c>
    </x:row>
    <x:row r="28">
      <x:c r="A28" s="11" t="n">
        <x:v>23</x:v>
      </x:c>
      <x:c r="B28" s="28" t="n">
        <x:v>46692</x:v>
      </x:c>
      <x:c r="C28" s="12" t="n">
        <x:v>384.72848444519633</x:v>
      </x:c>
      <x:c r="D28" s="12" t="n">
        <x:v>272.25377004891635</x:v>
      </x:c>
      <x:c r="E28" s="12" t="n">
        <x:v>24.2192</x:v>
      </x:c>
      <x:c r="F28" s="12" t="n">
        <x:v>15.608</x:v>
      </x:c>
      <x:c r="G28" s="11" t="str">
        <x:v>FP-183 Modelo TCO!Modelo TCO G44:BN44</x:v>
      </x:c>
      <x:c r="H28" s="11" t="str">
        <x:v>FP-184 Resumen!Ahorro bruto combinado</x:v>
      </x:c>
    </x:row>
    <x:row r="29">
      <x:c r="A29" s="11" t="n">
        <x:v>24</x:v>
      </x:c>
      <x:c r="B29" s="28" t="n">
        <x:v>46722</x:v>
      </x:c>
      <x:c r="C29" s="12" t="n">
        <x:v>385.00393373123876</x:v>
      </x:c>
      <x:c r="D29" s="12" t="n">
        <x:v>272.4761825159071</x:v>
      </x:c>
      <x:c r="E29" s="12" t="n">
        <x:v>24.2192</x:v>
      </x:c>
      <x:c r="F29" s="12" t="n">
        <x:v>15.608</x:v>
      </x:c>
      <x:c r="G29" s="11" t="str">
        <x:v>FP-183 Modelo TCO!Modelo TCO G44:BN44</x:v>
      </x:c>
      <x:c r="H29" s="11" t="str">
        <x:v>FP-184 Resumen!Ahorro bruto combinado</x:v>
      </x:c>
    </x:row>
    <x:row r="30">
      <x:c r="A30" s="11" t="n">
        <x:v>25</x:v>
      </x:c>
      <x:c r="B30" s="28" t="n">
        <x:v>46753</x:v>
      </x:c>
      <x:c r="C30" s="12" t="n">
        <x:v>385.2836</x:v>
      </x:c>
      <x:c r="D30" s="12" t="n">
        <x:v>272.70200000000006</x:v>
      </x:c>
      <x:c r="E30" s="12" t="n">
        <x:v>24.2192</x:v>
      </x:c>
      <x:c r="F30" s="12" t="n">
        <x:v>15.608</x:v>
      </x:c>
      <x:c r="G30" s="11" t="str">
        <x:v>FP-183 Modelo TCO!Modelo TCO G44:BN44</x:v>
      </x:c>
      <x:c r="H30" s="11" t="str">
        <x:v>FP-184 Resumen!Ahorro bruto combinado</x:v>
      </x:c>
    </x:row>
    <x:row r="31">
      <x:c r="A31" s="11" t="n">
        <x:v>26</x:v>
      </x:c>
      <x:c r="B31" s="28" t="n">
        <x:v>46784</x:v>
      </x:c>
      <x:c r="C31" s="12" t="n">
        <x:v>385.5675478112526</x:v>
      </x:c>
      <x:c r="D31" s="12" t="n">
        <x:v>272.931274630204</x:v>
      </x:c>
      <x:c r="E31" s="12" t="n">
        <x:v>24.2192</x:v>
      </x:c>
      <x:c r="F31" s="12" t="n">
        <x:v>15.608</x:v>
      </x:c>
      <x:c r="G31" s="11" t="str">
        <x:v>FP-183 Modelo TCO!Modelo TCO G44:BN44</x:v>
      </x:c>
      <x:c r="H31" s="11" t="str">
        <x:v>FP-184 Resumen!Ahorro bruto combinado</x:v>
      </x:c>
    </x:row>
    <x:row r="32">
      <x:c r="A32" s="11" t="n">
        <x:v>27</x:v>
      </x:c>
      <x:c r="B32" s="28" t="n">
        <x:v>46813</x:v>
      </x:c>
      <x:c r="C32" s="12" t="n">
        <x:v>385.8558427131451</x:v>
      </x:c>
      <x:c r="D32" s="12" t="n">
        <x:v>273.1640593335954</x:v>
      </x:c>
      <x:c r="E32" s="12" t="n">
        <x:v>24.2192</x:v>
      </x:c>
      <x:c r="F32" s="12" t="n">
        <x:v>15.608</x:v>
      </x:c>
      <x:c r="G32" s="11" t="str">
        <x:v>FP-183 Modelo TCO!Modelo TCO G44:BN44</x:v>
      </x:c>
      <x:c r="H32" s="11" t="str">
        <x:v>FP-184 Resumen!Ahorro bruto combinado</x:v>
      </x:c>
    </x:row>
    <x:row r="33">
      <x:c r="A33" s="11" t="n">
        <x:v>28</x:v>
      </x:c>
      <x:c r="B33" s="28" t="n">
        <x:v>46844</x:v>
      </x:c>
      <x:c r="C33" s="12" t="n">
        <x:v>386.1485512573333</x:v>
      </x:c>
      <x:c r="D33" s="12" t="n">
        <x:v>273.4004078475362</x:v>
      </x:c>
      <x:c r="E33" s="12" t="n">
        <x:v>24.2192</x:v>
      </x:c>
      <x:c r="F33" s="12" t="n">
        <x:v>15.608</x:v>
      </x:c>
      <x:c r="G33" s="11" t="str">
        <x:v>FP-183 Modelo TCO!Modelo TCO G44:BN44</x:v>
      </x:c>
      <x:c r="H33" s="11" t="str">
        <x:v>FP-184 Resumen!Ahorro bruto combinado</x:v>
      </x:c>
    </x:row>
    <x:row r="34">
      <x:c r="A34" s="11" t="n">
        <x:v>29</x:v>
      </x:c>
      <x:c r="B34" s="28" t="n">
        <x:v>46874</x:v>
      </x:c>
      <x:c r="C34" s="12" t="n">
        <x:v>386.44574101434375</x:v>
      </x:c>
      <x:c r="D34" s="12" t="n">
        <x:v>273.6403747320788</x:v>
      </x:c>
      <x:c r="E34" s="12" t="n">
        <x:v>24.2192</x:v>
      </x:c>
      <x:c r="F34" s="12" t="n">
        <x:v>15.608</x:v>
      </x:c>
      <x:c r="G34" s="11" t="str">
        <x:v>FP-183 Modelo TCO!Modelo TCO G44:BN44</x:v>
      </x:c>
      <x:c r="H34" s="11" t="str">
        <x:v>FP-184 Resumen!Ahorro bruto combinado</x:v>
      </x:c>
    </x:row>
    <x:row r="35">
      <x:c r="A35" s="11" t="n">
        <x:v>30</x:v>
      </x:c>
      <x:c r="B35" s="28" t="n">
        <x:v>46905</x:v>
      </x:c>
      <x:c r="C35" s="12" t="n">
        <x:v>386.74748058917197</x:v>
      </x:c>
      <x:c r="D35" s="12" t="n">
        <x:v>273.88401538256124</x:v>
      </x:c>
      <x:c r="E35" s="12" t="n">
        <x:v>24.2192</x:v>
      </x:c>
      <x:c r="F35" s="12" t="n">
        <x:v>15.608</x:v>
      </x:c>
      <x:c r="G35" s="11" t="str">
        <x:v>FP-183 Modelo TCO!Modelo TCO G44:BN44</x:v>
      </x:c>
      <x:c r="H35" s="11" t="str">
        <x:v>FP-184 Resumen!Ahorro bruto combinado</x:v>
      </x:c>
    </x:row>
    <x:row r="36">
      <x:c r="A36" s="11" t="n">
        <x:v>31</x:v>
      </x:c>
      <x:c r="B36" s="28" t="n">
        <x:v>46935</x:v>
      </x:c>
      <x:c r="C36" s="12" t="n">
        <x:v>387.0538396371196</x:v>
      </x:c>
      <x:c r="D36" s="12" t="n">
        <x:v>274.13138604239475</x:v>
      </x:c>
      <x:c r="E36" s="12" t="n">
        <x:v>24.2192</x:v>
      </x:c>
      <x:c r="F36" s="12" t="n">
        <x:v>15.608</x:v>
      </x:c>
      <x:c r="G36" s="11" t="str">
        <x:v>FP-183 Modelo TCO!Modelo TCO G44:BN44</x:v>
      </x:c>
      <x:c r="H36" s="11" t="str">
        <x:v>FP-184 Resumen!Ahorro bruto combinado</x:v>
      </x:c>
    </x:row>
    <x:row r="37">
      <x:c r="A37" s="11" t="n">
        <x:v>32</x:v>
      </x:c>
      <x:c r="B37" s="28" t="n">
        <x:v>46966</x:v>
      </x:c>
      <x:c r="C37" s="12" t="n">
        <x:v>387.3648888798742</x:v>
      </x:c>
      <x:c r="D37" s="12" t="n">
        <x:v>274.38254381604753</x:v>
      </x:c>
      <x:c r="E37" s="12" t="n">
        <x:v>24.2192</x:v>
      </x:c>
      <x:c r="F37" s="12" t="n">
        <x:v>15.608</x:v>
      </x:c>
      <x:c r="G37" s="11" t="str">
        <x:v>FP-183 Modelo TCO!Modelo TCO G44:BN44</x:v>
      </x:c>
      <x:c r="H37" s="11" t="str">
        <x:v>FP-184 Resumen!Ahorro bruto combinado</x:v>
      </x:c>
    </x:row>
    <x:row r="38">
      <x:c r="A38" s="11" t="n">
        <x:v>33</x:v>
      </x:c>
      <x:c r="B38" s="28" t="n">
        <x:v>46997</x:v>
      </x:c>
      <x:c r="C38" s="12" t="n">
        <x:v>387.68070012183466</x:v>
      </x:c>
      <x:c r="D38" s="12" t="n">
        <x:v>274.63754668222674</x:v>
      </x:c>
      <x:c r="E38" s="12" t="n">
        <x:v>24.2192</x:v>
      </x:c>
      <x:c r="F38" s="12" t="n">
        <x:v>15.608</x:v>
      </x:c>
      <x:c r="G38" s="11" t="str">
        <x:v>FP-183 Modelo TCO!Modelo TCO G44:BN44</x:v>
      </x:c>
      <x:c r="H38" s="11" t="str">
        <x:v>FP-184 Resumen!Ahorro bruto combinado</x:v>
      </x:c>
    </x:row>
    <x:row r="39">
      <x:c r="A39" s="11" t="n">
        <x:v>34</x:v>
      </x:c>
      <x:c r="B39" s="28" t="n">
        <x:v>47027</x:v>
      </x:c>
      <x:c r="C39" s="12" t="n">
        <x:v>388.0013462666874</x:v>
      </x:c>
      <x:c r="D39" s="12" t="n">
        <x:v>274.8964535072632</x:v>
      </x:c>
      <x:c r="E39" s="12" t="n">
        <x:v>24.2192</x:v>
      </x:c>
      <x:c r="F39" s="12" t="n">
        <x:v>15.608</x:v>
      </x:c>
      <x:c r="G39" s="11" t="str">
        <x:v>FP-183 Modelo TCO!Modelo TCO G44:BN44</x:v>
      </x:c>
      <x:c r="H39" s="11" t="str">
        <x:v>FP-184 Resumen!Ahorro bruto combinado</x:v>
      </x:c>
    </x:row>
    <x:row r="40">
      <x:c r="A40" s="11" t="n">
        <x:v>35</x:v>
      </x:c>
      <x:c r="B40" s="28" t="n">
        <x:v>47058</x:v>
      </x:c>
      <x:c r="C40" s="12" t="n">
        <x:v>388.32690133423563</x:v>
      </x:c>
      <x:c r="D40" s="12" t="n">
        <x:v>275.1593240586996</x:v>
      </x:c>
      <x:c r="E40" s="12" t="n">
        <x:v>24.2192</x:v>
      </x:c>
      <x:c r="F40" s="12" t="n">
        <x:v>15.608</x:v>
      </x:c>
      <x:c r="G40" s="11" t="str">
        <x:v>FP-183 Modelo TCO!Modelo TCO G44:BN44</x:v>
      </x:c>
      <x:c r="H40" s="11" t="str">
        <x:v>FP-184 Resumen!Ahorro bruto combinado</x:v>
      </x:c>
    </x:row>
    <x:row r="41">
      <x:c r="A41" s="11" t="n">
        <x:v>36</x:v>
      </x:c>
      <x:c r="B41" s="28" t="n">
        <x:v>47088</x:v>
      </x:c>
      <x:c r="C41" s="12" t="n">
        <x:v>388.6574404774865</x:v>
      </x:c>
      <x:c r="D41" s="12" t="n">
        <x:v>275.4262190190885</x:v>
      </x:c>
      <x:c r="E41" s="12" t="n">
        <x:v>24.2192</x:v>
      </x:c>
      <x:c r="F41" s="12" t="n">
        <x:v>15.608</x:v>
      </x:c>
      <x:c r="G41" s="11" t="str">
        <x:v>FP-183 Modelo TCO!Modelo TCO G44:BN44</x:v>
      </x:c>
      <x:c r="H41" s="11" t="str">
        <x:v>FP-184 Resumen!Ahorro bruto combinado</x:v>
      </x:c>
    </x:row>
    <x:row r="42">
      <x:c r="A42" s="11" t="n">
        <x:v>37</x:v>
      </x:c>
      <x:c r="B42" s="28" t="n">
        <x:v>47119</x:v>
      </x:c>
      <x:c r="C42" s="12" t="n">
        <x:v>388.99304</x:v>
      </x:c>
      <x:c r="D42" s="12" t="n">
        <x:v>275.6972</x:v>
      </x:c>
      <x:c r="E42" s="12" t="n">
        <x:v>24.2192</x:v>
      </x:c>
      <x:c r="F42" s="12" t="n">
        <x:v>15.608</x:v>
      </x:c>
      <x:c r="G42" s="11" t="str">
        <x:v>FP-183 Modelo TCO!Modelo TCO G44:BN44</x:v>
      </x:c>
      <x:c r="H42" s="11" t="str">
        <x:v>FP-184 Resumen!Ahorro bruto combinado</x:v>
      </x:c>
    </x:row>
    <x:row r="43">
      <x:c r="A43" s="11" t="n">
        <x:v>38</x:v>
      </x:c>
      <x:c r="B43" s="28" t="n">
        <x:v>47150</x:v>
      </x:c>
      <x:c r="C43" s="12" t="n">
        <x:v>389.33377737350315</x:v>
      </x:c>
      <x:c r="D43" s="12" t="n">
        <x:v>275.9723295562448</x:v>
      </x:c>
      <x:c r="E43" s="12" t="n">
        <x:v>24.2192</x:v>
      </x:c>
      <x:c r="F43" s="12" t="n">
        <x:v>15.608</x:v>
      </x:c>
      <x:c r="G43" s="11" t="str">
        <x:v>FP-183 Modelo TCO!Modelo TCO G44:BN44</x:v>
      </x:c>
      <x:c r="H43" s="11" t="str">
        <x:v>FP-184 Resumen!Ahorro bruto combinado</x:v>
      </x:c>
    </x:row>
    <x:row r="44">
      <x:c r="A44" s="11" t="n">
        <x:v>39</x:v>
      </x:c>
      <x:c r="B44" s="28" t="n">
        <x:v>47178</x:v>
      </x:c>
      <x:c r="C44" s="12" t="n">
        <x:v>389.6797312557741</x:v>
      </x:c>
      <x:c r="D44" s="12" t="n">
        <x:v>276.2516712003145</x:v>
      </x:c>
      <x:c r="E44" s="12" t="n">
        <x:v>24.2192</x:v>
      </x:c>
      <x:c r="F44" s="12" t="n">
        <x:v>15.608</x:v>
      </x:c>
      <x:c r="G44" s="11" t="str">
        <x:v>FP-183 Modelo TCO!Modelo TCO G44:BN44</x:v>
      </x:c>
      <x:c r="H44" s="11" t="str">
        <x:v>FP-184 Resumen!Ahorro bruto combinado</x:v>
      </x:c>
    </x:row>
    <x:row r="45">
      <x:c r="A45" s="11" t="n">
        <x:v>40</x:v>
      </x:c>
      <x:c r="B45" s="28" t="n">
        <x:v>47209</x:v>
      </x:c>
      <x:c r="C45" s="12" t="n">
        <x:v>390.0309815087999</x:v>
      </x:c>
      <x:c r="D45" s="12" t="n">
        <x:v>276.53528941704343</x:v>
      </x:c>
      <x:c r="E45" s="12" t="n">
        <x:v>24.2192</x:v>
      </x:c>
      <x:c r="F45" s="12" t="n">
        <x:v>15.608</x:v>
      </x:c>
      <x:c r="G45" s="11" t="str">
        <x:v>FP-183 Modelo TCO!Modelo TCO G44:BN44</x:v>
      </x:c>
      <x:c r="H45" s="11" t="str">
        <x:v>FP-184 Resumen!Ahorro bruto combinado</x:v>
      </x:c>
    </x:row>
    <x:row r="46">
      <x:c r="A46" s="11" t="n">
        <x:v>41</x:v>
      </x:c>
      <x:c r="B46" s="28" t="n">
        <x:v>47239</x:v>
      </x:c>
      <x:c r="C46" s="12" t="n">
        <x:v>390.38760921721246</x:v>
      </x:c>
      <x:c r="D46" s="12" t="n">
        <x:v>276.82324967849456</x:v>
      </x:c>
      <x:c r="E46" s="12" t="n">
        <x:v>24.2192</x:v>
      </x:c>
      <x:c r="F46" s="12" t="n">
        <x:v>15.608</x:v>
      </x:c>
      <x:c r="G46" s="11" t="str">
        <x:v>FP-183 Modelo TCO!Modelo TCO G44:BN44</x:v>
      </x:c>
      <x:c r="H46" s="11" t="str">
        <x:v>FP-184 Resumen!Ahorro bruto combinado</x:v>
      </x:c>
    </x:row>
    <x:row r="47">
      <x:c r="A47" s="11" t="n">
        <x:v>42</x:v>
      </x:c>
      <x:c r="B47" s="28" t="n">
        <x:v>47270</x:v>
      </x:c>
      <x:c r="C47" s="12" t="n">
        <x:v>390.74969670700636</x:v>
      </x:c>
      <x:c r="D47" s="12" t="n">
        <x:v>277.11561845907346</x:v>
      </x:c>
      <x:c r="E47" s="12" t="n">
        <x:v>24.2192</x:v>
      </x:c>
      <x:c r="F47" s="12" t="n">
        <x:v>15.608</x:v>
      </x:c>
      <x:c r="G47" s="11" t="str">
        <x:v>FP-183 Modelo TCO!Modelo TCO G44:BN44</x:v>
      </x:c>
      <x:c r="H47" s="11" t="str">
        <x:v>FP-184 Resumen!Ahorro bruto combinado</x:v>
      </x:c>
    </x:row>
    <x:row r="48">
      <x:c r="A48" s="11" t="n">
        <x:v>43</x:v>
      </x:c>
      <x:c r="B48" s="28" t="n">
        <x:v>47300</x:v>
      </x:c>
      <x:c r="C48" s="12" t="n">
        <x:v>391.1173275645436</x:v>
      </x:c>
      <x:c r="D48" s="12" t="n">
        <x:v>277.4124632508737</x:v>
      </x:c>
      <x:c r="E48" s="12" t="n">
        <x:v>24.2192</x:v>
      </x:c>
      <x:c r="F48" s="12" t="n">
        <x:v>15.608</x:v>
      </x:c>
      <x:c r="G48" s="11" t="str">
        <x:v>FP-183 Modelo TCO!Modelo TCO G44:BN44</x:v>
      </x:c>
      <x:c r="H48" s="11" t="str">
        <x:v>FP-184 Resumen!Ahorro bruto combinado</x:v>
      </x:c>
    </x:row>
    <x:row r="49">
      <x:c r="A49" s="11" t="n">
        <x:v>44</x:v>
      </x:c>
      <x:c r="B49" s="28" t="n">
        <x:v>47331</x:v>
      </x:c>
      <x:c r="C49" s="12" t="n">
        <x:v>391.49058665584903</x:v>
      </x:c>
      <x:c r="D49" s="12" t="n">
        <x:v>277.713852579257</x:v>
      </x:c>
      <x:c r="E49" s="12" t="n">
        <x:v>24.2192</x:v>
      </x:c>
      <x:c r="F49" s="12" t="n">
        <x:v>15.608</x:v>
      </x:c>
      <x:c r="G49" s="11" t="str">
        <x:v>FP-183 Modelo TCO!Modelo TCO G44:BN44</x:v>
      </x:c>
      <x:c r="H49" s="11" t="str">
        <x:v>FP-184 Resumen!Ahorro bruto combinado</x:v>
      </x:c>
    </x:row>
    <x:row r="50">
      <x:c r="A50" s="11" t="n">
        <x:v>45</x:v>
      </x:c>
      <x:c r="B50" s="28" t="n">
        <x:v>47362</x:v>
      </x:c>
      <x:c r="C50" s="12" t="n">
        <x:v>391.8695601462016</x:v>
      </x:c>
      <x:c r="D50" s="12" t="n">
        <x:v>278.0198560186721</x:v>
      </x:c>
      <x:c r="E50" s="12" t="n">
        <x:v>24.2192</x:v>
      </x:c>
      <x:c r="F50" s="12" t="n">
        <x:v>15.608</x:v>
      </x:c>
      <x:c r="G50" s="11" t="str">
        <x:v>FP-183 Modelo TCO!Modelo TCO G44:BN44</x:v>
      </x:c>
      <x:c r="H50" s="11" t="str">
        <x:v>FP-184 Resumen!Ahorro bruto combinado</x:v>
      </x:c>
    </x:row>
    <x:row r="51">
      <x:c r="A51" s="11" t="n">
        <x:v>46</x:v>
      </x:c>
      <x:c r="B51" s="28" t="n">
        <x:v>47392</x:v>
      </x:c>
      <x:c r="C51" s="12" t="n">
        <x:v>392.2543355200249</x:v>
      </x:c>
      <x:c r="D51" s="12" t="n">
        <x:v>278.33054420871576</x:v>
      </x:c>
      <x:c r="E51" s="12" t="n">
        <x:v>24.2192</x:v>
      </x:c>
      <x:c r="F51" s="12" t="n">
        <x:v>15.608</x:v>
      </x:c>
      <x:c r="G51" s="11" t="str">
        <x:v>FP-183 Modelo TCO!Modelo TCO G44:BN44</x:v>
      </x:c>
      <x:c r="H51" s="11" t="str">
        <x:v>FP-184 Resumen!Ahorro bruto combinado</x:v>
      </x:c>
    </x:row>
    <x:row r="52">
      <x:c r="A52" s="11" t="n">
        <x:v>47</x:v>
      </x:c>
      <x:c r="B52" s="28" t="n">
        <x:v>47423</x:v>
      </x:c>
      <x:c r="C52" s="12" t="n">
        <x:v>392.64500160108275</x:v>
      </x:c>
      <x:c r="D52" s="12" t="n">
        <x:v>278.6459888704395</x:v>
      </x:c>
      <x:c r="E52" s="12" t="n">
        <x:v>24.2192</x:v>
      </x:c>
      <x:c r="F52" s="12" t="n">
        <x:v>15.608</x:v>
      </x:c>
      <x:c r="G52" s="11" t="str">
        <x:v>FP-183 Modelo TCO!Modelo TCO G44:BN44</x:v>
      </x:c>
      <x:c r="H52" s="11" t="str">
        <x:v>FP-184 Resumen!Ahorro bruto combinado</x:v>
      </x:c>
    </x:row>
    <x:row r="53">
      <x:c r="A53" s="11" t="n">
        <x:v>48</x:v>
      </x:c>
      <x:c r="B53" s="28" t="n">
        <x:v>47453</x:v>
      </x:c>
      <x:c r="C53" s="12" t="n">
        <x:v>393.04164857298383</x:v>
      </x:c>
      <x:c r="D53" s="12" t="n">
        <x:v>278.96626282290623</x:v>
      </x:c>
      <x:c r="E53" s="12" t="n">
        <x:v>24.2192</x:v>
      </x:c>
      <x:c r="F53" s="12" t="n">
        <x:v>15.608</x:v>
      </x:c>
      <x:c r="G53" s="11" t="str">
        <x:v>FP-183 Modelo TCO!Modelo TCO G44:BN44</x:v>
      </x:c>
      <x:c r="H53" s="11" t="str">
        <x:v>FP-184 Resumen!Ahorro bruto combinado</x:v>
      </x:c>
    </x:row>
    <x:row r="54">
      <x:c r="A54" s="11" t="n">
        <x:v>49</x:v>
      </x:c>
      <x:c r="B54" s="28" t="n">
        <x:v>47484</x:v>
      </x:c>
      <x:c r="C54" s="12" t="n">
        <x:v>393.444368</x:v>
      </x:c>
      <x:c r="D54" s="12" t="n">
        <x:v>279.29144</x:v>
      </x:c>
      <x:c r="E54" s="12" t="n">
        <x:v>24.2192</x:v>
      </x:c>
      <x:c r="F54" s="12" t="n">
        <x:v>15.608</x:v>
      </x:c>
      <x:c r="G54" s="11" t="str">
        <x:v>FP-183 Modelo TCO!Modelo TCO G44:BN44</x:v>
      </x:c>
      <x:c r="H54" s="11" t="str">
        <x:v>FP-184 Resumen!Ahorro bruto combinado</x:v>
      </x:c>
    </x:row>
    <x:row r="55">
      <x:c r="A55" s="11" t="n">
        <x:v>50</x:v>
      </x:c>
      <x:c r="B55" s="28" t="n">
        <x:v>47515</x:v>
      </x:c>
      <x:c r="C55" s="12" t="n">
        <x:v>393.85325284820374</x:v>
      </x:c>
      <x:c r="D55" s="12" t="n">
        <x:v>279.62159546749376</x:v>
      </x:c>
      <x:c r="E55" s="12" t="n">
        <x:v>24.2192</x:v>
      </x:c>
      <x:c r="F55" s="12" t="n">
        <x:v>15.608</x:v>
      </x:c>
      <x:c r="G55" s="11" t="str">
        <x:v>FP-183 Modelo TCO!Modelo TCO G44:BN44</x:v>
      </x:c>
      <x:c r="H55" s="11" t="str">
        <x:v>FP-184 Resumen!Ahorro bruto combinado</x:v>
      </x:c>
    </x:row>
    <x:row r="56">
      <x:c r="A56" s="11" t="n">
        <x:v>51</x:v>
      </x:c>
      <x:c r="B56" s="28" t="n">
        <x:v>47543</x:v>
      </x:c>
      <x:c r="C56" s="12" t="n">
        <x:v>394.2683975069289</x:v>
      </x:c>
      <x:c r="D56" s="12" t="n">
        <x:v>279.9568054403774</x:v>
      </x:c>
      <x:c r="E56" s="12" t="n">
        <x:v>24.2192</x:v>
      </x:c>
      <x:c r="F56" s="12" t="n">
        <x:v>15.608</x:v>
      </x:c>
      <x:c r="G56" s="11" t="str">
        <x:v>FP-183 Modelo TCO!Modelo TCO G44:BN44</x:v>
      </x:c>
      <x:c r="H56" s="11" t="str">
        <x:v>FP-184 Resumen!Ahorro bruto combinado</x:v>
      </x:c>
    </x:row>
    <x:row r="57">
      <x:c r="A57" s="11" t="n">
        <x:v>52</x:v>
      </x:c>
      <x:c r="B57" s="28" t="n">
        <x:v>47574</x:v>
      </x:c>
      <x:c r="C57" s="12" t="n">
        <x:v>394.6898978105599</x:v>
      </x:c>
      <x:c r="D57" s="12" t="n">
        <x:v>280.2971473004521</x:v>
      </x:c>
      <x:c r="E57" s="12" t="n">
        <x:v>24.2192</x:v>
      </x:c>
      <x:c r="F57" s="12" t="n">
        <x:v>15.608</x:v>
      </x:c>
      <x:c r="G57" s="11" t="str">
        <x:v>FP-183 Modelo TCO!Modelo TCO G44:BN44</x:v>
      </x:c>
      <x:c r="H57" s="11" t="str">
        <x:v>FP-184 Resumen!Ahorro bruto combinado</x:v>
      </x:c>
    </x:row>
    <x:row r="58">
      <x:c r="A58" s="11" t="n">
        <x:v>53</x:v>
      </x:c>
      <x:c r="B58" s="28" t="n">
        <x:v>47604</x:v>
      </x:c>
      <x:c r="C58" s="12" t="n">
        <x:v>395.11785106065497</x:v>
      </x:c>
      <x:c r="D58" s="12" t="n">
        <x:v>280.6426996141935</x:v>
      </x:c>
      <x:c r="E58" s="12" t="n">
        <x:v>24.2192</x:v>
      </x:c>
      <x:c r="F58" s="12" t="n">
        <x:v>15.608</x:v>
      </x:c>
      <x:c r="G58" s="11" t="str">
        <x:v>FP-183 Modelo TCO!Modelo TCO G44:BN44</x:v>
      </x:c>
      <x:c r="H58" s="11" t="str">
        <x:v>FP-184 Resumen!Ahorro bruto combinado</x:v>
      </x:c>
    </x:row>
    <x:row r="59">
      <x:c r="A59" s="11" t="n">
        <x:v>54</x:v>
      </x:c>
      <x:c r="B59" s="28" t="n">
        <x:v>47635</x:v>
      </x:c>
      <x:c r="C59" s="12" t="n">
        <x:v>395.5523560484076</x:v>
      </x:c>
      <x:c r="D59" s="12" t="n">
        <x:v>280.9935421508882</x:v>
      </x:c>
      <x:c r="E59" s="12" t="n">
        <x:v>24.2192</x:v>
      </x:c>
      <x:c r="F59" s="12" t="n">
        <x:v>15.608</x:v>
      </x:c>
      <x:c r="G59" s="11" t="str">
        <x:v>FP-183 Modelo TCO!Modelo TCO G44:BN44</x:v>
      </x:c>
      <x:c r="H59" s="11" t="str">
        <x:v>FP-184 Resumen!Ahorro bruto combinado</x:v>
      </x:c>
    </x:row>
    <x:row r="60">
      <x:c r="A60" s="11" t="n">
        <x:v>55</x:v>
      </x:c>
      <x:c r="B60" s="28" t="n">
        <x:v>47665</x:v>
      </x:c>
      <x:c r="C60" s="12" t="n">
        <x:v>395.9935130774523</x:v>
      </x:c>
      <x:c r="D60" s="12" t="n">
        <x:v>281.34975590104847</x:v>
      </x:c>
      <x:c r="E60" s="12" t="n">
        <x:v>24.2192</x:v>
      </x:c>
      <x:c r="F60" s="12" t="n">
        <x:v>15.608</x:v>
      </x:c>
      <x:c r="G60" s="11" t="str">
        <x:v>FP-183 Modelo TCO!Modelo TCO G44:BN44</x:v>
      </x:c>
      <x:c r="H60" s="11" t="str">
        <x:v>FP-184 Resumen!Ahorro bruto combinado</x:v>
      </x:c>
    </x:row>
    <x:row r="61">
      <x:c r="A61" s="11" t="n">
        <x:v>56</x:v>
      </x:c>
      <x:c r="B61" s="28" t="n">
        <x:v>47696</x:v>
      </x:c>
      <x:c r="C61" s="12" t="n">
        <x:v>396.4414239870188</x:v>
      </x:c>
      <x:c r="D61" s="12" t="n">
        <x:v>281.7114230951084</x:v>
      </x:c>
      <x:c r="E61" s="12" t="n">
        <x:v>24.2192</x:v>
      </x:c>
      <x:c r="F61" s="12" t="n">
        <x:v>15.608</x:v>
      </x:c>
      <x:c r="G61" s="11" t="str">
        <x:v>FP-183 Modelo TCO!Modelo TCO G44:BN44</x:v>
      </x:c>
      <x:c r="H61" s="11" t="str">
        <x:v>FP-184 Resumen!Ahorro bruto combinado</x:v>
      </x:c>
    </x:row>
    <x:row r="62">
      <x:c r="A62" s="11" t="n">
        <x:v>57</x:v>
      </x:c>
      <x:c r="B62" s="28" t="n">
        <x:v>47727</x:v>
      </x:c>
      <x:c r="C62" s="12" t="n">
        <x:v>396.8961921754419</x:v>
      </x:c>
      <x:c r="D62" s="12" t="n">
        <x:v>282.0786272224065</x:v>
      </x:c>
      <x:c r="E62" s="12" t="n">
        <x:v>24.2192</x:v>
      </x:c>
      <x:c r="F62" s="12" t="n">
        <x:v>15.608</x:v>
      </x:c>
      <x:c r="G62" s="11" t="str">
        <x:v>FP-183 Modelo TCO!Modelo TCO G44:BN44</x:v>
      </x:c>
      <x:c r="H62" s="11" t="str">
        <x:v>FP-184 Resumen!Ahorro bruto combinado</x:v>
      </x:c>
    </x:row>
    <x:row r="63">
      <x:c r="A63" s="11" t="n">
        <x:v>58</x:v>
      </x:c>
      <x:c r="B63" s="28" t="n">
        <x:v>47757</x:v>
      </x:c>
      <x:c r="C63" s="12" t="n">
        <x:v>397.35792262402987</x:v>
      </x:c>
      <x:c r="D63" s="12" t="n">
        <x:v>282.45145305045895</x:v>
      </x:c>
      <x:c r="E63" s="12" t="n">
        <x:v>24.2192</x:v>
      </x:c>
      <x:c r="F63" s="12" t="n">
        <x:v>15.608</x:v>
      </x:c>
      <x:c r="G63" s="11" t="str">
        <x:v>FP-183 Modelo TCO!Modelo TCO G44:BN44</x:v>
      </x:c>
      <x:c r="H63" s="11" t="str">
        <x:v>FP-184 Resumen!Ahorro bruto combinado</x:v>
      </x:c>
    </x:row>
    <x:row r="64">
      <x:c r="A64" s="11" t="n">
        <x:v>59</x:v>
      </x:c>
      <x:c r="B64" s="28" t="n">
        <x:v>47788</x:v>
      </x:c>
      <x:c r="C64" s="12" t="n">
        <x:v>397.8267219212993</x:v>
      </x:c>
      <x:c r="D64" s="12" t="n">
        <x:v>282.8299866445274</x:v>
      </x:c>
      <x:c r="E64" s="12" t="n">
        <x:v>24.2192</x:v>
      </x:c>
      <x:c r="F64" s="12" t="n">
        <x:v>15.608</x:v>
      </x:c>
      <x:c r="G64" s="11" t="str">
        <x:v>FP-183 Modelo TCO!Modelo TCO G44:BN44</x:v>
      </x:c>
      <x:c r="H64" s="11" t="str">
        <x:v>FP-184 Resumen!Ahorro bruto combinado</x:v>
      </x:c>
    </x:row>
    <x:row r="65">
      <x:c r="A65" s="11" t="n">
        <x:v>60</x:v>
      </x:c>
      <x:c r="B65" s="28" t="n">
        <x:v>47818</x:v>
      </x:c>
      <x:c r="C65" s="12" t="n">
        <x:v>398.3026982875806</x:v>
      </x:c>
      <x:c r="D65" s="12" t="n">
        <x:v>283.21431538748743</x:v>
      </x:c>
      <x:c r="E65" s="12" t="n">
        <x:v>24.2192</x:v>
      </x:c>
      <x:c r="F65" s="12" t="n">
        <x:v>15.608</x:v>
      </x:c>
      <x:c r="G65" s="11" t="str">
        <x:v>FP-183 Modelo TCO!Modelo TCO G44:BN44</x:v>
      </x:c>
      <x:c r="H65" s="11" t="str">
        <x:v>FP-184 Resumen!Ahorro bruto combinado</x:v>
      </x:c>
    </x:row>
    <x:row r="66">
      <x:c r="A66" s="44"/>
      <x:c r="B66" s="44"/>
      <x:c r="C66" s="44"/>
      <x:c r="D66" s="44"/>
      <x:c r="E66" s="44"/>
      <x:c r="F66" s="44"/>
      <x:c r="G66" s="44"/>
      <x:c r="H66" s="44"/>
    </x:row>
    <x:row r="67">
      <x:c r="A67" s="44"/>
      <x:c r="B67" s="44"/>
      <x:c r="C67" s="44"/>
      <x:c r="D67" s="44"/>
      <x:c r="E67" s="44"/>
      <x:c r="F67" s="44"/>
      <x:c r="G67" s="44"/>
      <x:c r="H67" s="44"/>
    </x:row>
    <x:row r="68">
      <x:c r="A68" s="36" t="str">
        <x:v>Fuente / dependencia</x:v>
      </x:c>
      <x:c r="B68" s="36" t="str">
        <x:v>Uso</x:v>
      </x:c>
      <x:c r="C68" s="36" t="str">
        <x:v>Tipo</x:v>
      </x:c>
      <x:c r="D68" s="36" t="str">
        <x:v>URL o ruta</x:v>
      </x:c>
      <x:c r="E68" s="36" t="str">
        <x:v>Fecha</x:v>
      </x:c>
      <x:c r="F68" s="36" t="str">
        <x:v>Estado</x:v>
      </x:c>
      <x:c r="G68" s="44"/>
      <x:c r="H68" s="44"/>
    </x:row>
    <x:row r="69">
      <x:c r="A69" s="11" t="str">
        <x:v>FP-183 modelo TCO</x:v>
      </x:c>
      <x:c r="B69" s="11" t="str">
        <x:v>Costos cloud mensuales base</x:v>
      </x:c>
      <x:c r="C69" s="11" t="str">
        <x:v>Artefacto local</x:v>
      </x:c>
      <x:c r="D69" s="11" t="str">
        <x:v>docs/fp-183/modelo-tco-linea-base-5-anos.xlsx</x:v>
      </x:c>
      <x:c r="E69" s="28" t="n">
        <x:v>46281</x:v>
      </x:c>
      <x:c r="F69" s="11" t="str">
        <x:v>Verificado</x:v>
      </x:c>
      <x:c r="G69" s="44"/>
      <x:c r="H69" s="44"/>
    </x:row>
    <x:row r="70">
      <x:c r="A70" s="11" t="str">
        <x:v>FP-184 escenario optimizado</x:v>
      </x:c>
      <x:c r="B70" s="11" t="str">
        <x:v>Ahorro bruto por palancas</x:v>
      </x:c>
      <x:c r="C70" s="11" t="str">
        <x:v>Artefacto local</x:v>
      </x:c>
      <x:c r="D70" s="11" t="str">
        <x:v>docs/fp-184/escenario-optimizado-fp-184.xlsx</x:v>
      </x:c>
      <x:c r="E70" s="28" t="n">
        <x:v>46281</x:v>
      </x:c>
      <x:c r="F70" s="11" t="str">
        <x:v>Verificado</x:v>
      </x:c>
      <x:c r="G70" s="44"/>
      <x:c r="H70" s="44"/>
    </x:row>
    <x:row r="71">
      <x:c r="A71" s="11" t="str">
        <x:v>Papers FP-48</x:v>
      </x:c>
      <x:c r="B71" s="11" t="str">
        <x:v>Método TCO/FinOps y trazabilidad</x:v>
      </x:c>
      <x:c r="C71" s="11" t="str">
        <x:v>Evidencia académica</x:v>
      </x:c>
      <x:c r="D71" s="11" t="str">
        <x:v>FP-48 TINV02/Papers academicos - FP-48/markdown</x:v>
      </x:c>
      <x:c r="E71" s="28" t="n">
        <x:v>46281</x:v>
      </x:c>
      <x:c r="F71" s="11" t="str">
        <x:v>Revisado</x:v>
      </x:c>
      <x:c r="G71" s="44"/>
      <x:c r="H71" s="44"/>
    </x:row>
    <x:row r="72">
      <x:c r="A72" s="11" t="str">
        <x:v>Azure Container Apps billing</x:v>
      </x:c>
      <x:c r="B72" s="11" t="str">
        <x:v>Facturación por consumo</x:v>
      </x:c>
      <x:c r="C72" s="11" t="str">
        <x:v>Fuente oficial</x:v>
      </x:c>
      <x:c r="D72" s="11" t="str">
        <x:v>https://learn.microsoft.com/en-us/azure/container-apps/billing</x:v>
      </x:c>
      <x:c r="E72" s="28" t="n">
        <x:v>46281</x:v>
      </x:c>
      <x:c r="F72" s="11" t="str">
        <x:v>Consultado</x:v>
      </x:c>
      <x:c r="G72" s="44"/>
      <x:c r="H72" s="44"/>
    </x:row>
    <x:row r="73">
      <x:c r="A73" s="11" t="str">
        <x:v>Azure PostgreSQL compute</x:v>
      </x:c>
      <x:c r="B73" s="11" t="str">
        <x:v>SKU GP y vCores</x:v>
      </x:c>
      <x:c r="C73" s="11" t="str">
        <x:v>Fuente oficial</x:v>
      </x:c>
      <x:c r="D73" s="11" t="str">
        <x:v>https://learn.microsoft.com/en-us/azure/postgresql/compute-storage/concepts-compute</x:v>
      </x:c>
      <x:c r="E73" s="28" t="n">
        <x:v>46281</x:v>
      </x:c>
      <x:c r="F73" s="11" t="str">
        <x:v>Consultado</x:v>
      </x:c>
      <x:c r="G73" s="44"/>
      <x:c r="H73" s="44"/>
    </x:row>
    <x:row r="74">
      <x:c r="A74" s="11" t="str">
        <x:v>Azure Bandwidth</x:v>
      </x:c>
      <x:c r="B74" s="11" t="str">
        <x:v>Egreso regional</x:v>
      </x:c>
      <x:c r="C74" s="11" t="str">
        <x:v>Fuente oficial</x:v>
      </x:c>
      <x:c r="D74" s="11" t="str">
        <x:v>https://azure.microsoft.com/en-us/pricing/details/bandwidth/</x:v>
      </x:c>
      <x:c r="E74" s="28" t="n">
        <x:v>46281</x:v>
      </x:c>
      <x:c r="F74" s="11" t="str">
        <x:v>Consultado</x:v>
      </x:c>
      <x:c r="G74" s="44"/>
      <x:c r="H74" s="44"/>
    </x:row>
    <x:row r="75">
      <x:c r="A75" s="11" t="str">
        <x:v>Azure Monitor workspace design</x:v>
      </x:c>
      <x:c r="B75" s="11" t="str">
        <x:v>Limitación de consultas/retención</x:v>
      </x:c>
      <x:c r="C75" s="11" t="str">
        <x:v>Fuente oficial</x:v>
      </x:c>
      <x:c r="D75" s="11" t="str">
        <x:v>https://learn.microsoft.com/en-us/azure/azure-monitor/logs/workspace-design</x:v>
      </x:c>
      <x:c r="E75" s="28" t="n">
        <x:v>46281</x:v>
      </x:c>
      <x:c r="F75" s="11" t="str">
        <x:v>Consultado</x:v>
      </x:c>
      <x:c r="G75" s="44"/>
      <x:c r="H75" s="44"/>
    </x:row>
    <x:row r="76">
      <x:c r="A76" s="11" t="str">
        <x:v>MDSF Precios Sociales 2026</x:v>
      </x:c>
      <x:c r="B76" s="11" t="str">
        <x:v>Tasa de descuento pública 5.5%</x:v>
      </x:c>
      <x:c r="C76" s="11" t="str">
        <x:v>Fuente oficial</x:v>
      </x:c>
      <x:c r="D76" s="11" t="str">
        <x:v>https://sni.gob.cl/wp-content/uploads/Precios-Sociales-2026.pdf</x:v>
      </x:c>
      <x:c r="E76" s="28" t="n">
        <x:v>46282</x:v>
      </x:c>
      <x:c r="F76" s="11" t="str">
        <x:v>Proxy público</x:v>
      </x:c>
      <x:c r="G76" s="44"/>
      <x:c r="H76" s="44"/>
    </x:row>
    <x:row r="77">
      <x:c r="A77" s="11" t="str">
        <x:v>INE ESI 2024</x:v>
      </x:c>
      <x:c r="B77" s="11" t="str">
        <x:v>Ingreso medio mensual universitario CLP 1,483,153</x:v>
      </x:c>
      <x:c r="C77" s="11" t="str">
        <x:v>Fuente oficial</x:v>
      </x:c>
      <x:c r="D77" s="11" t="str">
        <x:v>https://www.ine.gob.cl/docs/default-source/encuesta-suplementaria-de-ingresos/publicaciones-y-anuarios/s%C3%ADntesis-de-resultados/2024/esi2024.pdf</x:v>
      </x:c>
      <x:c r="E77" s="28" t="n">
        <x:v>46282</x:v>
      </x:c>
      <x:c r="F77" s="11" t="str">
        <x:v>Proxy público</x:v>
      </x:c>
      <x:c r="G77" s="44"/>
      <x:c r="H77" s="44"/>
    </x:row>
    <x:row r="78">
      <x:c r="A78" s="11" t="str">
        <x:v>Dirección del Trabajo</x:v>
      </x:c>
      <x:c r="B78" s="11" t="str">
        <x:v>Jornada máxima 42 h/semana desde 2026-04-26</x:v>
      </x:c>
      <x:c r="C78" s="11" t="str">
        <x:v>Fuente oficial</x:v>
      </x:c>
      <x:c r="D78" s="11" t="str">
        <x:v>https://www.dt.gob.cl/portal/1626/w3-propertyname-2556.html</x:v>
      </x:c>
      <x:c r="E78" s="28" t="n">
        <x:v>46282</x:v>
      </x:c>
      <x:c r="F78" s="11" t="str">
        <x:v>Verificado</x:v>
      </x:c>
      <x:c r="G78" s="44"/>
      <x:c r="H78" s="44"/>
    </x:row>
    <x:row r="79">
      <x:c r="A79" s="11" t="str">
        <x:v>Banco Central de Chile</x:v>
      </x:c>
      <x:c r="B79" s="11" t="str">
        <x:v>Dólar observado CLP 954.85 por USD al 2026-09-17</x:v>
      </x:c>
      <x:c r="C79" s="11" t="str">
        <x:v>Fuente oficial</x:v>
      </x:c>
      <x:c r="D79" s="11" t="str">
        <x:v>https://si3.bcentral.cl/siete/ES/Siete/Cuadro/CAP_TIPO_CAMBIO/MN_TIPO_CAMBIO4/DOLAR_OBS_ADO?idSerie=F073.TCO.PRE.Z.D</x:v>
      </x:c>
      <x:c r="E79" s="28" t="n">
        <x:v>46282</x:v>
      </x:c>
      <x:c r="F79" s="11" t="str">
        <x:v>Verificado</x:v>
      </x:c>
      <x:c r="G79" s="44"/>
      <x:c r="H79" s="44"/>
    </x:row>
    <x:row r="80">
      <x:c r="A80" s="11" t="str">
        <x:v>FinOps Foundation Usage Optimization</x:v>
      </x:c>
      <x:c r="B80" s="11" t="str">
        <x:v>Actividades de rightsizing, scheduling y revisión</x:v>
      </x:c>
      <x:c r="C80" s="11" t="str">
        <x:v>Marco oficial</x:v>
      </x:c>
      <x:c r="D80" s="11" t="str">
        <x:v>https://www.finops.org/framework/capabilities/usage-optimization/</x:v>
      </x:c>
      <x:c r="E80" s="28" t="n">
        <x:v>46282</x:v>
      </x:c>
      <x:c r="F80" s="11" t="str">
        <x:v>Método</x:v>
      </x:c>
      <x:c r="G80" s="44"/>
      <x:c r="H80" s="44"/>
    </x:row>
    <x:row r="81">
      <x:c r="A81" s="11" t="str">
        <x:v>FinOps Foundation Planning &amp; Estimating</x:v>
      </x:c>
      <x:c r="B81" s="11" t="str">
        <x:v>Estimación por escenario y colaboración Engineering/FinOps</x:v>
      </x:c>
      <x:c r="C81" s="11" t="str">
        <x:v>Marco oficial</x:v>
      </x:c>
      <x:c r="D81" s="11" t="str">
        <x:v>https://www.finops.org/framework/capabilities/planning-estimating/</x:v>
      </x:c>
      <x:c r="E81" s="28" t="n">
        <x:v>46282</x:v>
      </x:c>
      <x:c r="F81" s="11" t="str">
        <x:v>Método</x:v>
      </x:c>
      <x:c r="G81" s="44"/>
      <x:c r="H81" s="44"/>
    </x:row>
  </x:sheetData>
  <x:mergeCells>
    <x:mergeCell ref="A1:H1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18" hidden="0" customWidth="1"/>
    <x:col min="5" max="5" width="22" hidden="0" customWidth="1"/>
  </x:cols>
  <x:sheetData>
    <x:row r="1">
      <x:c r="A1" s="43" t="str">
        <x:v>FP-187 — Auditoría y conciliación</x:v>
      </x:c>
      <x:c r="B1" s="43"/>
      <x:c r="C1" s="43"/>
      <x:c r="D1" s="43"/>
      <x:c r="E1" s="43"/>
    </x:row>
    <x:row r="2">
      <x:c r="A2" s="44"/>
      <x:c r="B2" s="44"/>
      <x:c r="C2" s="44"/>
      <x:c r="D2" s="44"/>
      <x:c r="E2" s="44"/>
    </x:row>
    <x:row r="3">
      <x:c r="A3" s="36" t="str">
        <x:v>Control</x:v>
      </x:c>
      <x:c r="B3" s="36" t="str">
        <x:v>Esperado</x:v>
      </x:c>
      <x:c r="C3" s="36" t="str">
        <x:v>Calculado</x:v>
      </x:c>
      <x:c r="D3" s="36" t="str">
        <x:v>Diferencia</x:v>
      </x:c>
      <x:c r="E3" s="36" t="str">
        <x:v>Estado</x:v>
      </x:c>
    </x:row>
    <x:row r="4">
      <x:c r="A4" s="11" t="str">
        <x:v>TCO FP-183 Chile 60m</x:v>
      </x:c>
      <x:c r="B4" s="12" t="n">
        <x:v>23256.321466174064</x:v>
      </x:c>
      <x:c r="C4" s="12" t="n">
        <x:f>'Resumen'!C5</x:f>
        <x:v>23256.321466174068</x:v>
      </x:c>
      <x:c r="D4" s="12" t="n">
        <x:f>C4-B4</x:f>
        <x:v>3.637978807091713e-12</x:v>
      </x:c>
      <x:c r="E4" s="11" t="str">
        <x:f>IF(ABS(D4)&lt;0.01,"OK","REVISAR")</x:f>
        <x:v>OK</x:v>
      </x:c>
    </x:row>
    <x:row r="5">
      <x:c r="A5" s="11" t="str">
        <x:v>TCO FP-183 East US 60m</x:v>
      </x:c>
      <x:c r="B5" s="12" t="n">
        <x:v>16474.602674550486</x:v>
      </x:c>
      <x:c r="C5" s="12" t="n">
        <x:f>'Resumen'!C6</x:f>
        <x:v>16474.602674550486</x:v>
      </x:c>
      <x:c r="D5" s="12" t="n">
        <x:f>C5-B5</x:f>
        <x:v>0</x:v>
      </x:c>
      <x:c r="E5" s="11" t="str">
        <x:f>IF(ABS(D5)&lt;0.01,"OK","REVISAR")</x:f>
        <x:v>OK</x:v>
      </x:c>
    </x:row>
    <x:row r="6">
      <x:c r="A6" s="11" t="str">
        <x:v>Ahorro bruto FP-184 Chile 60m</x:v>
      </x:c>
      <x:c r="B6" s="12" t="n">
        <x:v>1453.152</x:v>
      </x:c>
      <x:c r="C6" s="12" t="n">
        <x:f>'Resumen'!E5</x:f>
        <x:v>1453.152</x:v>
      </x:c>
      <x:c r="D6" s="12" t="n">
        <x:f>C6-B6</x:f>
        <x:v>0</x:v>
      </x:c>
      <x:c r="E6" s="11" t="str">
        <x:f>IF(ABS(D6)&lt;0.01,"OK","REVISAR")</x:f>
        <x:v>OK</x:v>
      </x:c>
    </x:row>
    <x:row r="7">
      <x:c r="A7" s="11" t="str">
        <x:v>Ahorro bruto FP-184 East US 60m</x:v>
      </x:c>
      <x:c r="B7" s="12" t="n">
        <x:v>936.48</x:v>
      </x:c>
      <x:c r="C7" s="12" t="n">
        <x:f>'Resumen'!E6</x:f>
        <x:v>936.4799999999987</x:v>
      </x:c>
      <x:c r="D7" s="12" t="n">
        <x:f>C7-B7</x:f>
        <x:v>-1.3642420526593924e-12</x:v>
      </x:c>
      <x:c r="E7" s="11" t="str">
        <x:f>IF(ABS(D7)&lt;0.01,"OK","REVISAR")</x:f>
        <x:v>OK</x:v>
      </x:c>
    </x:row>
    <x:row r="8">
      <x:c r="A8" s="11" t="str">
        <x:v>Horizonte meses</x:v>
      </x:c>
      <x:c r="B8" s="29" t="n">
        <x:v>60</x:v>
      </x:c>
      <x:c r="C8" s="29" t="n">
        <x:f>Supuestos!B7</x:f>
        <x:v>60</x:v>
      </x:c>
      <x:c r="D8" s="29" t="n">
        <x:f>C8-B8</x:f>
        <x:v>0</x:v>
      </x:c>
      <x:c r="E8" s="11" t="str">
        <x:f>IF(C8=60,"OK","REVISAR")</x:f>
        <x:v>OK</x:v>
      </x:c>
    </x:row>
    <x:row r="9">
      <x:c r="A9" s="11" t="str">
        <x:v>Inputs financieros disponibles</x:v>
      </x:c>
      <x:c r="B9" s="11" t="str">
        <x:v>Sí: proxies públicos</x:v>
      </x:c>
      <x:c r="C9" s="11" t="str">
        <x:f>IF(COUNT(Supuestos!B11:B16)=6,"Sí: proxies públicos","No: inputs faltantes")</x:f>
        <x:v>Sí: proxies públicos</x:v>
      </x:c>
      <x:c r="D9" s="11" t="str"/>
      <x:c r="E9" s="14" t="str">
        <x:f>IF(C9="Sí: proxies públicos","PROVISIONAL","PENDIENTE")</x:f>
        <x:v>PROVISIONAL</x:v>
      </x:c>
    </x:row>
    <x:row r="10">
      <x:c r="A10" s="11" t="str">
        <x:v>Tasa pública MDSF</x:v>
      </x:c>
      <x:c r="B10" s="13" t="n">
        <x:v>0.055</x:v>
      </x:c>
      <x:c r="C10" s="13" t="n">
        <x:f>Supuestos!B8</x:f>
        <x:v>0.055</x:v>
      </x:c>
      <x:c r="D10" s="13" t="n">
        <x:f>C10-B10</x:f>
        <x:v>0</x:v>
      </x:c>
      <x:c r="E10" s="11" t="str">
        <x:f>IF(ABS(D10)&lt;0.000001,"OK","REVISAR")</x:f>
        <x:v>OK</x:v>
      </x:c>
    </x:row>
    <x:row r="11">
      <x:c r="A11" s="11" t="str">
        <x:v>Tarifa proxy derivada</x:v>
      </x:c>
      <x:c r="B11" s="12" t="n">
        <x:f>Supuestos!B25/(Supuestos!B26*52/12)/Supuestos!B24</x:f>
        <x:v>8.53452616399676</x:v>
      </x:c>
      <x:c r="C11" s="12" t="n">
        <x:f>Supuestos!B14</x:f>
        <x:v>8.53452616399676</x:v>
      </x:c>
      <x:c r="D11" s="12" t="n">
        <x:f>C11-B11</x:f>
        <x:v>0</x:v>
      </x:c>
      <x:c r="E11" s="11" t="str">
        <x:f>IF(ABS(D11)&lt;0.000001,"OK","REVISAR")</x:f>
        <x:v>OK</x:v>
      </x:c>
    </x:row>
    <x:row r="12">
      <x:c r="A12" s="11" t="str">
        <x:v>Horas implementación</x:v>
      </x:c>
      <x:c r="B12" s="27" t="n">
        <x:v>50</x:v>
      </x:c>
      <x:c r="C12" s="27" t="n">
        <x:f>Supuestos!B29</x:f>
        <x:v>50</x:v>
      </x:c>
      <x:c r="D12" s="27" t="n">
        <x:f>C12-B12</x:f>
        <x:v>0</x:v>
      </x:c>
      <x:c r="E12" s="11" t="str">
        <x:f>IF(ABS(D12)&lt;0.000001,"OK","REVISAR")</x:f>
        <x:v>OK</x:v>
      </x:c>
    </x:row>
    <x:row r="13">
      <x:c r="A13" s="11" t="str">
        <x:v>Horas operación mensual</x:v>
      </x:c>
      <x:c r="B13" s="27" t="n">
        <x:v>1</x:v>
      </x:c>
      <x:c r="C13" s="27" t="n">
        <x:f>Supuestos!B30</x:f>
        <x:v>1</x:v>
      </x:c>
      <x:c r="D13" s="27" t="n">
        <x:f>C13-B13</x:f>
        <x:v>0</x:v>
      </x:c>
      <x:c r="E13" s="11" t="str">
        <x:f>IF(ABS(D13)&lt;0.000001,"OK","REVISAR")</x:f>
        <x:v>OK</x:v>
      </x:c>
    </x:row>
    <x:row r="14">
      <x:c r="A14" s="44"/>
      <x:c r="B14" s="44"/>
      <x:c r="C14" s="44"/>
      <x:c r="D14" s="44"/>
      <x:c r="E14" s="44"/>
    </x:row>
    <x:row r="15">
      <x:c r="A15" s="37" t="str">
        <x:v>Interpretación: los controles verifican coherencia matemática y trazabilidad. PROVISIONAL significa que se usaron proxies públicos, no que exista aprobación financiera interna.</x:v>
      </x:c>
      <x:c r="B15" s="37"/>
      <x:c r="C15" s="37"/>
      <x:c r="D15" s="37"/>
      <x:c r="E15" s="37"/>
    </x:row>
  </x:sheetData>
  <x:mergeCells>
    <x:mergeCell ref="A1:E1"/>
    <x:mergeCell ref="A15:E15"/>
  </x:mergeCells>
  <x:pageMargins left="0.7" right="0.7" top="0.75" bottom="0.75" header="0.3" footer="0.3"/>
</x:worksheet>
</file>