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5ee235b66a4c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46e2bda619bc4e59"/>
    <x:sheet xmlns:r="http://schemas.openxmlformats.org/officeDocument/2006/relationships" name="Supuestos" sheetId="2" r:id="Rc09a7f7e67814f01"/>
    <x:sheet xmlns:r="http://schemas.openxmlformats.org/officeDocument/2006/relationships" name="Modelo TCO" sheetId="3" r:id="R2abb2f48f9d6453e"/>
    <x:sheet xmlns:r="http://schemas.openxmlformats.org/officeDocument/2006/relationships" name="Fuentes y Cotizaciones" sheetId="4" r:id="R4b8af458c85b4063"/>
    <x:sheet xmlns:r="http://schemas.openxmlformats.org/officeDocument/2006/relationships" name="Auditoría" sheetId="5" r:id="R5d7e3e26b1ba4e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&quot;$&quot;#,##0.0000"/>
    <x:numFmt numFmtId="202" formatCode="yyyy-mm-dd"/>
    <x:numFmt numFmtId="203" formatCode="mmm-yy"/>
    <x:numFmt numFmtId="204" formatCode="&quot;$&quot;#,##0"/>
  </x:numFmts>
  <x:fonts count="8">
    <x:font>
      <x:sz val="11"/>
      <x:name val="Carlito"/>
    </x:font>
    <x:font>
      <x:b/>
      <x:sz val="14"/>
      <x:color rgb="FF1F1F1F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sz val="10"/>
      <x:color rgb="FF0563C1"/>
      <x:name val="Arial"/>
    </x:font>
    <x:font>
      <x:b/>
      <x:sz val="10"/>
      <x:color rgb="FF1F1F1F"/>
      <x:name val="Arial"/>
    </x:font>
    <x:font>
      <x:sz val="10"/>
      <x:color rgb="FF1F1F1F"/>
      <x:name val="Arial"/>
    </x:font>
    <x:font>
      <x:sz val="10"/>
      <x:color rgb="FF008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1">
    <x:border/>
    <x:border>
      <x:bottom style="thin">
        <x:color rgb="FF1F4E78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top style="medium">
        <x:color rgb="FF1F4E78"/>
      </x:top>
    </x:border>
  </x:borders>
  <x:cellStyleXfs count="1">
    <x:xf numFmtId="0" fontId="0" fillId="0" borderId="0"/>
  </x:cellStyleXfs>
  <x:cellXfs count="5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4" fillId="3" borderId="8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1" fontId="4" fillId="3" borderId="0" xfId="0" applyNumberFormat="1" applyFont="1" applyFill="1" applyBorder="1" applyAlignment="1">
      <x:alignment vertical="center"/>
    </x:xf>
    <x:xf numFmtId="202" fontId="4" fillId="3" borderId="0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201" fontId="4" fillId="3" borderId="8" xfId="0" applyNumberFormat="1" applyFont="1" applyFill="1" applyBorder="1" applyAlignment="1">
      <x:alignment vertical="center"/>
    </x:xf>
    <x:xf numFmtId="202" fontId="4" fillId="3" borderId="8" xfId="0" applyNumberFormat="1" applyFont="1" applyFill="1" applyBorder="1" applyAlignment="1">
      <x:alignment vertical="center"/>
    </x:xf>
    <x:xf numFmtId="0" fontId="6" fillId="0" borderId="9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/>
    <x:xf numFmtId="0" fontId="0" fillId="4" borderId="10" xfId="0" applyNumberFormat="1" applyFont="1" applyFill="1" applyBorder="1"/>
    <x:xf numFmtId="0" fontId="5" fillId="4" borderId="10" xfId="0" applyNumberFormat="1" applyFont="1" applyFill="1" applyBorder="1"/>
    <x:xf numFmtId="0" fontId="5" fillId="4" borderId="10" xfId="0" applyNumberFormat="1" applyFont="1" applyFill="1" applyBorder="1" applyAlignment="1">
      <x:alignment vertical="center"/>
    </x:xf>
    <x:xf numFmtId="204" fontId="5" fillId="4" borderId="10" xfId="0" applyNumberFormat="1" applyFont="1" applyFill="1" applyBorder="1" applyAlignment="1">
      <x:alignment vertical="center"/>
    </x:xf>
    <x:xf numFmtId="204" fontId="5" fillId="4" borderId="0" xfId="0" applyNumberFormat="1" applyFont="1" applyFill="1" applyBorder="1" applyAlignment="1">
      <x:alignment vertical="center"/>
    </x:xf>
    <x:xf numFmtId="203" fontId="3" fillId="2" borderId="3" xfId="0" applyNumberFormat="1" applyFont="1" applyFill="1" applyBorder="1" applyAlignment="1">
      <x:alignment horizontal="center" vertical="center" wrapText="1"/>
    </x:xf>
    <x:xf numFmtId="204" fontId="6" fillId="0" borderId="6" xfId="0" applyNumberFormat="1" applyFont="1" applyFill="1" applyBorder="1" applyAlignment="1">
      <x:alignment vertical="center"/>
    </x:xf>
    <x:xf numFmtId="201" fontId="7" fillId="0" borderId="8" xfId="0" applyNumberFormat="1" applyFont="1" applyFill="1" applyBorder="1" applyAlignment="1">
      <x:alignment vertical="center"/>
    </x:xf>
    <x:xf numFmtId="204" fontId="6" fillId="0" borderId="8" xfId="0" applyNumberFormat="1" applyFont="1" applyFill="1" applyBorder="1" applyAlignment="1">
      <x:alignment vertical="center"/>
    </x:xf>
    <x:xf numFmtId="204" fontId="6" fillId="0" borderId="9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4" fontId="0" fillId="0" borderId="6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</x:cellXfs>
  <x:cellStyles count="1">
    <x:cellStyle name="Normal" xfId="0"/>
  </x:cellStyles>
  <x:dxfs count="3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1f516f3ecf4a3f" /><Relationship Type="http://schemas.openxmlformats.org/officeDocument/2006/relationships/theme" Target="/xl/theme/theme1.xml" Id="Rada04d783c4d49f6" /><Relationship Type="http://schemas.openxmlformats.org/officeDocument/2006/relationships/sharedStrings" Target="/xl/sharedStrings.xml" Id="R75d52cfe5fda4171" /><Relationship Type="http://schemas.openxmlformats.org/officeDocument/2006/relationships/worksheet" Target="/xl/worksheets/sheet1.xml" Id="R46e2bda619bc4e59" /><Relationship Type="http://schemas.openxmlformats.org/officeDocument/2006/relationships/worksheet" Target="/xl/worksheets/sheet2.xml" Id="Rc09a7f7e67814f01" /><Relationship Type="http://schemas.openxmlformats.org/officeDocument/2006/relationships/worksheet" Target="/xl/worksheets/sheet3.xml" Id="R2abb2f48f9d6453e" /><Relationship Type="http://schemas.openxmlformats.org/officeDocument/2006/relationships/worksheet" Target="/xl/worksheets/sheet4.xml" Id="R4b8af458c85b4063" /><Relationship Type="http://schemas.openxmlformats.org/officeDocument/2006/relationships/worksheet" Target="/xl/worksheets/sheet5.xml" Id="R5d7e3e26b1ba4e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6" hidden="0" customWidth="1"/>
    <x:col min="2" max="2" width="38" hidden="0" customWidth="1"/>
    <x:col min="3" max="3" width="30" hidden="0" customWidth="1"/>
    <x:col min="4" max="4" width="38" hidden="0" customWidth="1"/>
  </x:cols>
  <x:sheetData>
    <x:row r="2">
      <x:c r="A2" s="1" t="str">
        <x:v>FP-183 — Línea base de TCO a cinco años</x:v>
      </x:c>
    </x:row>
    <x:row r="3">
      <x:c r="A3" s="2" t="str">
        <x:v>Caso base IaaS multi-tier. Estado: borrador IA nivel 3, sujeto a validación humana y precios oficiales fechados.</x:v>
      </x:c>
    </x:row>
    <x:row r="4">
      <x:c r="A4" s="3"/>
      <x:c r="B4" s="3"/>
      <x:c r="C4" s="3"/>
      <x:c r="D4" s="3"/>
    </x:row>
    <x:row r="6">
      <x:c r="A6" s="13" t="str">
        <x:v>Indicador</x:v>
      </x:c>
      <x:c r="B6" s="14" t="str">
        <x:v>Santiago</x:v>
      </x:c>
      <x:c r="C6" s="14" t="str">
        <x:v>EE. UU.</x:v>
      </x:c>
      <x:c r="D6" s="15" t="str">
        <x:v>Diferencia EE. UU. - Santiago</x:v>
      </x:c>
    </x:row>
    <x:row r="7">
      <x:c r="A7" s="16" t="str">
        <x:v>TCO 5 años (USD)</x:v>
      </x:c>
      <x:c r="B7" s="54" t="str">
        <x:f>'Modelo TCO'!BO32</x:f>
        <x:v>Pendiente de cotización</x:v>
      </x:c>
      <x:c r="C7" s="54" t="str">
        <x:f>'Modelo TCO'!BO33</x:f>
        <x:v>Pendiente de cotización</x:v>
      </x:c>
      <x:c r="D7" s="55" t="str">
        <x:f>'Modelo TCO'!BO34</x:f>
        <x:v>Pendiente de cotización</x:v>
      </x:c>
    </x:row>
    <x:row r="8">
      <x:c r="A8" s="16" t="str">
        <x:v>Componentes cotizados</x:v>
      </x:c>
      <x:c r="B8" s="17" t="n">
        <x:f>COUNTIFS('Fuentes y Cotizaciones'!B7:B18,"Santiago",'Fuentes y Cotizaciones'!J7:J18,"Verificado")</x:f>
        <x:v>0</x:v>
      </x:c>
      <x:c r="C8" s="17" t="n">
        <x:f>COUNTIFS('Fuentes y Cotizaciones'!B19:B30,"EE. UU.",'Fuentes y Cotizaciones'!J19:J30,"Verificado")</x:f>
        <x:v>0</x:v>
      </x:c>
      <x:c r="D8" s="18" t="n">
        <x:f>B8+C8</x:f>
        <x:v>0</x:v>
      </x:c>
    </x:row>
    <x:row r="9">
      <x:c r="A9" s="16" t="str">
        <x:v>Componentes pendientes</x:v>
      </x:c>
      <x:c r="B9" s="17" t="n">
        <x:f>12-B8</x:f>
        <x:v>12</x:v>
      </x:c>
      <x:c r="C9" s="17" t="n">
        <x:f>12-C8</x:f>
        <x:v>12</x:v>
      </x:c>
      <x:c r="D9" s="18" t="n">
        <x:f>B9+C9</x:f>
        <x:v>24</x:v>
      </x:c>
    </x:row>
    <x:row r="10" ht="30" customHeight="1">
      <x:c r="A10" s="19" t="str">
        <x:v>Estado de modelo</x:v>
      </x:c>
      <x:c r="B10" s="52" t="str">
        <x:f>IF(D9=0,"Listo para análisis","Pendiente de cotización y validación")</x:f>
        <x:v>Pendiente de cotización y validación</x:v>
      </x:c>
      <x:c r="C10" s="52" t="str">
        <x:f>B10</x:f>
        <x:v>Pendiente de cotización y validación</x:v>
      </x:c>
      <x:c r="D10" s="53" t="str">
        <x:f>B10</x:f>
        <x:v>Pendiente de cotización y validación</x:v>
      </x:c>
    </x:row>
    <x:row r="12">
      <x:c r="A12" s="25" t="str">
        <x:v>Alcance</x:v>
      </x:c>
      <x:c r="B12" s="25" t="str">
        <x:v>Producción y no-producción</x:v>
      </x:c>
      <x:c r="C12" s="25" t="str">
        <x:v>Horizonte</x:v>
      </x:c>
      <x:c r="D12" s="25" t="str">
        <x:v>60 meses</x:v>
      </x:c>
    </x:row>
    <x:row r="13">
      <x:c r="A13" t="str">
        <x:v>Arquitectura</x:v>
      </x:c>
      <x:c r="B13" t="str">
        <x:v>Aplicación web IaaS multi-tier</x:v>
      </x:c>
      <x:c r="C13" t="str">
        <x:v>Proveedor de referencia</x:v>
      </x:c>
      <x:c r="D13" t="str">
        <x:v>Google Cloud (pendiente de firma)</x:v>
      </x:c>
    </x:row>
    <x:row r="14">
      <x:c r="A14" t="str">
        <x:v>Regiones</x:v>
      </x:c>
      <x:c r="B14" t="str">
        <x:v>southamerica-west1</x:v>
      </x:c>
      <x:c r="C14" t="str">
        <x:v>us-central1</x:v>
      </x:c>
      <x:c r="D14" t="str">
        <x:v>Mismo diseño lógico</x:v>
      </x:c>
    </x:row>
    <x:row r="15">
      <x:c r="A15" t="str">
        <x:v>Componentes</x:v>
      </x:c>
      <x:c r="B15" t="str">
        <x:v>Balanceador, VMs, BD, objetos, red, logs, respaldo</x:v>
      </x:c>
      <x:c r="C15" t="str">
        <x:v>Moneda</x:v>
      </x:c>
      <x:c r="D15" t="str">
        <x:v>USD</x:v>
      </x:c>
    </x:row>
    <x:row r="16">
      <x:c r="A16" t="str">
        <x:v>Palancas previstas</x:v>
      </x:c>
      <x:c r="B16" t="str">
        <x:v>Dimensionamiento, compromiso, apagado no productivo, retención, egreso</x:v>
      </x:c>
      <x:c r="C16" t="str">
        <x:v>Sensibilidad</x:v>
      </x:c>
      <x:c r="D16" t="str">
        <x:v>Elegir tras cotizar</x:v>
      </x:c>
    </x:row>
    <x:row r="17">
      <x:c r="A17" t="str">
        <x:v>Limitación</x:v>
      </x:c>
      <x:c r="B17" t="str">
        <x:v>No hay precios unitarios en este borrador</x:v>
      </x:c>
      <x:c r="C17" t="str">
        <x:v>Acción requerida</x:v>
      </x:c>
      <x:c r="D17" t="str">
        <x:v>Completar Fuentes y Cotizaciones</x:v>
      </x:c>
    </x:row>
    <x:row r="20">
      <x:c r="A20" s="25" t="str">
        <x:v>Nota de validación</x:v>
      </x:c>
      <x:c r="B20" s="26" t="str">
        <x:v>Este archivo no contiene precios estimados ni conclusiones finales. Los resultados aparecen como pendientes hasta registrar precios, fuente oficial y fecha.</x:v>
      </x:c>
      <x:c r="C20" s="26" t="str"/>
      <x:c r="D20" s="26" t="str"/>
    </x:row>
  </x:sheetData>
  <x:conditionalFormatting sqref="B10:D10">
    <x:cfRule type="containsText" dxfId="1" priority="1" operator="containsText" text="Pendien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1" hidden="0" customWidth="1"/>
    <x:col min="2" max="2" width="26" hidden="0" customWidth="1"/>
    <x:col min="3" max="3" width="17" hidden="0" customWidth="1"/>
    <x:col min="4" max="4" width="46" hidden="0" customWidth="1"/>
  </x:cols>
  <x:sheetData>
    <x:row r="2">
      <x:c r="A2" s="1" t="str">
        <x:v>FP-183 — Supuestos de línea base</x:v>
      </x:c>
    </x:row>
    <x:row r="3">
      <x:c r="A3" s="2" t="str">
        <x:v>Borrador IA nivel 3. Los campos ámbar son hipótesis editables y requieren validación humana.</x:v>
      </x:c>
    </x:row>
    <x:row r="4">
      <x:c r="A4" s="3"/>
      <x:c r="B4" s="3"/>
      <x:c r="C4" s="3"/>
      <x:c r="D4" s="3"/>
    </x:row>
    <x:row r="6">
      <x:c r="A6" s="13" t="str">
        <x:v>Variable</x:v>
      </x:c>
      <x:c r="B6" s="14" t="str">
        <x:v>Valor</x:v>
      </x:c>
      <x:c r="C6" s="14" t="str">
        <x:v>Unidad</x:v>
      </x:c>
      <x:c r="D6" s="15" t="str">
        <x:v>Origen / regla</x:v>
      </x:c>
    </x:row>
    <x:row r="7">
      <x:c r="A7" s="16" t="str">
        <x:v>Horizonte</x:v>
      </x:c>
      <x:c r="B7" s="11" t="n">
        <x:v>60</x:v>
      </x:c>
      <x:c r="C7" s="17" t="str">
        <x:v>meses</x:v>
      </x:c>
      <x:c r="D7" s="18" t="str">
        <x:v>FP-182: 5 años</x:v>
      </x:c>
    </x:row>
    <x:row r="8">
      <x:c r="A8" s="16" t="str">
        <x:v>Horas por mes</x:v>
      </x:c>
      <x:c r="B8" s="11" t="n">
        <x:v>730</x:v>
      </x:c>
      <x:c r="C8" s="17" t="str">
        <x:v>horas</x:v>
      </x:c>
      <x:c r="D8" s="18" t="str">
        <x:v>Convención de modelación editable</x:v>
      </x:c>
    </x:row>
    <x:row r="9">
      <x:c r="A9" s="16" t="str">
        <x:v>Región Santiago</x:v>
      </x:c>
      <x:c r="B9" s="11" t="str">
        <x:v>southamerica-west1</x:v>
      </x:c>
      <x:c r="C9" s="17" t="str">
        <x:v>región</x:v>
      </x:c>
      <x:c r="D9" s="18" t="str">
        <x:v>FP-182</x:v>
      </x:c>
    </x:row>
    <x:row r="10">
      <x:c r="A10" s="16" t="str">
        <x:v>Región EE. UU.</x:v>
      </x:c>
      <x:c r="B10" s="11" t="str">
        <x:v>us-central1</x:v>
      </x:c>
      <x:c r="C10" s="17" t="str">
        <x:v>región</x:v>
      </x:c>
      <x:c r="D10" s="18" t="str">
        <x:v>FP-182</x:v>
      </x:c>
    </x:row>
    <x:row r="11">
      <x:c r="A11" s="16" t="str">
        <x:v>VMs producción mínimas</x:v>
      </x:c>
      <x:c r="B11" s="11" t="n">
        <x:v>2</x:v>
      </x:c>
      <x:c r="C11" s="17" t="str">
        <x:v>instancias</x:v>
      </x:c>
      <x:c r="D11" s="18" t="str">
        <x:v>FP-182</x:v>
      </x:c>
    </x:row>
    <x:row r="12">
      <x:c r="A12" s="16" t="str">
        <x:v>VMs producción máximas</x:v>
      </x:c>
      <x:c r="B12" s="11" t="n">
        <x:v>4</x:v>
      </x:c>
      <x:c r="C12" s="17" t="str">
        <x:v>instancias</x:v>
      </x:c>
      <x:c r="D12" s="18" t="str">
        <x:v>FP-182; no se aplica sin evidencia de carga</x:v>
      </x:c>
    </x:row>
    <x:row r="13">
      <x:c r="A13" s="16" t="str">
        <x:v>vCPU por VM</x:v>
      </x:c>
      <x:c r="B13" s="11" t="n">
        <x:v>2</x:v>
      </x:c>
      <x:c r="C13" s="17" t="str">
        <x:v>vCPU</x:v>
      </x:c>
      <x:c r="D13" s="18" t="str">
        <x:v>FP-182</x:v>
      </x:c>
    </x:row>
    <x:row r="14">
      <x:c r="A14" s="16" t="str">
        <x:v>RAM por VM</x:v>
      </x:c>
      <x:c r="B14" s="11" t="n">
        <x:v>8</x:v>
      </x:c>
      <x:c r="C14" s="17" t="str">
        <x:v>GiB</x:v>
      </x:c>
      <x:c r="D14" s="18" t="str">
        <x:v>FP-182</x:v>
      </x:c>
    </x:row>
    <x:row r="15">
      <x:c r="A15" s="16" t="str">
        <x:v>Almacenamiento base de datos</x:v>
      </x:c>
      <x:c r="B15" s="11" t="n">
        <x:v>100</x:v>
      </x:c>
      <x:c r="C15" s="17" t="str">
        <x:v>GiB</x:v>
      </x:c>
      <x:c r="D15" s="18" t="str">
        <x:v>FP-182</x:v>
      </x:c>
    </x:row>
    <x:row r="16">
      <x:c r="A16" s="16" t="str">
        <x:v>Almacenamiento objetos inicial</x:v>
      </x:c>
      <x:c r="B16" s="11" t="n">
        <x:v>500</x:v>
      </x:c>
      <x:c r="C16" s="17" t="str">
        <x:v>GiB</x:v>
      </x:c>
      <x:c r="D16" s="18" t="str">
        <x:v>FP-182</x:v>
      </x:c>
    </x:row>
    <x:row r="17">
      <x:c r="A17" s="16" t="str">
        <x:v>Crecimiento anual de objetos</x:v>
      </x:c>
      <x:c r="B17" s="12" t="n">
        <x:v>0.2</x:v>
      </x:c>
      <x:c r="C17" s="17" t="str">
        <x:v>%</x:v>
      </x:c>
      <x:c r="D17" s="18" t="str">
        <x:v>FP-182</x:v>
      </x:c>
    </x:row>
    <x:row r="18">
      <x:c r="A18" s="16" t="str">
        <x:v>Egreso a Internet</x:v>
      </x:c>
      <x:c r="B18" s="12" t="n">
        <x:v>200</x:v>
      </x:c>
      <x:c r="C18" s="17" t="str">
        <x:v>GB/mes</x:v>
      </x:c>
      <x:c r="D18" s="18" t="str">
        <x:v>FP-182</x:v>
      </x:c>
    </x:row>
    <x:row r="19">
      <x:c r="A19" s="16" t="str">
        <x:v>Ingesta de registros</x:v>
      </x:c>
      <x:c r="B19" s="11" t="n">
        <x:v>50</x:v>
      </x:c>
      <x:c r="C19" s="17" t="str">
        <x:v>GiB/mes</x:v>
      </x:c>
      <x:c r="D19" s="18" t="str">
        <x:v>FP-182</x:v>
      </x:c>
    </x:row>
    <x:row r="20">
      <x:c r="A20" s="16" t="str">
        <x:v>VM no productiva</x:v>
      </x:c>
      <x:c r="B20" s="11" t="n">
        <x:v>1</x:v>
      </x:c>
      <x:c r="C20" s="17" t="str">
        <x:v>instancias</x:v>
      </x:c>
      <x:c r="D20" s="18" t="str">
        <x:v>FP-182</x:v>
      </x:c>
    </x:row>
    <x:row r="21">
      <x:c r="A21" s="16" t="str">
        <x:v>Horas no productivas por día</x:v>
      </x:c>
      <x:c r="B21" s="11" t="n">
        <x:v>12</x:v>
      </x:c>
      <x:c r="C21" s="17" t="str">
        <x:v>horas/día</x:v>
      </x:c>
      <x:c r="D21" s="18" t="str">
        <x:v>FP-182</x:v>
      </x:c>
    </x:row>
    <x:row r="22">
      <x:c r="A22" s="16" t="str">
        <x:v>Días no productivos por mes</x:v>
      </x:c>
      <x:c r="B22" s="11" t="n">
        <x:v>22</x:v>
      </x:c>
      <x:c r="C22" s="17" t="str">
        <x:v>días/mes</x:v>
      </x:c>
      <x:c r="D22" s="18" t="str">
        <x:v>FP-182</x:v>
      </x:c>
    </x:row>
    <x:row r="23">
      <x:c r="A23" s="16" t="str">
        <x:v>Descuento por compromiso</x:v>
      </x:c>
      <x:c r="B23" s="12" t="n">
        <x:v>0</x:v>
      </x:c>
      <x:c r="C23" s="17" t="str">
        <x:v>%</x:v>
      </x:c>
      <x:c r="D23" s="18" t="str">
        <x:v>FP-182; línea base</x:v>
      </x:c>
    </x:row>
    <x:row r="24">
      <x:c r="A24" s="16" t="str">
        <x:v>Inflación / variación nominal</x:v>
      </x:c>
      <x:c r="B24" s="12" t="n">
        <x:v>0</x:v>
      </x:c>
      <x:c r="C24" s="17" t="str">
        <x:v>%</x:v>
      </x:c>
      <x:c r="D24" s="18" t="str">
        <x:v>FP-182; línea base</x:v>
      </x:c>
    </x:row>
    <x:row r="25">
      <x:c r="A25" s="16" t="str">
        <x:v>Moneda</x:v>
      </x:c>
      <x:c r="B25" s="11" t="str">
        <x:v>USD</x:v>
      </x:c>
      <x:c r="C25" s="17" t="str">
        <x:v>moneda</x:v>
      </x:c>
      <x:c r="D25" s="18" t="str">
        <x:v>FP-182</x:v>
      </x:c>
    </x:row>
    <x:row r="26">
      <x:c r="A26" s="19" t="str">
        <x:v>Estado de aprobación</x:v>
      </x:c>
      <x:c r="B26" s="20" t="str">
        <x:v>Pendiente de validación humana</x:v>
      </x:c>
      <x:c r="C26" s="21" t="str">
        <x:v>estado</x:v>
      </x:c>
      <x:c r="D26" s="22" t="str">
        <x:v>FP-182</x:v>
      </x:c>
    </x:row>
    <x:row r="29">
      <x:c r="A29" s="25" t="str">
        <x:v>Regla de uso</x:v>
      </x:c>
      <x:c r="B29" s="26" t="str">
        <x:v>Los valores de esta hoja alimentan el modelo. Un precio oficial no se infiere desde estas hipótesis.</x:v>
      </x:c>
      <x:c r="C29" s="26" t="str"/>
      <x:c r="D29" s="26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5" hidden="0" customWidth="1"/>
    <x:col min="4" max="4" width="17" hidden="0" customWidth="1"/>
    <x:col min="5" max="5" width="17" hidden="0" customWidth="1"/>
    <x:col min="6" max="6" width="36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9" hidden="0" customWidth="1"/>
  </x:cols>
  <x:sheetData>
    <x:row r="2">
      <x:c r="A2" s="1" t="str">
        <x:v>FP-183 — Modelo TCO de 60 meses</x:v>
      </x:c>
    </x:row>
    <x:row r="3">
      <x:c r="A3" s="2" t="str">
        <x:v>Las celdas calculadas quedan vacías hasta que exista un precio unitario verificable en Fuentes y Cotizaciones.</x:v>
      </x:c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  <x:c r="AV4" s="3"/>
      <x:c r="AW4" s="3"/>
      <x:c r="AX4" s="3"/>
      <x:c r="AY4" s="3"/>
      <x:c r="AZ4" s="3"/>
      <x:c r="BA4" s="3"/>
      <x:c r="BB4" s="3"/>
      <x:c r="BC4" s="3"/>
      <x:c r="BD4" s="3"/>
      <x:c r="BE4" s="3"/>
      <x:c r="BF4" s="3"/>
      <x:c r="BG4" s="3"/>
      <x:c r="BH4" s="3"/>
      <x:c r="BI4" s="3"/>
      <x:c r="BJ4" s="3"/>
      <x:c r="BK4" s="3"/>
      <x:c r="BL4" s="3"/>
      <x:c r="BM4" s="3"/>
      <x:c r="BN4" s="3"/>
      <x:c r="BO4" s="3"/>
    </x:row>
    <x:row r="6">
      <x:c r="A6" s="13" t="str">
        <x:v>Id</x:v>
      </x:c>
      <x:c r="B6" s="14" t="str">
        <x:v>Región</x:v>
      </x:c>
      <x:c r="C6" s="14" t="str">
        <x:v>Componente</x:v>
      </x:c>
      <x:c r="D6" s="14" t="str">
        <x:v>Unidad de consumo</x:v>
      </x:c>
      <x:c r="E6" s="14" t="str">
        <x:v>Precio unitario USD</x:v>
      </x:c>
      <x:c r="F6" s="14" t="str">
        <x:v>Regla de consumo</x:v>
      </x:c>
      <x:c r="G6" s="46" t="n">
        <x:v>46023</x:v>
      </x:c>
      <x:c r="H6" s="46" t="n">
        <x:v>46054</x:v>
      </x:c>
      <x:c r="I6" s="46" t="n">
        <x:v>46082</x:v>
      </x:c>
      <x:c r="J6" s="46" t="n">
        <x:v>46113</x:v>
      </x:c>
      <x:c r="K6" s="46" t="n">
        <x:v>46143</x:v>
      </x:c>
      <x:c r="L6" s="46" t="n">
        <x:v>46174</x:v>
      </x:c>
      <x:c r="M6" s="46" t="n">
        <x:v>46204</x:v>
      </x:c>
      <x:c r="N6" s="46" t="n">
        <x:v>46235</x:v>
      </x:c>
      <x:c r="O6" s="46" t="n">
        <x:v>46266</x:v>
      </x:c>
      <x:c r="P6" s="46" t="n">
        <x:v>46296</x:v>
      </x:c>
      <x:c r="Q6" s="46" t="n">
        <x:v>46327</x:v>
      </x:c>
      <x:c r="R6" s="46" t="n">
        <x:v>46357</x:v>
      </x:c>
      <x:c r="S6" s="46" t="n">
        <x:v>46388</x:v>
      </x:c>
      <x:c r="T6" s="46" t="n">
        <x:v>46419</x:v>
      </x:c>
      <x:c r="U6" s="46" t="n">
        <x:v>46447</x:v>
      </x:c>
      <x:c r="V6" s="46" t="n">
        <x:v>46478</x:v>
      </x:c>
      <x:c r="W6" s="46" t="n">
        <x:v>46508</x:v>
      </x:c>
      <x:c r="X6" s="46" t="n">
        <x:v>46539</x:v>
      </x:c>
      <x:c r="Y6" s="46" t="n">
        <x:v>46569</x:v>
      </x:c>
      <x:c r="Z6" s="46" t="n">
        <x:v>46600</x:v>
      </x:c>
      <x:c r="AA6" s="46" t="n">
        <x:v>46631</x:v>
      </x:c>
      <x:c r="AB6" s="46" t="n">
        <x:v>46661</x:v>
      </x:c>
      <x:c r="AC6" s="46" t="n">
        <x:v>46692</x:v>
      </x:c>
      <x:c r="AD6" s="46" t="n">
        <x:v>46722</x:v>
      </x:c>
      <x:c r="AE6" s="46" t="n">
        <x:v>46753</x:v>
      </x:c>
      <x:c r="AF6" s="46" t="n">
        <x:v>46784</x:v>
      </x:c>
      <x:c r="AG6" s="46" t="n">
        <x:v>46813</x:v>
      </x:c>
      <x:c r="AH6" s="46" t="n">
        <x:v>46844</x:v>
      </x:c>
      <x:c r="AI6" s="46" t="n">
        <x:v>46874</x:v>
      </x:c>
      <x:c r="AJ6" s="46" t="n">
        <x:v>46905</x:v>
      </x:c>
      <x:c r="AK6" s="46" t="n">
        <x:v>46935</x:v>
      </x:c>
      <x:c r="AL6" s="46" t="n">
        <x:v>46966</x:v>
      </x:c>
      <x:c r="AM6" s="46" t="n">
        <x:v>46997</x:v>
      </x:c>
      <x:c r="AN6" s="46" t="n">
        <x:v>47027</x:v>
      </x:c>
      <x:c r="AO6" s="46" t="n">
        <x:v>47058</x:v>
      </x:c>
      <x:c r="AP6" s="46" t="n">
        <x:v>47088</x:v>
      </x:c>
      <x:c r="AQ6" s="46" t="n">
        <x:v>47119</x:v>
      </x:c>
      <x:c r="AR6" s="46" t="n">
        <x:v>47150</x:v>
      </x:c>
      <x:c r="AS6" s="46" t="n">
        <x:v>47178</x:v>
      </x:c>
      <x:c r="AT6" s="46" t="n">
        <x:v>47209</x:v>
      </x:c>
      <x:c r="AU6" s="46" t="n">
        <x:v>47239</x:v>
      </x:c>
      <x:c r="AV6" s="46" t="n">
        <x:v>47270</x:v>
      </x:c>
      <x:c r="AW6" s="46" t="n">
        <x:v>47300</x:v>
      </x:c>
      <x:c r="AX6" s="46" t="n">
        <x:v>47331</x:v>
      </x:c>
      <x:c r="AY6" s="46" t="n">
        <x:v>47362</x:v>
      </x:c>
      <x:c r="AZ6" s="46" t="n">
        <x:v>47392</x:v>
      </x:c>
      <x:c r="BA6" s="46" t="n">
        <x:v>47423</x:v>
      </x:c>
      <x:c r="BB6" s="46" t="n">
        <x:v>47453</x:v>
      </x:c>
      <x:c r="BC6" s="46" t="n">
        <x:v>47484</x:v>
      </x:c>
      <x:c r="BD6" s="46" t="n">
        <x:v>47515</x:v>
      </x:c>
      <x:c r="BE6" s="46" t="n">
        <x:v>47543</x:v>
      </x:c>
      <x:c r="BF6" s="46" t="n">
        <x:v>47574</x:v>
      </x:c>
      <x:c r="BG6" s="46" t="n">
        <x:v>47604</x:v>
      </x:c>
      <x:c r="BH6" s="46" t="n">
        <x:v>47635</x:v>
      </x:c>
      <x:c r="BI6" s="46" t="n">
        <x:v>47665</x:v>
      </x:c>
      <x:c r="BJ6" s="46" t="n">
        <x:v>47696</x:v>
      </x:c>
      <x:c r="BK6" s="46" t="n">
        <x:v>47727</x:v>
      </x:c>
      <x:c r="BL6" s="46" t="n">
        <x:v>47757</x:v>
      </x:c>
      <x:c r="BM6" s="46" t="n">
        <x:v>47788</x:v>
      </x:c>
      <x:c r="BN6" s="46" t="n">
        <x:v>47818</x:v>
      </x:c>
      <x:c r="BO6" s="15" t="str">
        <x:v>TCO 5 años USD</x:v>
      </x:c>
    </x:row>
    <x:row r="7">
      <x:c r="A7" s="16" t="str">
        <x:v>SCL-LB</x:v>
      </x:c>
      <x:c r="B7" s="17" t="str">
        <x:v>Santiago</x:v>
      </x:c>
      <x:c r="C7" s="17" t="str">
        <x:v>Balanceador HTTPS</x:v>
      </x:c>
      <x:c r="D7" s="17" t="str">
        <x:v>unidad/mes</x:v>
      </x:c>
      <x:c r="E7" s="38" t="str">
        <x:f>IF('Fuentes y Cotizaciones'!F7="","",'Fuentes y Cotizaciones'!F7)</x:f>
      </x:c>
      <x:c r="F7" s="17" t="str">
        <x:v>1 unidad por mes</x:v>
      </x:c>
      <x:c r="G7" s="39" t="str">
        <x:f>IF($E7="","",1*$E7)</x:f>
      </x:c>
      <x:c r="H7" s="39" t="str">
        <x:f>IF($E7="","",1*$E7)</x:f>
      </x:c>
      <x:c r="I7" s="39" t="str">
        <x:f>IF($E7="","",1*$E7)</x:f>
      </x:c>
      <x:c r="J7" s="39" t="str">
        <x:f>IF($E7="","",1*$E7)</x:f>
      </x:c>
      <x:c r="K7" s="39" t="str">
        <x:f>IF($E7="","",1*$E7)</x:f>
      </x:c>
      <x:c r="L7" s="39" t="str">
        <x:f>IF($E7="","",1*$E7)</x:f>
      </x:c>
      <x:c r="M7" s="39" t="str">
        <x:f>IF($E7="","",1*$E7)</x:f>
      </x:c>
      <x:c r="N7" s="39" t="str">
        <x:f>IF($E7="","",1*$E7)</x:f>
      </x:c>
      <x:c r="O7" s="39" t="str">
        <x:f>IF($E7="","",1*$E7)</x:f>
      </x:c>
      <x:c r="P7" s="39" t="str">
        <x:f>IF($E7="","",1*$E7)</x:f>
      </x:c>
      <x:c r="Q7" s="39" t="str">
        <x:f>IF($E7="","",1*$E7)</x:f>
      </x:c>
      <x:c r="R7" s="39" t="str">
        <x:f>IF($E7="","",1*$E7)</x:f>
      </x:c>
      <x:c r="S7" s="39" t="str">
        <x:f>IF($E7="","",1*$E7)</x:f>
      </x:c>
      <x:c r="T7" s="39" t="str">
        <x:f>IF($E7="","",1*$E7)</x:f>
      </x:c>
      <x:c r="U7" s="39" t="str">
        <x:f>IF($E7="","",1*$E7)</x:f>
      </x:c>
      <x:c r="V7" s="39" t="str">
        <x:f>IF($E7="","",1*$E7)</x:f>
      </x:c>
      <x:c r="W7" s="39" t="str">
        <x:f>IF($E7="","",1*$E7)</x:f>
      </x:c>
      <x:c r="X7" s="39" t="str">
        <x:f>IF($E7="","",1*$E7)</x:f>
      </x:c>
      <x:c r="Y7" s="39" t="str">
        <x:f>IF($E7="","",1*$E7)</x:f>
      </x:c>
      <x:c r="Z7" s="39" t="str">
        <x:f>IF($E7="","",1*$E7)</x:f>
      </x:c>
      <x:c r="AA7" s="39" t="str">
        <x:f>IF($E7="","",1*$E7)</x:f>
      </x:c>
      <x:c r="AB7" s="39" t="str">
        <x:f>IF($E7="","",1*$E7)</x:f>
      </x:c>
      <x:c r="AC7" s="39" t="str">
        <x:f>IF($E7="","",1*$E7)</x:f>
      </x:c>
      <x:c r="AD7" s="39" t="str">
        <x:f>IF($E7="","",1*$E7)</x:f>
      </x:c>
      <x:c r="AE7" s="39" t="str">
        <x:f>IF($E7="","",1*$E7)</x:f>
      </x:c>
      <x:c r="AF7" s="39" t="str">
        <x:f>IF($E7="","",1*$E7)</x:f>
      </x:c>
      <x:c r="AG7" s="39" t="str">
        <x:f>IF($E7="","",1*$E7)</x:f>
      </x:c>
      <x:c r="AH7" s="39" t="str">
        <x:f>IF($E7="","",1*$E7)</x:f>
      </x:c>
      <x:c r="AI7" s="39" t="str">
        <x:f>IF($E7="","",1*$E7)</x:f>
      </x:c>
      <x:c r="AJ7" s="39" t="str">
        <x:f>IF($E7="","",1*$E7)</x:f>
      </x:c>
      <x:c r="AK7" s="39" t="str">
        <x:f>IF($E7="","",1*$E7)</x:f>
      </x:c>
      <x:c r="AL7" s="39" t="str">
        <x:f>IF($E7="","",1*$E7)</x:f>
      </x:c>
      <x:c r="AM7" s="39" t="str">
        <x:f>IF($E7="","",1*$E7)</x:f>
      </x:c>
      <x:c r="AN7" s="39" t="str">
        <x:f>IF($E7="","",1*$E7)</x:f>
      </x:c>
      <x:c r="AO7" s="39" t="str">
        <x:f>IF($E7="","",1*$E7)</x:f>
      </x:c>
      <x:c r="AP7" s="39" t="str">
        <x:f>IF($E7="","",1*$E7)</x:f>
      </x:c>
      <x:c r="AQ7" s="39" t="str">
        <x:f>IF($E7="","",1*$E7)</x:f>
      </x:c>
      <x:c r="AR7" s="39" t="str">
        <x:f>IF($E7="","",1*$E7)</x:f>
      </x:c>
      <x:c r="AS7" s="39" t="str">
        <x:f>IF($E7="","",1*$E7)</x:f>
      </x:c>
      <x:c r="AT7" s="39" t="str">
        <x:f>IF($E7="","",1*$E7)</x:f>
      </x:c>
      <x:c r="AU7" s="39" t="str">
        <x:f>IF($E7="","",1*$E7)</x:f>
      </x:c>
      <x:c r="AV7" s="39" t="str">
        <x:f>IF($E7="","",1*$E7)</x:f>
      </x:c>
      <x:c r="AW7" s="39" t="str">
        <x:f>IF($E7="","",1*$E7)</x:f>
      </x:c>
      <x:c r="AX7" s="39" t="str">
        <x:f>IF($E7="","",1*$E7)</x:f>
      </x:c>
      <x:c r="AY7" s="39" t="str">
        <x:f>IF($E7="","",1*$E7)</x:f>
      </x:c>
      <x:c r="AZ7" s="39" t="str">
        <x:f>IF($E7="","",1*$E7)</x:f>
      </x:c>
      <x:c r="BA7" s="39" t="str">
        <x:f>IF($E7="","",1*$E7)</x:f>
      </x:c>
      <x:c r="BB7" s="39" t="str">
        <x:f>IF($E7="","",1*$E7)</x:f>
      </x:c>
      <x:c r="BC7" s="39" t="str">
        <x:f>IF($E7="","",1*$E7)</x:f>
      </x:c>
      <x:c r="BD7" s="39" t="str">
        <x:f>IF($E7="","",1*$E7)</x:f>
      </x:c>
      <x:c r="BE7" s="39" t="str">
        <x:f>IF($E7="","",1*$E7)</x:f>
      </x:c>
      <x:c r="BF7" s="39" t="str">
        <x:f>IF($E7="","",1*$E7)</x:f>
      </x:c>
      <x:c r="BG7" s="39" t="str">
        <x:f>IF($E7="","",1*$E7)</x:f>
      </x:c>
      <x:c r="BH7" s="39" t="str">
        <x:f>IF($E7="","",1*$E7)</x:f>
      </x:c>
      <x:c r="BI7" s="39" t="str">
        <x:f>IF($E7="","",1*$E7)</x:f>
      </x:c>
      <x:c r="BJ7" s="39" t="str">
        <x:f>IF($E7="","",1*$E7)</x:f>
      </x:c>
      <x:c r="BK7" s="39" t="str">
        <x:f>IF($E7="","",1*$E7)</x:f>
      </x:c>
      <x:c r="BL7" s="39" t="str">
        <x:f>IF($E7="","",1*$E7)</x:f>
      </x:c>
      <x:c r="BM7" s="39" t="str">
        <x:f>IF($E7="","",1*$E7)</x:f>
      </x:c>
      <x:c r="BN7" s="39" t="str">
        <x:f>IF($E7="","",1*$E7)</x:f>
      </x:c>
      <x:c r="BO7" s="47" t="str">
        <x:f>IF(COUNT(G7:BN7)=0,"",SUM(G7:BN7))</x:f>
      </x:c>
    </x:row>
    <x:row r="8">
      <x:c r="A8" s="16" t="str">
        <x:v>SCL-APP</x:v>
      </x:c>
      <x:c r="B8" s="17" t="str">
        <x:v>Santiago</x:v>
      </x:c>
      <x:c r="C8" s="17" t="str">
        <x:v>VMs de aplicación</x:v>
      </x:c>
      <x:c r="D8" s="17" t="str">
        <x:v>instancia-hora</x:v>
      </x:c>
      <x:c r="E8" s="38" t="str">
        <x:f>IF('Fuentes y Cotizaciones'!F8="","",'Fuentes y Cotizaciones'!F8)</x:f>
      </x:c>
      <x:c r="F8" s="17" t="str">
        <x:v>VMs mínimas × horas/mes</x:v>
      </x:c>
      <x:c r="G8" s="39" t="str">
        <x:f>IF($E8="","",'Supuestos'!$B$11*'Supuestos'!$B$8*$E8)</x:f>
      </x:c>
      <x:c r="H8" s="39" t="str">
        <x:f>IF($E8="","",'Supuestos'!$B$11*'Supuestos'!$B$8*$E8)</x:f>
      </x:c>
      <x:c r="I8" s="39" t="str">
        <x:f>IF($E8="","",'Supuestos'!$B$11*'Supuestos'!$B$8*$E8)</x:f>
      </x:c>
      <x:c r="J8" s="39" t="str">
        <x:f>IF($E8="","",'Supuestos'!$B$11*'Supuestos'!$B$8*$E8)</x:f>
      </x:c>
      <x:c r="K8" s="39" t="str">
        <x:f>IF($E8="","",'Supuestos'!$B$11*'Supuestos'!$B$8*$E8)</x:f>
      </x:c>
      <x:c r="L8" s="39" t="str">
        <x:f>IF($E8="","",'Supuestos'!$B$11*'Supuestos'!$B$8*$E8)</x:f>
      </x:c>
      <x:c r="M8" s="39" t="str">
        <x:f>IF($E8="","",'Supuestos'!$B$11*'Supuestos'!$B$8*$E8)</x:f>
      </x:c>
      <x:c r="N8" s="39" t="str">
        <x:f>IF($E8="","",'Supuestos'!$B$11*'Supuestos'!$B$8*$E8)</x:f>
      </x:c>
      <x:c r="O8" s="39" t="str">
        <x:f>IF($E8="","",'Supuestos'!$B$11*'Supuestos'!$B$8*$E8)</x:f>
      </x:c>
      <x:c r="P8" s="39" t="str">
        <x:f>IF($E8="","",'Supuestos'!$B$11*'Supuestos'!$B$8*$E8)</x:f>
      </x:c>
      <x:c r="Q8" s="39" t="str">
        <x:f>IF($E8="","",'Supuestos'!$B$11*'Supuestos'!$B$8*$E8)</x:f>
      </x:c>
      <x:c r="R8" s="39" t="str">
        <x:f>IF($E8="","",'Supuestos'!$B$11*'Supuestos'!$B$8*$E8)</x:f>
      </x:c>
      <x:c r="S8" s="39" t="str">
        <x:f>IF($E8="","",'Supuestos'!$B$11*'Supuestos'!$B$8*$E8)</x:f>
      </x:c>
      <x:c r="T8" s="39" t="str">
        <x:f>IF($E8="","",'Supuestos'!$B$11*'Supuestos'!$B$8*$E8)</x:f>
      </x:c>
      <x:c r="U8" s="39" t="str">
        <x:f>IF($E8="","",'Supuestos'!$B$11*'Supuestos'!$B$8*$E8)</x:f>
      </x:c>
      <x:c r="V8" s="39" t="str">
        <x:f>IF($E8="","",'Supuestos'!$B$11*'Supuestos'!$B$8*$E8)</x:f>
      </x:c>
      <x:c r="W8" s="39" t="str">
        <x:f>IF($E8="","",'Supuestos'!$B$11*'Supuestos'!$B$8*$E8)</x:f>
      </x:c>
      <x:c r="X8" s="39" t="str">
        <x:f>IF($E8="","",'Supuestos'!$B$11*'Supuestos'!$B$8*$E8)</x:f>
      </x:c>
      <x:c r="Y8" s="39" t="str">
        <x:f>IF($E8="","",'Supuestos'!$B$11*'Supuestos'!$B$8*$E8)</x:f>
      </x:c>
      <x:c r="Z8" s="39" t="str">
        <x:f>IF($E8="","",'Supuestos'!$B$11*'Supuestos'!$B$8*$E8)</x:f>
      </x:c>
      <x:c r="AA8" s="39" t="str">
        <x:f>IF($E8="","",'Supuestos'!$B$11*'Supuestos'!$B$8*$E8)</x:f>
      </x:c>
      <x:c r="AB8" s="39" t="str">
        <x:f>IF($E8="","",'Supuestos'!$B$11*'Supuestos'!$B$8*$E8)</x:f>
      </x:c>
      <x:c r="AC8" s="39" t="str">
        <x:f>IF($E8="","",'Supuestos'!$B$11*'Supuestos'!$B$8*$E8)</x:f>
      </x:c>
      <x:c r="AD8" s="39" t="str">
        <x:f>IF($E8="","",'Supuestos'!$B$11*'Supuestos'!$B$8*$E8)</x:f>
      </x:c>
      <x:c r="AE8" s="39" t="str">
        <x:f>IF($E8="","",'Supuestos'!$B$11*'Supuestos'!$B$8*$E8)</x:f>
      </x:c>
      <x:c r="AF8" s="39" t="str">
        <x:f>IF($E8="","",'Supuestos'!$B$11*'Supuestos'!$B$8*$E8)</x:f>
      </x:c>
      <x:c r="AG8" s="39" t="str">
        <x:f>IF($E8="","",'Supuestos'!$B$11*'Supuestos'!$B$8*$E8)</x:f>
      </x:c>
      <x:c r="AH8" s="39" t="str">
        <x:f>IF($E8="","",'Supuestos'!$B$11*'Supuestos'!$B$8*$E8)</x:f>
      </x:c>
      <x:c r="AI8" s="39" t="str">
        <x:f>IF($E8="","",'Supuestos'!$B$11*'Supuestos'!$B$8*$E8)</x:f>
      </x:c>
      <x:c r="AJ8" s="39" t="str">
        <x:f>IF($E8="","",'Supuestos'!$B$11*'Supuestos'!$B$8*$E8)</x:f>
      </x:c>
      <x:c r="AK8" s="39" t="str">
        <x:f>IF($E8="","",'Supuestos'!$B$11*'Supuestos'!$B$8*$E8)</x:f>
      </x:c>
      <x:c r="AL8" s="39" t="str">
        <x:f>IF($E8="","",'Supuestos'!$B$11*'Supuestos'!$B$8*$E8)</x:f>
      </x:c>
      <x:c r="AM8" s="39" t="str">
        <x:f>IF($E8="","",'Supuestos'!$B$11*'Supuestos'!$B$8*$E8)</x:f>
      </x:c>
      <x:c r="AN8" s="39" t="str">
        <x:f>IF($E8="","",'Supuestos'!$B$11*'Supuestos'!$B$8*$E8)</x:f>
      </x:c>
      <x:c r="AO8" s="39" t="str">
        <x:f>IF($E8="","",'Supuestos'!$B$11*'Supuestos'!$B$8*$E8)</x:f>
      </x:c>
      <x:c r="AP8" s="39" t="str">
        <x:f>IF($E8="","",'Supuestos'!$B$11*'Supuestos'!$B$8*$E8)</x:f>
      </x:c>
      <x:c r="AQ8" s="39" t="str">
        <x:f>IF($E8="","",'Supuestos'!$B$11*'Supuestos'!$B$8*$E8)</x:f>
      </x:c>
      <x:c r="AR8" s="39" t="str">
        <x:f>IF($E8="","",'Supuestos'!$B$11*'Supuestos'!$B$8*$E8)</x:f>
      </x:c>
      <x:c r="AS8" s="39" t="str">
        <x:f>IF($E8="","",'Supuestos'!$B$11*'Supuestos'!$B$8*$E8)</x:f>
      </x:c>
      <x:c r="AT8" s="39" t="str">
        <x:f>IF($E8="","",'Supuestos'!$B$11*'Supuestos'!$B$8*$E8)</x:f>
      </x:c>
      <x:c r="AU8" s="39" t="str">
        <x:f>IF($E8="","",'Supuestos'!$B$11*'Supuestos'!$B$8*$E8)</x:f>
      </x:c>
      <x:c r="AV8" s="39" t="str">
        <x:f>IF($E8="","",'Supuestos'!$B$11*'Supuestos'!$B$8*$E8)</x:f>
      </x:c>
      <x:c r="AW8" s="39" t="str">
        <x:f>IF($E8="","",'Supuestos'!$B$11*'Supuestos'!$B$8*$E8)</x:f>
      </x:c>
      <x:c r="AX8" s="39" t="str">
        <x:f>IF($E8="","",'Supuestos'!$B$11*'Supuestos'!$B$8*$E8)</x:f>
      </x:c>
      <x:c r="AY8" s="39" t="str">
        <x:f>IF($E8="","",'Supuestos'!$B$11*'Supuestos'!$B$8*$E8)</x:f>
      </x:c>
      <x:c r="AZ8" s="39" t="str">
        <x:f>IF($E8="","",'Supuestos'!$B$11*'Supuestos'!$B$8*$E8)</x:f>
      </x:c>
      <x:c r="BA8" s="39" t="str">
        <x:f>IF($E8="","",'Supuestos'!$B$11*'Supuestos'!$B$8*$E8)</x:f>
      </x:c>
      <x:c r="BB8" s="39" t="str">
        <x:f>IF($E8="","",'Supuestos'!$B$11*'Supuestos'!$B$8*$E8)</x:f>
      </x:c>
      <x:c r="BC8" s="39" t="str">
        <x:f>IF($E8="","",'Supuestos'!$B$11*'Supuestos'!$B$8*$E8)</x:f>
      </x:c>
      <x:c r="BD8" s="39" t="str">
        <x:f>IF($E8="","",'Supuestos'!$B$11*'Supuestos'!$B$8*$E8)</x:f>
      </x:c>
      <x:c r="BE8" s="39" t="str">
        <x:f>IF($E8="","",'Supuestos'!$B$11*'Supuestos'!$B$8*$E8)</x:f>
      </x:c>
      <x:c r="BF8" s="39" t="str">
        <x:f>IF($E8="","",'Supuestos'!$B$11*'Supuestos'!$B$8*$E8)</x:f>
      </x:c>
      <x:c r="BG8" s="39" t="str">
        <x:f>IF($E8="","",'Supuestos'!$B$11*'Supuestos'!$B$8*$E8)</x:f>
      </x:c>
      <x:c r="BH8" s="39" t="str">
        <x:f>IF($E8="","",'Supuestos'!$B$11*'Supuestos'!$B$8*$E8)</x:f>
      </x:c>
      <x:c r="BI8" s="39" t="str">
        <x:f>IF($E8="","",'Supuestos'!$B$11*'Supuestos'!$B$8*$E8)</x:f>
      </x:c>
      <x:c r="BJ8" s="39" t="str">
        <x:f>IF($E8="","",'Supuestos'!$B$11*'Supuestos'!$B$8*$E8)</x:f>
      </x:c>
      <x:c r="BK8" s="39" t="str">
        <x:f>IF($E8="","",'Supuestos'!$B$11*'Supuestos'!$B$8*$E8)</x:f>
      </x:c>
      <x:c r="BL8" s="39" t="str">
        <x:f>IF($E8="","",'Supuestos'!$B$11*'Supuestos'!$B$8*$E8)</x:f>
      </x:c>
      <x:c r="BM8" s="39" t="str">
        <x:f>IF($E8="","",'Supuestos'!$B$11*'Supuestos'!$B$8*$E8)</x:f>
      </x:c>
      <x:c r="BN8" s="39" t="str">
        <x:f>IF($E8="","",'Supuestos'!$B$11*'Supuestos'!$B$8*$E8)</x:f>
      </x:c>
      <x:c r="BO8" s="47" t="str">
        <x:f>IF(COUNT(G8:BN8)=0,"",SUM(G8:BN8))</x:f>
      </x:c>
    </x:row>
    <x:row r="9">
      <x:c r="A9" s="16" t="str">
        <x:v>SCL-DB</x:v>
      </x:c>
      <x:c r="B9" s="17" t="str">
        <x:v>Santiago</x:v>
      </x:c>
      <x:c r="C9" s="17" t="str">
        <x:v>Base de datos PostgreSQL HA</x:v>
      </x:c>
      <x:c r="D9" s="17" t="str">
        <x:v>instancia-hora</x:v>
      </x:c>
      <x:c r="E9" s="38" t="str">
        <x:f>IF('Fuentes y Cotizaciones'!F9="","",'Fuentes y Cotizaciones'!F9)</x:f>
      </x:c>
      <x:c r="F9" s="17" t="str">
        <x:v>1 instancia HA × horas/mes</x:v>
      </x:c>
      <x:c r="G9" s="39" t="str">
        <x:f>IF($E9="","",'Supuestos'!$B$8*$E9)</x:f>
      </x:c>
      <x:c r="H9" s="39" t="str">
        <x:f>IF($E9="","",'Supuestos'!$B$8*$E9)</x:f>
      </x:c>
      <x:c r="I9" s="39" t="str">
        <x:f>IF($E9="","",'Supuestos'!$B$8*$E9)</x:f>
      </x:c>
      <x:c r="J9" s="39" t="str">
        <x:f>IF($E9="","",'Supuestos'!$B$8*$E9)</x:f>
      </x:c>
      <x:c r="K9" s="39" t="str">
        <x:f>IF($E9="","",'Supuestos'!$B$8*$E9)</x:f>
      </x:c>
      <x:c r="L9" s="39" t="str">
        <x:f>IF($E9="","",'Supuestos'!$B$8*$E9)</x:f>
      </x:c>
      <x:c r="M9" s="39" t="str">
        <x:f>IF($E9="","",'Supuestos'!$B$8*$E9)</x:f>
      </x:c>
      <x:c r="N9" s="39" t="str">
        <x:f>IF($E9="","",'Supuestos'!$B$8*$E9)</x:f>
      </x:c>
      <x:c r="O9" s="39" t="str">
        <x:f>IF($E9="","",'Supuestos'!$B$8*$E9)</x:f>
      </x:c>
      <x:c r="P9" s="39" t="str">
        <x:f>IF($E9="","",'Supuestos'!$B$8*$E9)</x:f>
      </x:c>
      <x:c r="Q9" s="39" t="str">
        <x:f>IF($E9="","",'Supuestos'!$B$8*$E9)</x:f>
      </x:c>
      <x:c r="R9" s="39" t="str">
        <x:f>IF($E9="","",'Supuestos'!$B$8*$E9)</x:f>
      </x:c>
      <x:c r="S9" s="39" t="str">
        <x:f>IF($E9="","",'Supuestos'!$B$8*$E9)</x:f>
      </x:c>
      <x:c r="T9" s="39" t="str">
        <x:f>IF($E9="","",'Supuestos'!$B$8*$E9)</x:f>
      </x:c>
      <x:c r="U9" s="39" t="str">
        <x:f>IF($E9="","",'Supuestos'!$B$8*$E9)</x:f>
      </x:c>
      <x:c r="V9" s="39" t="str">
        <x:f>IF($E9="","",'Supuestos'!$B$8*$E9)</x:f>
      </x:c>
      <x:c r="W9" s="39" t="str">
        <x:f>IF($E9="","",'Supuestos'!$B$8*$E9)</x:f>
      </x:c>
      <x:c r="X9" s="39" t="str">
        <x:f>IF($E9="","",'Supuestos'!$B$8*$E9)</x:f>
      </x:c>
      <x:c r="Y9" s="39" t="str">
        <x:f>IF($E9="","",'Supuestos'!$B$8*$E9)</x:f>
      </x:c>
      <x:c r="Z9" s="39" t="str">
        <x:f>IF($E9="","",'Supuestos'!$B$8*$E9)</x:f>
      </x:c>
      <x:c r="AA9" s="39" t="str">
        <x:f>IF($E9="","",'Supuestos'!$B$8*$E9)</x:f>
      </x:c>
      <x:c r="AB9" s="39" t="str">
        <x:f>IF($E9="","",'Supuestos'!$B$8*$E9)</x:f>
      </x:c>
      <x:c r="AC9" s="39" t="str">
        <x:f>IF($E9="","",'Supuestos'!$B$8*$E9)</x:f>
      </x:c>
      <x:c r="AD9" s="39" t="str">
        <x:f>IF($E9="","",'Supuestos'!$B$8*$E9)</x:f>
      </x:c>
      <x:c r="AE9" s="39" t="str">
        <x:f>IF($E9="","",'Supuestos'!$B$8*$E9)</x:f>
      </x:c>
      <x:c r="AF9" s="39" t="str">
        <x:f>IF($E9="","",'Supuestos'!$B$8*$E9)</x:f>
      </x:c>
      <x:c r="AG9" s="39" t="str">
        <x:f>IF($E9="","",'Supuestos'!$B$8*$E9)</x:f>
      </x:c>
      <x:c r="AH9" s="39" t="str">
        <x:f>IF($E9="","",'Supuestos'!$B$8*$E9)</x:f>
      </x:c>
      <x:c r="AI9" s="39" t="str">
        <x:f>IF($E9="","",'Supuestos'!$B$8*$E9)</x:f>
      </x:c>
      <x:c r="AJ9" s="39" t="str">
        <x:f>IF($E9="","",'Supuestos'!$B$8*$E9)</x:f>
      </x:c>
      <x:c r="AK9" s="39" t="str">
        <x:f>IF($E9="","",'Supuestos'!$B$8*$E9)</x:f>
      </x:c>
      <x:c r="AL9" s="39" t="str">
        <x:f>IF($E9="","",'Supuestos'!$B$8*$E9)</x:f>
      </x:c>
      <x:c r="AM9" s="39" t="str">
        <x:f>IF($E9="","",'Supuestos'!$B$8*$E9)</x:f>
      </x:c>
      <x:c r="AN9" s="39" t="str">
        <x:f>IF($E9="","",'Supuestos'!$B$8*$E9)</x:f>
      </x:c>
      <x:c r="AO9" s="39" t="str">
        <x:f>IF($E9="","",'Supuestos'!$B$8*$E9)</x:f>
      </x:c>
      <x:c r="AP9" s="39" t="str">
        <x:f>IF($E9="","",'Supuestos'!$B$8*$E9)</x:f>
      </x:c>
      <x:c r="AQ9" s="39" t="str">
        <x:f>IF($E9="","",'Supuestos'!$B$8*$E9)</x:f>
      </x:c>
      <x:c r="AR9" s="39" t="str">
        <x:f>IF($E9="","",'Supuestos'!$B$8*$E9)</x:f>
      </x:c>
      <x:c r="AS9" s="39" t="str">
        <x:f>IF($E9="","",'Supuestos'!$B$8*$E9)</x:f>
      </x:c>
      <x:c r="AT9" s="39" t="str">
        <x:f>IF($E9="","",'Supuestos'!$B$8*$E9)</x:f>
      </x:c>
      <x:c r="AU9" s="39" t="str">
        <x:f>IF($E9="","",'Supuestos'!$B$8*$E9)</x:f>
      </x:c>
      <x:c r="AV9" s="39" t="str">
        <x:f>IF($E9="","",'Supuestos'!$B$8*$E9)</x:f>
      </x:c>
      <x:c r="AW9" s="39" t="str">
        <x:f>IF($E9="","",'Supuestos'!$B$8*$E9)</x:f>
      </x:c>
      <x:c r="AX9" s="39" t="str">
        <x:f>IF($E9="","",'Supuestos'!$B$8*$E9)</x:f>
      </x:c>
      <x:c r="AY9" s="39" t="str">
        <x:f>IF($E9="","",'Supuestos'!$B$8*$E9)</x:f>
      </x:c>
      <x:c r="AZ9" s="39" t="str">
        <x:f>IF($E9="","",'Supuestos'!$B$8*$E9)</x:f>
      </x:c>
      <x:c r="BA9" s="39" t="str">
        <x:f>IF($E9="","",'Supuestos'!$B$8*$E9)</x:f>
      </x:c>
      <x:c r="BB9" s="39" t="str">
        <x:f>IF($E9="","",'Supuestos'!$B$8*$E9)</x:f>
      </x:c>
      <x:c r="BC9" s="39" t="str">
        <x:f>IF($E9="","",'Supuestos'!$B$8*$E9)</x:f>
      </x:c>
      <x:c r="BD9" s="39" t="str">
        <x:f>IF($E9="","",'Supuestos'!$B$8*$E9)</x:f>
      </x:c>
      <x:c r="BE9" s="39" t="str">
        <x:f>IF($E9="","",'Supuestos'!$B$8*$E9)</x:f>
      </x:c>
      <x:c r="BF9" s="39" t="str">
        <x:f>IF($E9="","",'Supuestos'!$B$8*$E9)</x:f>
      </x:c>
      <x:c r="BG9" s="39" t="str">
        <x:f>IF($E9="","",'Supuestos'!$B$8*$E9)</x:f>
      </x:c>
      <x:c r="BH9" s="39" t="str">
        <x:f>IF($E9="","",'Supuestos'!$B$8*$E9)</x:f>
      </x:c>
      <x:c r="BI9" s="39" t="str">
        <x:f>IF($E9="","",'Supuestos'!$B$8*$E9)</x:f>
      </x:c>
      <x:c r="BJ9" s="39" t="str">
        <x:f>IF($E9="","",'Supuestos'!$B$8*$E9)</x:f>
      </x:c>
      <x:c r="BK9" s="39" t="str">
        <x:f>IF($E9="","",'Supuestos'!$B$8*$E9)</x:f>
      </x:c>
      <x:c r="BL9" s="39" t="str">
        <x:f>IF($E9="","",'Supuestos'!$B$8*$E9)</x:f>
      </x:c>
      <x:c r="BM9" s="39" t="str">
        <x:f>IF($E9="","",'Supuestos'!$B$8*$E9)</x:f>
      </x:c>
      <x:c r="BN9" s="39" t="str">
        <x:f>IF($E9="","",'Supuestos'!$B$8*$E9)</x:f>
      </x:c>
      <x:c r="BO9" s="47" t="str">
        <x:f>IF(COUNT(G9:BN9)=0,"",SUM(G9:BN9))</x:f>
      </x:c>
    </x:row>
    <x:row r="10">
      <x:c r="A10" s="16" t="str">
        <x:v>SCL-DBST</x:v>
      </x:c>
      <x:c r="B10" s="17" t="str">
        <x:v>Santiago</x:v>
      </x:c>
      <x:c r="C10" s="17" t="str">
        <x:v>Almacenamiento de base de datos</x:v>
      </x:c>
      <x:c r="D10" s="17" t="str">
        <x:v>GiB-mes</x:v>
      </x:c>
      <x:c r="E10" s="38" t="str">
        <x:f>IF('Fuentes y Cotizaciones'!F10="","",'Fuentes y Cotizaciones'!F10)</x:f>
      </x:c>
      <x:c r="F10" s="17" t="str">
        <x:v>GiB de BD</x:v>
      </x:c>
      <x:c r="G10" s="39" t="str">
        <x:f>IF($E10="","",'Supuestos'!$B$15*$E10)</x:f>
      </x:c>
      <x:c r="H10" s="39" t="str">
        <x:f>IF($E10="","",'Supuestos'!$B$15*$E10)</x:f>
      </x:c>
      <x:c r="I10" s="39" t="str">
        <x:f>IF($E10="","",'Supuestos'!$B$15*$E10)</x:f>
      </x:c>
      <x:c r="J10" s="39" t="str">
        <x:f>IF($E10="","",'Supuestos'!$B$15*$E10)</x:f>
      </x:c>
      <x:c r="K10" s="39" t="str">
        <x:f>IF($E10="","",'Supuestos'!$B$15*$E10)</x:f>
      </x:c>
      <x:c r="L10" s="39" t="str">
        <x:f>IF($E10="","",'Supuestos'!$B$15*$E10)</x:f>
      </x:c>
      <x:c r="M10" s="39" t="str">
        <x:f>IF($E10="","",'Supuestos'!$B$15*$E10)</x:f>
      </x:c>
      <x:c r="N10" s="39" t="str">
        <x:f>IF($E10="","",'Supuestos'!$B$15*$E10)</x:f>
      </x:c>
      <x:c r="O10" s="39" t="str">
        <x:f>IF($E10="","",'Supuestos'!$B$15*$E10)</x:f>
      </x:c>
      <x:c r="P10" s="39" t="str">
        <x:f>IF($E10="","",'Supuestos'!$B$15*$E10)</x:f>
      </x:c>
      <x:c r="Q10" s="39" t="str">
        <x:f>IF($E10="","",'Supuestos'!$B$15*$E10)</x:f>
      </x:c>
      <x:c r="R10" s="39" t="str">
        <x:f>IF($E10="","",'Supuestos'!$B$15*$E10)</x:f>
      </x:c>
      <x:c r="S10" s="39" t="str">
        <x:f>IF($E10="","",'Supuestos'!$B$15*$E10)</x:f>
      </x:c>
      <x:c r="T10" s="39" t="str">
        <x:f>IF($E10="","",'Supuestos'!$B$15*$E10)</x:f>
      </x:c>
      <x:c r="U10" s="39" t="str">
        <x:f>IF($E10="","",'Supuestos'!$B$15*$E10)</x:f>
      </x:c>
      <x:c r="V10" s="39" t="str">
        <x:f>IF($E10="","",'Supuestos'!$B$15*$E10)</x:f>
      </x:c>
      <x:c r="W10" s="39" t="str">
        <x:f>IF($E10="","",'Supuestos'!$B$15*$E10)</x:f>
      </x:c>
      <x:c r="X10" s="39" t="str">
        <x:f>IF($E10="","",'Supuestos'!$B$15*$E10)</x:f>
      </x:c>
      <x:c r="Y10" s="39" t="str">
        <x:f>IF($E10="","",'Supuestos'!$B$15*$E10)</x:f>
      </x:c>
      <x:c r="Z10" s="39" t="str">
        <x:f>IF($E10="","",'Supuestos'!$B$15*$E10)</x:f>
      </x:c>
      <x:c r="AA10" s="39" t="str">
        <x:f>IF($E10="","",'Supuestos'!$B$15*$E10)</x:f>
      </x:c>
      <x:c r="AB10" s="39" t="str">
        <x:f>IF($E10="","",'Supuestos'!$B$15*$E10)</x:f>
      </x:c>
      <x:c r="AC10" s="39" t="str">
        <x:f>IF($E10="","",'Supuestos'!$B$15*$E10)</x:f>
      </x:c>
      <x:c r="AD10" s="39" t="str">
        <x:f>IF($E10="","",'Supuestos'!$B$15*$E10)</x:f>
      </x:c>
      <x:c r="AE10" s="39" t="str">
        <x:f>IF($E10="","",'Supuestos'!$B$15*$E10)</x:f>
      </x:c>
      <x:c r="AF10" s="39" t="str">
        <x:f>IF($E10="","",'Supuestos'!$B$15*$E10)</x:f>
      </x:c>
      <x:c r="AG10" s="39" t="str">
        <x:f>IF($E10="","",'Supuestos'!$B$15*$E10)</x:f>
      </x:c>
      <x:c r="AH10" s="39" t="str">
        <x:f>IF($E10="","",'Supuestos'!$B$15*$E10)</x:f>
      </x:c>
      <x:c r="AI10" s="39" t="str">
        <x:f>IF($E10="","",'Supuestos'!$B$15*$E10)</x:f>
      </x:c>
      <x:c r="AJ10" s="39" t="str">
        <x:f>IF($E10="","",'Supuestos'!$B$15*$E10)</x:f>
      </x:c>
      <x:c r="AK10" s="39" t="str">
        <x:f>IF($E10="","",'Supuestos'!$B$15*$E10)</x:f>
      </x:c>
      <x:c r="AL10" s="39" t="str">
        <x:f>IF($E10="","",'Supuestos'!$B$15*$E10)</x:f>
      </x:c>
      <x:c r="AM10" s="39" t="str">
        <x:f>IF($E10="","",'Supuestos'!$B$15*$E10)</x:f>
      </x:c>
      <x:c r="AN10" s="39" t="str">
        <x:f>IF($E10="","",'Supuestos'!$B$15*$E10)</x:f>
      </x:c>
      <x:c r="AO10" s="39" t="str">
        <x:f>IF($E10="","",'Supuestos'!$B$15*$E10)</x:f>
      </x:c>
      <x:c r="AP10" s="39" t="str">
        <x:f>IF($E10="","",'Supuestos'!$B$15*$E10)</x:f>
      </x:c>
      <x:c r="AQ10" s="39" t="str">
        <x:f>IF($E10="","",'Supuestos'!$B$15*$E10)</x:f>
      </x:c>
      <x:c r="AR10" s="39" t="str">
        <x:f>IF($E10="","",'Supuestos'!$B$15*$E10)</x:f>
      </x:c>
      <x:c r="AS10" s="39" t="str">
        <x:f>IF($E10="","",'Supuestos'!$B$15*$E10)</x:f>
      </x:c>
      <x:c r="AT10" s="39" t="str">
        <x:f>IF($E10="","",'Supuestos'!$B$15*$E10)</x:f>
      </x:c>
      <x:c r="AU10" s="39" t="str">
        <x:f>IF($E10="","",'Supuestos'!$B$15*$E10)</x:f>
      </x:c>
      <x:c r="AV10" s="39" t="str">
        <x:f>IF($E10="","",'Supuestos'!$B$15*$E10)</x:f>
      </x:c>
      <x:c r="AW10" s="39" t="str">
        <x:f>IF($E10="","",'Supuestos'!$B$15*$E10)</x:f>
      </x:c>
      <x:c r="AX10" s="39" t="str">
        <x:f>IF($E10="","",'Supuestos'!$B$15*$E10)</x:f>
      </x:c>
      <x:c r="AY10" s="39" t="str">
        <x:f>IF($E10="","",'Supuestos'!$B$15*$E10)</x:f>
      </x:c>
      <x:c r="AZ10" s="39" t="str">
        <x:f>IF($E10="","",'Supuestos'!$B$15*$E10)</x:f>
      </x:c>
      <x:c r="BA10" s="39" t="str">
        <x:f>IF($E10="","",'Supuestos'!$B$15*$E10)</x:f>
      </x:c>
      <x:c r="BB10" s="39" t="str">
        <x:f>IF($E10="","",'Supuestos'!$B$15*$E10)</x:f>
      </x:c>
      <x:c r="BC10" s="39" t="str">
        <x:f>IF($E10="","",'Supuestos'!$B$15*$E10)</x:f>
      </x:c>
      <x:c r="BD10" s="39" t="str">
        <x:f>IF($E10="","",'Supuestos'!$B$15*$E10)</x:f>
      </x:c>
      <x:c r="BE10" s="39" t="str">
        <x:f>IF($E10="","",'Supuestos'!$B$15*$E10)</x:f>
      </x:c>
      <x:c r="BF10" s="39" t="str">
        <x:f>IF($E10="","",'Supuestos'!$B$15*$E10)</x:f>
      </x:c>
      <x:c r="BG10" s="39" t="str">
        <x:f>IF($E10="","",'Supuestos'!$B$15*$E10)</x:f>
      </x:c>
      <x:c r="BH10" s="39" t="str">
        <x:f>IF($E10="","",'Supuestos'!$B$15*$E10)</x:f>
      </x:c>
      <x:c r="BI10" s="39" t="str">
        <x:f>IF($E10="","",'Supuestos'!$B$15*$E10)</x:f>
      </x:c>
      <x:c r="BJ10" s="39" t="str">
        <x:f>IF($E10="","",'Supuestos'!$B$15*$E10)</x:f>
      </x:c>
      <x:c r="BK10" s="39" t="str">
        <x:f>IF($E10="","",'Supuestos'!$B$15*$E10)</x:f>
      </x:c>
      <x:c r="BL10" s="39" t="str">
        <x:f>IF($E10="","",'Supuestos'!$B$15*$E10)</x:f>
      </x:c>
      <x:c r="BM10" s="39" t="str">
        <x:f>IF($E10="","",'Supuestos'!$B$15*$E10)</x:f>
      </x:c>
      <x:c r="BN10" s="39" t="str">
        <x:f>IF($E10="","",'Supuestos'!$B$15*$E10)</x:f>
      </x:c>
      <x:c r="BO10" s="47" t="str">
        <x:f>IF(COUNT(G10:BN10)=0,"",SUM(G10:BN10))</x:f>
      </x:c>
    </x:row>
    <x:row r="11">
      <x:c r="A11" s="16" t="str">
        <x:v>SCL-OBJ</x:v>
      </x:c>
      <x:c r="B11" s="17" t="str">
        <x:v>Santiago</x:v>
      </x:c>
      <x:c r="C11" s="17" t="str">
        <x:v>Almacenamiento de objetos</x:v>
      </x:c>
      <x:c r="D11" s="17" t="str">
        <x:v>GiB-mes</x:v>
      </x:c>
      <x:c r="E11" s="38" t="str">
        <x:f>IF('Fuentes y Cotizaciones'!F11="","",'Fuentes y Cotizaciones'!F11)</x:f>
      </x:c>
      <x:c r="F11" s="17" t="str">
        <x:v>objetos iniciales con crecimiento anual</x:v>
      </x:c>
      <x:c r="G11" s="39" t="str">
        <x:f>IF($E11="","",'Supuestos'!$B$16*1*$E11)</x:f>
      </x:c>
      <x:c r="H11" s="39" t="str">
        <x:f>IF($E11="","",'Supuestos'!$B$16*(1+'Supuestos'!$B$17)^(1/12)*$E11)</x:f>
      </x:c>
      <x:c r="I11" s="39" t="str">
        <x:f>IF($E11="","",'Supuestos'!$B$16*(1+'Supuestos'!$B$17)^(2/12)*$E11)</x:f>
      </x:c>
      <x:c r="J11" s="39" t="str">
        <x:f>IF($E11="","",'Supuestos'!$B$16*(1+'Supuestos'!$B$17)^(3/12)*$E11)</x:f>
      </x:c>
      <x:c r="K11" s="39" t="str">
        <x:f>IF($E11="","",'Supuestos'!$B$16*(1+'Supuestos'!$B$17)^(4/12)*$E11)</x:f>
      </x:c>
      <x:c r="L11" s="39" t="str">
        <x:f>IF($E11="","",'Supuestos'!$B$16*(1+'Supuestos'!$B$17)^(5/12)*$E11)</x:f>
      </x:c>
      <x:c r="M11" s="39" t="str">
        <x:f>IF($E11="","",'Supuestos'!$B$16*(1+'Supuestos'!$B$17)^(6/12)*$E11)</x:f>
      </x:c>
      <x:c r="N11" s="39" t="str">
        <x:f>IF($E11="","",'Supuestos'!$B$16*(1+'Supuestos'!$B$17)^(7/12)*$E11)</x:f>
      </x:c>
      <x:c r="O11" s="39" t="str">
        <x:f>IF($E11="","",'Supuestos'!$B$16*(1+'Supuestos'!$B$17)^(8/12)*$E11)</x:f>
      </x:c>
      <x:c r="P11" s="39" t="str">
        <x:f>IF($E11="","",'Supuestos'!$B$16*(1+'Supuestos'!$B$17)^(9/12)*$E11)</x:f>
      </x:c>
      <x:c r="Q11" s="39" t="str">
        <x:f>IF($E11="","",'Supuestos'!$B$16*(1+'Supuestos'!$B$17)^(10/12)*$E11)</x:f>
      </x:c>
      <x:c r="R11" s="39" t="str">
        <x:f>IF($E11="","",'Supuestos'!$B$16*(1+'Supuestos'!$B$17)^(11/12)*$E11)</x:f>
      </x:c>
      <x:c r="S11" s="39" t="str">
        <x:f>IF($E11="","",'Supuestos'!$B$16*(1+'Supuestos'!$B$17)^(12/12)*$E11)</x:f>
      </x:c>
      <x:c r="T11" s="39" t="str">
        <x:f>IF($E11="","",'Supuestos'!$B$16*(1+'Supuestos'!$B$17)^(13/12)*$E11)</x:f>
      </x:c>
      <x:c r="U11" s="39" t="str">
        <x:f>IF($E11="","",'Supuestos'!$B$16*(1+'Supuestos'!$B$17)^(14/12)*$E11)</x:f>
      </x:c>
      <x:c r="V11" s="39" t="str">
        <x:f>IF($E11="","",'Supuestos'!$B$16*(1+'Supuestos'!$B$17)^(15/12)*$E11)</x:f>
      </x:c>
      <x:c r="W11" s="39" t="str">
        <x:f>IF($E11="","",'Supuestos'!$B$16*(1+'Supuestos'!$B$17)^(16/12)*$E11)</x:f>
      </x:c>
      <x:c r="X11" s="39" t="str">
        <x:f>IF($E11="","",'Supuestos'!$B$16*(1+'Supuestos'!$B$17)^(17/12)*$E11)</x:f>
      </x:c>
      <x:c r="Y11" s="39" t="str">
        <x:f>IF($E11="","",'Supuestos'!$B$16*(1+'Supuestos'!$B$17)^(18/12)*$E11)</x:f>
      </x:c>
      <x:c r="Z11" s="39" t="str">
        <x:f>IF($E11="","",'Supuestos'!$B$16*(1+'Supuestos'!$B$17)^(19/12)*$E11)</x:f>
      </x:c>
      <x:c r="AA11" s="39" t="str">
        <x:f>IF($E11="","",'Supuestos'!$B$16*(1+'Supuestos'!$B$17)^(20/12)*$E11)</x:f>
      </x:c>
      <x:c r="AB11" s="39" t="str">
        <x:f>IF($E11="","",'Supuestos'!$B$16*(1+'Supuestos'!$B$17)^(21/12)*$E11)</x:f>
      </x:c>
      <x:c r="AC11" s="39" t="str">
        <x:f>IF($E11="","",'Supuestos'!$B$16*(1+'Supuestos'!$B$17)^(22/12)*$E11)</x:f>
      </x:c>
      <x:c r="AD11" s="39" t="str">
        <x:f>IF($E11="","",'Supuestos'!$B$16*(1+'Supuestos'!$B$17)^(23/12)*$E11)</x:f>
      </x:c>
      <x:c r="AE11" s="39" t="str">
        <x:f>IF($E11="","",'Supuestos'!$B$16*(1+'Supuestos'!$B$17)^(24/12)*$E11)</x:f>
      </x:c>
      <x:c r="AF11" s="39" t="str">
        <x:f>IF($E11="","",'Supuestos'!$B$16*(1+'Supuestos'!$B$17)^(25/12)*$E11)</x:f>
      </x:c>
      <x:c r="AG11" s="39" t="str">
        <x:f>IF($E11="","",'Supuestos'!$B$16*(1+'Supuestos'!$B$17)^(26/12)*$E11)</x:f>
      </x:c>
      <x:c r="AH11" s="39" t="str">
        <x:f>IF($E11="","",'Supuestos'!$B$16*(1+'Supuestos'!$B$17)^(27/12)*$E11)</x:f>
      </x:c>
      <x:c r="AI11" s="39" t="str">
        <x:f>IF($E11="","",'Supuestos'!$B$16*(1+'Supuestos'!$B$17)^(28/12)*$E11)</x:f>
      </x:c>
      <x:c r="AJ11" s="39" t="str">
        <x:f>IF($E11="","",'Supuestos'!$B$16*(1+'Supuestos'!$B$17)^(29/12)*$E11)</x:f>
      </x:c>
      <x:c r="AK11" s="39" t="str">
        <x:f>IF($E11="","",'Supuestos'!$B$16*(1+'Supuestos'!$B$17)^(30/12)*$E11)</x:f>
      </x:c>
      <x:c r="AL11" s="39" t="str">
        <x:f>IF($E11="","",'Supuestos'!$B$16*(1+'Supuestos'!$B$17)^(31/12)*$E11)</x:f>
      </x:c>
      <x:c r="AM11" s="39" t="str">
        <x:f>IF($E11="","",'Supuestos'!$B$16*(1+'Supuestos'!$B$17)^(32/12)*$E11)</x:f>
      </x:c>
      <x:c r="AN11" s="39" t="str">
        <x:f>IF($E11="","",'Supuestos'!$B$16*(1+'Supuestos'!$B$17)^(33/12)*$E11)</x:f>
      </x:c>
      <x:c r="AO11" s="39" t="str">
        <x:f>IF($E11="","",'Supuestos'!$B$16*(1+'Supuestos'!$B$17)^(34/12)*$E11)</x:f>
      </x:c>
      <x:c r="AP11" s="39" t="str">
        <x:f>IF($E11="","",'Supuestos'!$B$16*(1+'Supuestos'!$B$17)^(35/12)*$E11)</x:f>
      </x:c>
      <x:c r="AQ11" s="39" t="str">
        <x:f>IF($E11="","",'Supuestos'!$B$16*(1+'Supuestos'!$B$17)^(36/12)*$E11)</x:f>
      </x:c>
      <x:c r="AR11" s="39" t="str">
        <x:f>IF($E11="","",'Supuestos'!$B$16*(1+'Supuestos'!$B$17)^(37/12)*$E11)</x:f>
      </x:c>
      <x:c r="AS11" s="39" t="str">
        <x:f>IF($E11="","",'Supuestos'!$B$16*(1+'Supuestos'!$B$17)^(38/12)*$E11)</x:f>
      </x:c>
      <x:c r="AT11" s="39" t="str">
        <x:f>IF($E11="","",'Supuestos'!$B$16*(1+'Supuestos'!$B$17)^(39/12)*$E11)</x:f>
      </x:c>
      <x:c r="AU11" s="39" t="str">
        <x:f>IF($E11="","",'Supuestos'!$B$16*(1+'Supuestos'!$B$17)^(40/12)*$E11)</x:f>
      </x:c>
      <x:c r="AV11" s="39" t="str">
        <x:f>IF($E11="","",'Supuestos'!$B$16*(1+'Supuestos'!$B$17)^(41/12)*$E11)</x:f>
      </x:c>
      <x:c r="AW11" s="39" t="str">
        <x:f>IF($E11="","",'Supuestos'!$B$16*(1+'Supuestos'!$B$17)^(42/12)*$E11)</x:f>
      </x:c>
      <x:c r="AX11" s="39" t="str">
        <x:f>IF($E11="","",'Supuestos'!$B$16*(1+'Supuestos'!$B$17)^(43/12)*$E11)</x:f>
      </x:c>
      <x:c r="AY11" s="39" t="str">
        <x:f>IF($E11="","",'Supuestos'!$B$16*(1+'Supuestos'!$B$17)^(44/12)*$E11)</x:f>
      </x:c>
      <x:c r="AZ11" s="39" t="str">
        <x:f>IF($E11="","",'Supuestos'!$B$16*(1+'Supuestos'!$B$17)^(45/12)*$E11)</x:f>
      </x:c>
      <x:c r="BA11" s="39" t="str">
        <x:f>IF($E11="","",'Supuestos'!$B$16*(1+'Supuestos'!$B$17)^(46/12)*$E11)</x:f>
      </x:c>
      <x:c r="BB11" s="39" t="str">
        <x:f>IF($E11="","",'Supuestos'!$B$16*(1+'Supuestos'!$B$17)^(47/12)*$E11)</x:f>
      </x:c>
      <x:c r="BC11" s="39" t="str">
        <x:f>IF($E11="","",'Supuestos'!$B$16*(1+'Supuestos'!$B$17)^(48/12)*$E11)</x:f>
      </x:c>
      <x:c r="BD11" s="39" t="str">
        <x:f>IF($E11="","",'Supuestos'!$B$16*(1+'Supuestos'!$B$17)^(49/12)*$E11)</x:f>
      </x:c>
      <x:c r="BE11" s="39" t="str">
        <x:f>IF($E11="","",'Supuestos'!$B$16*(1+'Supuestos'!$B$17)^(50/12)*$E11)</x:f>
      </x:c>
      <x:c r="BF11" s="39" t="str">
        <x:f>IF($E11="","",'Supuestos'!$B$16*(1+'Supuestos'!$B$17)^(51/12)*$E11)</x:f>
      </x:c>
      <x:c r="BG11" s="39" t="str">
        <x:f>IF($E11="","",'Supuestos'!$B$16*(1+'Supuestos'!$B$17)^(52/12)*$E11)</x:f>
      </x:c>
      <x:c r="BH11" s="39" t="str">
        <x:f>IF($E11="","",'Supuestos'!$B$16*(1+'Supuestos'!$B$17)^(53/12)*$E11)</x:f>
      </x:c>
      <x:c r="BI11" s="39" t="str">
        <x:f>IF($E11="","",'Supuestos'!$B$16*(1+'Supuestos'!$B$17)^(54/12)*$E11)</x:f>
      </x:c>
      <x:c r="BJ11" s="39" t="str">
        <x:f>IF($E11="","",'Supuestos'!$B$16*(1+'Supuestos'!$B$17)^(55/12)*$E11)</x:f>
      </x:c>
      <x:c r="BK11" s="39" t="str">
        <x:f>IF($E11="","",'Supuestos'!$B$16*(1+'Supuestos'!$B$17)^(56/12)*$E11)</x:f>
      </x:c>
      <x:c r="BL11" s="39" t="str">
        <x:f>IF($E11="","",'Supuestos'!$B$16*(1+'Supuestos'!$B$17)^(57/12)*$E11)</x:f>
      </x:c>
      <x:c r="BM11" s="39" t="str">
        <x:f>IF($E11="","",'Supuestos'!$B$16*(1+'Supuestos'!$B$17)^(58/12)*$E11)</x:f>
      </x:c>
      <x:c r="BN11" s="39" t="str">
        <x:f>IF($E11="","",'Supuestos'!$B$16*(1+'Supuestos'!$B$17)^(59/12)*$E11)</x:f>
      </x:c>
      <x:c r="BO11" s="47" t="str">
        <x:f>IF(COUNT(G11:BN11)=0,"",SUM(G11:BN11))</x:f>
      </x:c>
    </x:row>
    <x:row r="12">
      <x:c r="A12" s="16" t="str">
        <x:v>SCL-EGR</x:v>
      </x:c>
      <x:c r="B12" s="17" t="str">
        <x:v>Santiago</x:v>
      </x:c>
      <x:c r="C12" s="17" t="str">
        <x:v>Egreso a Internet</x:v>
      </x:c>
      <x:c r="D12" s="17" t="str">
        <x:v>GB</x:v>
      </x:c>
      <x:c r="E12" s="38" t="str">
        <x:f>IF('Fuentes y Cotizaciones'!F12="","",'Fuentes y Cotizaciones'!F12)</x:f>
      </x:c>
      <x:c r="F12" s="17" t="str">
        <x:v>egreso mensual</x:v>
      </x:c>
      <x:c r="G12" s="39" t="str">
        <x:f>IF($E12="","",'Supuestos'!$B$18*$E12)</x:f>
      </x:c>
      <x:c r="H12" s="39" t="str">
        <x:f>IF($E12="","",'Supuestos'!$B$18*$E12)</x:f>
      </x:c>
      <x:c r="I12" s="39" t="str">
        <x:f>IF($E12="","",'Supuestos'!$B$18*$E12)</x:f>
      </x:c>
      <x:c r="J12" s="39" t="str">
        <x:f>IF($E12="","",'Supuestos'!$B$18*$E12)</x:f>
      </x:c>
      <x:c r="K12" s="39" t="str">
        <x:f>IF($E12="","",'Supuestos'!$B$18*$E12)</x:f>
      </x:c>
      <x:c r="L12" s="39" t="str">
        <x:f>IF($E12="","",'Supuestos'!$B$18*$E12)</x:f>
      </x:c>
      <x:c r="M12" s="39" t="str">
        <x:f>IF($E12="","",'Supuestos'!$B$18*$E12)</x:f>
      </x:c>
      <x:c r="N12" s="39" t="str">
        <x:f>IF($E12="","",'Supuestos'!$B$18*$E12)</x:f>
      </x:c>
      <x:c r="O12" s="39" t="str">
        <x:f>IF($E12="","",'Supuestos'!$B$18*$E12)</x:f>
      </x:c>
      <x:c r="P12" s="39" t="str">
        <x:f>IF($E12="","",'Supuestos'!$B$18*$E12)</x:f>
      </x:c>
      <x:c r="Q12" s="39" t="str">
        <x:f>IF($E12="","",'Supuestos'!$B$18*$E12)</x:f>
      </x:c>
      <x:c r="R12" s="39" t="str">
        <x:f>IF($E12="","",'Supuestos'!$B$18*$E12)</x:f>
      </x:c>
      <x:c r="S12" s="39" t="str">
        <x:f>IF($E12="","",'Supuestos'!$B$18*$E12)</x:f>
      </x:c>
      <x:c r="T12" s="39" t="str">
        <x:f>IF($E12="","",'Supuestos'!$B$18*$E12)</x:f>
      </x:c>
      <x:c r="U12" s="39" t="str">
        <x:f>IF($E12="","",'Supuestos'!$B$18*$E12)</x:f>
      </x:c>
      <x:c r="V12" s="39" t="str">
        <x:f>IF($E12="","",'Supuestos'!$B$18*$E12)</x:f>
      </x:c>
      <x:c r="W12" s="39" t="str">
        <x:f>IF($E12="","",'Supuestos'!$B$18*$E12)</x:f>
      </x:c>
      <x:c r="X12" s="39" t="str">
        <x:f>IF($E12="","",'Supuestos'!$B$18*$E12)</x:f>
      </x:c>
      <x:c r="Y12" s="39" t="str">
        <x:f>IF($E12="","",'Supuestos'!$B$18*$E12)</x:f>
      </x:c>
      <x:c r="Z12" s="39" t="str">
        <x:f>IF($E12="","",'Supuestos'!$B$18*$E12)</x:f>
      </x:c>
      <x:c r="AA12" s="39" t="str">
        <x:f>IF($E12="","",'Supuestos'!$B$18*$E12)</x:f>
      </x:c>
      <x:c r="AB12" s="39" t="str">
        <x:f>IF($E12="","",'Supuestos'!$B$18*$E12)</x:f>
      </x:c>
      <x:c r="AC12" s="39" t="str">
        <x:f>IF($E12="","",'Supuestos'!$B$18*$E12)</x:f>
      </x:c>
      <x:c r="AD12" s="39" t="str">
        <x:f>IF($E12="","",'Supuestos'!$B$18*$E12)</x:f>
      </x:c>
      <x:c r="AE12" s="39" t="str">
        <x:f>IF($E12="","",'Supuestos'!$B$18*$E12)</x:f>
      </x:c>
      <x:c r="AF12" s="39" t="str">
        <x:f>IF($E12="","",'Supuestos'!$B$18*$E12)</x:f>
      </x:c>
      <x:c r="AG12" s="39" t="str">
        <x:f>IF($E12="","",'Supuestos'!$B$18*$E12)</x:f>
      </x:c>
      <x:c r="AH12" s="39" t="str">
        <x:f>IF($E12="","",'Supuestos'!$B$18*$E12)</x:f>
      </x:c>
      <x:c r="AI12" s="39" t="str">
        <x:f>IF($E12="","",'Supuestos'!$B$18*$E12)</x:f>
      </x:c>
      <x:c r="AJ12" s="39" t="str">
        <x:f>IF($E12="","",'Supuestos'!$B$18*$E12)</x:f>
      </x:c>
      <x:c r="AK12" s="39" t="str">
        <x:f>IF($E12="","",'Supuestos'!$B$18*$E12)</x:f>
      </x:c>
      <x:c r="AL12" s="39" t="str">
        <x:f>IF($E12="","",'Supuestos'!$B$18*$E12)</x:f>
      </x:c>
      <x:c r="AM12" s="39" t="str">
        <x:f>IF($E12="","",'Supuestos'!$B$18*$E12)</x:f>
      </x:c>
      <x:c r="AN12" s="39" t="str">
        <x:f>IF($E12="","",'Supuestos'!$B$18*$E12)</x:f>
      </x:c>
      <x:c r="AO12" s="39" t="str">
        <x:f>IF($E12="","",'Supuestos'!$B$18*$E12)</x:f>
      </x:c>
      <x:c r="AP12" s="39" t="str">
        <x:f>IF($E12="","",'Supuestos'!$B$18*$E12)</x:f>
      </x:c>
      <x:c r="AQ12" s="39" t="str">
        <x:f>IF($E12="","",'Supuestos'!$B$18*$E12)</x:f>
      </x:c>
      <x:c r="AR12" s="39" t="str">
        <x:f>IF($E12="","",'Supuestos'!$B$18*$E12)</x:f>
      </x:c>
      <x:c r="AS12" s="39" t="str">
        <x:f>IF($E12="","",'Supuestos'!$B$18*$E12)</x:f>
      </x:c>
      <x:c r="AT12" s="39" t="str">
        <x:f>IF($E12="","",'Supuestos'!$B$18*$E12)</x:f>
      </x:c>
      <x:c r="AU12" s="39" t="str">
        <x:f>IF($E12="","",'Supuestos'!$B$18*$E12)</x:f>
      </x:c>
      <x:c r="AV12" s="39" t="str">
        <x:f>IF($E12="","",'Supuestos'!$B$18*$E12)</x:f>
      </x:c>
      <x:c r="AW12" s="39" t="str">
        <x:f>IF($E12="","",'Supuestos'!$B$18*$E12)</x:f>
      </x:c>
      <x:c r="AX12" s="39" t="str">
        <x:f>IF($E12="","",'Supuestos'!$B$18*$E12)</x:f>
      </x:c>
      <x:c r="AY12" s="39" t="str">
        <x:f>IF($E12="","",'Supuestos'!$B$18*$E12)</x:f>
      </x:c>
      <x:c r="AZ12" s="39" t="str">
        <x:f>IF($E12="","",'Supuestos'!$B$18*$E12)</x:f>
      </x:c>
      <x:c r="BA12" s="39" t="str">
        <x:f>IF($E12="","",'Supuestos'!$B$18*$E12)</x:f>
      </x:c>
      <x:c r="BB12" s="39" t="str">
        <x:f>IF($E12="","",'Supuestos'!$B$18*$E12)</x:f>
      </x:c>
      <x:c r="BC12" s="39" t="str">
        <x:f>IF($E12="","",'Supuestos'!$B$18*$E12)</x:f>
      </x:c>
      <x:c r="BD12" s="39" t="str">
        <x:f>IF($E12="","",'Supuestos'!$B$18*$E12)</x:f>
      </x:c>
      <x:c r="BE12" s="39" t="str">
        <x:f>IF($E12="","",'Supuestos'!$B$18*$E12)</x:f>
      </x:c>
      <x:c r="BF12" s="39" t="str">
        <x:f>IF($E12="","",'Supuestos'!$B$18*$E12)</x:f>
      </x:c>
      <x:c r="BG12" s="39" t="str">
        <x:f>IF($E12="","",'Supuestos'!$B$18*$E12)</x:f>
      </x:c>
      <x:c r="BH12" s="39" t="str">
        <x:f>IF($E12="","",'Supuestos'!$B$18*$E12)</x:f>
      </x:c>
      <x:c r="BI12" s="39" t="str">
        <x:f>IF($E12="","",'Supuestos'!$B$18*$E12)</x:f>
      </x:c>
      <x:c r="BJ12" s="39" t="str">
        <x:f>IF($E12="","",'Supuestos'!$B$18*$E12)</x:f>
      </x:c>
      <x:c r="BK12" s="39" t="str">
        <x:f>IF($E12="","",'Supuestos'!$B$18*$E12)</x:f>
      </x:c>
      <x:c r="BL12" s="39" t="str">
        <x:f>IF($E12="","",'Supuestos'!$B$18*$E12)</x:f>
      </x:c>
      <x:c r="BM12" s="39" t="str">
        <x:f>IF($E12="","",'Supuestos'!$B$18*$E12)</x:f>
      </x:c>
      <x:c r="BN12" s="39" t="str">
        <x:f>IF($E12="","",'Supuestos'!$B$18*$E12)</x:f>
      </x:c>
      <x:c r="BO12" s="47" t="str">
        <x:f>IF(COUNT(G12:BN12)=0,"",SUM(G12:BN12))</x:f>
      </x:c>
    </x:row>
    <x:row r="13">
      <x:c r="A13" s="16" t="str">
        <x:v>SCL-NATH</x:v>
      </x:c>
      <x:c r="B13" s="17" t="str">
        <x:v>Santiago</x:v>
      </x:c>
      <x:c r="C13" s="17" t="str">
        <x:v>Cloud NAT</x:v>
      </x:c>
      <x:c r="D13" s="17" t="str">
        <x:v>hora</x:v>
      </x:c>
      <x:c r="E13" s="38" t="str">
        <x:f>IF('Fuentes y Cotizaciones'!F13="","",'Fuentes y Cotizaciones'!F13)</x:f>
      </x:c>
      <x:c r="F13" s="17" t="str">
        <x:v>horas/mes</x:v>
      </x:c>
      <x:c r="G13" s="39" t="str">
        <x:f>IF($E13="","",'Supuestos'!$B$8*$E13)</x:f>
      </x:c>
      <x:c r="H13" s="39" t="str">
        <x:f>IF($E13="","",'Supuestos'!$B$8*$E13)</x:f>
      </x:c>
      <x:c r="I13" s="39" t="str">
        <x:f>IF($E13="","",'Supuestos'!$B$8*$E13)</x:f>
      </x:c>
      <x:c r="J13" s="39" t="str">
        <x:f>IF($E13="","",'Supuestos'!$B$8*$E13)</x:f>
      </x:c>
      <x:c r="K13" s="39" t="str">
        <x:f>IF($E13="","",'Supuestos'!$B$8*$E13)</x:f>
      </x:c>
      <x:c r="L13" s="39" t="str">
        <x:f>IF($E13="","",'Supuestos'!$B$8*$E13)</x:f>
      </x:c>
      <x:c r="M13" s="39" t="str">
        <x:f>IF($E13="","",'Supuestos'!$B$8*$E13)</x:f>
      </x:c>
      <x:c r="N13" s="39" t="str">
        <x:f>IF($E13="","",'Supuestos'!$B$8*$E13)</x:f>
      </x:c>
      <x:c r="O13" s="39" t="str">
        <x:f>IF($E13="","",'Supuestos'!$B$8*$E13)</x:f>
      </x:c>
      <x:c r="P13" s="39" t="str">
        <x:f>IF($E13="","",'Supuestos'!$B$8*$E13)</x:f>
      </x:c>
      <x:c r="Q13" s="39" t="str">
        <x:f>IF($E13="","",'Supuestos'!$B$8*$E13)</x:f>
      </x:c>
      <x:c r="R13" s="39" t="str">
        <x:f>IF($E13="","",'Supuestos'!$B$8*$E13)</x:f>
      </x:c>
      <x:c r="S13" s="39" t="str">
        <x:f>IF($E13="","",'Supuestos'!$B$8*$E13)</x:f>
      </x:c>
      <x:c r="T13" s="39" t="str">
        <x:f>IF($E13="","",'Supuestos'!$B$8*$E13)</x:f>
      </x:c>
      <x:c r="U13" s="39" t="str">
        <x:f>IF($E13="","",'Supuestos'!$B$8*$E13)</x:f>
      </x:c>
      <x:c r="V13" s="39" t="str">
        <x:f>IF($E13="","",'Supuestos'!$B$8*$E13)</x:f>
      </x:c>
      <x:c r="W13" s="39" t="str">
        <x:f>IF($E13="","",'Supuestos'!$B$8*$E13)</x:f>
      </x:c>
      <x:c r="X13" s="39" t="str">
        <x:f>IF($E13="","",'Supuestos'!$B$8*$E13)</x:f>
      </x:c>
      <x:c r="Y13" s="39" t="str">
        <x:f>IF($E13="","",'Supuestos'!$B$8*$E13)</x:f>
      </x:c>
      <x:c r="Z13" s="39" t="str">
        <x:f>IF($E13="","",'Supuestos'!$B$8*$E13)</x:f>
      </x:c>
      <x:c r="AA13" s="39" t="str">
        <x:f>IF($E13="","",'Supuestos'!$B$8*$E13)</x:f>
      </x:c>
      <x:c r="AB13" s="39" t="str">
        <x:f>IF($E13="","",'Supuestos'!$B$8*$E13)</x:f>
      </x:c>
      <x:c r="AC13" s="39" t="str">
        <x:f>IF($E13="","",'Supuestos'!$B$8*$E13)</x:f>
      </x:c>
      <x:c r="AD13" s="39" t="str">
        <x:f>IF($E13="","",'Supuestos'!$B$8*$E13)</x:f>
      </x:c>
      <x:c r="AE13" s="39" t="str">
        <x:f>IF($E13="","",'Supuestos'!$B$8*$E13)</x:f>
      </x:c>
      <x:c r="AF13" s="39" t="str">
        <x:f>IF($E13="","",'Supuestos'!$B$8*$E13)</x:f>
      </x:c>
      <x:c r="AG13" s="39" t="str">
        <x:f>IF($E13="","",'Supuestos'!$B$8*$E13)</x:f>
      </x:c>
      <x:c r="AH13" s="39" t="str">
        <x:f>IF($E13="","",'Supuestos'!$B$8*$E13)</x:f>
      </x:c>
      <x:c r="AI13" s="39" t="str">
        <x:f>IF($E13="","",'Supuestos'!$B$8*$E13)</x:f>
      </x:c>
      <x:c r="AJ13" s="39" t="str">
        <x:f>IF($E13="","",'Supuestos'!$B$8*$E13)</x:f>
      </x:c>
      <x:c r="AK13" s="39" t="str">
        <x:f>IF($E13="","",'Supuestos'!$B$8*$E13)</x:f>
      </x:c>
      <x:c r="AL13" s="39" t="str">
        <x:f>IF($E13="","",'Supuestos'!$B$8*$E13)</x:f>
      </x:c>
      <x:c r="AM13" s="39" t="str">
        <x:f>IF($E13="","",'Supuestos'!$B$8*$E13)</x:f>
      </x:c>
      <x:c r="AN13" s="39" t="str">
        <x:f>IF($E13="","",'Supuestos'!$B$8*$E13)</x:f>
      </x:c>
      <x:c r="AO13" s="39" t="str">
        <x:f>IF($E13="","",'Supuestos'!$B$8*$E13)</x:f>
      </x:c>
      <x:c r="AP13" s="39" t="str">
        <x:f>IF($E13="","",'Supuestos'!$B$8*$E13)</x:f>
      </x:c>
      <x:c r="AQ13" s="39" t="str">
        <x:f>IF($E13="","",'Supuestos'!$B$8*$E13)</x:f>
      </x:c>
      <x:c r="AR13" s="39" t="str">
        <x:f>IF($E13="","",'Supuestos'!$B$8*$E13)</x:f>
      </x:c>
      <x:c r="AS13" s="39" t="str">
        <x:f>IF($E13="","",'Supuestos'!$B$8*$E13)</x:f>
      </x:c>
      <x:c r="AT13" s="39" t="str">
        <x:f>IF($E13="","",'Supuestos'!$B$8*$E13)</x:f>
      </x:c>
      <x:c r="AU13" s="39" t="str">
        <x:f>IF($E13="","",'Supuestos'!$B$8*$E13)</x:f>
      </x:c>
      <x:c r="AV13" s="39" t="str">
        <x:f>IF($E13="","",'Supuestos'!$B$8*$E13)</x:f>
      </x:c>
      <x:c r="AW13" s="39" t="str">
        <x:f>IF($E13="","",'Supuestos'!$B$8*$E13)</x:f>
      </x:c>
      <x:c r="AX13" s="39" t="str">
        <x:f>IF($E13="","",'Supuestos'!$B$8*$E13)</x:f>
      </x:c>
      <x:c r="AY13" s="39" t="str">
        <x:f>IF($E13="","",'Supuestos'!$B$8*$E13)</x:f>
      </x:c>
      <x:c r="AZ13" s="39" t="str">
        <x:f>IF($E13="","",'Supuestos'!$B$8*$E13)</x:f>
      </x:c>
      <x:c r="BA13" s="39" t="str">
        <x:f>IF($E13="","",'Supuestos'!$B$8*$E13)</x:f>
      </x:c>
      <x:c r="BB13" s="39" t="str">
        <x:f>IF($E13="","",'Supuestos'!$B$8*$E13)</x:f>
      </x:c>
      <x:c r="BC13" s="39" t="str">
        <x:f>IF($E13="","",'Supuestos'!$B$8*$E13)</x:f>
      </x:c>
      <x:c r="BD13" s="39" t="str">
        <x:f>IF($E13="","",'Supuestos'!$B$8*$E13)</x:f>
      </x:c>
      <x:c r="BE13" s="39" t="str">
        <x:f>IF($E13="","",'Supuestos'!$B$8*$E13)</x:f>
      </x:c>
      <x:c r="BF13" s="39" t="str">
        <x:f>IF($E13="","",'Supuestos'!$B$8*$E13)</x:f>
      </x:c>
      <x:c r="BG13" s="39" t="str">
        <x:f>IF($E13="","",'Supuestos'!$B$8*$E13)</x:f>
      </x:c>
      <x:c r="BH13" s="39" t="str">
        <x:f>IF($E13="","",'Supuestos'!$B$8*$E13)</x:f>
      </x:c>
      <x:c r="BI13" s="39" t="str">
        <x:f>IF($E13="","",'Supuestos'!$B$8*$E13)</x:f>
      </x:c>
      <x:c r="BJ13" s="39" t="str">
        <x:f>IF($E13="","",'Supuestos'!$B$8*$E13)</x:f>
      </x:c>
      <x:c r="BK13" s="39" t="str">
        <x:f>IF($E13="","",'Supuestos'!$B$8*$E13)</x:f>
      </x:c>
      <x:c r="BL13" s="39" t="str">
        <x:f>IF($E13="","",'Supuestos'!$B$8*$E13)</x:f>
      </x:c>
      <x:c r="BM13" s="39" t="str">
        <x:f>IF($E13="","",'Supuestos'!$B$8*$E13)</x:f>
      </x:c>
      <x:c r="BN13" s="39" t="str">
        <x:f>IF($E13="","",'Supuestos'!$B$8*$E13)</x:f>
      </x:c>
      <x:c r="BO13" s="47" t="str">
        <x:f>IF(COUNT(G13:BN13)=0,"",SUM(G13:BN13))</x:f>
      </x:c>
    </x:row>
    <x:row r="14">
      <x:c r="A14" s="16" t="str">
        <x:v>SCL-NATG</x:v>
      </x:c>
      <x:c r="B14" s="17" t="str">
        <x:v>Santiago</x:v>
      </x:c>
      <x:c r="C14" s="17" t="str">
        <x:v>Cloud NAT procesado</x:v>
      </x:c>
      <x:c r="D14" s="17" t="str">
        <x:v>GB</x:v>
      </x:c>
      <x:c r="E14" s="38" t="str">
        <x:f>IF('Fuentes y Cotizaciones'!F14="","",'Fuentes y Cotizaciones'!F14)</x:f>
      </x:c>
      <x:c r="F14" s="17" t="str">
        <x:v>egreso mensual</x:v>
      </x:c>
      <x:c r="G14" s="39" t="str">
        <x:f>IF($E14="","",'Supuestos'!$B$18*$E14)</x:f>
      </x:c>
      <x:c r="H14" s="39" t="str">
        <x:f>IF($E14="","",'Supuestos'!$B$18*$E14)</x:f>
      </x:c>
      <x:c r="I14" s="39" t="str">
        <x:f>IF($E14="","",'Supuestos'!$B$18*$E14)</x:f>
      </x:c>
      <x:c r="J14" s="39" t="str">
        <x:f>IF($E14="","",'Supuestos'!$B$18*$E14)</x:f>
      </x:c>
      <x:c r="K14" s="39" t="str">
        <x:f>IF($E14="","",'Supuestos'!$B$18*$E14)</x:f>
      </x:c>
      <x:c r="L14" s="39" t="str">
        <x:f>IF($E14="","",'Supuestos'!$B$18*$E14)</x:f>
      </x:c>
      <x:c r="M14" s="39" t="str">
        <x:f>IF($E14="","",'Supuestos'!$B$18*$E14)</x:f>
      </x:c>
      <x:c r="N14" s="39" t="str">
        <x:f>IF($E14="","",'Supuestos'!$B$18*$E14)</x:f>
      </x:c>
      <x:c r="O14" s="39" t="str">
        <x:f>IF($E14="","",'Supuestos'!$B$18*$E14)</x:f>
      </x:c>
      <x:c r="P14" s="39" t="str">
        <x:f>IF($E14="","",'Supuestos'!$B$18*$E14)</x:f>
      </x:c>
      <x:c r="Q14" s="39" t="str">
        <x:f>IF($E14="","",'Supuestos'!$B$18*$E14)</x:f>
      </x:c>
      <x:c r="R14" s="39" t="str">
        <x:f>IF($E14="","",'Supuestos'!$B$18*$E14)</x:f>
      </x:c>
      <x:c r="S14" s="39" t="str">
        <x:f>IF($E14="","",'Supuestos'!$B$18*$E14)</x:f>
      </x:c>
      <x:c r="T14" s="39" t="str">
        <x:f>IF($E14="","",'Supuestos'!$B$18*$E14)</x:f>
      </x:c>
      <x:c r="U14" s="39" t="str">
        <x:f>IF($E14="","",'Supuestos'!$B$18*$E14)</x:f>
      </x:c>
      <x:c r="V14" s="39" t="str">
        <x:f>IF($E14="","",'Supuestos'!$B$18*$E14)</x:f>
      </x:c>
      <x:c r="W14" s="39" t="str">
        <x:f>IF($E14="","",'Supuestos'!$B$18*$E14)</x:f>
      </x:c>
      <x:c r="X14" s="39" t="str">
        <x:f>IF($E14="","",'Supuestos'!$B$18*$E14)</x:f>
      </x:c>
      <x:c r="Y14" s="39" t="str">
        <x:f>IF($E14="","",'Supuestos'!$B$18*$E14)</x:f>
      </x:c>
      <x:c r="Z14" s="39" t="str">
        <x:f>IF($E14="","",'Supuestos'!$B$18*$E14)</x:f>
      </x:c>
      <x:c r="AA14" s="39" t="str">
        <x:f>IF($E14="","",'Supuestos'!$B$18*$E14)</x:f>
      </x:c>
      <x:c r="AB14" s="39" t="str">
        <x:f>IF($E14="","",'Supuestos'!$B$18*$E14)</x:f>
      </x:c>
      <x:c r="AC14" s="39" t="str">
        <x:f>IF($E14="","",'Supuestos'!$B$18*$E14)</x:f>
      </x:c>
      <x:c r="AD14" s="39" t="str">
        <x:f>IF($E14="","",'Supuestos'!$B$18*$E14)</x:f>
      </x:c>
      <x:c r="AE14" s="39" t="str">
        <x:f>IF($E14="","",'Supuestos'!$B$18*$E14)</x:f>
      </x:c>
      <x:c r="AF14" s="39" t="str">
        <x:f>IF($E14="","",'Supuestos'!$B$18*$E14)</x:f>
      </x:c>
      <x:c r="AG14" s="39" t="str">
        <x:f>IF($E14="","",'Supuestos'!$B$18*$E14)</x:f>
      </x:c>
      <x:c r="AH14" s="39" t="str">
        <x:f>IF($E14="","",'Supuestos'!$B$18*$E14)</x:f>
      </x:c>
      <x:c r="AI14" s="39" t="str">
        <x:f>IF($E14="","",'Supuestos'!$B$18*$E14)</x:f>
      </x:c>
      <x:c r="AJ14" s="39" t="str">
        <x:f>IF($E14="","",'Supuestos'!$B$18*$E14)</x:f>
      </x:c>
      <x:c r="AK14" s="39" t="str">
        <x:f>IF($E14="","",'Supuestos'!$B$18*$E14)</x:f>
      </x:c>
      <x:c r="AL14" s="39" t="str">
        <x:f>IF($E14="","",'Supuestos'!$B$18*$E14)</x:f>
      </x:c>
      <x:c r="AM14" s="39" t="str">
        <x:f>IF($E14="","",'Supuestos'!$B$18*$E14)</x:f>
      </x:c>
      <x:c r="AN14" s="39" t="str">
        <x:f>IF($E14="","",'Supuestos'!$B$18*$E14)</x:f>
      </x:c>
      <x:c r="AO14" s="39" t="str">
        <x:f>IF($E14="","",'Supuestos'!$B$18*$E14)</x:f>
      </x:c>
      <x:c r="AP14" s="39" t="str">
        <x:f>IF($E14="","",'Supuestos'!$B$18*$E14)</x:f>
      </x:c>
      <x:c r="AQ14" s="39" t="str">
        <x:f>IF($E14="","",'Supuestos'!$B$18*$E14)</x:f>
      </x:c>
      <x:c r="AR14" s="39" t="str">
        <x:f>IF($E14="","",'Supuestos'!$B$18*$E14)</x:f>
      </x:c>
      <x:c r="AS14" s="39" t="str">
        <x:f>IF($E14="","",'Supuestos'!$B$18*$E14)</x:f>
      </x:c>
      <x:c r="AT14" s="39" t="str">
        <x:f>IF($E14="","",'Supuestos'!$B$18*$E14)</x:f>
      </x:c>
      <x:c r="AU14" s="39" t="str">
        <x:f>IF($E14="","",'Supuestos'!$B$18*$E14)</x:f>
      </x:c>
      <x:c r="AV14" s="39" t="str">
        <x:f>IF($E14="","",'Supuestos'!$B$18*$E14)</x:f>
      </x:c>
      <x:c r="AW14" s="39" t="str">
        <x:f>IF($E14="","",'Supuestos'!$B$18*$E14)</x:f>
      </x:c>
      <x:c r="AX14" s="39" t="str">
        <x:f>IF($E14="","",'Supuestos'!$B$18*$E14)</x:f>
      </x:c>
      <x:c r="AY14" s="39" t="str">
        <x:f>IF($E14="","",'Supuestos'!$B$18*$E14)</x:f>
      </x:c>
      <x:c r="AZ14" s="39" t="str">
        <x:f>IF($E14="","",'Supuestos'!$B$18*$E14)</x:f>
      </x:c>
      <x:c r="BA14" s="39" t="str">
        <x:f>IF($E14="","",'Supuestos'!$B$18*$E14)</x:f>
      </x:c>
      <x:c r="BB14" s="39" t="str">
        <x:f>IF($E14="","",'Supuestos'!$B$18*$E14)</x:f>
      </x:c>
      <x:c r="BC14" s="39" t="str">
        <x:f>IF($E14="","",'Supuestos'!$B$18*$E14)</x:f>
      </x:c>
      <x:c r="BD14" s="39" t="str">
        <x:f>IF($E14="","",'Supuestos'!$B$18*$E14)</x:f>
      </x:c>
      <x:c r="BE14" s="39" t="str">
        <x:f>IF($E14="","",'Supuestos'!$B$18*$E14)</x:f>
      </x:c>
      <x:c r="BF14" s="39" t="str">
        <x:f>IF($E14="","",'Supuestos'!$B$18*$E14)</x:f>
      </x:c>
      <x:c r="BG14" s="39" t="str">
        <x:f>IF($E14="","",'Supuestos'!$B$18*$E14)</x:f>
      </x:c>
      <x:c r="BH14" s="39" t="str">
        <x:f>IF($E14="","",'Supuestos'!$B$18*$E14)</x:f>
      </x:c>
      <x:c r="BI14" s="39" t="str">
        <x:f>IF($E14="","",'Supuestos'!$B$18*$E14)</x:f>
      </x:c>
      <x:c r="BJ14" s="39" t="str">
        <x:f>IF($E14="","",'Supuestos'!$B$18*$E14)</x:f>
      </x:c>
      <x:c r="BK14" s="39" t="str">
        <x:f>IF($E14="","",'Supuestos'!$B$18*$E14)</x:f>
      </x:c>
      <x:c r="BL14" s="39" t="str">
        <x:f>IF($E14="","",'Supuestos'!$B$18*$E14)</x:f>
      </x:c>
      <x:c r="BM14" s="39" t="str">
        <x:f>IF($E14="","",'Supuestos'!$B$18*$E14)</x:f>
      </x:c>
      <x:c r="BN14" s="39" t="str">
        <x:f>IF($E14="","",'Supuestos'!$B$18*$E14)</x:f>
      </x:c>
      <x:c r="BO14" s="47" t="str">
        <x:f>IF(COUNT(G14:BN14)=0,"",SUM(G14:BN14))</x:f>
      </x:c>
    </x:row>
    <x:row r="15">
      <x:c r="A15" s="16" t="str">
        <x:v>SCL-LOG</x:v>
      </x:c>
      <x:c r="B15" s="17" t="str">
        <x:v>Santiago</x:v>
      </x:c>
      <x:c r="C15" s="17" t="str">
        <x:v>Logging / monitoreo</x:v>
      </x:c>
      <x:c r="D15" s="17" t="str">
        <x:v>GiB</x:v>
      </x:c>
      <x:c r="E15" s="38" t="str">
        <x:f>IF('Fuentes y Cotizaciones'!F15="","",'Fuentes y Cotizaciones'!F15)</x:f>
      </x:c>
      <x:c r="F15" s="17" t="str">
        <x:v>ingesta mensual</x:v>
      </x:c>
      <x:c r="G15" s="39" t="str">
        <x:f>IF($E15="","",'Supuestos'!$B$19*$E15)</x:f>
      </x:c>
      <x:c r="H15" s="39" t="str">
        <x:f>IF($E15="","",'Supuestos'!$B$19*$E15)</x:f>
      </x:c>
      <x:c r="I15" s="39" t="str">
        <x:f>IF($E15="","",'Supuestos'!$B$19*$E15)</x:f>
      </x:c>
      <x:c r="J15" s="39" t="str">
        <x:f>IF($E15="","",'Supuestos'!$B$19*$E15)</x:f>
      </x:c>
      <x:c r="K15" s="39" t="str">
        <x:f>IF($E15="","",'Supuestos'!$B$19*$E15)</x:f>
      </x:c>
      <x:c r="L15" s="39" t="str">
        <x:f>IF($E15="","",'Supuestos'!$B$19*$E15)</x:f>
      </x:c>
      <x:c r="M15" s="39" t="str">
        <x:f>IF($E15="","",'Supuestos'!$B$19*$E15)</x:f>
      </x:c>
      <x:c r="N15" s="39" t="str">
        <x:f>IF($E15="","",'Supuestos'!$B$19*$E15)</x:f>
      </x:c>
      <x:c r="O15" s="39" t="str">
        <x:f>IF($E15="","",'Supuestos'!$B$19*$E15)</x:f>
      </x:c>
      <x:c r="P15" s="39" t="str">
        <x:f>IF($E15="","",'Supuestos'!$B$19*$E15)</x:f>
      </x:c>
      <x:c r="Q15" s="39" t="str">
        <x:f>IF($E15="","",'Supuestos'!$B$19*$E15)</x:f>
      </x:c>
      <x:c r="R15" s="39" t="str">
        <x:f>IF($E15="","",'Supuestos'!$B$19*$E15)</x:f>
      </x:c>
      <x:c r="S15" s="39" t="str">
        <x:f>IF($E15="","",'Supuestos'!$B$19*$E15)</x:f>
      </x:c>
      <x:c r="T15" s="39" t="str">
        <x:f>IF($E15="","",'Supuestos'!$B$19*$E15)</x:f>
      </x:c>
      <x:c r="U15" s="39" t="str">
        <x:f>IF($E15="","",'Supuestos'!$B$19*$E15)</x:f>
      </x:c>
      <x:c r="V15" s="39" t="str">
        <x:f>IF($E15="","",'Supuestos'!$B$19*$E15)</x:f>
      </x:c>
      <x:c r="W15" s="39" t="str">
        <x:f>IF($E15="","",'Supuestos'!$B$19*$E15)</x:f>
      </x:c>
      <x:c r="X15" s="39" t="str">
        <x:f>IF($E15="","",'Supuestos'!$B$19*$E15)</x:f>
      </x:c>
      <x:c r="Y15" s="39" t="str">
        <x:f>IF($E15="","",'Supuestos'!$B$19*$E15)</x:f>
      </x:c>
      <x:c r="Z15" s="39" t="str">
        <x:f>IF($E15="","",'Supuestos'!$B$19*$E15)</x:f>
      </x:c>
      <x:c r="AA15" s="39" t="str">
        <x:f>IF($E15="","",'Supuestos'!$B$19*$E15)</x:f>
      </x:c>
      <x:c r="AB15" s="39" t="str">
        <x:f>IF($E15="","",'Supuestos'!$B$19*$E15)</x:f>
      </x:c>
      <x:c r="AC15" s="39" t="str">
        <x:f>IF($E15="","",'Supuestos'!$B$19*$E15)</x:f>
      </x:c>
      <x:c r="AD15" s="39" t="str">
        <x:f>IF($E15="","",'Supuestos'!$B$19*$E15)</x:f>
      </x:c>
      <x:c r="AE15" s="39" t="str">
        <x:f>IF($E15="","",'Supuestos'!$B$19*$E15)</x:f>
      </x:c>
      <x:c r="AF15" s="39" t="str">
        <x:f>IF($E15="","",'Supuestos'!$B$19*$E15)</x:f>
      </x:c>
      <x:c r="AG15" s="39" t="str">
        <x:f>IF($E15="","",'Supuestos'!$B$19*$E15)</x:f>
      </x:c>
      <x:c r="AH15" s="39" t="str">
        <x:f>IF($E15="","",'Supuestos'!$B$19*$E15)</x:f>
      </x:c>
      <x:c r="AI15" s="39" t="str">
        <x:f>IF($E15="","",'Supuestos'!$B$19*$E15)</x:f>
      </x:c>
      <x:c r="AJ15" s="39" t="str">
        <x:f>IF($E15="","",'Supuestos'!$B$19*$E15)</x:f>
      </x:c>
      <x:c r="AK15" s="39" t="str">
        <x:f>IF($E15="","",'Supuestos'!$B$19*$E15)</x:f>
      </x:c>
      <x:c r="AL15" s="39" t="str">
        <x:f>IF($E15="","",'Supuestos'!$B$19*$E15)</x:f>
      </x:c>
      <x:c r="AM15" s="39" t="str">
        <x:f>IF($E15="","",'Supuestos'!$B$19*$E15)</x:f>
      </x:c>
      <x:c r="AN15" s="39" t="str">
        <x:f>IF($E15="","",'Supuestos'!$B$19*$E15)</x:f>
      </x:c>
      <x:c r="AO15" s="39" t="str">
        <x:f>IF($E15="","",'Supuestos'!$B$19*$E15)</x:f>
      </x:c>
      <x:c r="AP15" s="39" t="str">
        <x:f>IF($E15="","",'Supuestos'!$B$19*$E15)</x:f>
      </x:c>
      <x:c r="AQ15" s="39" t="str">
        <x:f>IF($E15="","",'Supuestos'!$B$19*$E15)</x:f>
      </x:c>
      <x:c r="AR15" s="39" t="str">
        <x:f>IF($E15="","",'Supuestos'!$B$19*$E15)</x:f>
      </x:c>
      <x:c r="AS15" s="39" t="str">
        <x:f>IF($E15="","",'Supuestos'!$B$19*$E15)</x:f>
      </x:c>
      <x:c r="AT15" s="39" t="str">
        <x:f>IF($E15="","",'Supuestos'!$B$19*$E15)</x:f>
      </x:c>
      <x:c r="AU15" s="39" t="str">
        <x:f>IF($E15="","",'Supuestos'!$B$19*$E15)</x:f>
      </x:c>
      <x:c r="AV15" s="39" t="str">
        <x:f>IF($E15="","",'Supuestos'!$B$19*$E15)</x:f>
      </x:c>
      <x:c r="AW15" s="39" t="str">
        <x:f>IF($E15="","",'Supuestos'!$B$19*$E15)</x:f>
      </x:c>
      <x:c r="AX15" s="39" t="str">
        <x:f>IF($E15="","",'Supuestos'!$B$19*$E15)</x:f>
      </x:c>
      <x:c r="AY15" s="39" t="str">
        <x:f>IF($E15="","",'Supuestos'!$B$19*$E15)</x:f>
      </x:c>
      <x:c r="AZ15" s="39" t="str">
        <x:f>IF($E15="","",'Supuestos'!$B$19*$E15)</x:f>
      </x:c>
      <x:c r="BA15" s="39" t="str">
        <x:f>IF($E15="","",'Supuestos'!$B$19*$E15)</x:f>
      </x:c>
      <x:c r="BB15" s="39" t="str">
        <x:f>IF($E15="","",'Supuestos'!$B$19*$E15)</x:f>
      </x:c>
      <x:c r="BC15" s="39" t="str">
        <x:f>IF($E15="","",'Supuestos'!$B$19*$E15)</x:f>
      </x:c>
      <x:c r="BD15" s="39" t="str">
        <x:f>IF($E15="","",'Supuestos'!$B$19*$E15)</x:f>
      </x:c>
      <x:c r="BE15" s="39" t="str">
        <x:f>IF($E15="","",'Supuestos'!$B$19*$E15)</x:f>
      </x:c>
      <x:c r="BF15" s="39" t="str">
        <x:f>IF($E15="","",'Supuestos'!$B$19*$E15)</x:f>
      </x:c>
      <x:c r="BG15" s="39" t="str">
        <x:f>IF($E15="","",'Supuestos'!$B$19*$E15)</x:f>
      </x:c>
      <x:c r="BH15" s="39" t="str">
        <x:f>IF($E15="","",'Supuestos'!$B$19*$E15)</x:f>
      </x:c>
      <x:c r="BI15" s="39" t="str">
        <x:f>IF($E15="","",'Supuestos'!$B$19*$E15)</x:f>
      </x:c>
      <x:c r="BJ15" s="39" t="str">
        <x:f>IF($E15="","",'Supuestos'!$B$19*$E15)</x:f>
      </x:c>
      <x:c r="BK15" s="39" t="str">
        <x:f>IF($E15="","",'Supuestos'!$B$19*$E15)</x:f>
      </x:c>
      <x:c r="BL15" s="39" t="str">
        <x:f>IF($E15="","",'Supuestos'!$B$19*$E15)</x:f>
      </x:c>
      <x:c r="BM15" s="39" t="str">
        <x:f>IF($E15="","",'Supuestos'!$B$19*$E15)</x:f>
      </x:c>
      <x:c r="BN15" s="39" t="str">
        <x:f>IF($E15="","",'Supuestos'!$B$19*$E15)</x:f>
      </x:c>
      <x:c r="BO15" s="47" t="str">
        <x:f>IF(COUNT(G15:BN15)=0,"",SUM(G15:BN15))</x:f>
      </x:c>
    </x:row>
    <x:row r="16">
      <x:c r="A16" s="16" t="str">
        <x:v>SCL-BKP</x:v>
      </x:c>
      <x:c r="B16" s="17" t="str">
        <x:v>Santiago</x:v>
      </x:c>
      <x:c r="C16" s="17" t="str">
        <x:v>Respaldos de base de datos</x:v>
      </x:c>
      <x:c r="D16" s="17" t="str">
        <x:v>GiB-mes</x:v>
      </x:c>
      <x:c r="E16" s="38" t="str">
        <x:f>IF('Fuentes y Cotizaciones'!F16="","",'Fuentes y Cotizaciones'!F16)</x:f>
      </x:c>
      <x:c r="F16" s="17" t="str">
        <x:v>GiB de BD</x:v>
      </x:c>
      <x:c r="G16" s="39" t="str">
        <x:f>IF($E16="","",'Supuestos'!$B$15*$E16)</x:f>
      </x:c>
      <x:c r="H16" s="39" t="str">
        <x:f>IF($E16="","",'Supuestos'!$B$15*$E16)</x:f>
      </x:c>
      <x:c r="I16" s="39" t="str">
        <x:f>IF($E16="","",'Supuestos'!$B$15*$E16)</x:f>
      </x:c>
      <x:c r="J16" s="39" t="str">
        <x:f>IF($E16="","",'Supuestos'!$B$15*$E16)</x:f>
      </x:c>
      <x:c r="K16" s="39" t="str">
        <x:f>IF($E16="","",'Supuestos'!$B$15*$E16)</x:f>
      </x:c>
      <x:c r="L16" s="39" t="str">
        <x:f>IF($E16="","",'Supuestos'!$B$15*$E16)</x:f>
      </x:c>
      <x:c r="M16" s="39" t="str">
        <x:f>IF($E16="","",'Supuestos'!$B$15*$E16)</x:f>
      </x:c>
      <x:c r="N16" s="39" t="str">
        <x:f>IF($E16="","",'Supuestos'!$B$15*$E16)</x:f>
      </x:c>
      <x:c r="O16" s="39" t="str">
        <x:f>IF($E16="","",'Supuestos'!$B$15*$E16)</x:f>
      </x:c>
      <x:c r="P16" s="39" t="str">
        <x:f>IF($E16="","",'Supuestos'!$B$15*$E16)</x:f>
      </x:c>
      <x:c r="Q16" s="39" t="str">
        <x:f>IF($E16="","",'Supuestos'!$B$15*$E16)</x:f>
      </x:c>
      <x:c r="R16" s="39" t="str">
        <x:f>IF($E16="","",'Supuestos'!$B$15*$E16)</x:f>
      </x:c>
      <x:c r="S16" s="39" t="str">
        <x:f>IF($E16="","",'Supuestos'!$B$15*$E16)</x:f>
      </x:c>
      <x:c r="T16" s="39" t="str">
        <x:f>IF($E16="","",'Supuestos'!$B$15*$E16)</x:f>
      </x:c>
      <x:c r="U16" s="39" t="str">
        <x:f>IF($E16="","",'Supuestos'!$B$15*$E16)</x:f>
      </x:c>
      <x:c r="V16" s="39" t="str">
        <x:f>IF($E16="","",'Supuestos'!$B$15*$E16)</x:f>
      </x:c>
      <x:c r="W16" s="39" t="str">
        <x:f>IF($E16="","",'Supuestos'!$B$15*$E16)</x:f>
      </x:c>
      <x:c r="X16" s="39" t="str">
        <x:f>IF($E16="","",'Supuestos'!$B$15*$E16)</x:f>
      </x:c>
      <x:c r="Y16" s="39" t="str">
        <x:f>IF($E16="","",'Supuestos'!$B$15*$E16)</x:f>
      </x:c>
      <x:c r="Z16" s="39" t="str">
        <x:f>IF($E16="","",'Supuestos'!$B$15*$E16)</x:f>
      </x:c>
      <x:c r="AA16" s="39" t="str">
        <x:f>IF($E16="","",'Supuestos'!$B$15*$E16)</x:f>
      </x:c>
      <x:c r="AB16" s="39" t="str">
        <x:f>IF($E16="","",'Supuestos'!$B$15*$E16)</x:f>
      </x:c>
      <x:c r="AC16" s="39" t="str">
        <x:f>IF($E16="","",'Supuestos'!$B$15*$E16)</x:f>
      </x:c>
      <x:c r="AD16" s="39" t="str">
        <x:f>IF($E16="","",'Supuestos'!$B$15*$E16)</x:f>
      </x:c>
      <x:c r="AE16" s="39" t="str">
        <x:f>IF($E16="","",'Supuestos'!$B$15*$E16)</x:f>
      </x:c>
      <x:c r="AF16" s="39" t="str">
        <x:f>IF($E16="","",'Supuestos'!$B$15*$E16)</x:f>
      </x:c>
      <x:c r="AG16" s="39" t="str">
        <x:f>IF($E16="","",'Supuestos'!$B$15*$E16)</x:f>
      </x:c>
      <x:c r="AH16" s="39" t="str">
        <x:f>IF($E16="","",'Supuestos'!$B$15*$E16)</x:f>
      </x:c>
      <x:c r="AI16" s="39" t="str">
        <x:f>IF($E16="","",'Supuestos'!$B$15*$E16)</x:f>
      </x:c>
      <x:c r="AJ16" s="39" t="str">
        <x:f>IF($E16="","",'Supuestos'!$B$15*$E16)</x:f>
      </x:c>
      <x:c r="AK16" s="39" t="str">
        <x:f>IF($E16="","",'Supuestos'!$B$15*$E16)</x:f>
      </x:c>
      <x:c r="AL16" s="39" t="str">
        <x:f>IF($E16="","",'Supuestos'!$B$15*$E16)</x:f>
      </x:c>
      <x:c r="AM16" s="39" t="str">
        <x:f>IF($E16="","",'Supuestos'!$B$15*$E16)</x:f>
      </x:c>
      <x:c r="AN16" s="39" t="str">
        <x:f>IF($E16="","",'Supuestos'!$B$15*$E16)</x:f>
      </x:c>
      <x:c r="AO16" s="39" t="str">
        <x:f>IF($E16="","",'Supuestos'!$B$15*$E16)</x:f>
      </x:c>
      <x:c r="AP16" s="39" t="str">
        <x:f>IF($E16="","",'Supuestos'!$B$15*$E16)</x:f>
      </x:c>
      <x:c r="AQ16" s="39" t="str">
        <x:f>IF($E16="","",'Supuestos'!$B$15*$E16)</x:f>
      </x:c>
      <x:c r="AR16" s="39" t="str">
        <x:f>IF($E16="","",'Supuestos'!$B$15*$E16)</x:f>
      </x:c>
      <x:c r="AS16" s="39" t="str">
        <x:f>IF($E16="","",'Supuestos'!$B$15*$E16)</x:f>
      </x:c>
      <x:c r="AT16" s="39" t="str">
        <x:f>IF($E16="","",'Supuestos'!$B$15*$E16)</x:f>
      </x:c>
      <x:c r="AU16" s="39" t="str">
        <x:f>IF($E16="","",'Supuestos'!$B$15*$E16)</x:f>
      </x:c>
      <x:c r="AV16" s="39" t="str">
        <x:f>IF($E16="","",'Supuestos'!$B$15*$E16)</x:f>
      </x:c>
      <x:c r="AW16" s="39" t="str">
        <x:f>IF($E16="","",'Supuestos'!$B$15*$E16)</x:f>
      </x:c>
      <x:c r="AX16" s="39" t="str">
        <x:f>IF($E16="","",'Supuestos'!$B$15*$E16)</x:f>
      </x:c>
      <x:c r="AY16" s="39" t="str">
        <x:f>IF($E16="","",'Supuestos'!$B$15*$E16)</x:f>
      </x:c>
      <x:c r="AZ16" s="39" t="str">
        <x:f>IF($E16="","",'Supuestos'!$B$15*$E16)</x:f>
      </x:c>
      <x:c r="BA16" s="39" t="str">
        <x:f>IF($E16="","",'Supuestos'!$B$15*$E16)</x:f>
      </x:c>
      <x:c r="BB16" s="39" t="str">
        <x:f>IF($E16="","",'Supuestos'!$B$15*$E16)</x:f>
      </x:c>
      <x:c r="BC16" s="39" t="str">
        <x:f>IF($E16="","",'Supuestos'!$B$15*$E16)</x:f>
      </x:c>
      <x:c r="BD16" s="39" t="str">
        <x:f>IF($E16="","",'Supuestos'!$B$15*$E16)</x:f>
      </x:c>
      <x:c r="BE16" s="39" t="str">
        <x:f>IF($E16="","",'Supuestos'!$B$15*$E16)</x:f>
      </x:c>
      <x:c r="BF16" s="39" t="str">
        <x:f>IF($E16="","",'Supuestos'!$B$15*$E16)</x:f>
      </x:c>
      <x:c r="BG16" s="39" t="str">
        <x:f>IF($E16="","",'Supuestos'!$B$15*$E16)</x:f>
      </x:c>
      <x:c r="BH16" s="39" t="str">
        <x:f>IF($E16="","",'Supuestos'!$B$15*$E16)</x:f>
      </x:c>
      <x:c r="BI16" s="39" t="str">
        <x:f>IF($E16="","",'Supuestos'!$B$15*$E16)</x:f>
      </x:c>
      <x:c r="BJ16" s="39" t="str">
        <x:f>IF($E16="","",'Supuestos'!$B$15*$E16)</x:f>
      </x:c>
      <x:c r="BK16" s="39" t="str">
        <x:f>IF($E16="","",'Supuestos'!$B$15*$E16)</x:f>
      </x:c>
      <x:c r="BL16" s="39" t="str">
        <x:f>IF($E16="","",'Supuestos'!$B$15*$E16)</x:f>
      </x:c>
      <x:c r="BM16" s="39" t="str">
        <x:f>IF($E16="","",'Supuestos'!$B$15*$E16)</x:f>
      </x:c>
      <x:c r="BN16" s="39" t="str">
        <x:f>IF($E16="","",'Supuestos'!$B$15*$E16)</x:f>
      </x:c>
      <x:c r="BO16" s="47" t="str">
        <x:f>IF(COUNT(G16:BN16)=0,"",SUM(G16:BN16))</x:f>
      </x:c>
    </x:row>
    <x:row r="17">
      <x:c r="A17" s="16" t="str">
        <x:v>SCL-NPAPP</x:v>
      </x:c>
      <x:c r="B17" s="17" t="str">
        <x:v>Santiago</x:v>
      </x:c>
      <x:c r="C17" s="17" t="str">
        <x:v>VM no productiva</x:v>
      </x:c>
      <x:c r="D17" s="17" t="str">
        <x:v>instancia-hora</x:v>
      </x:c>
      <x:c r="E17" s="38" t="str">
        <x:f>IF('Fuentes y Cotizaciones'!F17="","",'Fuentes y Cotizaciones'!F17)</x:f>
      </x:c>
      <x:c r="F17" s="17" t="str">
        <x:v>VM no productiva × horas/día × días/mes</x:v>
      </x:c>
      <x:c r="G17" s="39" t="str">
        <x:f>IF($E17="","",'Supuestos'!$B$20*'Supuestos'!$B$21*'Supuestos'!$B$22*$E17)</x:f>
      </x:c>
      <x:c r="H17" s="39" t="str">
        <x:f>IF($E17="","",'Supuestos'!$B$20*'Supuestos'!$B$21*'Supuestos'!$B$22*$E17)</x:f>
      </x:c>
      <x:c r="I17" s="39" t="str">
        <x:f>IF($E17="","",'Supuestos'!$B$20*'Supuestos'!$B$21*'Supuestos'!$B$22*$E17)</x:f>
      </x:c>
      <x:c r="J17" s="39" t="str">
        <x:f>IF($E17="","",'Supuestos'!$B$20*'Supuestos'!$B$21*'Supuestos'!$B$22*$E17)</x:f>
      </x:c>
      <x:c r="K17" s="39" t="str">
        <x:f>IF($E17="","",'Supuestos'!$B$20*'Supuestos'!$B$21*'Supuestos'!$B$22*$E17)</x:f>
      </x:c>
      <x:c r="L17" s="39" t="str">
        <x:f>IF($E17="","",'Supuestos'!$B$20*'Supuestos'!$B$21*'Supuestos'!$B$22*$E17)</x:f>
      </x:c>
      <x:c r="M17" s="39" t="str">
        <x:f>IF($E17="","",'Supuestos'!$B$20*'Supuestos'!$B$21*'Supuestos'!$B$22*$E17)</x:f>
      </x:c>
      <x:c r="N17" s="39" t="str">
        <x:f>IF($E17="","",'Supuestos'!$B$20*'Supuestos'!$B$21*'Supuestos'!$B$22*$E17)</x:f>
      </x:c>
      <x:c r="O17" s="39" t="str">
        <x:f>IF($E17="","",'Supuestos'!$B$20*'Supuestos'!$B$21*'Supuestos'!$B$22*$E17)</x:f>
      </x:c>
      <x:c r="P17" s="39" t="str">
        <x:f>IF($E17="","",'Supuestos'!$B$20*'Supuestos'!$B$21*'Supuestos'!$B$22*$E17)</x:f>
      </x:c>
      <x:c r="Q17" s="39" t="str">
        <x:f>IF($E17="","",'Supuestos'!$B$20*'Supuestos'!$B$21*'Supuestos'!$B$22*$E17)</x:f>
      </x:c>
      <x:c r="R17" s="39" t="str">
        <x:f>IF($E17="","",'Supuestos'!$B$20*'Supuestos'!$B$21*'Supuestos'!$B$22*$E17)</x:f>
      </x:c>
      <x:c r="S17" s="39" t="str">
        <x:f>IF($E17="","",'Supuestos'!$B$20*'Supuestos'!$B$21*'Supuestos'!$B$22*$E17)</x:f>
      </x:c>
      <x:c r="T17" s="39" t="str">
        <x:f>IF($E17="","",'Supuestos'!$B$20*'Supuestos'!$B$21*'Supuestos'!$B$22*$E17)</x:f>
      </x:c>
      <x:c r="U17" s="39" t="str">
        <x:f>IF($E17="","",'Supuestos'!$B$20*'Supuestos'!$B$21*'Supuestos'!$B$22*$E17)</x:f>
      </x:c>
      <x:c r="V17" s="39" t="str">
        <x:f>IF($E17="","",'Supuestos'!$B$20*'Supuestos'!$B$21*'Supuestos'!$B$22*$E17)</x:f>
      </x:c>
      <x:c r="W17" s="39" t="str">
        <x:f>IF($E17="","",'Supuestos'!$B$20*'Supuestos'!$B$21*'Supuestos'!$B$22*$E17)</x:f>
      </x:c>
      <x:c r="X17" s="39" t="str">
        <x:f>IF($E17="","",'Supuestos'!$B$20*'Supuestos'!$B$21*'Supuestos'!$B$22*$E17)</x:f>
      </x:c>
      <x:c r="Y17" s="39" t="str">
        <x:f>IF($E17="","",'Supuestos'!$B$20*'Supuestos'!$B$21*'Supuestos'!$B$22*$E17)</x:f>
      </x:c>
      <x:c r="Z17" s="39" t="str">
        <x:f>IF($E17="","",'Supuestos'!$B$20*'Supuestos'!$B$21*'Supuestos'!$B$22*$E17)</x:f>
      </x:c>
      <x:c r="AA17" s="39" t="str">
        <x:f>IF($E17="","",'Supuestos'!$B$20*'Supuestos'!$B$21*'Supuestos'!$B$22*$E17)</x:f>
      </x:c>
      <x:c r="AB17" s="39" t="str">
        <x:f>IF($E17="","",'Supuestos'!$B$20*'Supuestos'!$B$21*'Supuestos'!$B$22*$E17)</x:f>
      </x:c>
      <x:c r="AC17" s="39" t="str">
        <x:f>IF($E17="","",'Supuestos'!$B$20*'Supuestos'!$B$21*'Supuestos'!$B$22*$E17)</x:f>
      </x:c>
      <x:c r="AD17" s="39" t="str">
        <x:f>IF($E17="","",'Supuestos'!$B$20*'Supuestos'!$B$21*'Supuestos'!$B$22*$E17)</x:f>
      </x:c>
      <x:c r="AE17" s="39" t="str">
        <x:f>IF($E17="","",'Supuestos'!$B$20*'Supuestos'!$B$21*'Supuestos'!$B$22*$E17)</x:f>
      </x:c>
      <x:c r="AF17" s="39" t="str">
        <x:f>IF($E17="","",'Supuestos'!$B$20*'Supuestos'!$B$21*'Supuestos'!$B$22*$E17)</x:f>
      </x:c>
      <x:c r="AG17" s="39" t="str">
        <x:f>IF($E17="","",'Supuestos'!$B$20*'Supuestos'!$B$21*'Supuestos'!$B$22*$E17)</x:f>
      </x:c>
      <x:c r="AH17" s="39" t="str">
        <x:f>IF($E17="","",'Supuestos'!$B$20*'Supuestos'!$B$21*'Supuestos'!$B$22*$E17)</x:f>
      </x:c>
      <x:c r="AI17" s="39" t="str">
        <x:f>IF($E17="","",'Supuestos'!$B$20*'Supuestos'!$B$21*'Supuestos'!$B$22*$E17)</x:f>
      </x:c>
      <x:c r="AJ17" s="39" t="str">
        <x:f>IF($E17="","",'Supuestos'!$B$20*'Supuestos'!$B$21*'Supuestos'!$B$22*$E17)</x:f>
      </x:c>
      <x:c r="AK17" s="39" t="str">
        <x:f>IF($E17="","",'Supuestos'!$B$20*'Supuestos'!$B$21*'Supuestos'!$B$22*$E17)</x:f>
      </x:c>
      <x:c r="AL17" s="39" t="str">
        <x:f>IF($E17="","",'Supuestos'!$B$20*'Supuestos'!$B$21*'Supuestos'!$B$22*$E17)</x:f>
      </x:c>
      <x:c r="AM17" s="39" t="str">
        <x:f>IF($E17="","",'Supuestos'!$B$20*'Supuestos'!$B$21*'Supuestos'!$B$22*$E17)</x:f>
      </x:c>
      <x:c r="AN17" s="39" t="str">
        <x:f>IF($E17="","",'Supuestos'!$B$20*'Supuestos'!$B$21*'Supuestos'!$B$22*$E17)</x:f>
      </x:c>
      <x:c r="AO17" s="39" t="str">
        <x:f>IF($E17="","",'Supuestos'!$B$20*'Supuestos'!$B$21*'Supuestos'!$B$22*$E17)</x:f>
      </x:c>
      <x:c r="AP17" s="39" t="str">
        <x:f>IF($E17="","",'Supuestos'!$B$20*'Supuestos'!$B$21*'Supuestos'!$B$22*$E17)</x:f>
      </x:c>
      <x:c r="AQ17" s="39" t="str">
        <x:f>IF($E17="","",'Supuestos'!$B$20*'Supuestos'!$B$21*'Supuestos'!$B$22*$E17)</x:f>
      </x:c>
      <x:c r="AR17" s="39" t="str">
        <x:f>IF($E17="","",'Supuestos'!$B$20*'Supuestos'!$B$21*'Supuestos'!$B$22*$E17)</x:f>
      </x:c>
      <x:c r="AS17" s="39" t="str">
        <x:f>IF($E17="","",'Supuestos'!$B$20*'Supuestos'!$B$21*'Supuestos'!$B$22*$E17)</x:f>
      </x:c>
      <x:c r="AT17" s="39" t="str">
        <x:f>IF($E17="","",'Supuestos'!$B$20*'Supuestos'!$B$21*'Supuestos'!$B$22*$E17)</x:f>
      </x:c>
      <x:c r="AU17" s="39" t="str">
        <x:f>IF($E17="","",'Supuestos'!$B$20*'Supuestos'!$B$21*'Supuestos'!$B$22*$E17)</x:f>
      </x:c>
      <x:c r="AV17" s="39" t="str">
        <x:f>IF($E17="","",'Supuestos'!$B$20*'Supuestos'!$B$21*'Supuestos'!$B$22*$E17)</x:f>
      </x:c>
      <x:c r="AW17" s="39" t="str">
        <x:f>IF($E17="","",'Supuestos'!$B$20*'Supuestos'!$B$21*'Supuestos'!$B$22*$E17)</x:f>
      </x:c>
      <x:c r="AX17" s="39" t="str">
        <x:f>IF($E17="","",'Supuestos'!$B$20*'Supuestos'!$B$21*'Supuestos'!$B$22*$E17)</x:f>
      </x:c>
      <x:c r="AY17" s="39" t="str">
        <x:f>IF($E17="","",'Supuestos'!$B$20*'Supuestos'!$B$21*'Supuestos'!$B$22*$E17)</x:f>
      </x:c>
      <x:c r="AZ17" s="39" t="str">
        <x:f>IF($E17="","",'Supuestos'!$B$20*'Supuestos'!$B$21*'Supuestos'!$B$22*$E17)</x:f>
      </x:c>
      <x:c r="BA17" s="39" t="str">
        <x:f>IF($E17="","",'Supuestos'!$B$20*'Supuestos'!$B$21*'Supuestos'!$B$22*$E17)</x:f>
      </x:c>
      <x:c r="BB17" s="39" t="str">
        <x:f>IF($E17="","",'Supuestos'!$B$20*'Supuestos'!$B$21*'Supuestos'!$B$22*$E17)</x:f>
      </x:c>
      <x:c r="BC17" s="39" t="str">
        <x:f>IF($E17="","",'Supuestos'!$B$20*'Supuestos'!$B$21*'Supuestos'!$B$22*$E17)</x:f>
      </x:c>
      <x:c r="BD17" s="39" t="str">
        <x:f>IF($E17="","",'Supuestos'!$B$20*'Supuestos'!$B$21*'Supuestos'!$B$22*$E17)</x:f>
      </x:c>
      <x:c r="BE17" s="39" t="str">
        <x:f>IF($E17="","",'Supuestos'!$B$20*'Supuestos'!$B$21*'Supuestos'!$B$22*$E17)</x:f>
      </x:c>
      <x:c r="BF17" s="39" t="str">
        <x:f>IF($E17="","",'Supuestos'!$B$20*'Supuestos'!$B$21*'Supuestos'!$B$22*$E17)</x:f>
      </x:c>
      <x:c r="BG17" s="39" t="str">
        <x:f>IF($E17="","",'Supuestos'!$B$20*'Supuestos'!$B$21*'Supuestos'!$B$22*$E17)</x:f>
      </x:c>
      <x:c r="BH17" s="39" t="str">
        <x:f>IF($E17="","",'Supuestos'!$B$20*'Supuestos'!$B$21*'Supuestos'!$B$22*$E17)</x:f>
      </x:c>
      <x:c r="BI17" s="39" t="str">
        <x:f>IF($E17="","",'Supuestos'!$B$20*'Supuestos'!$B$21*'Supuestos'!$B$22*$E17)</x:f>
      </x:c>
      <x:c r="BJ17" s="39" t="str">
        <x:f>IF($E17="","",'Supuestos'!$B$20*'Supuestos'!$B$21*'Supuestos'!$B$22*$E17)</x:f>
      </x:c>
      <x:c r="BK17" s="39" t="str">
        <x:f>IF($E17="","",'Supuestos'!$B$20*'Supuestos'!$B$21*'Supuestos'!$B$22*$E17)</x:f>
      </x:c>
      <x:c r="BL17" s="39" t="str">
        <x:f>IF($E17="","",'Supuestos'!$B$20*'Supuestos'!$B$21*'Supuestos'!$B$22*$E17)</x:f>
      </x:c>
      <x:c r="BM17" s="39" t="str">
        <x:f>IF($E17="","",'Supuestos'!$B$20*'Supuestos'!$B$21*'Supuestos'!$B$22*$E17)</x:f>
      </x:c>
      <x:c r="BN17" s="39" t="str">
        <x:f>IF($E17="","",'Supuestos'!$B$20*'Supuestos'!$B$21*'Supuestos'!$B$22*$E17)</x:f>
      </x:c>
      <x:c r="BO17" s="47" t="str">
        <x:f>IF(COUNT(G17:BN17)=0,"",SUM(G17:BN17))</x:f>
      </x:c>
    </x:row>
    <x:row r="18">
      <x:c r="A18" s="16" t="str">
        <x:v>SCL-NPDB</x:v>
      </x:c>
      <x:c r="B18" s="17" t="str">
        <x:v>Santiago</x:v>
      </x:c>
      <x:c r="C18" s="17" t="str">
        <x:v>Base de datos no productiva</x:v>
      </x:c>
      <x:c r="D18" s="17" t="str">
        <x:v>instancia-hora</x:v>
      </x:c>
      <x:c r="E18" s="38" t="str">
        <x:f>IF('Fuentes y Cotizaciones'!F18="","",'Fuentes y Cotizaciones'!F18)</x:f>
      </x:c>
      <x:c r="F18" s="17" t="str">
        <x:v>BD no productiva × horas/día × días/mes</x:v>
      </x:c>
      <x:c r="G18" s="39" t="str">
        <x:f>IF($E18="","",'Supuestos'!$B$21*'Supuestos'!$B$22*$E18)</x:f>
      </x:c>
      <x:c r="H18" s="39" t="str">
        <x:f>IF($E18="","",'Supuestos'!$B$21*'Supuestos'!$B$22*$E18)</x:f>
      </x:c>
      <x:c r="I18" s="39" t="str">
        <x:f>IF($E18="","",'Supuestos'!$B$21*'Supuestos'!$B$22*$E18)</x:f>
      </x:c>
      <x:c r="J18" s="39" t="str">
        <x:f>IF($E18="","",'Supuestos'!$B$21*'Supuestos'!$B$22*$E18)</x:f>
      </x:c>
      <x:c r="K18" s="39" t="str">
        <x:f>IF($E18="","",'Supuestos'!$B$21*'Supuestos'!$B$22*$E18)</x:f>
      </x:c>
      <x:c r="L18" s="39" t="str">
        <x:f>IF($E18="","",'Supuestos'!$B$21*'Supuestos'!$B$22*$E18)</x:f>
      </x:c>
      <x:c r="M18" s="39" t="str">
        <x:f>IF($E18="","",'Supuestos'!$B$21*'Supuestos'!$B$22*$E18)</x:f>
      </x:c>
      <x:c r="N18" s="39" t="str">
        <x:f>IF($E18="","",'Supuestos'!$B$21*'Supuestos'!$B$22*$E18)</x:f>
      </x:c>
      <x:c r="O18" s="39" t="str">
        <x:f>IF($E18="","",'Supuestos'!$B$21*'Supuestos'!$B$22*$E18)</x:f>
      </x:c>
      <x:c r="P18" s="39" t="str">
        <x:f>IF($E18="","",'Supuestos'!$B$21*'Supuestos'!$B$22*$E18)</x:f>
      </x:c>
      <x:c r="Q18" s="39" t="str">
        <x:f>IF($E18="","",'Supuestos'!$B$21*'Supuestos'!$B$22*$E18)</x:f>
      </x:c>
      <x:c r="R18" s="39" t="str">
        <x:f>IF($E18="","",'Supuestos'!$B$21*'Supuestos'!$B$22*$E18)</x:f>
      </x:c>
      <x:c r="S18" s="39" t="str">
        <x:f>IF($E18="","",'Supuestos'!$B$21*'Supuestos'!$B$22*$E18)</x:f>
      </x:c>
      <x:c r="T18" s="39" t="str">
        <x:f>IF($E18="","",'Supuestos'!$B$21*'Supuestos'!$B$22*$E18)</x:f>
      </x:c>
      <x:c r="U18" s="39" t="str">
        <x:f>IF($E18="","",'Supuestos'!$B$21*'Supuestos'!$B$22*$E18)</x:f>
      </x:c>
      <x:c r="V18" s="39" t="str">
        <x:f>IF($E18="","",'Supuestos'!$B$21*'Supuestos'!$B$22*$E18)</x:f>
      </x:c>
      <x:c r="W18" s="39" t="str">
        <x:f>IF($E18="","",'Supuestos'!$B$21*'Supuestos'!$B$22*$E18)</x:f>
      </x:c>
      <x:c r="X18" s="39" t="str">
        <x:f>IF($E18="","",'Supuestos'!$B$21*'Supuestos'!$B$22*$E18)</x:f>
      </x:c>
      <x:c r="Y18" s="39" t="str">
        <x:f>IF($E18="","",'Supuestos'!$B$21*'Supuestos'!$B$22*$E18)</x:f>
      </x:c>
      <x:c r="Z18" s="39" t="str">
        <x:f>IF($E18="","",'Supuestos'!$B$21*'Supuestos'!$B$22*$E18)</x:f>
      </x:c>
      <x:c r="AA18" s="39" t="str">
        <x:f>IF($E18="","",'Supuestos'!$B$21*'Supuestos'!$B$22*$E18)</x:f>
      </x:c>
      <x:c r="AB18" s="39" t="str">
        <x:f>IF($E18="","",'Supuestos'!$B$21*'Supuestos'!$B$22*$E18)</x:f>
      </x:c>
      <x:c r="AC18" s="39" t="str">
        <x:f>IF($E18="","",'Supuestos'!$B$21*'Supuestos'!$B$22*$E18)</x:f>
      </x:c>
      <x:c r="AD18" s="39" t="str">
        <x:f>IF($E18="","",'Supuestos'!$B$21*'Supuestos'!$B$22*$E18)</x:f>
      </x:c>
      <x:c r="AE18" s="39" t="str">
        <x:f>IF($E18="","",'Supuestos'!$B$21*'Supuestos'!$B$22*$E18)</x:f>
      </x:c>
      <x:c r="AF18" s="39" t="str">
        <x:f>IF($E18="","",'Supuestos'!$B$21*'Supuestos'!$B$22*$E18)</x:f>
      </x:c>
      <x:c r="AG18" s="39" t="str">
        <x:f>IF($E18="","",'Supuestos'!$B$21*'Supuestos'!$B$22*$E18)</x:f>
      </x:c>
      <x:c r="AH18" s="39" t="str">
        <x:f>IF($E18="","",'Supuestos'!$B$21*'Supuestos'!$B$22*$E18)</x:f>
      </x:c>
      <x:c r="AI18" s="39" t="str">
        <x:f>IF($E18="","",'Supuestos'!$B$21*'Supuestos'!$B$22*$E18)</x:f>
      </x:c>
      <x:c r="AJ18" s="39" t="str">
        <x:f>IF($E18="","",'Supuestos'!$B$21*'Supuestos'!$B$22*$E18)</x:f>
      </x:c>
      <x:c r="AK18" s="39" t="str">
        <x:f>IF($E18="","",'Supuestos'!$B$21*'Supuestos'!$B$22*$E18)</x:f>
      </x:c>
      <x:c r="AL18" s="39" t="str">
        <x:f>IF($E18="","",'Supuestos'!$B$21*'Supuestos'!$B$22*$E18)</x:f>
      </x:c>
      <x:c r="AM18" s="39" t="str">
        <x:f>IF($E18="","",'Supuestos'!$B$21*'Supuestos'!$B$22*$E18)</x:f>
      </x:c>
      <x:c r="AN18" s="39" t="str">
        <x:f>IF($E18="","",'Supuestos'!$B$21*'Supuestos'!$B$22*$E18)</x:f>
      </x:c>
      <x:c r="AO18" s="39" t="str">
        <x:f>IF($E18="","",'Supuestos'!$B$21*'Supuestos'!$B$22*$E18)</x:f>
      </x:c>
      <x:c r="AP18" s="39" t="str">
        <x:f>IF($E18="","",'Supuestos'!$B$21*'Supuestos'!$B$22*$E18)</x:f>
      </x:c>
      <x:c r="AQ18" s="39" t="str">
        <x:f>IF($E18="","",'Supuestos'!$B$21*'Supuestos'!$B$22*$E18)</x:f>
      </x:c>
      <x:c r="AR18" s="39" t="str">
        <x:f>IF($E18="","",'Supuestos'!$B$21*'Supuestos'!$B$22*$E18)</x:f>
      </x:c>
      <x:c r="AS18" s="39" t="str">
        <x:f>IF($E18="","",'Supuestos'!$B$21*'Supuestos'!$B$22*$E18)</x:f>
      </x:c>
      <x:c r="AT18" s="39" t="str">
        <x:f>IF($E18="","",'Supuestos'!$B$21*'Supuestos'!$B$22*$E18)</x:f>
      </x:c>
      <x:c r="AU18" s="39" t="str">
        <x:f>IF($E18="","",'Supuestos'!$B$21*'Supuestos'!$B$22*$E18)</x:f>
      </x:c>
      <x:c r="AV18" s="39" t="str">
        <x:f>IF($E18="","",'Supuestos'!$B$21*'Supuestos'!$B$22*$E18)</x:f>
      </x:c>
      <x:c r="AW18" s="39" t="str">
        <x:f>IF($E18="","",'Supuestos'!$B$21*'Supuestos'!$B$22*$E18)</x:f>
      </x:c>
      <x:c r="AX18" s="39" t="str">
        <x:f>IF($E18="","",'Supuestos'!$B$21*'Supuestos'!$B$22*$E18)</x:f>
      </x:c>
      <x:c r="AY18" s="39" t="str">
        <x:f>IF($E18="","",'Supuestos'!$B$21*'Supuestos'!$B$22*$E18)</x:f>
      </x:c>
      <x:c r="AZ18" s="39" t="str">
        <x:f>IF($E18="","",'Supuestos'!$B$21*'Supuestos'!$B$22*$E18)</x:f>
      </x:c>
      <x:c r="BA18" s="39" t="str">
        <x:f>IF($E18="","",'Supuestos'!$B$21*'Supuestos'!$B$22*$E18)</x:f>
      </x:c>
      <x:c r="BB18" s="39" t="str">
        <x:f>IF($E18="","",'Supuestos'!$B$21*'Supuestos'!$B$22*$E18)</x:f>
      </x:c>
      <x:c r="BC18" s="39" t="str">
        <x:f>IF($E18="","",'Supuestos'!$B$21*'Supuestos'!$B$22*$E18)</x:f>
      </x:c>
      <x:c r="BD18" s="39" t="str">
        <x:f>IF($E18="","",'Supuestos'!$B$21*'Supuestos'!$B$22*$E18)</x:f>
      </x:c>
      <x:c r="BE18" s="39" t="str">
        <x:f>IF($E18="","",'Supuestos'!$B$21*'Supuestos'!$B$22*$E18)</x:f>
      </x:c>
      <x:c r="BF18" s="39" t="str">
        <x:f>IF($E18="","",'Supuestos'!$B$21*'Supuestos'!$B$22*$E18)</x:f>
      </x:c>
      <x:c r="BG18" s="39" t="str">
        <x:f>IF($E18="","",'Supuestos'!$B$21*'Supuestos'!$B$22*$E18)</x:f>
      </x:c>
      <x:c r="BH18" s="39" t="str">
        <x:f>IF($E18="","",'Supuestos'!$B$21*'Supuestos'!$B$22*$E18)</x:f>
      </x:c>
      <x:c r="BI18" s="39" t="str">
        <x:f>IF($E18="","",'Supuestos'!$B$21*'Supuestos'!$B$22*$E18)</x:f>
      </x:c>
      <x:c r="BJ18" s="39" t="str">
        <x:f>IF($E18="","",'Supuestos'!$B$21*'Supuestos'!$B$22*$E18)</x:f>
      </x:c>
      <x:c r="BK18" s="39" t="str">
        <x:f>IF($E18="","",'Supuestos'!$B$21*'Supuestos'!$B$22*$E18)</x:f>
      </x:c>
      <x:c r="BL18" s="39" t="str">
        <x:f>IF($E18="","",'Supuestos'!$B$21*'Supuestos'!$B$22*$E18)</x:f>
      </x:c>
      <x:c r="BM18" s="39" t="str">
        <x:f>IF($E18="","",'Supuestos'!$B$21*'Supuestos'!$B$22*$E18)</x:f>
      </x:c>
      <x:c r="BN18" s="39" t="str">
        <x:f>IF($E18="","",'Supuestos'!$B$21*'Supuestos'!$B$22*$E18)</x:f>
      </x:c>
      <x:c r="BO18" s="47" t="str">
        <x:f>IF(COUNT(G18:BN18)=0,"",SUM(G18:BN18))</x:f>
      </x:c>
    </x:row>
    <x:row r="19">
      <x:c r="A19" s="16" t="str">
        <x:v>USA-LB</x:v>
      </x:c>
      <x:c r="B19" s="17" t="str">
        <x:v>EE. UU.</x:v>
      </x:c>
      <x:c r="C19" s="17" t="str">
        <x:v>Balanceador HTTPS</x:v>
      </x:c>
      <x:c r="D19" s="17" t="str">
        <x:v>unidad/mes</x:v>
      </x:c>
      <x:c r="E19" s="38" t="str">
        <x:f>IF('Fuentes y Cotizaciones'!F19="","",'Fuentes y Cotizaciones'!F19)</x:f>
      </x:c>
      <x:c r="F19" s="17" t="str">
        <x:v>1 unidad por mes</x:v>
      </x:c>
      <x:c r="G19" s="39" t="str">
        <x:f>IF($E19="","",1*$E19)</x:f>
      </x:c>
      <x:c r="H19" s="39" t="str">
        <x:f>IF($E19="","",1*$E19)</x:f>
      </x:c>
      <x:c r="I19" s="39" t="str">
        <x:f>IF($E19="","",1*$E19)</x:f>
      </x:c>
      <x:c r="J19" s="39" t="str">
        <x:f>IF($E19="","",1*$E19)</x:f>
      </x:c>
      <x:c r="K19" s="39" t="str">
        <x:f>IF($E19="","",1*$E19)</x:f>
      </x:c>
      <x:c r="L19" s="39" t="str">
        <x:f>IF($E19="","",1*$E19)</x:f>
      </x:c>
      <x:c r="M19" s="39" t="str">
        <x:f>IF($E19="","",1*$E19)</x:f>
      </x:c>
      <x:c r="N19" s="39" t="str">
        <x:f>IF($E19="","",1*$E19)</x:f>
      </x:c>
      <x:c r="O19" s="39" t="str">
        <x:f>IF($E19="","",1*$E19)</x:f>
      </x:c>
      <x:c r="P19" s="39" t="str">
        <x:f>IF($E19="","",1*$E19)</x:f>
      </x:c>
      <x:c r="Q19" s="39" t="str">
        <x:f>IF($E19="","",1*$E19)</x:f>
      </x:c>
      <x:c r="R19" s="39" t="str">
        <x:f>IF($E19="","",1*$E19)</x:f>
      </x:c>
      <x:c r="S19" s="39" t="str">
        <x:f>IF($E19="","",1*$E19)</x:f>
      </x:c>
      <x:c r="T19" s="39" t="str">
        <x:f>IF($E19="","",1*$E19)</x:f>
      </x:c>
      <x:c r="U19" s="39" t="str">
        <x:f>IF($E19="","",1*$E19)</x:f>
      </x:c>
      <x:c r="V19" s="39" t="str">
        <x:f>IF($E19="","",1*$E19)</x:f>
      </x:c>
      <x:c r="W19" s="39" t="str">
        <x:f>IF($E19="","",1*$E19)</x:f>
      </x:c>
      <x:c r="X19" s="39" t="str">
        <x:f>IF($E19="","",1*$E19)</x:f>
      </x:c>
      <x:c r="Y19" s="39" t="str">
        <x:f>IF($E19="","",1*$E19)</x:f>
      </x:c>
      <x:c r="Z19" s="39" t="str">
        <x:f>IF($E19="","",1*$E19)</x:f>
      </x:c>
      <x:c r="AA19" s="39" t="str">
        <x:f>IF($E19="","",1*$E19)</x:f>
      </x:c>
      <x:c r="AB19" s="39" t="str">
        <x:f>IF($E19="","",1*$E19)</x:f>
      </x:c>
      <x:c r="AC19" s="39" t="str">
        <x:f>IF($E19="","",1*$E19)</x:f>
      </x:c>
      <x:c r="AD19" s="39" t="str">
        <x:f>IF($E19="","",1*$E19)</x:f>
      </x:c>
      <x:c r="AE19" s="39" t="str">
        <x:f>IF($E19="","",1*$E19)</x:f>
      </x:c>
      <x:c r="AF19" s="39" t="str">
        <x:f>IF($E19="","",1*$E19)</x:f>
      </x:c>
      <x:c r="AG19" s="39" t="str">
        <x:f>IF($E19="","",1*$E19)</x:f>
      </x:c>
      <x:c r="AH19" s="39" t="str">
        <x:f>IF($E19="","",1*$E19)</x:f>
      </x:c>
      <x:c r="AI19" s="39" t="str">
        <x:f>IF($E19="","",1*$E19)</x:f>
      </x:c>
      <x:c r="AJ19" s="39" t="str">
        <x:f>IF($E19="","",1*$E19)</x:f>
      </x:c>
      <x:c r="AK19" s="39" t="str">
        <x:f>IF($E19="","",1*$E19)</x:f>
      </x:c>
      <x:c r="AL19" s="39" t="str">
        <x:f>IF($E19="","",1*$E19)</x:f>
      </x:c>
      <x:c r="AM19" s="39" t="str">
        <x:f>IF($E19="","",1*$E19)</x:f>
      </x:c>
      <x:c r="AN19" s="39" t="str">
        <x:f>IF($E19="","",1*$E19)</x:f>
      </x:c>
      <x:c r="AO19" s="39" t="str">
        <x:f>IF($E19="","",1*$E19)</x:f>
      </x:c>
      <x:c r="AP19" s="39" t="str">
        <x:f>IF($E19="","",1*$E19)</x:f>
      </x:c>
      <x:c r="AQ19" s="39" t="str">
        <x:f>IF($E19="","",1*$E19)</x:f>
      </x:c>
      <x:c r="AR19" s="39" t="str">
        <x:f>IF($E19="","",1*$E19)</x:f>
      </x:c>
      <x:c r="AS19" s="39" t="str">
        <x:f>IF($E19="","",1*$E19)</x:f>
      </x:c>
      <x:c r="AT19" s="39" t="str">
        <x:f>IF($E19="","",1*$E19)</x:f>
      </x:c>
      <x:c r="AU19" s="39" t="str">
        <x:f>IF($E19="","",1*$E19)</x:f>
      </x:c>
      <x:c r="AV19" s="39" t="str">
        <x:f>IF($E19="","",1*$E19)</x:f>
      </x:c>
      <x:c r="AW19" s="39" t="str">
        <x:f>IF($E19="","",1*$E19)</x:f>
      </x:c>
      <x:c r="AX19" s="39" t="str">
        <x:f>IF($E19="","",1*$E19)</x:f>
      </x:c>
      <x:c r="AY19" s="39" t="str">
        <x:f>IF($E19="","",1*$E19)</x:f>
      </x:c>
      <x:c r="AZ19" s="39" t="str">
        <x:f>IF($E19="","",1*$E19)</x:f>
      </x:c>
      <x:c r="BA19" s="39" t="str">
        <x:f>IF($E19="","",1*$E19)</x:f>
      </x:c>
      <x:c r="BB19" s="39" t="str">
        <x:f>IF($E19="","",1*$E19)</x:f>
      </x:c>
      <x:c r="BC19" s="39" t="str">
        <x:f>IF($E19="","",1*$E19)</x:f>
      </x:c>
      <x:c r="BD19" s="39" t="str">
        <x:f>IF($E19="","",1*$E19)</x:f>
      </x:c>
      <x:c r="BE19" s="39" t="str">
        <x:f>IF($E19="","",1*$E19)</x:f>
      </x:c>
      <x:c r="BF19" s="39" t="str">
        <x:f>IF($E19="","",1*$E19)</x:f>
      </x:c>
      <x:c r="BG19" s="39" t="str">
        <x:f>IF($E19="","",1*$E19)</x:f>
      </x:c>
      <x:c r="BH19" s="39" t="str">
        <x:f>IF($E19="","",1*$E19)</x:f>
      </x:c>
      <x:c r="BI19" s="39" t="str">
        <x:f>IF($E19="","",1*$E19)</x:f>
      </x:c>
      <x:c r="BJ19" s="39" t="str">
        <x:f>IF($E19="","",1*$E19)</x:f>
      </x:c>
      <x:c r="BK19" s="39" t="str">
        <x:f>IF($E19="","",1*$E19)</x:f>
      </x:c>
      <x:c r="BL19" s="39" t="str">
        <x:f>IF($E19="","",1*$E19)</x:f>
      </x:c>
      <x:c r="BM19" s="39" t="str">
        <x:f>IF($E19="","",1*$E19)</x:f>
      </x:c>
      <x:c r="BN19" s="39" t="str">
        <x:f>IF($E19="","",1*$E19)</x:f>
      </x:c>
      <x:c r="BO19" s="47" t="str">
        <x:f>IF(COUNT(G19:BN19)=0,"",SUM(G19:BN19))</x:f>
      </x:c>
    </x:row>
    <x:row r="20">
      <x:c r="A20" s="16" t="str">
        <x:v>USA-APP</x:v>
      </x:c>
      <x:c r="B20" s="17" t="str">
        <x:v>EE. UU.</x:v>
      </x:c>
      <x:c r="C20" s="17" t="str">
        <x:v>VMs de aplicación</x:v>
      </x:c>
      <x:c r="D20" s="17" t="str">
        <x:v>instancia-hora</x:v>
      </x:c>
      <x:c r="E20" s="38" t="str">
        <x:f>IF('Fuentes y Cotizaciones'!F20="","",'Fuentes y Cotizaciones'!F20)</x:f>
      </x:c>
      <x:c r="F20" s="17" t="str">
        <x:v>VMs mínimas × horas/mes</x:v>
      </x:c>
      <x:c r="G20" s="39" t="str">
        <x:f>IF($E20="","",'Supuestos'!$B$11*'Supuestos'!$B$8*$E20)</x:f>
      </x:c>
      <x:c r="H20" s="39" t="str">
        <x:f>IF($E20="","",'Supuestos'!$B$11*'Supuestos'!$B$8*$E20)</x:f>
      </x:c>
      <x:c r="I20" s="39" t="str">
        <x:f>IF($E20="","",'Supuestos'!$B$11*'Supuestos'!$B$8*$E20)</x:f>
      </x:c>
      <x:c r="J20" s="39" t="str">
        <x:f>IF($E20="","",'Supuestos'!$B$11*'Supuestos'!$B$8*$E20)</x:f>
      </x:c>
      <x:c r="K20" s="39" t="str">
        <x:f>IF($E20="","",'Supuestos'!$B$11*'Supuestos'!$B$8*$E20)</x:f>
      </x:c>
      <x:c r="L20" s="39" t="str">
        <x:f>IF($E20="","",'Supuestos'!$B$11*'Supuestos'!$B$8*$E20)</x:f>
      </x:c>
      <x:c r="M20" s="39" t="str">
        <x:f>IF($E20="","",'Supuestos'!$B$11*'Supuestos'!$B$8*$E20)</x:f>
      </x:c>
      <x:c r="N20" s="39" t="str">
        <x:f>IF($E20="","",'Supuestos'!$B$11*'Supuestos'!$B$8*$E20)</x:f>
      </x:c>
      <x:c r="O20" s="39" t="str">
        <x:f>IF($E20="","",'Supuestos'!$B$11*'Supuestos'!$B$8*$E20)</x:f>
      </x:c>
      <x:c r="P20" s="39" t="str">
        <x:f>IF($E20="","",'Supuestos'!$B$11*'Supuestos'!$B$8*$E20)</x:f>
      </x:c>
      <x:c r="Q20" s="39" t="str">
        <x:f>IF($E20="","",'Supuestos'!$B$11*'Supuestos'!$B$8*$E20)</x:f>
      </x:c>
      <x:c r="R20" s="39" t="str">
        <x:f>IF($E20="","",'Supuestos'!$B$11*'Supuestos'!$B$8*$E20)</x:f>
      </x:c>
      <x:c r="S20" s="39" t="str">
        <x:f>IF($E20="","",'Supuestos'!$B$11*'Supuestos'!$B$8*$E20)</x:f>
      </x:c>
      <x:c r="T20" s="39" t="str">
        <x:f>IF($E20="","",'Supuestos'!$B$11*'Supuestos'!$B$8*$E20)</x:f>
      </x:c>
      <x:c r="U20" s="39" t="str">
        <x:f>IF($E20="","",'Supuestos'!$B$11*'Supuestos'!$B$8*$E20)</x:f>
      </x:c>
      <x:c r="V20" s="39" t="str">
        <x:f>IF($E20="","",'Supuestos'!$B$11*'Supuestos'!$B$8*$E20)</x:f>
      </x:c>
      <x:c r="W20" s="39" t="str">
        <x:f>IF($E20="","",'Supuestos'!$B$11*'Supuestos'!$B$8*$E20)</x:f>
      </x:c>
      <x:c r="X20" s="39" t="str">
        <x:f>IF($E20="","",'Supuestos'!$B$11*'Supuestos'!$B$8*$E20)</x:f>
      </x:c>
      <x:c r="Y20" s="39" t="str">
        <x:f>IF($E20="","",'Supuestos'!$B$11*'Supuestos'!$B$8*$E20)</x:f>
      </x:c>
      <x:c r="Z20" s="39" t="str">
        <x:f>IF($E20="","",'Supuestos'!$B$11*'Supuestos'!$B$8*$E20)</x:f>
      </x:c>
      <x:c r="AA20" s="39" t="str">
        <x:f>IF($E20="","",'Supuestos'!$B$11*'Supuestos'!$B$8*$E20)</x:f>
      </x:c>
      <x:c r="AB20" s="39" t="str">
        <x:f>IF($E20="","",'Supuestos'!$B$11*'Supuestos'!$B$8*$E20)</x:f>
      </x:c>
      <x:c r="AC20" s="39" t="str">
        <x:f>IF($E20="","",'Supuestos'!$B$11*'Supuestos'!$B$8*$E20)</x:f>
      </x:c>
      <x:c r="AD20" s="39" t="str">
        <x:f>IF($E20="","",'Supuestos'!$B$11*'Supuestos'!$B$8*$E20)</x:f>
      </x:c>
      <x:c r="AE20" s="39" t="str">
        <x:f>IF($E20="","",'Supuestos'!$B$11*'Supuestos'!$B$8*$E20)</x:f>
      </x:c>
      <x:c r="AF20" s="39" t="str">
        <x:f>IF($E20="","",'Supuestos'!$B$11*'Supuestos'!$B$8*$E20)</x:f>
      </x:c>
      <x:c r="AG20" s="39" t="str">
        <x:f>IF($E20="","",'Supuestos'!$B$11*'Supuestos'!$B$8*$E20)</x:f>
      </x:c>
      <x:c r="AH20" s="39" t="str">
        <x:f>IF($E20="","",'Supuestos'!$B$11*'Supuestos'!$B$8*$E20)</x:f>
      </x:c>
      <x:c r="AI20" s="39" t="str">
        <x:f>IF($E20="","",'Supuestos'!$B$11*'Supuestos'!$B$8*$E20)</x:f>
      </x:c>
      <x:c r="AJ20" s="39" t="str">
        <x:f>IF($E20="","",'Supuestos'!$B$11*'Supuestos'!$B$8*$E20)</x:f>
      </x:c>
      <x:c r="AK20" s="39" t="str">
        <x:f>IF($E20="","",'Supuestos'!$B$11*'Supuestos'!$B$8*$E20)</x:f>
      </x:c>
      <x:c r="AL20" s="39" t="str">
        <x:f>IF($E20="","",'Supuestos'!$B$11*'Supuestos'!$B$8*$E20)</x:f>
      </x:c>
      <x:c r="AM20" s="39" t="str">
        <x:f>IF($E20="","",'Supuestos'!$B$11*'Supuestos'!$B$8*$E20)</x:f>
      </x:c>
      <x:c r="AN20" s="39" t="str">
        <x:f>IF($E20="","",'Supuestos'!$B$11*'Supuestos'!$B$8*$E20)</x:f>
      </x:c>
      <x:c r="AO20" s="39" t="str">
        <x:f>IF($E20="","",'Supuestos'!$B$11*'Supuestos'!$B$8*$E20)</x:f>
      </x:c>
      <x:c r="AP20" s="39" t="str">
        <x:f>IF($E20="","",'Supuestos'!$B$11*'Supuestos'!$B$8*$E20)</x:f>
      </x:c>
      <x:c r="AQ20" s="39" t="str">
        <x:f>IF($E20="","",'Supuestos'!$B$11*'Supuestos'!$B$8*$E20)</x:f>
      </x:c>
      <x:c r="AR20" s="39" t="str">
        <x:f>IF($E20="","",'Supuestos'!$B$11*'Supuestos'!$B$8*$E20)</x:f>
      </x:c>
      <x:c r="AS20" s="39" t="str">
        <x:f>IF($E20="","",'Supuestos'!$B$11*'Supuestos'!$B$8*$E20)</x:f>
      </x:c>
      <x:c r="AT20" s="39" t="str">
        <x:f>IF($E20="","",'Supuestos'!$B$11*'Supuestos'!$B$8*$E20)</x:f>
      </x:c>
      <x:c r="AU20" s="39" t="str">
        <x:f>IF($E20="","",'Supuestos'!$B$11*'Supuestos'!$B$8*$E20)</x:f>
      </x:c>
      <x:c r="AV20" s="39" t="str">
        <x:f>IF($E20="","",'Supuestos'!$B$11*'Supuestos'!$B$8*$E20)</x:f>
      </x:c>
      <x:c r="AW20" s="39" t="str">
        <x:f>IF($E20="","",'Supuestos'!$B$11*'Supuestos'!$B$8*$E20)</x:f>
      </x:c>
      <x:c r="AX20" s="39" t="str">
        <x:f>IF($E20="","",'Supuestos'!$B$11*'Supuestos'!$B$8*$E20)</x:f>
      </x:c>
      <x:c r="AY20" s="39" t="str">
        <x:f>IF($E20="","",'Supuestos'!$B$11*'Supuestos'!$B$8*$E20)</x:f>
      </x:c>
      <x:c r="AZ20" s="39" t="str">
        <x:f>IF($E20="","",'Supuestos'!$B$11*'Supuestos'!$B$8*$E20)</x:f>
      </x:c>
      <x:c r="BA20" s="39" t="str">
        <x:f>IF($E20="","",'Supuestos'!$B$11*'Supuestos'!$B$8*$E20)</x:f>
      </x:c>
      <x:c r="BB20" s="39" t="str">
        <x:f>IF($E20="","",'Supuestos'!$B$11*'Supuestos'!$B$8*$E20)</x:f>
      </x:c>
      <x:c r="BC20" s="39" t="str">
        <x:f>IF($E20="","",'Supuestos'!$B$11*'Supuestos'!$B$8*$E20)</x:f>
      </x:c>
      <x:c r="BD20" s="39" t="str">
        <x:f>IF($E20="","",'Supuestos'!$B$11*'Supuestos'!$B$8*$E20)</x:f>
      </x:c>
      <x:c r="BE20" s="39" t="str">
        <x:f>IF($E20="","",'Supuestos'!$B$11*'Supuestos'!$B$8*$E20)</x:f>
      </x:c>
      <x:c r="BF20" s="39" t="str">
        <x:f>IF($E20="","",'Supuestos'!$B$11*'Supuestos'!$B$8*$E20)</x:f>
      </x:c>
      <x:c r="BG20" s="39" t="str">
        <x:f>IF($E20="","",'Supuestos'!$B$11*'Supuestos'!$B$8*$E20)</x:f>
      </x:c>
      <x:c r="BH20" s="39" t="str">
        <x:f>IF($E20="","",'Supuestos'!$B$11*'Supuestos'!$B$8*$E20)</x:f>
      </x:c>
      <x:c r="BI20" s="39" t="str">
        <x:f>IF($E20="","",'Supuestos'!$B$11*'Supuestos'!$B$8*$E20)</x:f>
      </x:c>
      <x:c r="BJ20" s="39" t="str">
        <x:f>IF($E20="","",'Supuestos'!$B$11*'Supuestos'!$B$8*$E20)</x:f>
      </x:c>
      <x:c r="BK20" s="39" t="str">
        <x:f>IF($E20="","",'Supuestos'!$B$11*'Supuestos'!$B$8*$E20)</x:f>
      </x:c>
      <x:c r="BL20" s="39" t="str">
        <x:f>IF($E20="","",'Supuestos'!$B$11*'Supuestos'!$B$8*$E20)</x:f>
      </x:c>
      <x:c r="BM20" s="39" t="str">
        <x:f>IF($E20="","",'Supuestos'!$B$11*'Supuestos'!$B$8*$E20)</x:f>
      </x:c>
      <x:c r="BN20" s="39" t="str">
        <x:f>IF($E20="","",'Supuestos'!$B$11*'Supuestos'!$B$8*$E20)</x:f>
      </x:c>
      <x:c r="BO20" s="47" t="str">
        <x:f>IF(COUNT(G20:BN20)=0,"",SUM(G20:BN20))</x:f>
      </x:c>
    </x:row>
    <x:row r="21">
      <x:c r="A21" s="16" t="str">
        <x:v>USA-DB</x:v>
      </x:c>
      <x:c r="B21" s="17" t="str">
        <x:v>EE. UU.</x:v>
      </x:c>
      <x:c r="C21" s="17" t="str">
        <x:v>Base de datos PostgreSQL HA</x:v>
      </x:c>
      <x:c r="D21" s="17" t="str">
        <x:v>instancia-hora</x:v>
      </x:c>
      <x:c r="E21" s="38" t="str">
        <x:f>IF('Fuentes y Cotizaciones'!F21="","",'Fuentes y Cotizaciones'!F21)</x:f>
      </x:c>
      <x:c r="F21" s="17" t="str">
        <x:v>1 instancia HA × horas/mes</x:v>
      </x:c>
      <x:c r="G21" s="39" t="str">
        <x:f>IF($E21="","",'Supuestos'!$B$8*$E21)</x:f>
      </x:c>
      <x:c r="H21" s="39" t="str">
        <x:f>IF($E21="","",'Supuestos'!$B$8*$E21)</x:f>
      </x:c>
      <x:c r="I21" s="39" t="str">
        <x:f>IF($E21="","",'Supuestos'!$B$8*$E21)</x:f>
      </x:c>
      <x:c r="J21" s="39" t="str">
        <x:f>IF($E21="","",'Supuestos'!$B$8*$E21)</x:f>
      </x:c>
      <x:c r="K21" s="39" t="str">
        <x:f>IF($E21="","",'Supuestos'!$B$8*$E21)</x:f>
      </x:c>
      <x:c r="L21" s="39" t="str">
        <x:f>IF($E21="","",'Supuestos'!$B$8*$E21)</x:f>
      </x:c>
      <x:c r="M21" s="39" t="str">
        <x:f>IF($E21="","",'Supuestos'!$B$8*$E21)</x:f>
      </x:c>
      <x:c r="N21" s="39" t="str">
        <x:f>IF($E21="","",'Supuestos'!$B$8*$E21)</x:f>
      </x:c>
      <x:c r="O21" s="39" t="str">
        <x:f>IF($E21="","",'Supuestos'!$B$8*$E21)</x:f>
      </x:c>
      <x:c r="P21" s="39" t="str">
        <x:f>IF($E21="","",'Supuestos'!$B$8*$E21)</x:f>
      </x:c>
      <x:c r="Q21" s="39" t="str">
        <x:f>IF($E21="","",'Supuestos'!$B$8*$E21)</x:f>
      </x:c>
      <x:c r="R21" s="39" t="str">
        <x:f>IF($E21="","",'Supuestos'!$B$8*$E21)</x:f>
      </x:c>
      <x:c r="S21" s="39" t="str">
        <x:f>IF($E21="","",'Supuestos'!$B$8*$E21)</x:f>
      </x:c>
      <x:c r="T21" s="39" t="str">
        <x:f>IF($E21="","",'Supuestos'!$B$8*$E21)</x:f>
      </x:c>
      <x:c r="U21" s="39" t="str">
        <x:f>IF($E21="","",'Supuestos'!$B$8*$E21)</x:f>
      </x:c>
      <x:c r="V21" s="39" t="str">
        <x:f>IF($E21="","",'Supuestos'!$B$8*$E21)</x:f>
      </x:c>
      <x:c r="W21" s="39" t="str">
        <x:f>IF($E21="","",'Supuestos'!$B$8*$E21)</x:f>
      </x:c>
      <x:c r="X21" s="39" t="str">
        <x:f>IF($E21="","",'Supuestos'!$B$8*$E21)</x:f>
      </x:c>
      <x:c r="Y21" s="39" t="str">
        <x:f>IF($E21="","",'Supuestos'!$B$8*$E21)</x:f>
      </x:c>
      <x:c r="Z21" s="39" t="str">
        <x:f>IF($E21="","",'Supuestos'!$B$8*$E21)</x:f>
      </x:c>
      <x:c r="AA21" s="39" t="str">
        <x:f>IF($E21="","",'Supuestos'!$B$8*$E21)</x:f>
      </x:c>
      <x:c r="AB21" s="39" t="str">
        <x:f>IF($E21="","",'Supuestos'!$B$8*$E21)</x:f>
      </x:c>
      <x:c r="AC21" s="39" t="str">
        <x:f>IF($E21="","",'Supuestos'!$B$8*$E21)</x:f>
      </x:c>
      <x:c r="AD21" s="39" t="str">
        <x:f>IF($E21="","",'Supuestos'!$B$8*$E21)</x:f>
      </x:c>
      <x:c r="AE21" s="39" t="str">
        <x:f>IF($E21="","",'Supuestos'!$B$8*$E21)</x:f>
      </x:c>
      <x:c r="AF21" s="39" t="str">
        <x:f>IF($E21="","",'Supuestos'!$B$8*$E21)</x:f>
      </x:c>
      <x:c r="AG21" s="39" t="str">
        <x:f>IF($E21="","",'Supuestos'!$B$8*$E21)</x:f>
      </x:c>
      <x:c r="AH21" s="39" t="str">
        <x:f>IF($E21="","",'Supuestos'!$B$8*$E21)</x:f>
      </x:c>
      <x:c r="AI21" s="39" t="str">
        <x:f>IF($E21="","",'Supuestos'!$B$8*$E21)</x:f>
      </x:c>
      <x:c r="AJ21" s="39" t="str">
        <x:f>IF($E21="","",'Supuestos'!$B$8*$E21)</x:f>
      </x:c>
      <x:c r="AK21" s="39" t="str">
        <x:f>IF($E21="","",'Supuestos'!$B$8*$E21)</x:f>
      </x:c>
      <x:c r="AL21" s="39" t="str">
        <x:f>IF($E21="","",'Supuestos'!$B$8*$E21)</x:f>
      </x:c>
      <x:c r="AM21" s="39" t="str">
        <x:f>IF($E21="","",'Supuestos'!$B$8*$E21)</x:f>
      </x:c>
      <x:c r="AN21" s="39" t="str">
        <x:f>IF($E21="","",'Supuestos'!$B$8*$E21)</x:f>
      </x:c>
      <x:c r="AO21" s="39" t="str">
        <x:f>IF($E21="","",'Supuestos'!$B$8*$E21)</x:f>
      </x:c>
      <x:c r="AP21" s="39" t="str">
        <x:f>IF($E21="","",'Supuestos'!$B$8*$E21)</x:f>
      </x:c>
      <x:c r="AQ21" s="39" t="str">
        <x:f>IF($E21="","",'Supuestos'!$B$8*$E21)</x:f>
      </x:c>
      <x:c r="AR21" s="39" t="str">
        <x:f>IF($E21="","",'Supuestos'!$B$8*$E21)</x:f>
      </x:c>
      <x:c r="AS21" s="39" t="str">
        <x:f>IF($E21="","",'Supuestos'!$B$8*$E21)</x:f>
      </x:c>
      <x:c r="AT21" s="39" t="str">
        <x:f>IF($E21="","",'Supuestos'!$B$8*$E21)</x:f>
      </x:c>
      <x:c r="AU21" s="39" t="str">
        <x:f>IF($E21="","",'Supuestos'!$B$8*$E21)</x:f>
      </x:c>
      <x:c r="AV21" s="39" t="str">
        <x:f>IF($E21="","",'Supuestos'!$B$8*$E21)</x:f>
      </x:c>
      <x:c r="AW21" s="39" t="str">
        <x:f>IF($E21="","",'Supuestos'!$B$8*$E21)</x:f>
      </x:c>
      <x:c r="AX21" s="39" t="str">
        <x:f>IF($E21="","",'Supuestos'!$B$8*$E21)</x:f>
      </x:c>
      <x:c r="AY21" s="39" t="str">
        <x:f>IF($E21="","",'Supuestos'!$B$8*$E21)</x:f>
      </x:c>
      <x:c r="AZ21" s="39" t="str">
        <x:f>IF($E21="","",'Supuestos'!$B$8*$E21)</x:f>
      </x:c>
      <x:c r="BA21" s="39" t="str">
        <x:f>IF($E21="","",'Supuestos'!$B$8*$E21)</x:f>
      </x:c>
      <x:c r="BB21" s="39" t="str">
        <x:f>IF($E21="","",'Supuestos'!$B$8*$E21)</x:f>
      </x:c>
      <x:c r="BC21" s="39" t="str">
        <x:f>IF($E21="","",'Supuestos'!$B$8*$E21)</x:f>
      </x:c>
      <x:c r="BD21" s="39" t="str">
        <x:f>IF($E21="","",'Supuestos'!$B$8*$E21)</x:f>
      </x:c>
      <x:c r="BE21" s="39" t="str">
        <x:f>IF($E21="","",'Supuestos'!$B$8*$E21)</x:f>
      </x:c>
      <x:c r="BF21" s="39" t="str">
        <x:f>IF($E21="","",'Supuestos'!$B$8*$E21)</x:f>
      </x:c>
      <x:c r="BG21" s="39" t="str">
        <x:f>IF($E21="","",'Supuestos'!$B$8*$E21)</x:f>
      </x:c>
      <x:c r="BH21" s="39" t="str">
        <x:f>IF($E21="","",'Supuestos'!$B$8*$E21)</x:f>
      </x:c>
      <x:c r="BI21" s="39" t="str">
        <x:f>IF($E21="","",'Supuestos'!$B$8*$E21)</x:f>
      </x:c>
      <x:c r="BJ21" s="39" t="str">
        <x:f>IF($E21="","",'Supuestos'!$B$8*$E21)</x:f>
      </x:c>
      <x:c r="BK21" s="39" t="str">
        <x:f>IF($E21="","",'Supuestos'!$B$8*$E21)</x:f>
      </x:c>
      <x:c r="BL21" s="39" t="str">
        <x:f>IF($E21="","",'Supuestos'!$B$8*$E21)</x:f>
      </x:c>
      <x:c r="BM21" s="39" t="str">
        <x:f>IF($E21="","",'Supuestos'!$B$8*$E21)</x:f>
      </x:c>
      <x:c r="BN21" s="39" t="str">
        <x:f>IF($E21="","",'Supuestos'!$B$8*$E21)</x:f>
      </x:c>
      <x:c r="BO21" s="47" t="str">
        <x:f>IF(COUNT(G21:BN21)=0,"",SUM(G21:BN21))</x:f>
      </x:c>
    </x:row>
    <x:row r="22">
      <x:c r="A22" s="16" t="str">
        <x:v>USA-DBST</x:v>
      </x:c>
      <x:c r="B22" s="17" t="str">
        <x:v>EE. UU.</x:v>
      </x:c>
      <x:c r="C22" s="17" t="str">
        <x:v>Almacenamiento de base de datos</x:v>
      </x:c>
      <x:c r="D22" s="17" t="str">
        <x:v>GiB-mes</x:v>
      </x:c>
      <x:c r="E22" s="38" t="str">
        <x:f>IF('Fuentes y Cotizaciones'!F22="","",'Fuentes y Cotizaciones'!F22)</x:f>
      </x:c>
      <x:c r="F22" s="17" t="str">
        <x:v>GiB de BD</x:v>
      </x:c>
      <x:c r="G22" s="39" t="str">
        <x:f>IF($E22="","",'Supuestos'!$B$15*$E22)</x:f>
      </x:c>
      <x:c r="H22" s="39" t="str">
        <x:f>IF($E22="","",'Supuestos'!$B$15*$E22)</x:f>
      </x:c>
      <x:c r="I22" s="39" t="str">
        <x:f>IF($E22="","",'Supuestos'!$B$15*$E22)</x:f>
      </x:c>
      <x:c r="J22" s="39" t="str">
        <x:f>IF($E22="","",'Supuestos'!$B$15*$E22)</x:f>
      </x:c>
      <x:c r="K22" s="39" t="str">
        <x:f>IF($E22="","",'Supuestos'!$B$15*$E22)</x:f>
      </x:c>
      <x:c r="L22" s="39" t="str">
        <x:f>IF($E22="","",'Supuestos'!$B$15*$E22)</x:f>
      </x:c>
      <x:c r="M22" s="39" t="str">
        <x:f>IF($E22="","",'Supuestos'!$B$15*$E22)</x:f>
      </x:c>
      <x:c r="N22" s="39" t="str">
        <x:f>IF($E22="","",'Supuestos'!$B$15*$E22)</x:f>
      </x:c>
      <x:c r="O22" s="39" t="str">
        <x:f>IF($E22="","",'Supuestos'!$B$15*$E22)</x:f>
      </x:c>
      <x:c r="P22" s="39" t="str">
        <x:f>IF($E22="","",'Supuestos'!$B$15*$E22)</x:f>
      </x:c>
      <x:c r="Q22" s="39" t="str">
        <x:f>IF($E22="","",'Supuestos'!$B$15*$E22)</x:f>
      </x:c>
      <x:c r="R22" s="39" t="str">
        <x:f>IF($E22="","",'Supuestos'!$B$15*$E22)</x:f>
      </x:c>
      <x:c r="S22" s="39" t="str">
        <x:f>IF($E22="","",'Supuestos'!$B$15*$E22)</x:f>
      </x:c>
      <x:c r="T22" s="39" t="str">
        <x:f>IF($E22="","",'Supuestos'!$B$15*$E22)</x:f>
      </x:c>
      <x:c r="U22" s="39" t="str">
        <x:f>IF($E22="","",'Supuestos'!$B$15*$E22)</x:f>
      </x:c>
      <x:c r="V22" s="39" t="str">
        <x:f>IF($E22="","",'Supuestos'!$B$15*$E22)</x:f>
      </x:c>
      <x:c r="W22" s="39" t="str">
        <x:f>IF($E22="","",'Supuestos'!$B$15*$E22)</x:f>
      </x:c>
      <x:c r="X22" s="39" t="str">
        <x:f>IF($E22="","",'Supuestos'!$B$15*$E22)</x:f>
      </x:c>
      <x:c r="Y22" s="39" t="str">
        <x:f>IF($E22="","",'Supuestos'!$B$15*$E22)</x:f>
      </x:c>
      <x:c r="Z22" s="39" t="str">
        <x:f>IF($E22="","",'Supuestos'!$B$15*$E22)</x:f>
      </x:c>
      <x:c r="AA22" s="39" t="str">
        <x:f>IF($E22="","",'Supuestos'!$B$15*$E22)</x:f>
      </x:c>
      <x:c r="AB22" s="39" t="str">
        <x:f>IF($E22="","",'Supuestos'!$B$15*$E22)</x:f>
      </x:c>
      <x:c r="AC22" s="39" t="str">
        <x:f>IF($E22="","",'Supuestos'!$B$15*$E22)</x:f>
      </x:c>
      <x:c r="AD22" s="39" t="str">
        <x:f>IF($E22="","",'Supuestos'!$B$15*$E22)</x:f>
      </x:c>
      <x:c r="AE22" s="39" t="str">
        <x:f>IF($E22="","",'Supuestos'!$B$15*$E22)</x:f>
      </x:c>
      <x:c r="AF22" s="39" t="str">
        <x:f>IF($E22="","",'Supuestos'!$B$15*$E22)</x:f>
      </x:c>
      <x:c r="AG22" s="39" t="str">
        <x:f>IF($E22="","",'Supuestos'!$B$15*$E22)</x:f>
      </x:c>
      <x:c r="AH22" s="39" t="str">
        <x:f>IF($E22="","",'Supuestos'!$B$15*$E22)</x:f>
      </x:c>
      <x:c r="AI22" s="39" t="str">
        <x:f>IF($E22="","",'Supuestos'!$B$15*$E22)</x:f>
      </x:c>
      <x:c r="AJ22" s="39" t="str">
        <x:f>IF($E22="","",'Supuestos'!$B$15*$E22)</x:f>
      </x:c>
      <x:c r="AK22" s="39" t="str">
        <x:f>IF($E22="","",'Supuestos'!$B$15*$E22)</x:f>
      </x:c>
      <x:c r="AL22" s="39" t="str">
        <x:f>IF($E22="","",'Supuestos'!$B$15*$E22)</x:f>
      </x:c>
      <x:c r="AM22" s="39" t="str">
        <x:f>IF($E22="","",'Supuestos'!$B$15*$E22)</x:f>
      </x:c>
      <x:c r="AN22" s="39" t="str">
        <x:f>IF($E22="","",'Supuestos'!$B$15*$E22)</x:f>
      </x:c>
      <x:c r="AO22" s="39" t="str">
        <x:f>IF($E22="","",'Supuestos'!$B$15*$E22)</x:f>
      </x:c>
      <x:c r="AP22" s="39" t="str">
        <x:f>IF($E22="","",'Supuestos'!$B$15*$E22)</x:f>
      </x:c>
      <x:c r="AQ22" s="39" t="str">
        <x:f>IF($E22="","",'Supuestos'!$B$15*$E22)</x:f>
      </x:c>
      <x:c r="AR22" s="39" t="str">
        <x:f>IF($E22="","",'Supuestos'!$B$15*$E22)</x:f>
      </x:c>
      <x:c r="AS22" s="39" t="str">
        <x:f>IF($E22="","",'Supuestos'!$B$15*$E22)</x:f>
      </x:c>
      <x:c r="AT22" s="39" t="str">
        <x:f>IF($E22="","",'Supuestos'!$B$15*$E22)</x:f>
      </x:c>
      <x:c r="AU22" s="39" t="str">
        <x:f>IF($E22="","",'Supuestos'!$B$15*$E22)</x:f>
      </x:c>
      <x:c r="AV22" s="39" t="str">
        <x:f>IF($E22="","",'Supuestos'!$B$15*$E22)</x:f>
      </x:c>
      <x:c r="AW22" s="39" t="str">
        <x:f>IF($E22="","",'Supuestos'!$B$15*$E22)</x:f>
      </x:c>
      <x:c r="AX22" s="39" t="str">
        <x:f>IF($E22="","",'Supuestos'!$B$15*$E22)</x:f>
      </x:c>
      <x:c r="AY22" s="39" t="str">
        <x:f>IF($E22="","",'Supuestos'!$B$15*$E22)</x:f>
      </x:c>
      <x:c r="AZ22" s="39" t="str">
        <x:f>IF($E22="","",'Supuestos'!$B$15*$E22)</x:f>
      </x:c>
      <x:c r="BA22" s="39" t="str">
        <x:f>IF($E22="","",'Supuestos'!$B$15*$E22)</x:f>
      </x:c>
      <x:c r="BB22" s="39" t="str">
        <x:f>IF($E22="","",'Supuestos'!$B$15*$E22)</x:f>
      </x:c>
      <x:c r="BC22" s="39" t="str">
        <x:f>IF($E22="","",'Supuestos'!$B$15*$E22)</x:f>
      </x:c>
      <x:c r="BD22" s="39" t="str">
        <x:f>IF($E22="","",'Supuestos'!$B$15*$E22)</x:f>
      </x:c>
      <x:c r="BE22" s="39" t="str">
        <x:f>IF($E22="","",'Supuestos'!$B$15*$E22)</x:f>
      </x:c>
      <x:c r="BF22" s="39" t="str">
        <x:f>IF($E22="","",'Supuestos'!$B$15*$E22)</x:f>
      </x:c>
      <x:c r="BG22" s="39" t="str">
        <x:f>IF($E22="","",'Supuestos'!$B$15*$E22)</x:f>
      </x:c>
      <x:c r="BH22" s="39" t="str">
        <x:f>IF($E22="","",'Supuestos'!$B$15*$E22)</x:f>
      </x:c>
      <x:c r="BI22" s="39" t="str">
        <x:f>IF($E22="","",'Supuestos'!$B$15*$E22)</x:f>
      </x:c>
      <x:c r="BJ22" s="39" t="str">
        <x:f>IF($E22="","",'Supuestos'!$B$15*$E22)</x:f>
      </x:c>
      <x:c r="BK22" s="39" t="str">
        <x:f>IF($E22="","",'Supuestos'!$B$15*$E22)</x:f>
      </x:c>
      <x:c r="BL22" s="39" t="str">
        <x:f>IF($E22="","",'Supuestos'!$B$15*$E22)</x:f>
      </x:c>
      <x:c r="BM22" s="39" t="str">
        <x:f>IF($E22="","",'Supuestos'!$B$15*$E22)</x:f>
      </x:c>
      <x:c r="BN22" s="39" t="str">
        <x:f>IF($E22="","",'Supuestos'!$B$15*$E22)</x:f>
      </x:c>
      <x:c r="BO22" s="47" t="str">
        <x:f>IF(COUNT(G22:BN22)=0,"",SUM(G22:BN22))</x:f>
      </x:c>
    </x:row>
    <x:row r="23">
      <x:c r="A23" s="16" t="str">
        <x:v>USA-OBJ</x:v>
      </x:c>
      <x:c r="B23" s="17" t="str">
        <x:v>EE. UU.</x:v>
      </x:c>
      <x:c r="C23" s="17" t="str">
        <x:v>Almacenamiento de objetos</x:v>
      </x:c>
      <x:c r="D23" s="17" t="str">
        <x:v>GiB-mes</x:v>
      </x:c>
      <x:c r="E23" s="38" t="str">
        <x:f>IF('Fuentes y Cotizaciones'!F23="","",'Fuentes y Cotizaciones'!F23)</x:f>
      </x:c>
      <x:c r="F23" s="17" t="str">
        <x:v>objetos iniciales con crecimiento anual</x:v>
      </x:c>
      <x:c r="G23" s="39" t="str">
        <x:f>IF($E23="","",'Supuestos'!$B$16*1*$E23)</x:f>
      </x:c>
      <x:c r="H23" s="39" t="str">
        <x:f>IF($E23="","",'Supuestos'!$B$16*(1+'Supuestos'!$B$17)^(1/12)*$E23)</x:f>
      </x:c>
      <x:c r="I23" s="39" t="str">
        <x:f>IF($E23="","",'Supuestos'!$B$16*(1+'Supuestos'!$B$17)^(2/12)*$E23)</x:f>
      </x:c>
      <x:c r="J23" s="39" t="str">
        <x:f>IF($E23="","",'Supuestos'!$B$16*(1+'Supuestos'!$B$17)^(3/12)*$E23)</x:f>
      </x:c>
      <x:c r="K23" s="39" t="str">
        <x:f>IF($E23="","",'Supuestos'!$B$16*(1+'Supuestos'!$B$17)^(4/12)*$E23)</x:f>
      </x:c>
      <x:c r="L23" s="39" t="str">
        <x:f>IF($E23="","",'Supuestos'!$B$16*(1+'Supuestos'!$B$17)^(5/12)*$E23)</x:f>
      </x:c>
      <x:c r="M23" s="39" t="str">
        <x:f>IF($E23="","",'Supuestos'!$B$16*(1+'Supuestos'!$B$17)^(6/12)*$E23)</x:f>
      </x:c>
      <x:c r="N23" s="39" t="str">
        <x:f>IF($E23="","",'Supuestos'!$B$16*(1+'Supuestos'!$B$17)^(7/12)*$E23)</x:f>
      </x:c>
      <x:c r="O23" s="39" t="str">
        <x:f>IF($E23="","",'Supuestos'!$B$16*(1+'Supuestos'!$B$17)^(8/12)*$E23)</x:f>
      </x:c>
      <x:c r="P23" s="39" t="str">
        <x:f>IF($E23="","",'Supuestos'!$B$16*(1+'Supuestos'!$B$17)^(9/12)*$E23)</x:f>
      </x:c>
      <x:c r="Q23" s="39" t="str">
        <x:f>IF($E23="","",'Supuestos'!$B$16*(1+'Supuestos'!$B$17)^(10/12)*$E23)</x:f>
      </x:c>
      <x:c r="R23" s="39" t="str">
        <x:f>IF($E23="","",'Supuestos'!$B$16*(1+'Supuestos'!$B$17)^(11/12)*$E23)</x:f>
      </x:c>
      <x:c r="S23" s="39" t="str">
        <x:f>IF($E23="","",'Supuestos'!$B$16*(1+'Supuestos'!$B$17)^(12/12)*$E23)</x:f>
      </x:c>
      <x:c r="T23" s="39" t="str">
        <x:f>IF($E23="","",'Supuestos'!$B$16*(1+'Supuestos'!$B$17)^(13/12)*$E23)</x:f>
      </x:c>
      <x:c r="U23" s="39" t="str">
        <x:f>IF($E23="","",'Supuestos'!$B$16*(1+'Supuestos'!$B$17)^(14/12)*$E23)</x:f>
      </x:c>
      <x:c r="V23" s="39" t="str">
        <x:f>IF($E23="","",'Supuestos'!$B$16*(1+'Supuestos'!$B$17)^(15/12)*$E23)</x:f>
      </x:c>
      <x:c r="W23" s="39" t="str">
        <x:f>IF($E23="","",'Supuestos'!$B$16*(1+'Supuestos'!$B$17)^(16/12)*$E23)</x:f>
      </x:c>
      <x:c r="X23" s="39" t="str">
        <x:f>IF($E23="","",'Supuestos'!$B$16*(1+'Supuestos'!$B$17)^(17/12)*$E23)</x:f>
      </x:c>
      <x:c r="Y23" s="39" t="str">
        <x:f>IF($E23="","",'Supuestos'!$B$16*(1+'Supuestos'!$B$17)^(18/12)*$E23)</x:f>
      </x:c>
      <x:c r="Z23" s="39" t="str">
        <x:f>IF($E23="","",'Supuestos'!$B$16*(1+'Supuestos'!$B$17)^(19/12)*$E23)</x:f>
      </x:c>
      <x:c r="AA23" s="39" t="str">
        <x:f>IF($E23="","",'Supuestos'!$B$16*(1+'Supuestos'!$B$17)^(20/12)*$E23)</x:f>
      </x:c>
      <x:c r="AB23" s="39" t="str">
        <x:f>IF($E23="","",'Supuestos'!$B$16*(1+'Supuestos'!$B$17)^(21/12)*$E23)</x:f>
      </x:c>
      <x:c r="AC23" s="39" t="str">
        <x:f>IF($E23="","",'Supuestos'!$B$16*(1+'Supuestos'!$B$17)^(22/12)*$E23)</x:f>
      </x:c>
      <x:c r="AD23" s="39" t="str">
        <x:f>IF($E23="","",'Supuestos'!$B$16*(1+'Supuestos'!$B$17)^(23/12)*$E23)</x:f>
      </x:c>
      <x:c r="AE23" s="39" t="str">
        <x:f>IF($E23="","",'Supuestos'!$B$16*(1+'Supuestos'!$B$17)^(24/12)*$E23)</x:f>
      </x:c>
      <x:c r="AF23" s="39" t="str">
        <x:f>IF($E23="","",'Supuestos'!$B$16*(1+'Supuestos'!$B$17)^(25/12)*$E23)</x:f>
      </x:c>
      <x:c r="AG23" s="39" t="str">
        <x:f>IF($E23="","",'Supuestos'!$B$16*(1+'Supuestos'!$B$17)^(26/12)*$E23)</x:f>
      </x:c>
      <x:c r="AH23" s="39" t="str">
        <x:f>IF($E23="","",'Supuestos'!$B$16*(1+'Supuestos'!$B$17)^(27/12)*$E23)</x:f>
      </x:c>
      <x:c r="AI23" s="39" t="str">
        <x:f>IF($E23="","",'Supuestos'!$B$16*(1+'Supuestos'!$B$17)^(28/12)*$E23)</x:f>
      </x:c>
      <x:c r="AJ23" s="39" t="str">
        <x:f>IF($E23="","",'Supuestos'!$B$16*(1+'Supuestos'!$B$17)^(29/12)*$E23)</x:f>
      </x:c>
      <x:c r="AK23" s="39" t="str">
        <x:f>IF($E23="","",'Supuestos'!$B$16*(1+'Supuestos'!$B$17)^(30/12)*$E23)</x:f>
      </x:c>
      <x:c r="AL23" s="39" t="str">
        <x:f>IF($E23="","",'Supuestos'!$B$16*(1+'Supuestos'!$B$17)^(31/12)*$E23)</x:f>
      </x:c>
      <x:c r="AM23" s="39" t="str">
        <x:f>IF($E23="","",'Supuestos'!$B$16*(1+'Supuestos'!$B$17)^(32/12)*$E23)</x:f>
      </x:c>
      <x:c r="AN23" s="39" t="str">
        <x:f>IF($E23="","",'Supuestos'!$B$16*(1+'Supuestos'!$B$17)^(33/12)*$E23)</x:f>
      </x:c>
      <x:c r="AO23" s="39" t="str">
        <x:f>IF($E23="","",'Supuestos'!$B$16*(1+'Supuestos'!$B$17)^(34/12)*$E23)</x:f>
      </x:c>
      <x:c r="AP23" s="39" t="str">
        <x:f>IF($E23="","",'Supuestos'!$B$16*(1+'Supuestos'!$B$17)^(35/12)*$E23)</x:f>
      </x:c>
      <x:c r="AQ23" s="39" t="str">
        <x:f>IF($E23="","",'Supuestos'!$B$16*(1+'Supuestos'!$B$17)^(36/12)*$E23)</x:f>
      </x:c>
      <x:c r="AR23" s="39" t="str">
        <x:f>IF($E23="","",'Supuestos'!$B$16*(1+'Supuestos'!$B$17)^(37/12)*$E23)</x:f>
      </x:c>
      <x:c r="AS23" s="39" t="str">
        <x:f>IF($E23="","",'Supuestos'!$B$16*(1+'Supuestos'!$B$17)^(38/12)*$E23)</x:f>
      </x:c>
      <x:c r="AT23" s="39" t="str">
        <x:f>IF($E23="","",'Supuestos'!$B$16*(1+'Supuestos'!$B$17)^(39/12)*$E23)</x:f>
      </x:c>
      <x:c r="AU23" s="39" t="str">
        <x:f>IF($E23="","",'Supuestos'!$B$16*(1+'Supuestos'!$B$17)^(40/12)*$E23)</x:f>
      </x:c>
      <x:c r="AV23" s="39" t="str">
        <x:f>IF($E23="","",'Supuestos'!$B$16*(1+'Supuestos'!$B$17)^(41/12)*$E23)</x:f>
      </x:c>
      <x:c r="AW23" s="39" t="str">
        <x:f>IF($E23="","",'Supuestos'!$B$16*(1+'Supuestos'!$B$17)^(42/12)*$E23)</x:f>
      </x:c>
      <x:c r="AX23" s="39" t="str">
        <x:f>IF($E23="","",'Supuestos'!$B$16*(1+'Supuestos'!$B$17)^(43/12)*$E23)</x:f>
      </x:c>
      <x:c r="AY23" s="39" t="str">
        <x:f>IF($E23="","",'Supuestos'!$B$16*(1+'Supuestos'!$B$17)^(44/12)*$E23)</x:f>
      </x:c>
      <x:c r="AZ23" s="39" t="str">
        <x:f>IF($E23="","",'Supuestos'!$B$16*(1+'Supuestos'!$B$17)^(45/12)*$E23)</x:f>
      </x:c>
      <x:c r="BA23" s="39" t="str">
        <x:f>IF($E23="","",'Supuestos'!$B$16*(1+'Supuestos'!$B$17)^(46/12)*$E23)</x:f>
      </x:c>
      <x:c r="BB23" s="39" t="str">
        <x:f>IF($E23="","",'Supuestos'!$B$16*(1+'Supuestos'!$B$17)^(47/12)*$E23)</x:f>
      </x:c>
      <x:c r="BC23" s="39" t="str">
        <x:f>IF($E23="","",'Supuestos'!$B$16*(1+'Supuestos'!$B$17)^(48/12)*$E23)</x:f>
      </x:c>
      <x:c r="BD23" s="39" t="str">
        <x:f>IF($E23="","",'Supuestos'!$B$16*(1+'Supuestos'!$B$17)^(49/12)*$E23)</x:f>
      </x:c>
      <x:c r="BE23" s="39" t="str">
        <x:f>IF($E23="","",'Supuestos'!$B$16*(1+'Supuestos'!$B$17)^(50/12)*$E23)</x:f>
      </x:c>
      <x:c r="BF23" s="39" t="str">
        <x:f>IF($E23="","",'Supuestos'!$B$16*(1+'Supuestos'!$B$17)^(51/12)*$E23)</x:f>
      </x:c>
      <x:c r="BG23" s="39" t="str">
        <x:f>IF($E23="","",'Supuestos'!$B$16*(1+'Supuestos'!$B$17)^(52/12)*$E23)</x:f>
      </x:c>
      <x:c r="BH23" s="39" t="str">
        <x:f>IF($E23="","",'Supuestos'!$B$16*(1+'Supuestos'!$B$17)^(53/12)*$E23)</x:f>
      </x:c>
      <x:c r="BI23" s="39" t="str">
        <x:f>IF($E23="","",'Supuestos'!$B$16*(1+'Supuestos'!$B$17)^(54/12)*$E23)</x:f>
      </x:c>
      <x:c r="BJ23" s="39" t="str">
        <x:f>IF($E23="","",'Supuestos'!$B$16*(1+'Supuestos'!$B$17)^(55/12)*$E23)</x:f>
      </x:c>
      <x:c r="BK23" s="39" t="str">
        <x:f>IF($E23="","",'Supuestos'!$B$16*(1+'Supuestos'!$B$17)^(56/12)*$E23)</x:f>
      </x:c>
      <x:c r="BL23" s="39" t="str">
        <x:f>IF($E23="","",'Supuestos'!$B$16*(1+'Supuestos'!$B$17)^(57/12)*$E23)</x:f>
      </x:c>
      <x:c r="BM23" s="39" t="str">
        <x:f>IF($E23="","",'Supuestos'!$B$16*(1+'Supuestos'!$B$17)^(58/12)*$E23)</x:f>
      </x:c>
      <x:c r="BN23" s="39" t="str">
        <x:f>IF($E23="","",'Supuestos'!$B$16*(1+'Supuestos'!$B$17)^(59/12)*$E23)</x:f>
      </x:c>
      <x:c r="BO23" s="47" t="str">
        <x:f>IF(COUNT(G23:BN23)=0,"",SUM(G23:BN23))</x:f>
      </x:c>
    </x:row>
    <x:row r="24">
      <x:c r="A24" s="16" t="str">
        <x:v>USA-EGR</x:v>
      </x:c>
      <x:c r="B24" s="17" t="str">
        <x:v>EE. UU.</x:v>
      </x:c>
      <x:c r="C24" s="17" t="str">
        <x:v>Egreso a Internet</x:v>
      </x:c>
      <x:c r="D24" s="17" t="str">
        <x:v>GB</x:v>
      </x:c>
      <x:c r="E24" s="38" t="str">
        <x:f>IF('Fuentes y Cotizaciones'!F24="","",'Fuentes y Cotizaciones'!F24)</x:f>
      </x:c>
      <x:c r="F24" s="17" t="str">
        <x:v>egreso mensual</x:v>
      </x:c>
      <x:c r="G24" s="39" t="str">
        <x:f>IF($E24="","",'Supuestos'!$B$18*$E24)</x:f>
      </x:c>
      <x:c r="H24" s="39" t="str">
        <x:f>IF($E24="","",'Supuestos'!$B$18*$E24)</x:f>
      </x:c>
      <x:c r="I24" s="39" t="str">
        <x:f>IF($E24="","",'Supuestos'!$B$18*$E24)</x:f>
      </x:c>
      <x:c r="J24" s="39" t="str">
        <x:f>IF($E24="","",'Supuestos'!$B$18*$E24)</x:f>
      </x:c>
      <x:c r="K24" s="39" t="str">
        <x:f>IF($E24="","",'Supuestos'!$B$18*$E24)</x:f>
      </x:c>
      <x:c r="L24" s="39" t="str">
        <x:f>IF($E24="","",'Supuestos'!$B$18*$E24)</x:f>
      </x:c>
      <x:c r="M24" s="39" t="str">
        <x:f>IF($E24="","",'Supuestos'!$B$18*$E24)</x:f>
      </x:c>
      <x:c r="N24" s="39" t="str">
        <x:f>IF($E24="","",'Supuestos'!$B$18*$E24)</x:f>
      </x:c>
      <x:c r="O24" s="39" t="str">
        <x:f>IF($E24="","",'Supuestos'!$B$18*$E24)</x:f>
      </x:c>
      <x:c r="P24" s="39" t="str">
        <x:f>IF($E24="","",'Supuestos'!$B$18*$E24)</x:f>
      </x:c>
      <x:c r="Q24" s="39" t="str">
        <x:f>IF($E24="","",'Supuestos'!$B$18*$E24)</x:f>
      </x:c>
      <x:c r="R24" s="39" t="str">
        <x:f>IF($E24="","",'Supuestos'!$B$18*$E24)</x:f>
      </x:c>
      <x:c r="S24" s="39" t="str">
        <x:f>IF($E24="","",'Supuestos'!$B$18*$E24)</x:f>
      </x:c>
      <x:c r="T24" s="39" t="str">
        <x:f>IF($E24="","",'Supuestos'!$B$18*$E24)</x:f>
      </x:c>
      <x:c r="U24" s="39" t="str">
        <x:f>IF($E24="","",'Supuestos'!$B$18*$E24)</x:f>
      </x:c>
      <x:c r="V24" s="39" t="str">
        <x:f>IF($E24="","",'Supuestos'!$B$18*$E24)</x:f>
      </x:c>
      <x:c r="W24" s="39" t="str">
        <x:f>IF($E24="","",'Supuestos'!$B$18*$E24)</x:f>
      </x:c>
      <x:c r="X24" s="39" t="str">
        <x:f>IF($E24="","",'Supuestos'!$B$18*$E24)</x:f>
      </x:c>
      <x:c r="Y24" s="39" t="str">
        <x:f>IF($E24="","",'Supuestos'!$B$18*$E24)</x:f>
      </x:c>
      <x:c r="Z24" s="39" t="str">
        <x:f>IF($E24="","",'Supuestos'!$B$18*$E24)</x:f>
      </x:c>
      <x:c r="AA24" s="39" t="str">
        <x:f>IF($E24="","",'Supuestos'!$B$18*$E24)</x:f>
      </x:c>
      <x:c r="AB24" s="39" t="str">
        <x:f>IF($E24="","",'Supuestos'!$B$18*$E24)</x:f>
      </x:c>
      <x:c r="AC24" s="39" t="str">
        <x:f>IF($E24="","",'Supuestos'!$B$18*$E24)</x:f>
      </x:c>
      <x:c r="AD24" s="39" t="str">
        <x:f>IF($E24="","",'Supuestos'!$B$18*$E24)</x:f>
      </x:c>
      <x:c r="AE24" s="39" t="str">
        <x:f>IF($E24="","",'Supuestos'!$B$18*$E24)</x:f>
      </x:c>
      <x:c r="AF24" s="39" t="str">
        <x:f>IF($E24="","",'Supuestos'!$B$18*$E24)</x:f>
      </x:c>
      <x:c r="AG24" s="39" t="str">
        <x:f>IF($E24="","",'Supuestos'!$B$18*$E24)</x:f>
      </x:c>
      <x:c r="AH24" s="39" t="str">
        <x:f>IF($E24="","",'Supuestos'!$B$18*$E24)</x:f>
      </x:c>
      <x:c r="AI24" s="39" t="str">
        <x:f>IF($E24="","",'Supuestos'!$B$18*$E24)</x:f>
      </x:c>
      <x:c r="AJ24" s="39" t="str">
        <x:f>IF($E24="","",'Supuestos'!$B$18*$E24)</x:f>
      </x:c>
      <x:c r="AK24" s="39" t="str">
        <x:f>IF($E24="","",'Supuestos'!$B$18*$E24)</x:f>
      </x:c>
      <x:c r="AL24" s="39" t="str">
        <x:f>IF($E24="","",'Supuestos'!$B$18*$E24)</x:f>
      </x:c>
      <x:c r="AM24" s="39" t="str">
        <x:f>IF($E24="","",'Supuestos'!$B$18*$E24)</x:f>
      </x:c>
      <x:c r="AN24" s="39" t="str">
        <x:f>IF($E24="","",'Supuestos'!$B$18*$E24)</x:f>
      </x:c>
      <x:c r="AO24" s="39" t="str">
        <x:f>IF($E24="","",'Supuestos'!$B$18*$E24)</x:f>
      </x:c>
      <x:c r="AP24" s="39" t="str">
        <x:f>IF($E24="","",'Supuestos'!$B$18*$E24)</x:f>
      </x:c>
      <x:c r="AQ24" s="39" t="str">
        <x:f>IF($E24="","",'Supuestos'!$B$18*$E24)</x:f>
      </x:c>
      <x:c r="AR24" s="39" t="str">
        <x:f>IF($E24="","",'Supuestos'!$B$18*$E24)</x:f>
      </x:c>
      <x:c r="AS24" s="39" t="str">
        <x:f>IF($E24="","",'Supuestos'!$B$18*$E24)</x:f>
      </x:c>
      <x:c r="AT24" s="39" t="str">
        <x:f>IF($E24="","",'Supuestos'!$B$18*$E24)</x:f>
      </x:c>
      <x:c r="AU24" s="39" t="str">
        <x:f>IF($E24="","",'Supuestos'!$B$18*$E24)</x:f>
      </x:c>
      <x:c r="AV24" s="39" t="str">
        <x:f>IF($E24="","",'Supuestos'!$B$18*$E24)</x:f>
      </x:c>
      <x:c r="AW24" s="39" t="str">
        <x:f>IF($E24="","",'Supuestos'!$B$18*$E24)</x:f>
      </x:c>
      <x:c r="AX24" s="39" t="str">
        <x:f>IF($E24="","",'Supuestos'!$B$18*$E24)</x:f>
      </x:c>
      <x:c r="AY24" s="39" t="str">
        <x:f>IF($E24="","",'Supuestos'!$B$18*$E24)</x:f>
      </x:c>
      <x:c r="AZ24" s="39" t="str">
        <x:f>IF($E24="","",'Supuestos'!$B$18*$E24)</x:f>
      </x:c>
      <x:c r="BA24" s="39" t="str">
        <x:f>IF($E24="","",'Supuestos'!$B$18*$E24)</x:f>
      </x:c>
      <x:c r="BB24" s="39" t="str">
        <x:f>IF($E24="","",'Supuestos'!$B$18*$E24)</x:f>
      </x:c>
      <x:c r="BC24" s="39" t="str">
        <x:f>IF($E24="","",'Supuestos'!$B$18*$E24)</x:f>
      </x:c>
      <x:c r="BD24" s="39" t="str">
        <x:f>IF($E24="","",'Supuestos'!$B$18*$E24)</x:f>
      </x:c>
      <x:c r="BE24" s="39" t="str">
        <x:f>IF($E24="","",'Supuestos'!$B$18*$E24)</x:f>
      </x:c>
      <x:c r="BF24" s="39" t="str">
        <x:f>IF($E24="","",'Supuestos'!$B$18*$E24)</x:f>
      </x:c>
      <x:c r="BG24" s="39" t="str">
        <x:f>IF($E24="","",'Supuestos'!$B$18*$E24)</x:f>
      </x:c>
      <x:c r="BH24" s="39" t="str">
        <x:f>IF($E24="","",'Supuestos'!$B$18*$E24)</x:f>
      </x:c>
      <x:c r="BI24" s="39" t="str">
        <x:f>IF($E24="","",'Supuestos'!$B$18*$E24)</x:f>
      </x:c>
      <x:c r="BJ24" s="39" t="str">
        <x:f>IF($E24="","",'Supuestos'!$B$18*$E24)</x:f>
      </x:c>
      <x:c r="BK24" s="39" t="str">
        <x:f>IF($E24="","",'Supuestos'!$B$18*$E24)</x:f>
      </x:c>
      <x:c r="BL24" s="39" t="str">
        <x:f>IF($E24="","",'Supuestos'!$B$18*$E24)</x:f>
      </x:c>
      <x:c r="BM24" s="39" t="str">
        <x:f>IF($E24="","",'Supuestos'!$B$18*$E24)</x:f>
      </x:c>
      <x:c r="BN24" s="39" t="str">
        <x:f>IF($E24="","",'Supuestos'!$B$18*$E24)</x:f>
      </x:c>
      <x:c r="BO24" s="47" t="str">
        <x:f>IF(COUNT(G24:BN24)=0,"",SUM(G24:BN24))</x:f>
      </x:c>
    </x:row>
    <x:row r="25">
      <x:c r="A25" s="16" t="str">
        <x:v>USA-NATH</x:v>
      </x:c>
      <x:c r="B25" s="17" t="str">
        <x:v>EE. UU.</x:v>
      </x:c>
      <x:c r="C25" s="17" t="str">
        <x:v>Cloud NAT</x:v>
      </x:c>
      <x:c r="D25" s="17" t="str">
        <x:v>hora</x:v>
      </x:c>
      <x:c r="E25" s="38" t="str">
        <x:f>IF('Fuentes y Cotizaciones'!F25="","",'Fuentes y Cotizaciones'!F25)</x:f>
      </x:c>
      <x:c r="F25" s="17" t="str">
        <x:v>horas/mes</x:v>
      </x:c>
      <x:c r="G25" s="39" t="str">
        <x:f>IF($E25="","",'Supuestos'!$B$8*$E25)</x:f>
      </x:c>
      <x:c r="H25" s="39" t="str">
        <x:f>IF($E25="","",'Supuestos'!$B$8*$E25)</x:f>
      </x:c>
      <x:c r="I25" s="39" t="str">
        <x:f>IF($E25="","",'Supuestos'!$B$8*$E25)</x:f>
      </x:c>
      <x:c r="J25" s="39" t="str">
        <x:f>IF($E25="","",'Supuestos'!$B$8*$E25)</x:f>
      </x:c>
      <x:c r="K25" s="39" t="str">
        <x:f>IF($E25="","",'Supuestos'!$B$8*$E25)</x:f>
      </x:c>
      <x:c r="L25" s="39" t="str">
        <x:f>IF($E25="","",'Supuestos'!$B$8*$E25)</x:f>
      </x:c>
      <x:c r="M25" s="39" t="str">
        <x:f>IF($E25="","",'Supuestos'!$B$8*$E25)</x:f>
      </x:c>
      <x:c r="N25" s="39" t="str">
        <x:f>IF($E25="","",'Supuestos'!$B$8*$E25)</x:f>
      </x:c>
      <x:c r="O25" s="39" t="str">
        <x:f>IF($E25="","",'Supuestos'!$B$8*$E25)</x:f>
      </x:c>
      <x:c r="P25" s="39" t="str">
        <x:f>IF($E25="","",'Supuestos'!$B$8*$E25)</x:f>
      </x:c>
      <x:c r="Q25" s="39" t="str">
        <x:f>IF($E25="","",'Supuestos'!$B$8*$E25)</x:f>
      </x:c>
      <x:c r="R25" s="39" t="str">
        <x:f>IF($E25="","",'Supuestos'!$B$8*$E25)</x:f>
      </x:c>
      <x:c r="S25" s="39" t="str">
        <x:f>IF($E25="","",'Supuestos'!$B$8*$E25)</x:f>
      </x:c>
      <x:c r="T25" s="39" t="str">
        <x:f>IF($E25="","",'Supuestos'!$B$8*$E25)</x:f>
      </x:c>
      <x:c r="U25" s="39" t="str">
        <x:f>IF($E25="","",'Supuestos'!$B$8*$E25)</x:f>
      </x:c>
      <x:c r="V25" s="39" t="str">
        <x:f>IF($E25="","",'Supuestos'!$B$8*$E25)</x:f>
      </x:c>
      <x:c r="W25" s="39" t="str">
        <x:f>IF($E25="","",'Supuestos'!$B$8*$E25)</x:f>
      </x:c>
      <x:c r="X25" s="39" t="str">
        <x:f>IF($E25="","",'Supuestos'!$B$8*$E25)</x:f>
      </x:c>
      <x:c r="Y25" s="39" t="str">
        <x:f>IF($E25="","",'Supuestos'!$B$8*$E25)</x:f>
      </x:c>
      <x:c r="Z25" s="39" t="str">
        <x:f>IF($E25="","",'Supuestos'!$B$8*$E25)</x:f>
      </x:c>
      <x:c r="AA25" s="39" t="str">
        <x:f>IF($E25="","",'Supuestos'!$B$8*$E25)</x:f>
      </x:c>
      <x:c r="AB25" s="39" t="str">
        <x:f>IF($E25="","",'Supuestos'!$B$8*$E25)</x:f>
      </x:c>
      <x:c r="AC25" s="39" t="str">
        <x:f>IF($E25="","",'Supuestos'!$B$8*$E25)</x:f>
      </x:c>
      <x:c r="AD25" s="39" t="str">
        <x:f>IF($E25="","",'Supuestos'!$B$8*$E25)</x:f>
      </x:c>
      <x:c r="AE25" s="39" t="str">
        <x:f>IF($E25="","",'Supuestos'!$B$8*$E25)</x:f>
      </x:c>
      <x:c r="AF25" s="39" t="str">
        <x:f>IF($E25="","",'Supuestos'!$B$8*$E25)</x:f>
      </x:c>
      <x:c r="AG25" s="39" t="str">
        <x:f>IF($E25="","",'Supuestos'!$B$8*$E25)</x:f>
      </x:c>
      <x:c r="AH25" s="39" t="str">
        <x:f>IF($E25="","",'Supuestos'!$B$8*$E25)</x:f>
      </x:c>
      <x:c r="AI25" s="39" t="str">
        <x:f>IF($E25="","",'Supuestos'!$B$8*$E25)</x:f>
      </x:c>
      <x:c r="AJ25" s="39" t="str">
        <x:f>IF($E25="","",'Supuestos'!$B$8*$E25)</x:f>
      </x:c>
      <x:c r="AK25" s="39" t="str">
        <x:f>IF($E25="","",'Supuestos'!$B$8*$E25)</x:f>
      </x:c>
      <x:c r="AL25" s="39" t="str">
        <x:f>IF($E25="","",'Supuestos'!$B$8*$E25)</x:f>
      </x:c>
      <x:c r="AM25" s="39" t="str">
        <x:f>IF($E25="","",'Supuestos'!$B$8*$E25)</x:f>
      </x:c>
      <x:c r="AN25" s="39" t="str">
        <x:f>IF($E25="","",'Supuestos'!$B$8*$E25)</x:f>
      </x:c>
      <x:c r="AO25" s="39" t="str">
        <x:f>IF($E25="","",'Supuestos'!$B$8*$E25)</x:f>
      </x:c>
      <x:c r="AP25" s="39" t="str">
        <x:f>IF($E25="","",'Supuestos'!$B$8*$E25)</x:f>
      </x:c>
      <x:c r="AQ25" s="39" t="str">
        <x:f>IF($E25="","",'Supuestos'!$B$8*$E25)</x:f>
      </x:c>
      <x:c r="AR25" s="39" t="str">
        <x:f>IF($E25="","",'Supuestos'!$B$8*$E25)</x:f>
      </x:c>
      <x:c r="AS25" s="39" t="str">
        <x:f>IF($E25="","",'Supuestos'!$B$8*$E25)</x:f>
      </x:c>
      <x:c r="AT25" s="39" t="str">
        <x:f>IF($E25="","",'Supuestos'!$B$8*$E25)</x:f>
      </x:c>
      <x:c r="AU25" s="39" t="str">
        <x:f>IF($E25="","",'Supuestos'!$B$8*$E25)</x:f>
      </x:c>
      <x:c r="AV25" s="39" t="str">
        <x:f>IF($E25="","",'Supuestos'!$B$8*$E25)</x:f>
      </x:c>
      <x:c r="AW25" s="39" t="str">
        <x:f>IF($E25="","",'Supuestos'!$B$8*$E25)</x:f>
      </x:c>
      <x:c r="AX25" s="39" t="str">
        <x:f>IF($E25="","",'Supuestos'!$B$8*$E25)</x:f>
      </x:c>
      <x:c r="AY25" s="39" t="str">
        <x:f>IF($E25="","",'Supuestos'!$B$8*$E25)</x:f>
      </x:c>
      <x:c r="AZ25" s="39" t="str">
        <x:f>IF($E25="","",'Supuestos'!$B$8*$E25)</x:f>
      </x:c>
      <x:c r="BA25" s="39" t="str">
        <x:f>IF($E25="","",'Supuestos'!$B$8*$E25)</x:f>
      </x:c>
      <x:c r="BB25" s="39" t="str">
        <x:f>IF($E25="","",'Supuestos'!$B$8*$E25)</x:f>
      </x:c>
      <x:c r="BC25" s="39" t="str">
        <x:f>IF($E25="","",'Supuestos'!$B$8*$E25)</x:f>
      </x:c>
      <x:c r="BD25" s="39" t="str">
        <x:f>IF($E25="","",'Supuestos'!$B$8*$E25)</x:f>
      </x:c>
      <x:c r="BE25" s="39" t="str">
        <x:f>IF($E25="","",'Supuestos'!$B$8*$E25)</x:f>
      </x:c>
      <x:c r="BF25" s="39" t="str">
        <x:f>IF($E25="","",'Supuestos'!$B$8*$E25)</x:f>
      </x:c>
      <x:c r="BG25" s="39" t="str">
        <x:f>IF($E25="","",'Supuestos'!$B$8*$E25)</x:f>
      </x:c>
      <x:c r="BH25" s="39" t="str">
        <x:f>IF($E25="","",'Supuestos'!$B$8*$E25)</x:f>
      </x:c>
      <x:c r="BI25" s="39" t="str">
        <x:f>IF($E25="","",'Supuestos'!$B$8*$E25)</x:f>
      </x:c>
      <x:c r="BJ25" s="39" t="str">
        <x:f>IF($E25="","",'Supuestos'!$B$8*$E25)</x:f>
      </x:c>
      <x:c r="BK25" s="39" t="str">
        <x:f>IF($E25="","",'Supuestos'!$B$8*$E25)</x:f>
      </x:c>
      <x:c r="BL25" s="39" t="str">
        <x:f>IF($E25="","",'Supuestos'!$B$8*$E25)</x:f>
      </x:c>
      <x:c r="BM25" s="39" t="str">
        <x:f>IF($E25="","",'Supuestos'!$B$8*$E25)</x:f>
      </x:c>
      <x:c r="BN25" s="39" t="str">
        <x:f>IF($E25="","",'Supuestos'!$B$8*$E25)</x:f>
      </x:c>
      <x:c r="BO25" s="47" t="str">
        <x:f>IF(COUNT(G25:BN25)=0,"",SUM(G25:BN25))</x:f>
      </x:c>
    </x:row>
    <x:row r="26">
      <x:c r="A26" s="16" t="str">
        <x:v>USA-NATG</x:v>
      </x:c>
      <x:c r="B26" s="17" t="str">
        <x:v>EE. UU.</x:v>
      </x:c>
      <x:c r="C26" s="17" t="str">
        <x:v>Cloud NAT procesado</x:v>
      </x:c>
      <x:c r="D26" s="17" t="str">
        <x:v>GB</x:v>
      </x:c>
      <x:c r="E26" s="38" t="str">
        <x:f>IF('Fuentes y Cotizaciones'!F26="","",'Fuentes y Cotizaciones'!F26)</x:f>
      </x:c>
      <x:c r="F26" s="17" t="str">
        <x:v>egreso mensual</x:v>
      </x:c>
      <x:c r="G26" s="39" t="str">
        <x:f>IF($E26="","",'Supuestos'!$B$18*$E26)</x:f>
      </x:c>
      <x:c r="H26" s="39" t="str">
        <x:f>IF($E26="","",'Supuestos'!$B$18*$E26)</x:f>
      </x:c>
      <x:c r="I26" s="39" t="str">
        <x:f>IF($E26="","",'Supuestos'!$B$18*$E26)</x:f>
      </x:c>
      <x:c r="J26" s="39" t="str">
        <x:f>IF($E26="","",'Supuestos'!$B$18*$E26)</x:f>
      </x:c>
      <x:c r="K26" s="39" t="str">
        <x:f>IF($E26="","",'Supuestos'!$B$18*$E26)</x:f>
      </x:c>
      <x:c r="L26" s="39" t="str">
        <x:f>IF($E26="","",'Supuestos'!$B$18*$E26)</x:f>
      </x:c>
      <x:c r="M26" s="39" t="str">
        <x:f>IF($E26="","",'Supuestos'!$B$18*$E26)</x:f>
      </x:c>
      <x:c r="N26" s="39" t="str">
        <x:f>IF($E26="","",'Supuestos'!$B$18*$E26)</x:f>
      </x:c>
      <x:c r="O26" s="39" t="str">
        <x:f>IF($E26="","",'Supuestos'!$B$18*$E26)</x:f>
      </x:c>
      <x:c r="P26" s="39" t="str">
        <x:f>IF($E26="","",'Supuestos'!$B$18*$E26)</x:f>
      </x:c>
      <x:c r="Q26" s="39" t="str">
        <x:f>IF($E26="","",'Supuestos'!$B$18*$E26)</x:f>
      </x:c>
      <x:c r="R26" s="39" t="str">
        <x:f>IF($E26="","",'Supuestos'!$B$18*$E26)</x:f>
      </x:c>
      <x:c r="S26" s="39" t="str">
        <x:f>IF($E26="","",'Supuestos'!$B$18*$E26)</x:f>
      </x:c>
      <x:c r="T26" s="39" t="str">
        <x:f>IF($E26="","",'Supuestos'!$B$18*$E26)</x:f>
      </x:c>
      <x:c r="U26" s="39" t="str">
        <x:f>IF($E26="","",'Supuestos'!$B$18*$E26)</x:f>
      </x:c>
      <x:c r="V26" s="39" t="str">
        <x:f>IF($E26="","",'Supuestos'!$B$18*$E26)</x:f>
      </x:c>
      <x:c r="W26" s="39" t="str">
        <x:f>IF($E26="","",'Supuestos'!$B$18*$E26)</x:f>
      </x:c>
      <x:c r="X26" s="39" t="str">
        <x:f>IF($E26="","",'Supuestos'!$B$18*$E26)</x:f>
      </x:c>
      <x:c r="Y26" s="39" t="str">
        <x:f>IF($E26="","",'Supuestos'!$B$18*$E26)</x:f>
      </x:c>
      <x:c r="Z26" s="39" t="str">
        <x:f>IF($E26="","",'Supuestos'!$B$18*$E26)</x:f>
      </x:c>
      <x:c r="AA26" s="39" t="str">
        <x:f>IF($E26="","",'Supuestos'!$B$18*$E26)</x:f>
      </x:c>
      <x:c r="AB26" s="39" t="str">
        <x:f>IF($E26="","",'Supuestos'!$B$18*$E26)</x:f>
      </x:c>
      <x:c r="AC26" s="39" t="str">
        <x:f>IF($E26="","",'Supuestos'!$B$18*$E26)</x:f>
      </x:c>
      <x:c r="AD26" s="39" t="str">
        <x:f>IF($E26="","",'Supuestos'!$B$18*$E26)</x:f>
      </x:c>
      <x:c r="AE26" s="39" t="str">
        <x:f>IF($E26="","",'Supuestos'!$B$18*$E26)</x:f>
      </x:c>
      <x:c r="AF26" s="39" t="str">
        <x:f>IF($E26="","",'Supuestos'!$B$18*$E26)</x:f>
      </x:c>
      <x:c r="AG26" s="39" t="str">
        <x:f>IF($E26="","",'Supuestos'!$B$18*$E26)</x:f>
      </x:c>
      <x:c r="AH26" s="39" t="str">
        <x:f>IF($E26="","",'Supuestos'!$B$18*$E26)</x:f>
      </x:c>
      <x:c r="AI26" s="39" t="str">
        <x:f>IF($E26="","",'Supuestos'!$B$18*$E26)</x:f>
      </x:c>
      <x:c r="AJ26" s="39" t="str">
        <x:f>IF($E26="","",'Supuestos'!$B$18*$E26)</x:f>
      </x:c>
      <x:c r="AK26" s="39" t="str">
        <x:f>IF($E26="","",'Supuestos'!$B$18*$E26)</x:f>
      </x:c>
      <x:c r="AL26" s="39" t="str">
        <x:f>IF($E26="","",'Supuestos'!$B$18*$E26)</x:f>
      </x:c>
      <x:c r="AM26" s="39" t="str">
        <x:f>IF($E26="","",'Supuestos'!$B$18*$E26)</x:f>
      </x:c>
      <x:c r="AN26" s="39" t="str">
        <x:f>IF($E26="","",'Supuestos'!$B$18*$E26)</x:f>
      </x:c>
      <x:c r="AO26" s="39" t="str">
        <x:f>IF($E26="","",'Supuestos'!$B$18*$E26)</x:f>
      </x:c>
      <x:c r="AP26" s="39" t="str">
        <x:f>IF($E26="","",'Supuestos'!$B$18*$E26)</x:f>
      </x:c>
      <x:c r="AQ26" s="39" t="str">
        <x:f>IF($E26="","",'Supuestos'!$B$18*$E26)</x:f>
      </x:c>
      <x:c r="AR26" s="39" t="str">
        <x:f>IF($E26="","",'Supuestos'!$B$18*$E26)</x:f>
      </x:c>
      <x:c r="AS26" s="39" t="str">
        <x:f>IF($E26="","",'Supuestos'!$B$18*$E26)</x:f>
      </x:c>
      <x:c r="AT26" s="39" t="str">
        <x:f>IF($E26="","",'Supuestos'!$B$18*$E26)</x:f>
      </x:c>
      <x:c r="AU26" s="39" t="str">
        <x:f>IF($E26="","",'Supuestos'!$B$18*$E26)</x:f>
      </x:c>
      <x:c r="AV26" s="39" t="str">
        <x:f>IF($E26="","",'Supuestos'!$B$18*$E26)</x:f>
      </x:c>
      <x:c r="AW26" s="39" t="str">
        <x:f>IF($E26="","",'Supuestos'!$B$18*$E26)</x:f>
      </x:c>
      <x:c r="AX26" s="39" t="str">
        <x:f>IF($E26="","",'Supuestos'!$B$18*$E26)</x:f>
      </x:c>
      <x:c r="AY26" s="39" t="str">
        <x:f>IF($E26="","",'Supuestos'!$B$18*$E26)</x:f>
      </x:c>
      <x:c r="AZ26" s="39" t="str">
        <x:f>IF($E26="","",'Supuestos'!$B$18*$E26)</x:f>
      </x:c>
      <x:c r="BA26" s="39" t="str">
        <x:f>IF($E26="","",'Supuestos'!$B$18*$E26)</x:f>
      </x:c>
      <x:c r="BB26" s="39" t="str">
        <x:f>IF($E26="","",'Supuestos'!$B$18*$E26)</x:f>
      </x:c>
      <x:c r="BC26" s="39" t="str">
        <x:f>IF($E26="","",'Supuestos'!$B$18*$E26)</x:f>
      </x:c>
      <x:c r="BD26" s="39" t="str">
        <x:f>IF($E26="","",'Supuestos'!$B$18*$E26)</x:f>
      </x:c>
      <x:c r="BE26" s="39" t="str">
        <x:f>IF($E26="","",'Supuestos'!$B$18*$E26)</x:f>
      </x:c>
      <x:c r="BF26" s="39" t="str">
        <x:f>IF($E26="","",'Supuestos'!$B$18*$E26)</x:f>
      </x:c>
      <x:c r="BG26" s="39" t="str">
        <x:f>IF($E26="","",'Supuestos'!$B$18*$E26)</x:f>
      </x:c>
      <x:c r="BH26" s="39" t="str">
        <x:f>IF($E26="","",'Supuestos'!$B$18*$E26)</x:f>
      </x:c>
      <x:c r="BI26" s="39" t="str">
        <x:f>IF($E26="","",'Supuestos'!$B$18*$E26)</x:f>
      </x:c>
      <x:c r="BJ26" s="39" t="str">
        <x:f>IF($E26="","",'Supuestos'!$B$18*$E26)</x:f>
      </x:c>
      <x:c r="BK26" s="39" t="str">
        <x:f>IF($E26="","",'Supuestos'!$B$18*$E26)</x:f>
      </x:c>
      <x:c r="BL26" s="39" t="str">
        <x:f>IF($E26="","",'Supuestos'!$B$18*$E26)</x:f>
      </x:c>
      <x:c r="BM26" s="39" t="str">
        <x:f>IF($E26="","",'Supuestos'!$B$18*$E26)</x:f>
      </x:c>
      <x:c r="BN26" s="39" t="str">
        <x:f>IF($E26="","",'Supuestos'!$B$18*$E26)</x:f>
      </x:c>
      <x:c r="BO26" s="47" t="str">
        <x:f>IF(COUNT(G26:BN26)=0,"",SUM(G26:BN26))</x:f>
      </x:c>
    </x:row>
    <x:row r="27">
      <x:c r="A27" s="16" t="str">
        <x:v>USA-LOG</x:v>
      </x:c>
      <x:c r="B27" s="17" t="str">
        <x:v>EE. UU.</x:v>
      </x:c>
      <x:c r="C27" s="17" t="str">
        <x:v>Logging / monitoreo</x:v>
      </x:c>
      <x:c r="D27" s="17" t="str">
        <x:v>GiB</x:v>
      </x:c>
      <x:c r="E27" s="38" t="str">
        <x:f>IF('Fuentes y Cotizaciones'!F27="","",'Fuentes y Cotizaciones'!F27)</x:f>
      </x:c>
      <x:c r="F27" s="17" t="str">
        <x:v>ingesta mensual</x:v>
      </x:c>
      <x:c r="G27" s="39" t="str">
        <x:f>IF($E27="","",'Supuestos'!$B$19*$E27)</x:f>
      </x:c>
      <x:c r="H27" s="39" t="str">
        <x:f>IF($E27="","",'Supuestos'!$B$19*$E27)</x:f>
      </x:c>
      <x:c r="I27" s="39" t="str">
        <x:f>IF($E27="","",'Supuestos'!$B$19*$E27)</x:f>
      </x:c>
      <x:c r="J27" s="39" t="str">
        <x:f>IF($E27="","",'Supuestos'!$B$19*$E27)</x:f>
      </x:c>
      <x:c r="K27" s="39" t="str">
        <x:f>IF($E27="","",'Supuestos'!$B$19*$E27)</x:f>
      </x:c>
      <x:c r="L27" s="39" t="str">
        <x:f>IF($E27="","",'Supuestos'!$B$19*$E27)</x:f>
      </x:c>
      <x:c r="M27" s="39" t="str">
        <x:f>IF($E27="","",'Supuestos'!$B$19*$E27)</x:f>
      </x:c>
      <x:c r="N27" s="39" t="str">
        <x:f>IF($E27="","",'Supuestos'!$B$19*$E27)</x:f>
      </x:c>
      <x:c r="O27" s="39" t="str">
        <x:f>IF($E27="","",'Supuestos'!$B$19*$E27)</x:f>
      </x:c>
      <x:c r="P27" s="39" t="str">
        <x:f>IF($E27="","",'Supuestos'!$B$19*$E27)</x:f>
      </x:c>
      <x:c r="Q27" s="39" t="str">
        <x:f>IF($E27="","",'Supuestos'!$B$19*$E27)</x:f>
      </x:c>
      <x:c r="R27" s="39" t="str">
        <x:f>IF($E27="","",'Supuestos'!$B$19*$E27)</x:f>
      </x:c>
      <x:c r="S27" s="39" t="str">
        <x:f>IF($E27="","",'Supuestos'!$B$19*$E27)</x:f>
      </x:c>
      <x:c r="T27" s="39" t="str">
        <x:f>IF($E27="","",'Supuestos'!$B$19*$E27)</x:f>
      </x:c>
      <x:c r="U27" s="39" t="str">
        <x:f>IF($E27="","",'Supuestos'!$B$19*$E27)</x:f>
      </x:c>
      <x:c r="V27" s="39" t="str">
        <x:f>IF($E27="","",'Supuestos'!$B$19*$E27)</x:f>
      </x:c>
      <x:c r="W27" s="39" t="str">
        <x:f>IF($E27="","",'Supuestos'!$B$19*$E27)</x:f>
      </x:c>
      <x:c r="X27" s="39" t="str">
        <x:f>IF($E27="","",'Supuestos'!$B$19*$E27)</x:f>
      </x:c>
      <x:c r="Y27" s="39" t="str">
        <x:f>IF($E27="","",'Supuestos'!$B$19*$E27)</x:f>
      </x:c>
      <x:c r="Z27" s="39" t="str">
        <x:f>IF($E27="","",'Supuestos'!$B$19*$E27)</x:f>
      </x:c>
      <x:c r="AA27" s="39" t="str">
        <x:f>IF($E27="","",'Supuestos'!$B$19*$E27)</x:f>
      </x:c>
      <x:c r="AB27" s="39" t="str">
        <x:f>IF($E27="","",'Supuestos'!$B$19*$E27)</x:f>
      </x:c>
      <x:c r="AC27" s="39" t="str">
        <x:f>IF($E27="","",'Supuestos'!$B$19*$E27)</x:f>
      </x:c>
      <x:c r="AD27" s="39" t="str">
        <x:f>IF($E27="","",'Supuestos'!$B$19*$E27)</x:f>
      </x:c>
      <x:c r="AE27" s="39" t="str">
        <x:f>IF($E27="","",'Supuestos'!$B$19*$E27)</x:f>
      </x:c>
      <x:c r="AF27" s="39" t="str">
        <x:f>IF($E27="","",'Supuestos'!$B$19*$E27)</x:f>
      </x:c>
      <x:c r="AG27" s="39" t="str">
        <x:f>IF($E27="","",'Supuestos'!$B$19*$E27)</x:f>
      </x:c>
      <x:c r="AH27" s="39" t="str">
        <x:f>IF($E27="","",'Supuestos'!$B$19*$E27)</x:f>
      </x:c>
      <x:c r="AI27" s="39" t="str">
        <x:f>IF($E27="","",'Supuestos'!$B$19*$E27)</x:f>
      </x:c>
      <x:c r="AJ27" s="39" t="str">
        <x:f>IF($E27="","",'Supuestos'!$B$19*$E27)</x:f>
      </x:c>
      <x:c r="AK27" s="39" t="str">
        <x:f>IF($E27="","",'Supuestos'!$B$19*$E27)</x:f>
      </x:c>
      <x:c r="AL27" s="39" t="str">
        <x:f>IF($E27="","",'Supuestos'!$B$19*$E27)</x:f>
      </x:c>
      <x:c r="AM27" s="39" t="str">
        <x:f>IF($E27="","",'Supuestos'!$B$19*$E27)</x:f>
      </x:c>
      <x:c r="AN27" s="39" t="str">
        <x:f>IF($E27="","",'Supuestos'!$B$19*$E27)</x:f>
      </x:c>
      <x:c r="AO27" s="39" t="str">
        <x:f>IF($E27="","",'Supuestos'!$B$19*$E27)</x:f>
      </x:c>
      <x:c r="AP27" s="39" t="str">
        <x:f>IF($E27="","",'Supuestos'!$B$19*$E27)</x:f>
      </x:c>
      <x:c r="AQ27" s="39" t="str">
        <x:f>IF($E27="","",'Supuestos'!$B$19*$E27)</x:f>
      </x:c>
      <x:c r="AR27" s="39" t="str">
        <x:f>IF($E27="","",'Supuestos'!$B$19*$E27)</x:f>
      </x:c>
      <x:c r="AS27" s="39" t="str">
        <x:f>IF($E27="","",'Supuestos'!$B$19*$E27)</x:f>
      </x:c>
      <x:c r="AT27" s="39" t="str">
        <x:f>IF($E27="","",'Supuestos'!$B$19*$E27)</x:f>
      </x:c>
      <x:c r="AU27" s="39" t="str">
        <x:f>IF($E27="","",'Supuestos'!$B$19*$E27)</x:f>
      </x:c>
      <x:c r="AV27" s="39" t="str">
        <x:f>IF($E27="","",'Supuestos'!$B$19*$E27)</x:f>
      </x:c>
      <x:c r="AW27" s="39" t="str">
        <x:f>IF($E27="","",'Supuestos'!$B$19*$E27)</x:f>
      </x:c>
      <x:c r="AX27" s="39" t="str">
        <x:f>IF($E27="","",'Supuestos'!$B$19*$E27)</x:f>
      </x:c>
      <x:c r="AY27" s="39" t="str">
        <x:f>IF($E27="","",'Supuestos'!$B$19*$E27)</x:f>
      </x:c>
      <x:c r="AZ27" s="39" t="str">
        <x:f>IF($E27="","",'Supuestos'!$B$19*$E27)</x:f>
      </x:c>
      <x:c r="BA27" s="39" t="str">
        <x:f>IF($E27="","",'Supuestos'!$B$19*$E27)</x:f>
      </x:c>
      <x:c r="BB27" s="39" t="str">
        <x:f>IF($E27="","",'Supuestos'!$B$19*$E27)</x:f>
      </x:c>
      <x:c r="BC27" s="39" t="str">
        <x:f>IF($E27="","",'Supuestos'!$B$19*$E27)</x:f>
      </x:c>
      <x:c r="BD27" s="39" t="str">
        <x:f>IF($E27="","",'Supuestos'!$B$19*$E27)</x:f>
      </x:c>
      <x:c r="BE27" s="39" t="str">
        <x:f>IF($E27="","",'Supuestos'!$B$19*$E27)</x:f>
      </x:c>
      <x:c r="BF27" s="39" t="str">
        <x:f>IF($E27="","",'Supuestos'!$B$19*$E27)</x:f>
      </x:c>
      <x:c r="BG27" s="39" t="str">
        <x:f>IF($E27="","",'Supuestos'!$B$19*$E27)</x:f>
      </x:c>
      <x:c r="BH27" s="39" t="str">
        <x:f>IF($E27="","",'Supuestos'!$B$19*$E27)</x:f>
      </x:c>
      <x:c r="BI27" s="39" t="str">
        <x:f>IF($E27="","",'Supuestos'!$B$19*$E27)</x:f>
      </x:c>
      <x:c r="BJ27" s="39" t="str">
        <x:f>IF($E27="","",'Supuestos'!$B$19*$E27)</x:f>
      </x:c>
      <x:c r="BK27" s="39" t="str">
        <x:f>IF($E27="","",'Supuestos'!$B$19*$E27)</x:f>
      </x:c>
      <x:c r="BL27" s="39" t="str">
        <x:f>IF($E27="","",'Supuestos'!$B$19*$E27)</x:f>
      </x:c>
      <x:c r="BM27" s="39" t="str">
        <x:f>IF($E27="","",'Supuestos'!$B$19*$E27)</x:f>
      </x:c>
      <x:c r="BN27" s="39" t="str">
        <x:f>IF($E27="","",'Supuestos'!$B$19*$E27)</x:f>
      </x:c>
      <x:c r="BO27" s="47" t="str">
        <x:f>IF(COUNT(G27:BN27)=0,"",SUM(G27:BN27))</x:f>
      </x:c>
    </x:row>
    <x:row r="28">
      <x:c r="A28" s="16" t="str">
        <x:v>USA-BKP</x:v>
      </x:c>
      <x:c r="B28" s="17" t="str">
        <x:v>EE. UU.</x:v>
      </x:c>
      <x:c r="C28" s="17" t="str">
        <x:v>Respaldos de base de datos</x:v>
      </x:c>
      <x:c r="D28" s="17" t="str">
        <x:v>GiB-mes</x:v>
      </x:c>
      <x:c r="E28" s="38" t="str">
        <x:f>IF('Fuentes y Cotizaciones'!F28="","",'Fuentes y Cotizaciones'!F28)</x:f>
      </x:c>
      <x:c r="F28" s="17" t="str">
        <x:v>GiB de BD</x:v>
      </x:c>
      <x:c r="G28" s="39" t="str">
        <x:f>IF($E28="","",'Supuestos'!$B$15*$E28)</x:f>
      </x:c>
      <x:c r="H28" s="39" t="str">
        <x:f>IF($E28="","",'Supuestos'!$B$15*$E28)</x:f>
      </x:c>
      <x:c r="I28" s="39" t="str">
        <x:f>IF($E28="","",'Supuestos'!$B$15*$E28)</x:f>
      </x:c>
      <x:c r="J28" s="39" t="str">
        <x:f>IF($E28="","",'Supuestos'!$B$15*$E28)</x:f>
      </x:c>
      <x:c r="K28" s="39" t="str">
        <x:f>IF($E28="","",'Supuestos'!$B$15*$E28)</x:f>
      </x:c>
      <x:c r="L28" s="39" t="str">
        <x:f>IF($E28="","",'Supuestos'!$B$15*$E28)</x:f>
      </x:c>
      <x:c r="M28" s="39" t="str">
        <x:f>IF($E28="","",'Supuestos'!$B$15*$E28)</x:f>
      </x:c>
      <x:c r="N28" s="39" t="str">
        <x:f>IF($E28="","",'Supuestos'!$B$15*$E28)</x:f>
      </x:c>
      <x:c r="O28" s="39" t="str">
        <x:f>IF($E28="","",'Supuestos'!$B$15*$E28)</x:f>
      </x:c>
      <x:c r="P28" s="39" t="str">
        <x:f>IF($E28="","",'Supuestos'!$B$15*$E28)</x:f>
      </x:c>
      <x:c r="Q28" s="39" t="str">
        <x:f>IF($E28="","",'Supuestos'!$B$15*$E28)</x:f>
      </x:c>
      <x:c r="R28" s="39" t="str">
        <x:f>IF($E28="","",'Supuestos'!$B$15*$E28)</x:f>
      </x:c>
      <x:c r="S28" s="39" t="str">
        <x:f>IF($E28="","",'Supuestos'!$B$15*$E28)</x:f>
      </x:c>
      <x:c r="T28" s="39" t="str">
        <x:f>IF($E28="","",'Supuestos'!$B$15*$E28)</x:f>
      </x:c>
      <x:c r="U28" s="39" t="str">
        <x:f>IF($E28="","",'Supuestos'!$B$15*$E28)</x:f>
      </x:c>
      <x:c r="V28" s="39" t="str">
        <x:f>IF($E28="","",'Supuestos'!$B$15*$E28)</x:f>
      </x:c>
      <x:c r="W28" s="39" t="str">
        <x:f>IF($E28="","",'Supuestos'!$B$15*$E28)</x:f>
      </x:c>
      <x:c r="X28" s="39" t="str">
        <x:f>IF($E28="","",'Supuestos'!$B$15*$E28)</x:f>
      </x:c>
      <x:c r="Y28" s="39" t="str">
        <x:f>IF($E28="","",'Supuestos'!$B$15*$E28)</x:f>
      </x:c>
      <x:c r="Z28" s="39" t="str">
        <x:f>IF($E28="","",'Supuestos'!$B$15*$E28)</x:f>
      </x:c>
      <x:c r="AA28" s="39" t="str">
        <x:f>IF($E28="","",'Supuestos'!$B$15*$E28)</x:f>
      </x:c>
      <x:c r="AB28" s="39" t="str">
        <x:f>IF($E28="","",'Supuestos'!$B$15*$E28)</x:f>
      </x:c>
      <x:c r="AC28" s="39" t="str">
        <x:f>IF($E28="","",'Supuestos'!$B$15*$E28)</x:f>
      </x:c>
      <x:c r="AD28" s="39" t="str">
        <x:f>IF($E28="","",'Supuestos'!$B$15*$E28)</x:f>
      </x:c>
      <x:c r="AE28" s="39" t="str">
        <x:f>IF($E28="","",'Supuestos'!$B$15*$E28)</x:f>
      </x:c>
      <x:c r="AF28" s="39" t="str">
        <x:f>IF($E28="","",'Supuestos'!$B$15*$E28)</x:f>
      </x:c>
      <x:c r="AG28" s="39" t="str">
        <x:f>IF($E28="","",'Supuestos'!$B$15*$E28)</x:f>
      </x:c>
      <x:c r="AH28" s="39" t="str">
        <x:f>IF($E28="","",'Supuestos'!$B$15*$E28)</x:f>
      </x:c>
      <x:c r="AI28" s="39" t="str">
        <x:f>IF($E28="","",'Supuestos'!$B$15*$E28)</x:f>
      </x:c>
      <x:c r="AJ28" s="39" t="str">
        <x:f>IF($E28="","",'Supuestos'!$B$15*$E28)</x:f>
      </x:c>
      <x:c r="AK28" s="39" t="str">
        <x:f>IF($E28="","",'Supuestos'!$B$15*$E28)</x:f>
      </x:c>
      <x:c r="AL28" s="39" t="str">
        <x:f>IF($E28="","",'Supuestos'!$B$15*$E28)</x:f>
      </x:c>
      <x:c r="AM28" s="39" t="str">
        <x:f>IF($E28="","",'Supuestos'!$B$15*$E28)</x:f>
      </x:c>
      <x:c r="AN28" s="39" t="str">
        <x:f>IF($E28="","",'Supuestos'!$B$15*$E28)</x:f>
      </x:c>
      <x:c r="AO28" s="39" t="str">
        <x:f>IF($E28="","",'Supuestos'!$B$15*$E28)</x:f>
      </x:c>
      <x:c r="AP28" s="39" t="str">
        <x:f>IF($E28="","",'Supuestos'!$B$15*$E28)</x:f>
      </x:c>
      <x:c r="AQ28" s="39" t="str">
        <x:f>IF($E28="","",'Supuestos'!$B$15*$E28)</x:f>
      </x:c>
      <x:c r="AR28" s="39" t="str">
        <x:f>IF($E28="","",'Supuestos'!$B$15*$E28)</x:f>
      </x:c>
      <x:c r="AS28" s="39" t="str">
        <x:f>IF($E28="","",'Supuestos'!$B$15*$E28)</x:f>
      </x:c>
      <x:c r="AT28" s="39" t="str">
        <x:f>IF($E28="","",'Supuestos'!$B$15*$E28)</x:f>
      </x:c>
      <x:c r="AU28" s="39" t="str">
        <x:f>IF($E28="","",'Supuestos'!$B$15*$E28)</x:f>
      </x:c>
      <x:c r="AV28" s="39" t="str">
        <x:f>IF($E28="","",'Supuestos'!$B$15*$E28)</x:f>
      </x:c>
      <x:c r="AW28" s="39" t="str">
        <x:f>IF($E28="","",'Supuestos'!$B$15*$E28)</x:f>
      </x:c>
      <x:c r="AX28" s="39" t="str">
        <x:f>IF($E28="","",'Supuestos'!$B$15*$E28)</x:f>
      </x:c>
      <x:c r="AY28" s="39" t="str">
        <x:f>IF($E28="","",'Supuestos'!$B$15*$E28)</x:f>
      </x:c>
      <x:c r="AZ28" s="39" t="str">
        <x:f>IF($E28="","",'Supuestos'!$B$15*$E28)</x:f>
      </x:c>
      <x:c r="BA28" s="39" t="str">
        <x:f>IF($E28="","",'Supuestos'!$B$15*$E28)</x:f>
      </x:c>
      <x:c r="BB28" s="39" t="str">
        <x:f>IF($E28="","",'Supuestos'!$B$15*$E28)</x:f>
      </x:c>
      <x:c r="BC28" s="39" t="str">
        <x:f>IF($E28="","",'Supuestos'!$B$15*$E28)</x:f>
      </x:c>
      <x:c r="BD28" s="39" t="str">
        <x:f>IF($E28="","",'Supuestos'!$B$15*$E28)</x:f>
      </x:c>
      <x:c r="BE28" s="39" t="str">
        <x:f>IF($E28="","",'Supuestos'!$B$15*$E28)</x:f>
      </x:c>
      <x:c r="BF28" s="39" t="str">
        <x:f>IF($E28="","",'Supuestos'!$B$15*$E28)</x:f>
      </x:c>
      <x:c r="BG28" s="39" t="str">
        <x:f>IF($E28="","",'Supuestos'!$B$15*$E28)</x:f>
      </x:c>
      <x:c r="BH28" s="39" t="str">
        <x:f>IF($E28="","",'Supuestos'!$B$15*$E28)</x:f>
      </x:c>
      <x:c r="BI28" s="39" t="str">
        <x:f>IF($E28="","",'Supuestos'!$B$15*$E28)</x:f>
      </x:c>
      <x:c r="BJ28" s="39" t="str">
        <x:f>IF($E28="","",'Supuestos'!$B$15*$E28)</x:f>
      </x:c>
      <x:c r="BK28" s="39" t="str">
        <x:f>IF($E28="","",'Supuestos'!$B$15*$E28)</x:f>
      </x:c>
      <x:c r="BL28" s="39" t="str">
        <x:f>IF($E28="","",'Supuestos'!$B$15*$E28)</x:f>
      </x:c>
      <x:c r="BM28" s="39" t="str">
        <x:f>IF($E28="","",'Supuestos'!$B$15*$E28)</x:f>
      </x:c>
      <x:c r="BN28" s="39" t="str">
        <x:f>IF($E28="","",'Supuestos'!$B$15*$E28)</x:f>
      </x:c>
      <x:c r="BO28" s="47" t="str">
        <x:f>IF(COUNT(G28:BN28)=0,"",SUM(G28:BN28))</x:f>
      </x:c>
    </x:row>
    <x:row r="29">
      <x:c r="A29" s="16" t="str">
        <x:v>USA-NPAPP</x:v>
      </x:c>
      <x:c r="B29" s="17" t="str">
        <x:v>EE. UU.</x:v>
      </x:c>
      <x:c r="C29" s="17" t="str">
        <x:v>VM no productiva</x:v>
      </x:c>
      <x:c r="D29" s="17" t="str">
        <x:v>instancia-hora</x:v>
      </x:c>
      <x:c r="E29" s="38" t="str">
        <x:f>IF('Fuentes y Cotizaciones'!F29="","",'Fuentes y Cotizaciones'!F29)</x:f>
      </x:c>
      <x:c r="F29" s="17" t="str">
        <x:v>VM no productiva × horas/día × días/mes</x:v>
      </x:c>
      <x:c r="G29" s="39" t="str">
        <x:f>IF($E29="","",'Supuestos'!$B$20*'Supuestos'!$B$21*'Supuestos'!$B$22*$E29)</x:f>
      </x:c>
      <x:c r="H29" s="39" t="str">
        <x:f>IF($E29="","",'Supuestos'!$B$20*'Supuestos'!$B$21*'Supuestos'!$B$22*$E29)</x:f>
      </x:c>
      <x:c r="I29" s="39" t="str">
        <x:f>IF($E29="","",'Supuestos'!$B$20*'Supuestos'!$B$21*'Supuestos'!$B$22*$E29)</x:f>
      </x:c>
      <x:c r="J29" s="39" t="str">
        <x:f>IF($E29="","",'Supuestos'!$B$20*'Supuestos'!$B$21*'Supuestos'!$B$22*$E29)</x:f>
      </x:c>
      <x:c r="K29" s="39" t="str">
        <x:f>IF($E29="","",'Supuestos'!$B$20*'Supuestos'!$B$21*'Supuestos'!$B$22*$E29)</x:f>
      </x:c>
      <x:c r="L29" s="39" t="str">
        <x:f>IF($E29="","",'Supuestos'!$B$20*'Supuestos'!$B$21*'Supuestos'!$B$22*$E29)</x:f>
      </x:c>
      <x:c r="M29" s="39" t="str">
        <x:f>IF($E29="","",'Supuestos'!$B$20*'Supuestos'!$B$21*'Supuestos'!$B$22*$E29)</x:f>
      </x:c>
      <x:c r="N29" s="39" t="str">
        <x:f>IF($E29="","",'Supuestos'!$B$20*'Supuestos'!$B$21*'Supuestos'!$B$22*$E29)</x:f>
      </x:c>
      <x:c r="O29" s="39" t="str">
        <x:f>IF($E29="","",'Supuestos'!$B$20*'Supuestos'!$B$21*'Supuestos'!$B$22*$E29)</x:f>
      </x:c>
      <x:c r="P29" s="39" t="str">
        <x:f>IF($E29="","",'Supuestos'!$B$20*'Supuestos'!$B$21*'Supuestos'!$B$22*$E29)</x:f>
      </x:c>
      <x:c r="Q29" s="39" t="str">
        <x:f>IF($E29="","",'Supuestos'!$B$20*'Supuestos'!$B$21*'Supuestos'!$B$22*$E29)</x:f>
      </x:c>
      <x:c r="R29" s="39" t="str">
        <x:f>IF($E29="","",'Supuestos'!$B$20*'Supuestos'!$B$21*'Supuestos'!$B$22*$E29)</x:f>
      </x:c>
      <x:c r="S29" s="39" t="str">
        <x:f>IF($E29="","",'Supuestos'!$B$20*'Supuestos'!$B$21*'Supuestos'!$B$22*$E29)</x:f>
      </x:c>
      <x:c r="T29" s="39" t="str">
        <x:f>IF($E29="","",'Supuestos'!$B$20*'Supuestos'!$B$21*'Supuestos'!$B$22*$E29)</x:f>
      </x:c>
      <x:c r="U29" s="39" t="str">
        <x:f>IF($E29="","",'Supuestos'!$B$20*'Supuestos'!$B$21*'Supuestos'!$B$22*$E29)</x:f>
      </x:c>
      <x:c r="V29" s="39" t="str">
        <x:f>IF($E29="","",'Supuestos'!$B$20*'Supuestos'!$B$21*'Supuestos'!$B$22*$E29)</x:f>
      </x:c>
      <x:c r="W29" s="39" t="str">
        <x:f>IF($E29="","",'Supuestos'!$B$20*'Supuestos'!$B$21*'Supuestos'!$B$22*$E29)</x:f>
      </x:c>
      <x:c r="X29" s="39" t="str">
        <x:f>IF($E29="","",'Supuestos'!$B$20*'Supuestos'!$B$21*'Supuestos'!$B$22*$E29)</x:f>
      </x:c>
      <x:c r="Y29" s="39" t="str">
        <x:f>IF($E29="","",'Supuestos'!$B$20*'Supuestos'!$B$21*'Supuestos'!$B$22*$E29)</x:f>
      </x:c>
      <x:c r="Z29" s="39" t="str">
        <x:f>IF($E29="","",'Supuestos'!$B$20*'Supuestos'!$B$21*'Supuestos'!$B$22*$E29)</x:f>
      </x:c>
      <x:c r="AA29" s="39" t="str">
        <x:f>IF($E29="","",'Supuestos'!$B$20*'Supuestos'!$B$21*'Supuestos'!$B$22*$E29)</x:f>
      </x:c>
      <x:c r="AB29" s="39" t="str">
        <x:f>IF($E29="","",'Supuestos'!$B$20*'Supuestos'!$B$21*'Supuestos'!$B$22*$E29)</x:f>
      </x:c>
      <x:c r="AC29" s="39" t="str">
        <x:f>IF($E29="","",'Supuestos'!$B$20*'Supuestos'!$B$21*'Supuestos'!$B$22*$E29)</x:f>
      </x:c>
      <x:c r="AD29" s="39" t="str">
        <x:f>IF($E29="","",'Supuestos'!$B$20*'Supuestos'!$B$21*'Supuestos'!$B$22*$E29)</x:f>
      </x:c>
      <x:c r="AE29" s="39" t="str">
        <x:f>IF($E29="","",'Supuestos'!$B$20*'Supuestos'!$B$21*'Supuestos'!$B$22*$E29)</x:f>
      </x:c>
      <x:c r="AF29" s="39" t="str">
        <x:f>IF($E29="","",'Supuestos'!$B$20*'Supuestos'!$B$21*'Supuestos'!$B$22*$E29)</x:f>
      </x:c>
      <x:c r="AG29" s="39" t="str">
        <x:f>IF($E29="","",'Supuestos'!$B$20*'Supuestos'!$B$21*'Supuestos'!$B$22*$E29)</x:f>
      </x:c>
      <x:c r="AH29" s="39" t="str">
        <x:f>IF($E29="","",'Supuestos'!$B$20*'Supuestos'!$B$21*'Supuestos'!$B$22*$E29)</x:f>
      </x:c>
      <x:c r="AI29" s="39" t="str">
        <x:f>IF($E29="","",'Supuestos'!$B$20*'Supuestos'!$B$21*'Supuestos'!$B$22*$E29)</x:f>
      </x:c>
      <x:c r="AJ29" s="39" t="str">
        <x:f>IF($E29="","",'Supuestos'!$B$20*'Supuestos'!$B$21*'Supuestos'!$B$22*$E29)</x:f>
      </x:c>
      <x:c r="AK29" s="39" t="str">
        <x:f>IF($E29="","",'Supuestos'!$B$20*'Supuestos'!$B$21*'Supuestos'!$B$22*$E29)</x:f>
      </x:c>
      <x:c r="AL29" s="39" t="str">
        <x:f>IF($E29="","",'Supuestos'!$B$20*'Supuestos'!$B$21*'Supuestos'!$B$22*$E29)</x:f>
      </x:c>
      <x:c r="AM29" s="39" t="str">
        <x:f>IF($E29="","",'Supuestos'!$B$20*'Supuestos'!$B$21*'Supuestos'!$B$22*$E29)</x:f>
      </x:c>
      <x:c r="AN29" s="39" t="str">
        <x:f>IF($E29="","",'Supuestos'!$B$20*'Supuestos'!$B$21*'Supuestos'!$B$22*$E29)</x:f>
      </x:c>
      <x:c r="AO29" s="39" t="str">
        <x:f>IF($E29="","",'Supuestos'!$B$20*'Supuestos'!$B$21*'Supuestos'!$B$22*$E29)</x:f>
      </x:c>
      <x:c r="AP29" s="39" t="str">
        <x:f>IF($E29="","",'Supuestos'!$B$20*'Supuestos'!$B$21*'Supuestos'!$B$22*$E29)</x:f>
      </x:c>
      <x:c r="AQ29" s="39" t="str">
        <x:f>IF($E29="","",'Supuestos'!$B$20*'Supuestos'!$B$21*'Supuestos'!$B$22*$E29)</x:f>
      </x:c>
      <x:c r="AR29" s="39" t="str">
        <x:f>IF($E29="","",'Supuestos'!$B$20*'Supuestos'!$B$21*'Supuestos'!$B$22*$E29)</x:f>
      </x:c>
      <x:c r="AS29" s="39" t="str">
        <x:f>IF($E29="","",'Supuestos'!$B$20*'Supuestos'!$B$21*'Supuestos'!$B$22*$E29)</x:f>
      </x:c>
      <x:c r="AT29" s="39" t="str">
        <x:f>IF($E29="","",'Supuestos'!$B$20*'Supuestos'!$B$21*'Supuestos'!$B$22*$E29)</x:f>
      </x:c>
      <x:c r="AU29" s="39" t="str">
        <x:f>IF($E29="","",'Supuestos'!$B$20*'Supuestos'!$B$21*'Supuestos'!$B$22*$E29)</x:f>
      </x:c>
      <x:c r="AV29" s="39" t="str">
        <x:f>IF($E29="","",'Supuestos'!$B$20*'Supuestos'!$B$21*'Supuestos'!$B$22*$E29)</x:f>
      </x:c>
      <x:c r="AW29" s="39" t="str">
        <x:f>IF($E29="","",'Supuestos'!$B$20*'Supuestos'!$B$21*'Supuestos'!$B$22*$E29)</x:f>
      </x:c>
      <x:c r="AX29" s="39" t="str">
        <x:f>IF($E29="","",'Supuestos'!$B$20*'Supuestos'!$B$21*'Supuestos'!$B$22*$E29)</x:f>
      </x:c>
      <x:c r="AY29" s="39" t="str">
        <x:f>IF($E29="","",'Supuestos'!$B$20*'Supuestos'!$B$21*'Supuestos'!$B$22*$E29)</x:f>
      </x:c>
      <x:c r="AZ29" s="39" t="str">
        <x:f>IF($E29="","",'Supuestos'!$B$20*'Supuestos'!$B$21*'Supuestos'!$B$22*$E29)</x:f>
      </x:c>
      <x:c r="BA29" s="39" t="str">
        <x:f>IF($E29="","",'Supuestos'!$B$20*'Supuestos'!$B$21*'Supuestos'!$B$22*$E29)</x:f>
      </x:c>
      <x:c r="BB29" s="39" t="str">
        <x:f>IF($E29="","",'Supuestos'!$B$20*'Supuestos'!$B$21*'Supuestos'!$B$22*$E29)</x:f>
      </x:c>
      <x:c r="BC29" s="39" t="str">
        <x:f>IF($E29="","",'Supuestos'!$B$20*'Supuestos'!$B$21*'Supuestos'!$B$22*$E29)</x:f>
      </x:c>
      <x:c r="BD29" s="39" t="str">
        <x:f>IF($E29="","",'Supuestos'!$B$20*'Supuestos'!$B$21*'Supuestos'!$B$22*$E29)</x:f>
      </x:c>
      <x:c r="BE29" s="39" t="str">
        <x:f>IF($E29="","",'Supuestos'!$B$20*'Supuestos'!$B$21*'Supuestos'!$B$22*$E29)</x:f>
      </x:c>
      <x:c r="BF29" s="39" t="str">
        <x:f>IF($E29="","",'Supuestos'!$B$20*'Supuestos'!$B$21*'Supuestos'!$B$22*$E29)</x:f>
      </x:c>
      <x:c r="BG29" s="39" t="str">
        <x:f>IF($E29="","",'Supuestos'!$B$20*'Supuestos'!$B$21*'Supuestos'!$B$22*$E29)</x:f>
      </x:c>
      <x:c r="BH29" s="39" t="str">
        <x:f>IF($E29="","",'Supuestos'!$B$20*'Supuestos'!$B$21*'Supuestos'!$B$22*$E29)</x:f>
      </x:c>
      <x:c r="BI29" s="39" t="str">
        <x:f>IF($E29="","",'Supuestos'!$B$20*'Supuestos'!$B$21*'Supuestos'!$B$22*$E29)</x:f>
      </x:c>
      <x:c r="BJ29" s="39" t="str">
        <x:f>IF($E29="","",'Supuestos'!$B$20*'Supuestos'!$B$21*'Supuestos'!$B$22*$E29)</x:f>
      </x:c>
      <x:c r="BK29" s="39" t="str">
        <x:f>IF($E29="","",'Supuestos'!$B$20*'Supuestos'!$B$21*'Supuestos'!$B$22*$E29)</x:f>
      </x:c>
      <x:c r="BL29" s="39" t="str">
        <x:f>IF($E29="","",'Supuestos'!$B$20*'Supuestos'!$B$21*'Supuestos'!$B$22*$E29)</x:f>
      </x:c>
      <x:c r="BM29" s="39" t="str">
        <x:f>IF($E29="","",'Supuestos'!$B$20*'Supuestos'!$B$21*'Supuestos'!$B$22*$E29)</x:f>
      </x:c>
      <x:c r="BN29" s="39" t="str">
        <x:f>IF($E29="","",'Supuestos'!$B$20*'Supuestos'!$B$21*'Supuestos'!$B$22*$E29)</x:f>
      </x:c>
      <x:c r="BO29" s="47" t="str">
        <x:f>IF(COUNT(G29:BN29)=0,"",SUM(G29:BN29))</x:f>
      </x:c>
    </x:row>
    <x:row r="30">
      <x:c r="A30" s="19" t="str">
        <x:v>USA-NPDB</x:v>
      </x:c>
      <x:c r="B30" s="21" t="str">
        <x:v>EE. UU.</x:v>
      </x:c>
      <x:c r="C30" s="21" t="str">
        <x:v>Base de datos no productiva</x:v>
      </x:c>
      <x:c r="D30" s="21" t="str">
        <x:v>instancia-hora</x:v>
      </x:c>
      <x:c r="E30" s="48" t="str">
        <x:f>IF('Fuentes y Cotizaciones'!F30="","",'Fuentes y Cotizaciones'!F30)</x:f>
      </x:c>
      <x:c r="F30" s="21" t="str">
        <x:v>BD no productiva × horas/día × días/mes</x:v>
      </x:c>
      <x:c r="G30" s="49" t="str">
        <x:f>IF($E30="","",'Supuestos'!$B$21*'Supuestos'!$B$22*$E30)</x:f>
      </x:c>
      <x:c r="H30" s="49" t="str">
        <x:f>IF($E30="","",'Supuestos'!$B$21*'Supuestos'!$B$22*$E30)</x:f>
      </x:c>
      <x:c r="I30" s="49" t="str">
        <x:f>IF($E30="","",'Supuestos'!$B$21*'Supuestos'!$B$22*$E30)</x:f>
      </x:c>
      <x:c r="J30" s="49" t="str">
        <x:f>IF($E30="","",'Supuestos'!$B$21*'Supuestos'!$B$22*$E30)</x:f>
      </x:c>
      <x:c r="K30" s="49" t="str">
        <x:f>IF($E30="","",'Supuestos'!$B$21*'Supuestos'!$B$22*$E30)</x:f>
      </x:c>
      <x:c r="L30" s="49" t="str">
        <x:f>IF($E30="","",'Supuestos'!$B$21*'Supuestos'!$B$22*$E30)</x:f>
      </x:c>
      <x:c r="M30" s="49" t="str">
        <x:f>IF($E30="","",'Supuestos'!$B$21*'Supuestos'!$B$22*$E30)</x:f>
      </x:c>
      <x:c r="N30" s="49" t="str">
        <x:f>IF($E30="","",'Supuestos'!$B$21*'Supuestos'!$B$22*$E30)</x:f>
      </x:c>
      <x:c r="O30" s="49" t="str">
        <x:f>IF($E30="","",'Supuestos'!$B$21*'Supuestos'!$B$22*$E30)</x:f>
      </x:c>
      <x:c r="P30" s="49" t="str">
        <x:f>IF($E30="","",'Supuestos'!$B$21*'Supuestos'!$B$22*$E30)</x:f>
      </x:c>
      <x:c r="Q30" s="49" t="str">
        <x:f>IF($E30="","",'Supuestos'!$B$21*'Supuestos'!$B$22*$E30)</x:f>
      </x:c>
      <x:c r="R30" s="49" t="str">
        <x:f>IF($E30="","",'Supuestos'!$B$21*'Supuestos'!$B$22*$E30)</x:f>
      </x:c>
      <x:c r="S30" s="49" t="str">
        <x:f>IF($E30="","",'Supuestos'!$B$21*'Supuestos'!$B$22*$E30)</x:f>
      </x:c>
      <x:c r="T30" s="49" t="str">
        <x:f>IF($E30="","",'Supuestos'!$B$21*'Supuestos'!$B$22*$E30)</x:f>
      </x:c>
      <x:c r="U30" s="49" t="str">
        <x:f>IF($E30="","",'Supuestos'!$B$21*'Supuestos'!$B$22*$E30)</x:f>
      </x:c>
      <x:c r="V30" s="49" t="str">
        <x:f>IF($E30="","",'Supuestos'!$B$21*'Supuestos'!$B$22*$E30)</x:f>
      </x:c>
      <x:c r="W30" s="49" t="str">
        <x:f>IF($E30="","",'Supuestos'!$B$21*'Supuestos'!$B$22*$E30)</x:f>
      </x:c>
      <x:c r="X30" s="49" t="str">
        <x:f>IF($E30="","",'Supuestos'!$B$21*'Supuestos'!$B$22*$E30)</x:f>
      </x:c>
      <x:c r="Y30" s="49" t="str">
        <x:f>IF($E30="","",'Supuestos'!$B$21*'Supuestos'!$B$22*$E30)</x:f>
      </x:c>
      <x:c r="Z30" s="49" t="str">
        <x:f>IF($E30="","",'Supuestos'!$B$21*'Supuestos'!$B$22*$E30)</x:f>
      </x:c>
      <x:c r="AA30" s="49" t="str">
        <x:f>IF($E30="","",'Supuestos'!$B$21*'Supuestos'!$B$22*$E30)</x:f>
      </x:c>
      <x:c r="AB30" s="49" t="str">
        <x:f>IF($E30="","",'Supuestos'!$B$21*'Supuestos'!$B$22*$E30)</x:f>
      </x:c>
      <x:c r="AC30" s="49" t="str">
        <x:f>IF($E30="","",'Supuestos'!$B$21*'Supuestos'!$B$22*$E30)</x:f>
      </x:c>
      <x:c r="AD30" s="49" t="str">
        <x:f>IF($E30="","",'Supuestos'!$B$21*'Supuestos'!$B$22*$E30)</x:f>
      </x:c>
      <x:c r="AE30" s="49" t="str">
        <x:f>IF($E30="","",'Supuestos'!$B$21*'Supuestos'!$B$22*$E30)</x:f>
      </x:c>
      <x:c r="AF30" s="49" t="str">
        <x:f>IF($E30="","",'Supuestos'!$B$21*'Supuestos'!$B$22*$E30)</x:f>
      </x:c>
      <x:c r="AG30" s="49" t="str">
        <x:f>IF($E30="","",'Supuestos'!$B$21*'Supuestos'!$B$22*$E30)</x:f>
      </x:c>
      <x:c r="AH30" s="49" t="str">
        <x:f>IF($E30="","",'Supuestos'!$B$21*'Supuestos'!$B$22*$E30)</x:f>
      </x:c>
      <x:c r="AI30" s="49" t="str">
        <x:f>IF($E30="","",'Supuestos'!$B$21*'Supuestos'!$B$22*$E30)</x:f>
      </x:c>
      <x:c r="AJ30" s="49" t="str">
        <x:f>IF($E30="","",'Supuestos'!$B$21*'Supuestos'!$B$22*$E30)</x:f>
      </x:c>
      <x:c r="AK30" s="49" t="str">
        <x:f>IF($E30="","",'Supuestos'!$B$21*'Supuestos'!$B$22*$E30)</x:f>
      </x:c>
      <x:c r="AL30" s="49" t="str">
        <x:f>IF($E30="","",'Supuestos'!$B$21*'Supuestos'!$B$22*$E30)</x:f>
      </x:c>
      <x:c r="AM30" s="49" t="str">
        <x:f>IF($E30="","",'Supuestos'!$B$21*'Supuestos'!$B$22*$E30)</x:f>
      </x:c>
      <x:c r="AN30" s="49" t="str">
        <x:f>IF($E30="","",'Supuestos'!$B$21*'Supuestos'!$B$22*$E30)</x:f>
      </x:c>
      <x:c r="AO30" s="49" t="str">
        <x:f>IF($E30="","",'Supuestos'!$B$21*'Supuestos'!$B$22*$E30)</x:f>
      </x:c>
      <x:c r="AP30" s="49" t="str">
        <x:f>IF($E30="","",'Supuestos'!$B$21*'Supuestos'!$B$22*$E30)</x:f>
      </x:c>
      <x:c r="AQ30" s="49" t="str">
        <x:f>IF($E30="","",'Supuestos'!$B$21*'Supuestos'!$B$22*$E30)</x:f>
      </x:c>
      <x:c r="AR30" s="49" t="str">
        <x:f>IF($E30="","",'Supuestos'!$B$21*'Supuestos'!$B$22*$E30)</x:f>
      </x:c>
      <x:c r="AS30" s="49" t="str">
        <x:f>IF($E30="","",'Supuestos'!$B$21*'Supuestos'!$B$22*$E30)</x:f>
      </x:c>
      <x:c r="AT30" s="49" t="str">
        <x:f>IF($E30="","",'Supuestos'!$B$21*'Supuestos'!$B$22*$E30)</x:f>
      </x:c>
      <x:c r="AU30" s="49" t="str">
        <x:f>IF($E30="","",'Supuestos'!$B$21*'Supuestos'!$B$22*$E30)</x:f>
      </x:c>
      <x:c r="AV30" s="49" t="str">
        <x:f>IF($E30="","",'Supuestos'!$B$21*'Supuestos'!$B$22*$E30)</x:f>
      </x:c>
      <x:c r="AW30" s="49" t="str">
        <x:f>IF($E30="","",'Supuestos'!$B$21*'Supuestos'!$B$22*$E30)</x:f>
      </x:c>
      <x:c r="AX30" s="49" t="str">
        <x:f>IF($E30="","",'Supuestos'!$B$21*'Supuestos'!$B$22*$E30)</x:f>
      </x:c>
      <x:c r="AY30" s="49" t="str">
        <x:f>IF($E30="","",'Supuestos'!$B$21*'Supuestos'!$B$22*$E30)</x:f>
      </x:c>
      <x:c r="AZ30" s="49" t="str">
        <x:f>IF($E30="","",'Supuestos'!$B$21*'Supuestos'!$B$22*$E30)</x:f>
      </x:c>
      <x:c r="BA30" s="49" t="str">
        <x:f>IF($E30="","",'Supuestos'!$B$21*'Supuestos'!$B$22*$E30)</x:f>
      </x:c>
      <x:c r="BB30" s="49" t="str">
        <x:f>IF($E30="","",'Supuestos'!$B$21*'Supuestos'!$B$22*$E30)</x:f>
      </x:c>
      <x:c r="BC30" s="49" t="str">
        <x:f>IF($E30="","",'Supuestos'!$B$21*'Supuestos'!$B$22*$E30)</x:f>
      </x:c>
      <x:c r="BD30" s="49" t="str">
        <x:f>IF($E30="","",'Supuestos'!$B$21*'Supuestos'!$B$22*$E30)</x:f>
      </x:c>
      <x:c r="BE30" s="49" t="str">
        <x:f>IF($E30="","",'Supuestos'!$B$21*'Supuestos'!$B$22*$E30)</x:f>
      </x:c>
      <x:c r="BF30" s="49" t="str">
        <x:f>IF($E30="","",'Supuestos'!$B$21*'Supuestos'!$B$22*$E30)</x:f>
      </x:c>
      <x:c r="BG30" s="49" t="str">
        <x:f>IF($E30="","",'Supuestos'!$B$21*'Supuestos'!$B$22*$E30)</x:f>
      </x:c>
      <x:c r="BH30" s="49" t="str">
        <x:f>IF($E30="","",'Supuestos'!$B$21*'Supuestos'!$B$22*$E30)</x:f>
      </x:c>
      <x:c r="BI30" s="49" t="str">
        <x:f>IF($E30="","",'Supuestos'!$B$21*'Supuestos'!$B$22*$E30)</x:f>
      </x:c>
      <x:c r="BJ30" s="49" t="str">
        <x:f>IF($E30="","",'Supuestos'!$B$21*'Supuestos'!$B$22*$E30)</x:f>
      </x:c>
      <x:c r="BK30" s="49" t="str">
        <x:f>IF($E30="","",'Supuestos'!$B$21*'Supuestos'!$B$22*$E30)</x:f>
      </x:c>
      <x:c r="BL30" s="49" t="str">
        <x:f>IF($E30="","",'Supuestos'!$B$21*'Supuestos'!$B$22*$E30)</x:f>
      </x:c>
      <x:c r="BM30" s="49" t="str">
        <x:f>IF($E30="","",'Supuestos'!$B$21*'Supuestos'!$B$22*$E30)</x:f>
      </x:c>
      <x:c r="BN30" s="49" t="str">
        <x:f>IF($E30="","",'Supuestos'!$B$21*'Supuestos'!$B$22*$E30)</x:f>
      </x:c>
      <x:c r="BO30" s="50" t="str">
        <x:f>IF(COUNT(G30:BN30)=0,"",SUM(G30:BN30))</x:f>
      </x:c>
    </x:row>
    <x:row r="32">
      <x:c r="A32" s="43" t="str">
        <x:v>Subtotal Santiago</x:v>
      </x:c>
      <x:c r="B32" s="43" t="str"/>
      <x:c r="C32" s="43" t="str"/>
      <x:c r="D32" s="43" t="str"/>
      <x:c r="E32" s="43"/>
      <x:c r="F32" s="43"/>
      <x:c r="G32" s="43"/>
      <x:c r="H32" s="43"/>
      <x:c r="I32" s="43"/>
      <x:c r="J32" s="43"/>
      <x:c r="K32" s="43"/>
      <x:c r="L32" s="43"/>
      <x:c r="M32" s="43"/>
      <x:c r="N32" s="43"/>
      <x:c r="O32" s="43"/>
      <x:c r="P32" s="43"/>
      <x:c r="Q32" s="43"/>
      <x:c r="R32" s="43"/>
      <x:c r="S32" s="43"/>
      <x:c r="T32" s="43"/>
      <x:c r="U32" s="43"/>
      <x:c r="V32" s="43"/>
      <x:c r="W32" s="43"/>
      <x:c r="X32" s="43"/>
      <x:c r="Y32" s="43"/>
      <x:c r="Z32" s="43"/>
      <x:c r="AA32" s="43"/>
      <x:c r="AB32" s="43"/>
      <x:c r="AC32" s="43"/>
      <x:c r="AD32" s="43"/>
      <x:c r="AE32" s="43"/>
      <x:c r="AF32" s="43"/>
      <x:c r="AG32" s="43"/>
      <x:c r="AH32" s="43"/>
      <x:c r="AI32" s="43"/>
      <x:c r="AJ32" s="43"/>
      <x:c r="AK32" s="43"/>
      <x:c r="AL32" s="43"/>
      <x:c r="AM32" s="43"/>
      <x:c r="AN32" s="43"/>
      <x:c r="AO32" s="43"/>
      <x:c r="AP32" s="43"/>
      <x:c r="AQ32" s="43"/>
      <x:c r="AR32" s="43"/>
      <x:c r="AS32" s="43"/>
      <x:c r="AT32" s="43"/>
      <x:c r="AU32" s="43"/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43"/>
      <x:c r="BH32" s="43"/>
      <x:c r="BI32" s="43"/>
      <x:c r="BJ32" s="43"/>
      <x:c r="BK32" s="43"/>
      <x:c r="BL32" s="43"/>
      <x:c r="BM32" s="43"/>
      <x:c r="BN32" s="43"/>
      <x:c r="BO32" s="44" t="str">
        <x:f>IF(COUNT('Fuentes y Cotizaciones'!F7:F18)&lt;12,"Pendiente de cotización",SUM(BO7:BO18))</x:f>
        <x:v>Pendiente de cotización</x:v>
      </x:c>
    </x:row>
    <x:row r="33">
      <x:c r="A33" s="25" t="str">
        <x:v>Subtotal EE. UU.</x:v>
      </x:c>
      <x:c r="B33" s="25" t="str"/>
      <x:c r="C33" s="25" t="str"/>
      <x:c r="D33" s="25" t="str"/>
      <x:c r="E33" s="25"/>
      <x:c r="F33" s="25"/>
      <x:c r="G33" s="25"/>
      <x:c r="H33" s="25"/>
      <x:c r="I33" s="25"/>
      <x:c r="J33" s="25"/>
      <x:c r="K33" s="25"/>
      <x:c r="L33" s="25"/>
      <x:c r="M33" s="25"/>
      <x:c r="N33" s="25"/>
      <x:c r="O33" s="25"/>
      <x:c r="P33" s="25"/>
      <x:c r="Q33" s="25"/>
      <x:c r="R33" s="25"/>
      <x:c r="S33" s="25"/>
      <x:c r="T33" s="25"/>
      <x:c r="U33" s="25"/>
      <x:c r="V33" s="25"/>
      <x:c r="W33" s="25"/>
      <x:c r="X33" s="25"/>
      <x:c r="Y33" s="25"/>
      <x:c r="Z33" s="25"/>
      <x:c r="AA33" s="25"/>
      <x:c r="AB33" s="25"/>
      <x:c r="AC33" s="25"/>
      <x:c r="AD33" s="25"/>
      <x:c r="AE33" s="25"/>
      <x:c r="AF33" s="25"/>
      <x:c r="AG33" s="25"/>
      <x:c r="AH33" s="25"/>
      <x:c r="AI33" s="25"/>
      <x:c r="AJ33" s="25"/>
      <x:c r="AK33" s="25"/>
      <x:c r="AL33" s="25"/>
      <x:c r="AM33" s="25"/>
      <x:c r="AN33" s="25"/>
      <x:c r="AO33" s="25"/>
      <x:c r="AP33" s="25"/>
      <x:c r="AQ33" s="25"/>
      <x:c r="AR33" s="25"/>
      <x:c r="AS33" s="25"/>
      <x:c r="AT33" s="25"/>
      <x:c r="AU33" s="25"/>
      <x:c r="AV33" s="25"/>
      <x:c r="AW33" s="25"/>
      <x:c r="AX33" s="25"/>
      <x:c r="AY33" s="25"/>
      <x:c r="AZ33" s="25"/>
      <x:c r="BA33" s="25"/>
      <x:c r="BB33" s="25"/>
      <x:c r="BC33" s="25"/>
      <x:c r="BD33" s="25"/>
      <x:c r="BE33" s="25"/>
      <x:c r="BF33" s="25"/>
      <x:c r="BG33" s="25"/>
      <x:c r="BH33" s="25"/>
      <x:c r="BI33" s="25"/>
      <x:c r="BJ33" s="25"/>
      <x:c r="BK33" s="25"/>
      <x:c r="BL33" s="25"/>
      <x:c r="BM33" s="25"/>
      <x:c r="BN33" s="25"/>
      <x:c r="BO33" s="45" t="str">
        <x:f>IF(COUNT('Fuentes y Cotizaciones'!F19:F30)&lt;12,"Pendiente de cotización",SUM(BO19:BO30))</x:f>
        <x:v>Pendiente de cotización</x:v>
      </x:c>
    </x:row>
    <x:row r="34">
      <x:c r="A34" s="25" t="str">
        <x:v>Diferencia EE. UU. - Santiago</x:v>
      </x:c>
      <x:c r="B34" s="25" t="str"/>
      <x:c r="C34" s="25" t="str"/>
      <x:c r="D34" s="25" t="str"/>
      <x:c r="E34" s="25"/>
      <x:c r="F34" s="25"/>
      <x:c r="G34" s="25"/>
      <x:c r="H34" s="25"/>
      <x:c r="I34" s="25"/>
      <x:c r="J34" s="25"/>
      <x:c r="K34" s="25"/>
      <x:c r="L34" s="25"/>
      <x:c r="M34" s="25"/>
      <x:c r="N34" s="25"/>
      <x:c r="O34" s="25"/>
      <x:c r="P34" s="25"/>
      <x:c r="Q34" s="25"/>
      <x:c r="R34" s="25"/>
      <x:c r="S34" s="25"/>
      <x:c r="T34" s="25"/>
      <x:c r="U34" s="25"/>
      <x:c r="V34" s="25"/>
      <x:c r="W34" s="25"/>
      <x:c r="X34" s="25"/>
      <x:c r="Y34" s="25"/>
      <x:c r="Z34" s="25"/>
      <x:c r="AA34" s="25"/>
      <x:c r="AB34" s="25"/>
      <x:c r="AC34" s="25"/>
      <x:c r="AD34" s="25"/>
      <x:c r="AE34" s="25"/>
      <x:c r="AF34" s="25"/>
      <x:c r="AG34" s="25"/>
      <x:c r="AH34" s="25"/>
      <x:c r="AI34" s="25"/>
      <x:c r="AJ34" s="25"/>
      <x:c r="AK34" s="25"/>
      <x:c r="AL34" s="25"/>
      <x:c r="AM34" s="25"/>
      <x:c r="AN34" s="25"/>
      <x:c r="AO34" s="25"/>
      <x:c r="AP34" s="25"/>
      <x:c r="AQ34" s="25"/>
      <x:c r="AR34" s="25"/>
      <x:c r="AS34" s="25"/>
      <x:c r="AT34" s="25"/>
      <x:c r="AU34" s="25"/>
      <x:c r="AV34" s="25"/>
      <x:c r="AW34" s="25"/>
      <x:c r="AX34" s="25"/>
      <x:c r="AY34" s="25"/>
      <x:c r="AZ34" s="25"/>
      <x:c r="BA34" s="25"/>
      <x:c r="BB34" s="25"/>
      <x:c r="BC34" s="25"/>
      <x:c r="BD34" s="25"/>
      <x:c r="BE34" s="25"/>
      <x:c r="BF34" s="25"/>
      <x:c r="BG34" s="25"/>
      <x:c r="BH34" s="25"/>
      <x:c r="BI34" s="25"/>
      <x:c r="BJ34" s="25"/>
      <x:c r="BK34" s="25"/>
      <x:c r="BL34" s="25"/>
      <x:c r="BM34" s="25"/>
      <x:c r="BN34" s="25"/>
      <x:c r="BO34" s="45" t="str">
        <x:f>IF(OR(COUNT('Fuentes y Cotizaciones'!F7:F18)&lt;12,COUNT('Fuentes y Cotizaciones'!F19:F30)&lt;12),"Pendiente de cotización",BO33-BO32)</x:f>
        <x:v>Pendiente de cotización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5" hidden="0" customWidth="1"/>
    <x:col min="4" max="4" width="46" hidden="0" customWidth="1"/>
    <x:col min="5" max="5" width="17" hidden="0" customWidth="1"/>
    <x:col min="6" max="6" width="19" hidden="0" customWidth="1"/>
    <x:col min="7" max="7" width="42" hidden="0" customWidth="1"/>
    <x:col min="8" max="8" width="16" hidden="0" customWidth="1"/>
    <x:col min="9" max="9" width="22" hidden="0" customWidth="1"/>
    <x:col min="10" max="10" width="15" hidden="0" customWidth="1"/>
  </x:cols>
  <x:sheetData>
    <x:row r="2">
      <x:c r="A2" s="1" t="str">
        <x:v>FP-183 — Fuentes y cotizaciones</x:v>
      </x:c>
    </x:row>
    <x:row r="3">
      <x:c r="A3" s="2" t="str">
        <x:v>Complete precio, URL y fecha desde una fuente oficial antes de interpretar totales. No se inventaron precios.</x:v>
      </x:c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</x:row>
    <x:row r="6">
      <x:c r="A6" s="13" t="str">
        <x:v>Id</x:v>
      </x:c>
      <x:c r="B6" s="14" t="str">
        <x:v>Región</x:v>
      </x:c>
      <x:c r="C6" s="14" t="str">
        <x:v>Componente</x:v>
      </x:c>
      <x:c r="D6" s="14" t="str">
        <x:v>Servicio / configuración a cotizar</x:v>
      </x:c>
      <x:c r="E6" s="14" t="str">
        <x:v>Unidad</x:v>
      </x:c>
      <x:c r="F6" s="14" t="str">
        <x:v>Precio unitario USD</x:v>
      </x:c>
      <x:c r="G6" s="14" t="str">
        <x:v>Fuente oficial / URL</x:v>
      </x:c>
      <x:c r="H6" s="14" t="str">
        <x:v>Fecha de consulta</x:v>
      </x:c>
      <x:c r="I6" s="14" t="str">
        <x:v>Modalidad</x:v>
      </x:c>
      <x:c r="J6" s="15" t="str">
        <x:v>Estado</x:v>
      </x:c>
    </x:row>
    <x:row r="7">
      <x:c r="A7" s="16" t="str">
        <x:v>SCL-LB</x:v>
      </x:c>
      <x:c r="B7" s="17" t="str">
        <x:v>Santiago</x:v>
      </x:c>
      <x:c r="C7" s="17" t="str">
        <x:v>Balanceador HTTPS</x:v>
      </x:c>
      <x:c r="D7" s="17" t="str">
        <x:v>Balanceador regional de aplicación; southamerica-west1</x:v>
      </x:c>
      <x:c r="E7" s="17" t="str">
        <x:v>unidad/mes</x:v>
      </x:c>
      <x:c r="F7" s="29"/>
      <x:c r="G7" s="11"/>
      <x:c r="H7" s="30"/>
      <x:c r="I7" s="11" t="str">
        <x:v>Lista pública / cotización</x:v>
      </x:c>
      <x:c r="J7" s="31" t="str">
        <x:f>IF(AND(F7&lt;&gt;"",G7&lt;&gt;"",H7&lt;&gt;""),"Verificado","Pendiente")</x:f>
        <x:v>Pendiente</x:v>
      </x:c>
    </x:row>
    <x:row r="8">
      <x:c r="A8" s="16" t="str">
        <x:v>SCL-APP</x:v>
      </x:c>
      <x:c r="B8" s="17" t="str">
        <x:v>Santiago</x:v>
      </x:c>
      <x:c r="C8" s="17" t="str">
        <x:v>VMs de aplicación</x:v>
      </x:c>
      <x:c r="D8" s="17" t="str">
        <x:v>VM 2 vCPU / 8 GiB; instancia administrada; southamerica-west1</x:v>
      </x:c>
      <x:c r="E8" s="17" t="str">
        <x:v>instancia-hora</x:v>
      </x:c>
      <x:c r="F8" s="29"/>
      <x:c r="G8" s="11"/>
      <x:c r="H8" s="30"/>
      <x:c r="I8" s="11" t="str">
        <x:v>Lista pública / cotización</x:v>
      </x:c>
      <x:c r="J8" s="31" t="str">
        <x:f>IF(AND(F8&lt;&gt;"",G8&lt;&gt;"",H8&lt;&gt;""),"Verificado","Pendiente")</x:f>
        <x:v>Pendiente</x:v>
      </x:c>
    </x:row>
    <x:row r="9">
      <x:c r="A9" s="16" t="str">
        <x:v>SCL-DB</x:v>
      </x:c>
      <x:c r="B9" s="17" t="str">
        <x:v>Santiago</x:v>
      </x:c>
      <x:c r="C9" s="17" t="str">
        <x:v>Base de datos PostgreSQL HA</x:v>
      </x:c>
      <x:c r="D9" s="17" t="str">
        <x:v>Instancia gestionada 2 vCPU / 8 GiB con HA; southamerica-west1</x:v>
      </x:c>
      <x:c r="E9" s="17" t="str">
        <x:v>instancia-hora</x:v>
      </x:c>
      <x:c r="F9" s="29"/>
      <x:c r="G9" s="11"/>
      <x:c r="H9" s="30"/>
      <x:c r="I9" s="11" t="str">
        <x:v>Lista pública / cotización</x:v>
      </x:c>
      <x:c r="J9" s="31" t="str">
        <x:f>IF(AND(F9&lt;&gt;"",G9&lt;&gt;"",H9&lt;&gt;""),"Verificado","Pendiente")</x:f>
        <x:v>Pendiente</x:v>
      </x:c>
    </x:row>
    <x:row r="10">
      <x:c r="A10" s="16" t="str">
        <x:v>SCL-DBST</x:v>
      </x:c>
      <x:c r="B10" s="17" t="str">
        <x:v>Santiago</x:v>
      </x:c>
      <x:c r="C10" s="17" t="str">
        <x:v>Almacenamiento de base de datos</x:v>
      </x:c>
      <x:c r="D10" s="17" t="str">
        <x:v>SSD para PostgreSQL gestionado; southamerica-west1</x:v>
      </x:c>
      <x:c r="E10" s="17" t="str">
        <x:v>GiB-mes</x:v>
      </x:c>
      <x:c r="F10" s="29"/>
      <x:c r="G10" s="11"/>
      <x:c r="H10" s="30"/>
      <x:c r="I10" s="11" t="str">
        <x:v>Lista pública / cotización</x:v>
      </x:c>
      <x:c r="J10" s="31" t="str">
        <x:f>IF(AND(F10&lt;&gt;"",G10&lt;&gt;"",H10&lt;&gt;""),"Verificado","Pendiente")</x:f>
        <x:v>Pendiente</x:v>
      </x:c>
    </x:row>
    <x:row r="11">
      <x:c r="A11" s="16" t="str">
        <x:v>SCL-OBJ</x:v>
      </x:c>
      <x:c r="B11" s="17" t="str">
        <x:v>Santiago</x:v>
      </x:c>
      <x:c r="C11" s="17" t="str">
        <x:v>Almacenamiento de objetos</x:v>
      </x:c>
      <x:c r="D11" s="17" t="str">
        <x:v>Clase estándar; southamerica-west1</x:v>
      </x:c>
      <x:c r="E11" s="17" t="str">
        <x:v>GiB-mes</x:v>
      </x:c>
      <x:c r="F11" s="29"/>
      <x:c r="G11" s="11"/>
      <x:c r="H11" s="30"/>
      <x:c r="I11" s="11" t="str">
        <x:v>Lista pública / cotización</x:v>
      </x:c>
      <x:c r="J11" s="31" t="str">
        <x:f>IF(AND(F11&lt;&gt;"",G11&lt;&gt;"",H11&lt;&gt;""),"Verificado","Pendiente")</x:f>
        <x:v>Pendiente</x:v>
      </x:c>
    </x:row>
    <x:row r="12">
      <x:c r="A12" s="16" t="str">
        <x:v>SCL-EGR</x:v>
      </x:c>
      <x:c r="B12" s="17" t="str">
        <x:v>Santiago</x:v>
      </x:c>
      <x:c r="C12" s="17" t="str">
        <x:v>Egreso a Internet</x:v>
      </x:c>
      <x:c r="D12" s="17" t="str">
        <x:v>Salida a Internet; southamerica-west1</x:v>
      </x:c>
      <x:c r="E12" s="17" t="str">
        <x:v>GB</x:v>
      </x:c>
      <x:c r="F12" s="29"/>
      <x:c r="G12" s="11"/>
      <x:c r="H12" s="30"/>
      <x:c r="I12" s="11" t="str">
        <x:v>Lista pública / cotización</x:v>
      </x:c>
      <x:c r="J12" s="31" t="str">
        <x:f>IF(AND(F12&lt;&gt;"",G12&lt;&gt;"",H12&lt;&gt;""),"Verificado","Pendiente")</x:f>
        <x:v>Pendiente</x:v>
      </x:c>
    </x:row>
    <x:row r="13">
      <x:c r="A13" s="16" t="str">
        <x:v>SCL-NATH</x:v>
      </x:c>
      <x:c r="B13" s="17" t="str">
        <x:v>Santiago</x:v>
      </x:c>
      <x:c r="C13" s="17" t="str">
        <x:v>Cloud NAT</x:v>
      </x:c>
      <x:c r="D13" s="17" t="str">
        <x:v>Gateway NAT; southamerica-west1</x:v>
      </x:c>
      <x:c r="E13" s="17" t="str">
        <x:v>hora</x:v>
      </x:c>
      <x:c r="F13" s="29"/>
      <x:c r="G13" s="11"/>
      <x:c r="H13" s="30"/>
      <x:c r="I13" s="11" t="str">
        <x:v>Lista pública / cotización</x:v>
      </x:c>
      <x:c r="J13" s="31" t="str">
        <x:f>IF(AND(F13&lt;&gt;"",G13&lt;&gt;"",H13&lt;&gt;""),"Verificado","Pendiente")</x:f>
        <x:v>Pendiente</x:v>
      </x:c>
    </x:row>
    <x:row r="14">
      <x:c r="A14" s="16" t="str">
        <x:v>SCL-NATG</x:v>
      </x:c>
      <x:c r="B14" s="17" t="str">
        <x:v>Santiago</x:v>
      </x:c>
      <x:c r="C14" s="17" t="str">
        <x:v>Cloud NAT procesado</x:v>
      </x:c>
      <x:c r="D14" s="17" t="str">
        <x:v>Datos procesados por NAT; southamerica-west1</x:v>
      </x:c>
      <x:c r="E14" s="17" t="str">
        <x:v>GB</x:v>
      </x:c>
      <x:c r="F14" s="29"/>
      <x:c r="G14" s="11"/>
      <x:c r="H14" s="30"/>
      <x:c r="I14" s="11" t="str">
        <x:v>Lista pública / cotización</x:v>
      </x:c>
      <x:c r="J14" s="31" t="str">
        <x:f>IF(AND(F14&lt;&gt;"",G14&lt;&gt;"",H14&lt;&gt;""),"Verificado","Pendiente")</x:f>
        <x:v>Pendiente</x:v>
      </x:c>
    </x:row>
    <x:row r="15">
      <x:c r="A15" s="16" t="str">
        <x:v>SCL-LOG</x:v>
      </x:c>
      <x:c r="B15" s="17" t="str">
        <x:v>Santiago</x:v>
      </x:c>
      <x:c r="C15" s="17" t="str">
        <x:v>Logging / monitoreo</x:v>
      </x:c>
      <x:c r="D15" s="17" t="str">
        <x:v>Ingesta y retención de registros; southamerica-west1</x:v>
      </x:c>
      <x:c r="E15" s="17" t="str">
        <x:v>GiB</x:v>
      </x:c>
      <x:c r="F15" s="29"/>
      <x:c r="G15" s="11"/>
      <x:c r="H15" s="30"/>
      <x:c r="I15" s="11" t="str">
        <x:v>Lista pública / cotización</x:v>
      </x:c>
      <x:c r="J15" s="31" t="str">
        <x:f>IF(AND(F15&lt;&gt;"",G15&lt;&gt;"",H15&lt;&gt;""),"Verificado","Pendiente")</x:f>
        <x:v>Pendiente</x:v>
      </x:c>
    </x:row>
    <x:row r="16">
      <x:c r="A16" s="16" t="str">
        <x:v>SCL-BKP</x:v>
      </x:c>
      <x:c r="B16" s="17" t="str">
        <x:v>Santiago</x:v>
      </x:c>
      <x:c r="C16" s="17" t="str">
        <x:v>Respaldos de base de datos</x:v>
      </x:c>
      <x:c r="D16" s="17" t="str">
        <x:v>Almacenamiento de respaldos; southamerica-west1</x:v>
      </x:c>
      <x:c r="E16" s="17" t="str">
        <x:v>GiB-mes</x:v>
      </x:c>
      <x:c r="F16" s="29"/>
      <x:c r="G16" s="11"/>
      <x:c r="H16" s="30"/>
      <x:c r="I16" s="11" t="str">
        <x:v>Lista pública / cotización</x:v>
      </x:c>
      <x:c r="J16" s="31" t="str">
        <x:f>IF(AND(F16&lt;&gt;"",G16&lt;&gt;"",H16&lt;&gt;""),"Verificado","Pendiente")</x:f>
        <x:v>Pendiente</x:v>
      </x:c>
    </x:row>
    <x:row r="17">
      <x:c r="A17" s="16" t="str">
        <x:v>SCL-NPAPP</x:v>
      </x:c>
      <x:c r="B17" s="17" t="str">
        <x:v>Santiago</x:v>
      </x:c>
      <x:c r="C17" s="17" t="str">
        <x:v>VM no productiva</x:v>
      </x:c>
      <x:c r="D17" s="17" t="str">
        <x:v>VM reducida, uso programado; southamerica-west1</x:v>
      </x:c>
      <x:c r="E17" s="17" t="str">
        <x:v>instancia-hora</x:v>
      </x:c>
      <x:c r="F17" s="29"/>
      <x:c r="G17" s="11"/>
      <x:c r="H17" s="30"/>
      <x:c r="I17" s="11" t="str">
        <x:v>Lista pública / cotización</x:v>
      </x:c>
      <x:c r="J17" s="31" t="str">
        <x:f>IF(AND(F17&lt;&gt;"",G17&lt;&gt;"",H17&lt;&gt;""),"Verificado","Pendiente")</x:f>
        <x:v>Pendiente</x:v>
      </x:c>
    </x:row>
    <x:row r="18">
      <x:c r="A18" s="16" t="str">
        <x:v>SCL-NPDB</x:v>
      </x:c>
      <x:c r="B18" s="17" t="str">
        <x:v>Santiago</x:v>
      </x:c>
      <x:c r="C18" s="17" t="str">
        <x:v>Base de datos no productiva</x:v>
      </x:c>
      <x:c r="D18" s="17" t="str">
        <x:v>Instancia reducida, uso programado; southamerica-west1</x:v>
      </x:c>
      <x:c r="E18" s="17" t="str">
        <x:v>instancia-hora</x:v>
      </x:c>
      <x:c r="F18" s="29"/>
      <x:c r="G18" s="11"/>
      <x:c r="H18" s="30"/>
      <x:c r="I18" s="11" t="str">
        <x:v>Lista pública / cotización</x:v>
      </x:c>
      <x:c r="J18" s="31" t="str">
        <x:f>IF(AND(F18&lt;&gt;"",G18&lt;&gt;"",H18&lt;&gt;""),"Verificado","Pendiente")</x:f>
        <x:v>Pendiente</x:v>
      </x:c>
    </x:row>
    <x:row r="19">
      <x:c r="A19" s="16" t="str">
        <x:v>USA-LB</x:v>
      </x:c>
      <x:c r="B19" s="17" t="str">
        <x:v>EE. UU.</x:v>
      </x:c>
      <x:c r="C19" s="17" t="str">
        <x:v>Balanceador HTTPS</x:v>
      </x:c>
      <x:c r="D19" s="17" t="str">
        <x:v>Balanceador regional de aplicación; us-central1</x:v>
      </x:c>
      <x:c r="E19" s="17" t="str">
        <x:v>unidad/mes</x:v>
      </x:c>
      <x:c r="F19" s="29"/>
      <x:c r="G19" s="11"/>
      <x:c r="H19" s="30"/>
      <x:c r="I19" s="11" t="str">
        <x:v>Lista pública / cotización</x:v>
      </x:c>
      <x:c r="J19" s="31" t="str">
        <x:f>IF(AND(F19&lt;&gt;"",G19&lt;&gt;"",H19&lt;&gt;""),"Verificado","Pendiente")</x:f>
        <x:v>Pendiente</x:v>
      </x:c>
    </x:row>
    <x:row r="20">
      <x:c r="A20" s="16" t="str">
        <x:v>USA-APP</x:v>
      </x:c>
      <x:c r="B20" s="17" t="str">
        <x:v>EE. UU.</x:v>
      </x:c>
      <x:c r="C20" s="17" t="str">
        <x:v>VMs de aplicación</x:v>
      </x:c>
      <x:c r="D20" s="17" t="str">
        <x:v>VM 2 vCPU / 8 GiB; instancia administrada; us-central1</x:v>
      </x:c>
      <x:c r="E20" s="17" t="str">
        <x:v>instancia-hora</x:v>
      </x:c>
      <x:c r="F20" s="29"/>
      <x:c r="G20" s="11"/>
      <x:c r="H20" s="30"/>
      <x:c r="I20" s="11" t="str">
        <x:v>Lista pública / cotización</x:v>
      </x:c>
      <x:c r="J20" s="31" t="str">
        <x:f>IF(AND(F20&lt;&gt;"",G20&lt;&gt;"",H20&lt;&gt;""),"Verificado","Pendiente")</x:f>
        <x:v>Pendiente</x:v>
      </x:c>
    </x:row>
    <x:row r="21">
      <x:c r="A21" s="16" t="str">
        <x:v>USA-DB</x:v>
      </x:c>
      <x:c r="B21" s="17" t="str">
        <x:v>EE. UU.</x:v>
      </x:c>
      <x:c r="C21" s="17" t="str">
        <x:v>Base de datos PostgreSQL HA</x:v>
      </x:c>
      <x:c r="D21" s="17" t="str">
        <x:v>Instancia gestionada 2 vCPU / 8 GiB con HA; us-central1</x:v>
      </x:c>
      <x:c r="E21" s="17" t="str">
        <x:v>instancia-hora</x:v>
      </x:c>
      <x:c r="F21" s="29"/>
      <x:c r="G21" s="11"/>
      <x:c r="H21" s="30"/>
      <x:c r="I21" s="11" t="str">
        <x:v>Lista pública / cotización</x:v>
      </x:c>
      <x:c r="J21" s="31" t="str">
        <x:f>IF(AND(F21&lt;&gt;"",G21&lt;&gt;"",H21&lt;&gt;""),"Verificado","Pendiente")</x:f>
        <x:v>Pendiente</x:v>
      </x:c>
    </x:row>
    <x:row r="22">
      <x:c r="A22" s="16" t="str">
        <x:v>USA-DBST</x:v>
      </x:c>
      <x:c r="B22" s="17" t="str">
        <x:v>EE. UU.</x:v>
      </x:c>
      <x:c r="C22" s="17" t="str">
        <x:v>Almacenamiento de base de datos</x:v>
      </x:c>
      <x:c r="D22" s="17" t="str">
        <x:v>SSD para PostgreSQL gestionado; us-central1</x:v>
      </x:c>
      <x:c r="E22" s="17" t="str">
        <x:v>GiB-mes</x:v>
      </x:c>
      <x:c r="F22" s="29"/>
      <x:c r="G22" s="11"/>
      <x:c r="H22" s="30"/>
      <x:c r="I22" s="11" t="str">
        <x:v>Lista pública / cotización</x:v>
      </x:c>
      <x:c r="J22" s="31" t="str">
        <x:f>IF(AND(F22&lt;&gt;"",G22&lt;&gt;"",H22&lt;&gt;""),"Verificado","Pendiente")</x:f>
        <x:v>Pendiente</x:v>
      </x:c>
    </x:row>
    <x:row r="23">
      <x:c r="A23" s="16" t="str">
        <x:v>USA-OBJ</x:v>
      </x:c>
      <x:c r="B23" s="17" t="str">
        <x:v>EE. UU.</x:v>
      </x:c>
      <x:c r="C23" s="17" t="str">
        <x:v>Almacenamiento de objetos</x:v>
      </x:c>
      <x:c r="D23" s="17" t="str">
        <x:v>Clase estándar; us-central1</x:v>
      </x:c>
      <x:c r="E23" s="17" t="str">
        <x:v>GiB-mes</x:v>
      </x:c>
      <x:c r="F23" s="29"/>
      <x:c r="G23" s="11"/>
      <x:c r="H23" s="30"/>
      <x:c r="I23" s="11" t="str">
        <x:v>Lista pública / cotización</x:v>
      </x:c>
      <x:c r="J23" s="31" t="str">
        <x:f>IF(AND(F23&lt;&gt;"",G23&lt;&gt;"",H23&lt;&gt;""),"Verificado","Pendiente")</x:f>
        <x:v>Pendiente</x:v>
      </x:c>
    </x:row>
    <x:row r="24">
      <x:c r="A24" s="16" t="str">
        <x:v>USA-EGR</x:v>
      </x:c>
      <x:c r="B24" s="17" t="str">
        <x:v>EE. UU.</x:v>
      </x:c>
      <x:c r="C24" s="17" t="str">
        <x:v>Egreso a Internet</x:v>
      </x:c>
      <x:c r="D24" s="17" t="str">
        <x:v>Salida a Internet; us-central1</x:v>
      </x:c>
      <x:c r="E24" s="17" t="str">
        <x:v>GB</x:v>
      </x:c>
      <x:c r="F24" s="29"/>
      <x:c r="G24" s="11"/>
      <x:c r="H24" s="30"/>
      <x:c r="I24" s="11" t="str">
        <x:v>Lista pública / cotización</x:v>
      </x:c>
      <x:c r="J24" s="31" t="str">
        <x:f>IF(AND(F24&lt;&gt;"",G24&lt;&gt;"",H24&lt;&gt;""),"Verificado","Pendiente")</x:f>
        <x:v>Pendiente</x:v>
      </x:c>
    </x:row>
    <x:row r="25">
      <x:c r="A25" s="16" t="str">
        <x:v>USA-NATH</x:v>
      </x:c>
      <x:c r="B25" s="17" t="str">
        <x:v>EE. UU.</x:v>
      </x:c>
      <x:c r="C25" s="17" t="str">
        <x:v>Cloud NAT</x:v>
      </x:c>
      <x:c r="D25" s="17" t="str">
        <x:v>Gateway NAT; us-central1</x:v>
      </x:c>
      <x:c r="E25" s="17" t="str">
        <x:v>hora</x:v>
      </x:c>
      <x:c r="F25" s="29"/>
      <x:c r="G25" s="11"/>
      <x:c r="H25" s="30"/>
      <x:c r="I25" s="11" t="str">
        <x:v>Lista pública / cotización</x:v>
      </x:c>
      <x:c r="J25" s="31" t="str">
        <x:f>IF(AND(F25&lt;&gt;"",G25&lt;&gt;"",H25&lt;&gt;""),"Verificado","Pendiente")</x:f>
        <x:v>Pendiente</x:v>
      </x:c>
    </x:row>
    <x:row r="26">
      <x:c r="A26" s="16" t="str">
        <x:v>USA-NATG</x:v>
      </x:c>
      <x:c r="B26" s="17" t="str">
        <x:v>EE. UU.</x:v>
      </x:c>
      <x:c r="C26" s="17" t="str">
        <x:v>Cloud NAT procesado</x:v>
      </x:c>
      <x:c r="D26" s="17" t="str">
        <x:v>Datos procesados por NAT; us-central1</x:v>
      </x:c>
      <x:c r="E26" s="17" t="str">
        <x:v>GB</x:v>
      </x:c>
      <x:c r="F26" s="29"/>
      <x:c r="G26" s="11"/>
      <x:c r="H26" s="30"/>
      <x:c r="I26" s="11" t="str">
        <x:v>Lista pública / cotización</x:v>
      </x:c>
      <x:c r="J26" s="31" t="str">
        <x:f>IF(AND(F26&lt;&gt;"",G26&lt;&gt;"",H26&lt;&gt;""),"Verificado","Pendiente")</x:f>
        <x:v>Pendiente</x:v>
      </x:c>
    </x:row>
    <x:row r="27">
      <x:c r="A27" s="16" t="str">
        <x:v>USA-LOG</x:v>
      </x:c>
      <x:c r="B27" s="17" t="str">
        <x:v>EE. UU.</x:v>
      </x:c>
      <x:c r="C27" s="17" t="str">
        <x:v>Logging / monitoreo</x:v>
      </x:c>
      <x:c r="D27" s="17" t="str">
        <x:v>Ingesta y retención de registros; us-central1</x:v>
      </x:c>
      <x:c r="E27" s="17" t="str">
        <x:v>GiB</x:v>
      </x:c>
      <x:c r="F27" s="29"/>
      <x:c r="G27" s="11"/>
      <x:c r="H27" s="30"/>
      <x:c r="I27" s="11" t="str">
        <x:v>Lista pública / cotización</x:v>
      </x:c>
      <x:c r="J27" s="31" t="str">
        <x:f>IF(AND(F27&lt;&gt;"",G27&lt;&gt;"",H27&lt;&gt;""),"Verificado","Pendiente")</x:f>
        <x:v>Pendiente</x:v>
      </x:c>
    </x:row>
    <x:row r="28">
      <x:c r="A28" s="16" t="str">
        <x:v>USA-BKP</x:v>
      </x:c>
      <x:c r="B28" s="17" t="str">
        <x:v>EE. UU.</x:v>
      </x:c>
      <x:c r="C28" s="17" t="str">
        <x:v>Respaldos de base de datos</x:v>
      </x:c>
      <x:c r="D28" s="17" t="str">
        <x:v>Almacenamiento de respaldos; us-central1</x:v>
      </x:c>
      <x:c r="E28" s="17" t="str">
        <x:v>GiB-mes</x:v>
      </x:c>
      <x:c r="F28" s="29"/>
      <x:c r="G28" s="11"/>
      <x:c r="H28" s="30"/>
      <x:c r="I28" s="11" t="str">
        <x:v>Lista pública / cotización</x:v>
      </x:c>
      <x:c r="J28" s="31" t="str">
        <x:f>IF(AND(F28&lt;&gt;"",G28&lt;&gt;"",H28&lt;&gt;""),"Verificado","Pendiente")</x:f>
        <x:v>Pendiente</x:v>
      </x:c>
    </x:row>
    <x:row r="29">
      <x:c r="A29" s="16" t="str">
        <x:v>USA-NPAPP</x:v>
      </x:c>
      <x:c r="B29" s="17" t="str">
        <x:v>EE. UU.</x:v>
      </x:c>
      <x:c r="C29" s="17" t="str">
        <x:v>VM no productiva</x:v>
      </x:c>
      <x:c r="D29" s="17" t="str">
        <x:v>VM reducida, uso programado; us-central1</x:v>
      </x:c>
      <x:c r="E29" s="17" t="str">
        <x:v>instancia-hora</x:v>
      </x:c>
      <x:c r="F29" s="29"/>
      <x:c r="G29" s="11"/>
      <x:c r="H29" s="30"/>
      <x:c r="I29" s="11" t="str">
        <x:v>Lista pública / cotización</x:v>
      </x:c>
      <x:c r="J29" s="31" t="str">
        <x:f>IF(AND(F29&lt;&gt;"",G29&lt;&gt;"",H29&lt;&gt;""),"Verificado","Pendiente")</x:f>
        <x:v>Pendiente</x:v>
      </x:c>
    </x:row>
    <x:row r="30">
      <x:c r="A30" s="19" t="str">
        <x:v>USA-NPDB</x:v>
      </x:c>
      <x:c r="B30" s="21" t="str">
        <x:v>EE. UU.</x:v>
      </x:c>
      <x:c r="C30" s="21" t="str">
        <x:v>Base de datos no productiva</x:v>
      </x:c>
      <x:c r="D30" s="21" t="str">
        <x:v>Instancia reducida, uso programado; us-central1</x:v>
      </x:c>
      <x:c r="E30" s="21" t="str">
        <x:v>instancia-hora</x:v>
      </x:c>
      <x:c r="F30" s="32"/>
      <x:c r="G30" s="20"/>
      <x:c r="H30" s="33"/>
      <x:c r="I30" s="20" t="str">
        <x:v>Lista pública / cotización</x:v>
      </x:c>
      <x:c r="J30" s="34" t="str">
        <x:f>IF(AND(F30&lt;&gt;"",G30&lt;&gt;"",H30&lt;&gt;""),"Verificado","Pendiente")</x:f>
        <x:v>Pendiente</x:v>
      </x:c>
    </x:row>
    <x:row r="33">
      <x:c r="A33" s="25" t="str">
        <x:v>Fuente de hipótesis</x:v>
      </x:c>
      <x:c r="B33" s="25" t="str"/>
      <x:c r="C33" s="25" t="str"/>
      <x:c r="D33" s="25" t="str">
        <x:v>docs/fp-182/arquitectura-y-supuestos-borrador.md</x:v>
      </x:c>
      <x:c r="E33" s="25" t="str"/>
      <x:c r="F33" s="25" t="str"/>
      <x:c r="G33" s="25" t="str"/>
      <x:c r="H33" s="25" t="str"/>
      <x:c r="I33" s="25" t="str"/>
      <x:c r="J33" s="25" t="str"/>
    </x:row>
  </x:sheetData>
  <x:conditionalFormatting sqref="J7:J30">
    <x:cfRule type="containsText" dxfId="0" priority="1" operator="containsText" text="Pendiente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7F7F7F"/>
  </x:sheetPr>
  <x:sheetViews>
    <x:sheetView showGridLines="0" workbookViewId="0"/>
  </x:sheetViews>
  <x:sheetFormatPr defaultRowHeight="15"/>
  <x:cols>
    <x:col min="1" max="1" width="30" hidden="0" customWidth="1"/>
    <x:col min="2" max="2" width="28" hidden="0" customWidth="1"/>
    <x:col min="3" max="3" width="16" hidden="0" customWidth="1"/>
    <x:col min="4" max="4" width="46" hidden="0" customWidth="1"/>
  </x:cols>
  <x:sheetData>
    <x:row r="2">
      <x:c r="A2" s="1" t="str">
        <x:v>FP-183 — Auditoría y controles</x:v>
      </x:c>
    </x:row>
    <x:row r="3">
      <x:c r="A3" s="2" t="str">
        <x:v>Controles terminales. No alimentan cálculos ni supuestos del modelo.</x:v>
      </x:c>
    </x:row>
    <x:row r="4">
      <x:c r="A4" s="3"/>
      <x:c r="B4" s="3"/>
      <x:c r="C4" s="3"/>
      <x:c r="D4" s="3"/>
    </x:row>
    <x:row r="6">
      <x:c r="A6" s="8" t="str">
        <x:v>Control</x:v>
      </x:c>
      <x:c r="B6" s="8" t="str">
        <x:v>Resultado</x:v>
      </x:c>
      <x:c r="C6" s="8" t="str">
        <x:v>Estado</x:v>
      </x:c>
      <x:c r="D6" s="8" t="str">
        <x:v>Acción requerida</x:v>
      </x:c>
    </x:row>
    <x:row r="7">
      <x:c r="A7" s="56" t="str">
        <x:v>Cotizaciones verificadas</x:v>
      </x:c>
      <x:c r="B7" s="57" t="n">
        <x:f>COUNTIF('Fuentes y Cotizaciones'!J7:J30,"Verificado")</x:f>
        <x:v>0</x:v>
      </x:c>
      <x:c r="C7" s="57" t="str">
        <x:f>IF(B7=24,"Completo","Pendiente")</x:f>
        <x:v>Pendiente</x:v>
      </x:c>
      <x:c r="D7" s="58" t="str">
        <x:v>Completar precio, fuente y fecha para cada fila</x:v>
      </x:c>
    </x:row>
    <x:row r="8">
      <x:c r="A8" s="16" t="str">
        <x:v>Cotizaciones pendientes</x:v>
      </x:c>
      <x:c r="B8" s="17" t="n">
        <x:f>COUNTIF('Fuentes y Cotizaciones'!J7:J30,"Pendiente")</x:f>
        <x:v>24</x:v>
      </x:c>
      <x:c r="C8" s="17" t="str">
        <x:f>IF(B8=0,"Completo","Pendiente")</x:f>
        <x:v>Pendiente</x:v>
      </x:c>
      <x:c r="D8" s="18" t="str">
        <x:v>No interpretar totales hasta completar</x:v>
      </x:c>
    </x:row>
    <x:row r="9">
      <x:c r="A9" s="16" t="str">
        <x:v>Cobertura Santiago</x:v>
      </x:c>
      <x:c r="B9" s="17" t="n">
        <x:f>COUNT('Fuentes y Cotizaciones'!F7:F18)</x:f>
        <x:v>0</x:v>
      </x:c>
      <x:c r="C9" s="17" t="str">
        <x:f>IF(B9=12,"Completo","Pendiente")</x:f>
        <x:v>Pendiente</x:v>
      </x:c>
      <x:c r="D9" s="18" t="str">
        <x:v>Se requieren 12 precios unitarios</x:v>
      </x:c>
    </x:row>
    <x:row r="10">
      <x:c r="A10" s="16" t="str">
        <x:v>Cobertura EE. UU.</x:v>
      </x:c>
      <x:c r="B10" s="17" t="n">
        <x:f>COUNT('Fuentes y Cotizaciones'!F19:F30)</x:f>
        <x:v>0</x:v>
      </x:c>
      <x:c r="C10" s="17" t="str">
        <x:f>IF(B10=12,"Completo","Pendiente")</x:f>
        <x:v>Pendiente</x:v>
      </x:c>
      <x:c r="D10" s="18" t="str">
        <x:v>Se requieren 12 precios unitarios</x:v>
      </x:c>
    </x:row>
    <x:row r="11">
      <x:c r="A11" s="16" t="str">
        <x:v>Horizonte</x:v>
      </x:c>
      <x:c r="B11" s="17" t="n">
        <x:f>'Supuestos'!B7</x:f>
        <x:v>60</x:v>
      </x:c>
      <x:c r="C11" s="17" t="str">
        <x:f>IF(B11=60,"Completo","Revisar")</x:f>
        <x:v>Completo</x:v>
      </x:c>
      <x:c r="D11" s="18" t="str">
        <x:v>Mantener 60 meses</x:v>
      </x:c>
    </x:row>
    <x:row r="12">
      <x:c r="A12" s="16" t="str">
        <x:v>Regiones declaradas</x:v>
      </x:c>
      <x:c r="B12" s="17" t="n">
        <x:f>COUNTA('Supuestos'!B9:B10)</x:f>
        <x:v>2</x:v>
      </x:c>
      <x:c r="C12" s="17" t="str">
        <x:f>IF(B12=2,"Completo","Revisar")</x:f>
        <x:v>Completo</x:v>
      </x:c>
      <x:c r="D12" s="18" t="str">
        <x:v>Confirmar disponibilidad de SKU</x:v>
      </x:c>
    </x:row>
    <x:row r="13">
      <x:c r="A13" s="16" t="str">
        <x:v>Supuestos aprobados</x:v>
      </x:c>
      <x:c r="B13" s="17" t="str">
        <x:f>'Supuestos'!B26</x:f>
        <x:v>Pendiente de validación humana</x:v>
      </x:c>
      <x:c r="C13" s="17" t="str">
        <x:f>IF(B13="Aprobado","Completo","Pendiente")</x:f>
        <x:v>Pendiente</x:v>
      </x:c>
      <x:c r="D13" s="18" t="str">
        <x:v>Validación humana obligatoria</x:v>
      </x:c>
    </x:row>
    <x:row r="14">
      <x:c r="A14" s="19" t="str">
        <x:v>Errores de fórmula revisados</x:v>
      </x:c>
      <x:c r="B14" s="21" t="str">
        <x:v>Manual</x:v>
      </x:c>
      <x:c r="C14" s="21" t="str">
        <x:v>Pendiente</x:v>
      </x:c>
      <x:c r="D14" s="22" t="str">
        <x:v>Revisar en motor de hoja de cálculo tras cotizar</x:v>
      </x:c>
    </x:row>
    <x:row r="17">
      <x:c r="A17" s="25" t="str">
        <x:v>Declaración</x:v>
      </x:c>
      <x:c r="B17" s="26" t="str">
        <x:v>Borrador generado con asistencia de IA, nivel 3. La validación de supuestos, precios, fuentes y conclusiones corresponde al equipo humano.</x:v>
      </x:c>
      <x:c r="C17" s="26" t="str"/>
      <x:c r="D17" s="26" t="str"/>
    </x:row>
  </x:sheetData>
  <x:conditionalFormatting sqref="C7:C14">
    <x:cfRule type="containsText" dxfId="2" priority="1" operator="containsText" text="Pendiente"/>
  </x:conditionalFormatting>
  <x:pageMargins left="0.7" right="0.7" top="0.75" bottom="0.75" header="0.3" footer="0.3"/>
</x:worksheet>
</file>