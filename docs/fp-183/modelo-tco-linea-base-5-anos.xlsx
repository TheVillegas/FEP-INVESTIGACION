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28e041bc1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bce30f23eb34df8"/>
    <x:sheet xmlns:r="http://schemas.openxmlformats.org/officeDocument/2006/relationships" name="Supuestos" sheetId="2" r:id="Ra8d6f2974cc540a5"/>
    <x:sheet xmlns:r="http://schemas.openxmlformats.org/officeDocument/2006/relationships" name="Modelo TCO" sheetId="3" r:id="R2ff363136d564d31"/>
    <x:sheet xmlns:r="http://schemas.openxmlformats.org/officeDocument/2006/relationships" name="Fuentes y Cotizaciones" sheetId="4" r:id="R8fa06416a8144429"/>
    <x:sheet xmlns:r="http://schemas.openxmlformats.org/officeDocument/2006/relationships" name="Auditoría" sheetId="5" r:id="Red538ce8b617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&quot;$&quot;#,##0.0000"/>
    <x:numFmt numFmtId="202" formatCode="yyyy-mm-dd"/>
    <x:numFmt numFmtId="203" formatCode="mmm-yy"/>
    <x:numFmt numFmtId="204" formatCode="&quot;$&quot;#,##0"/>
    <x:numFmt numFmtId="205" formatCode="0.00"/>
    <x:numFmt numFmtId="206" formatCode="#,##0"/>
  </x:numFmts>
  <x:fonts count="11">
    <x:font>
      <x:sz val="11"/>
      <x:name val="Carlito"/>
    </x:font>
    <x:font>
      <x:b/>
      <x:sz val="14"/>
      <x:color rgb="FF1F1F1F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0563C1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10"/>
      <x:color rgb="FF008000"/>
      <x:name val="Arial"/>
    </x:font>
    <x:font>
      <x:sz val="10"/>
      <x:color rgb="FF0070C0"/>
      <x:name val="Aptos"/>
    </x:font>
    <x:font>
      <x:sz val="11"/>
      <x:color rgb="FF0070C0"/>
      <x:name val="Aptos"/>
    </x:font>
    <x:font>
      <x:b/>
      <x:sz val="10"/>
      <x:color rgb="FF0070C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11">
    <x:border/>
    <x:border>
      <x:bottom style="thin">
        <x:color rgb="FF1F4E78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top style="medium">
        <x:color rgb="FF1F4E78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2" fontId="4" fillId="3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4" borderId="10" xfId="0" applyNumberFormat="1" applyFont="1" applyFill="1" applyBorder="1"/>
    <x:xf numFmtId="0" fontId="5" fillId="4" borderId="10" xfId="0" applyNumberFormat="1" applyFont="1" applyFill="1" applyBorder="1"/>
    <x:xf numFmtId="0" fontId="5" fillId="4" borderId="10" xfId="0" applyNumberFormat="1" applyFont="1" applyFill="1" applyBorder="1" applyAlignment="1">
      <x:alignment vertical="center"/>
    </x:xf>
    <x:xf numFmtId="204" fontId="5" fillId="4" borderId="10" xfId="0" applyNumberFormat="1" applyFont="1" applyFill="1" applyBorder="1" applyAlignment="1">
      <x:alignment vertical="center"/>
    </x:xf>
    <x:xf numFmtId="204" fontId="5" fillId="4" borderId="0" xfId="0" applyNumberFormat="1" applyFont="1" applyFill="1" applyBorder="1" applyAlignment="1">
      <x:alignment vertical="center"/>
    </x:xf>
    <x:xf numFmtId="203" fontId="3" fillId="2" borderId="3" xfId="0" applyNumberFormat="1" applyFont="1" applyFill="1" applyBorder="1" applyAlignment="1">
      <x:alignment horizontal="center" vertical="center" wrapText="1"/>
    </x:xf>
    <x:xf numFmtId="204" fontId="6" fillId="0" borderId="6" xfId="0" applyNumberFormat="1" applyFont="1" applyFill="1" applyBorder="1" applyAlignment="1">
      <x:alignment vertical="center"/>
    </x:xf>
    <x:xf numFmtId="201" fontId="7" fillId="0" borderId="8" xfId="0" applyNumberFormat="1" applyFont="1" applyFill="1" applyBorder="1" applyAlignment="1">
      <x:alignment vertical="center"/>
    </x:xf>
    <x:xf numFmtId="204" fontId="6" fillId="0" borderId="8" xfId="0" applyNumberFormat="1" applyFont="1" applyFill="1" applyBorder="1" applyAlignment="1">
      <x:alignment vertical="center"/>
    </x:xf>
    <x:xf numFmtId="204" fontId="6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 wrapText="1"/>
    </x:xf>
    <x:xf numFmtId="205" fontId="8" fillId="5" borderId="0" xfId="0" applyNumberFormat="1" applyFont="1" applyFill="1" applyBorder="1" applyAlignment="1">
      <x:alignment vertical="center"/>
    </x:xf>
    <x:xf numFmtId="205" fontId="8" fillId="5" borderId="8" xfId="0" applyNumberFormat="1" applyFont="1" applyFill="1" applyBorder="1" applyAlignment="1">
      <x:alignment vertical="center"/>
    </x:xf>
    <x:xf numFmtId="205" fontId="9" fillId="5" borderId="0" xfId="0" applyNumberFormat="1" applyFont="1" applyFill="1" applyBorder="1"/>
    <x:xf numFmtId="205" fontId="10" fillId="5" borderId="0" xfId="0" applyNumberFormat="1" applyFont="1" applyFill="1" applyBorder="1" applyAlignment="1">
      <x:alignment vertical="center" wrapText="1"/>
    </x:xf>
    <x:xf numFmtId="206" fontId="8" fillId="5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206" fontId="8" fillId="5" borderId="0" xfId="0" applyNumberFormat="1" applyFont="1" applyFill="1" applyBorder="1" applyAlignment="1">
      <x:alignment vertical="center" wrapText="1"/>
    </x:xf>
    <x:xf numFmtId="200" fontId="8" fillId="5" borderId="0" xfId="0" applyNumberFormat="1" applyFont="1" applyFill="1" applyBorder="1" applyAlignment="1">
      <x:alignment vertical="center" wrapText="1"/>
    </x:xf>
    <x:xf numFmtId="205" fontId="8" fillId="5" borderId="0" xfId="0" applyNumberFormat="1" applyFont="1" applyFill="1" applyBorder="1" applyAlignment="1">
      <x:alignment vertical="center" wrapText="1"/>
    </x:xf>
    <x:xf numFmtId="205" fontId="8" fillId="5" borderId="8" xfId="0" applyNumberFormat="1" applyFont="1" applyFill="1" applyBorder="1" applyAlignment="1">
      <x:alignment vertical="center" wrapText="1"/>
    </x:xf>
    <x:xf numFmtId="205" fontId="9" fillId="5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vertical="center" wrapText="1"/>
    </x:xf>
    <x:xf numFmtId="204" fontId="5" fillId="4" borderId="10" xfId="0" applyNumberFormat="1" applyFont="1" applyFill="1" applyBorder="1" applyAlignment="1">
      <x:alignment vertical="center" wrapText="1"/>
    </x:xf>
    <x:xf numFmtId="204" fontId="5" fillId="4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 wrapText="1"/>
    </x:xf>
    <x:xf numFmtId="206" fontId="8" fillId="6" borderId="0" xfId="0" applyNumberFormat="1" applyFont="1" applyFill="1" applyBorder="1" applyAlignment="1">
      <x:alignment vertical="center" wrapText="1"/>
    </x:xf>
    <x:xf numFmtId="200" fontId="8" fillId="6" borderId="0" xfId="0" applyNumberFormat="1" applyFont="1" applyFill="1" applyBorder="1" applyAlignment="1">
      <x:alignment vertical="center" wrapText="1"/>
    </x:xf>
    <x:xf numFmtId="205" fontId="8" fillId="6" borderId="0" xfId="0" applyNumberFormat="1" applyFont="1" applyFill="1" applyBorder="1" applyAlignment="1">
      <x:alignment vertical="center" wrapText="1"/>
    </x:xf>
    <x:xf numFmtId="205" fontId="8" fillId="6" borderId="8" xfId="0" applyNumberFormat="1" applyFont="1" applyFill="1" applyBorder="1" applyAlignment="1">
      <x:alignment vertical="center" wrapText="1"/>
    </x:xf>
    <x:xf numFmtId="205" fontId="9" fillId="6" borderId="0" xfId="0" applyNumberFormat="1" applyFont="1" applyFill="1" applyBorder="1" applyAlignment="1">
      <x:alignment wrapText="1"/>
    </x:xf>
    <x:xf numFmtId="205" fontId="10" fillId="6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206" fontId="8" fillId="7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5" fontId="8" fillId="7" borderId="0" xfId="0" applyNumberFormat="1" applyFont="1" applyFill="1" applyBorder="1" applyAlignment="1">
      <x:alignment vertical="center" wrapText="1"/>
    </x:xf>
    <x:xf numFmtId="205" fontId="8" fillId="7" borderId="8" xfId="0" applyNumberFormat="1" applyFont="1" applyFill="1" applyBorder="1" applyAlignment="1">
      <x:alignment vertical="center" wrapText="1"/>
    </x:xf>
    <x:xf numFmtId="205" fontId="9" fillId="7" borderId="0" xfId="0" applyNumberFormat="1" applyFont="1" applyFill="1" applyBorder="1" applyAlignment="1">
      <x:alignment wrapText="1"/>
    </x:xf>
    <x:xf numFmtId="205" fontId="1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457f1436414364" /><Relationship Type="http://schemas.openxmlformats.org/officeDocument/2006/relationships/theme" Target="/xl/theme/theme1.xml" Id="Rf3c3e670d5a543bc" /><Relationship Type="http://schemas.openxmlformats.org/officeDocument/2006/relationships/sharedStrings" Target="/xl/sharedStrings.xml" Id="Rcbf9114e42224f54" /><Relationship Type="http://schemas.openxmlformats.org/officeDocument/2006/relationships/worksheet" Target="/xl/worksheets/sheet1.xml" Id="Rcbce30f23eb34df8" /><Relationship Type="http://schemas.openxmlformats.org/officeDocument/2006/relationships/worksheet" Target="/xl/worksheets/sheet2.xml" Id="Ra8d6f2974cc540a5" /><Relationship Type="http://schemas.openxmlformats.org/officeDocument/2006/relationships/worksheet" Target="/xl/worksheets/sheet3.xml" Id="R2ff363136d564d31" /><Relationship Type="http://schemas.openxmlformats.org/officeDocument/2006/relationships/worksheet" Target="/xl/worksheets/sheet4.xml" Id="R8fa06416a8144429" /><Relationship Type="http://schemas.openxmlformats.org/officeDocument/2006/relationships/worksheet" Target="/xl/worksheets/sheet5.xml" Id="Red538ce8b617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30" hidden="0" customWidth="1"/>
    <x:col min="4" max="4" width="38" hidden="0" customWidth="1"/>
  </x:cols>
  <x:sheetData>
    <x:row r="2">
      <x:c r="A2" s="1" t="str">
        <x:v>FP-183 — Línea base de TCO a cinco años</x:v>
      </x:c>
    </x:row>
    <x:row r="3">
      <x:c r="A3" s="2" t="str">
        <x:v>Escenario ilustrativo acordado para TI-06: API web contenedorizada en Azure. Precios públicos consultados el 16-09-2026; no es cotización contractual.</x:v>
      </x:c>
    </x:row>
    <x:row r="4">
      <x:c r="A4" s="3"/>
      <x:c r="B4" s="3"/>
      <x:c r="C4" s="3"/>
      <x:c r="D4" s="3"/>
    </x:row>
    <x:row r="6">
      <x:c r="A6" s="13" t="str">
        <x:v>Indicador</x:v>
      </x:c>
      <x:c r="B6" s="14" t="str">
        <x:v>Chile Central</x:v>
      </x:c>
      <x:c r="C6" s="14" t="str">
        <x:v>East US</x:v>
      </x:c>
      <x:c r="D6" s="15" t="str">
        <x:v>Diferencia East US - Chile Central</x:v>
      </x:c>
    </x:row>
    <x:row r="7">
      <x:c r="A7" s="16" t="str">
        <x:v>Costo modelado 5 años (USD)</x:v>
      </x:c>
      <x:c r="B7" s="54" t="n">
        <x:f>SUM('Modelo TCO'!G44:BN44)</x:f>
        <x:v>23256.321466174068</x:v>
      </x:c>
      <x:c r="C7" s="54" t="n">
        <x:f>SUM('Modelo TCO'!G45:BN45)</x:f>
        <x:v>16474.602674550486</x:v>
      </x:c>
      <x:c r="D7" s="55" t="n">
        <x:f>C7-B7</x:f>
        <x:v>-6781.718791623582</x:v>
      </x:c>
    </x:row>
    <x:row r="8">
      <x:c r="A8" s="16" t="str">
        <x:v>Categorías modeladas</x:v>
      </x:c>
      <x:c r="B8" s="17" t="n">
        <x:v>18</x:v>
      </x:c>
      <x:c r="C8" s="17" t="n">
        <x:v>18</x:v>
      </x:c>
      <x:c r="D8" s="18" t="n">
        <x:v>0</x:v>
      </x:c>
    </x:row>
    <x:row r="9">
      <x:c r="A9" s="16" t="str">
        <x:v>Categorías pendientes</x:v>
      </x:c>
      <x:c r="B9" s="17" t="n">
        <x:v>1</x:v>
      </x:c>
      <x:c r="C9" s="17" t="n">
        <x:v>1</x:v>
      </x:c>
      <x:c r="D9" s="18" t="n">
        <x:v>0</x:v>
      </x:c>
    </x:row>
    <x:row r="10" ht="32" customHeight="1">
      <x:c r="A10" s="59" t="str">
        <x:v>Estado del modelo</x:v>
      </x:c>
      <x:c r="B10" s="52" t="str">
        <x:v>Parcial: falta esfuerzo operativo</x:v>
      </x:c>
      <x:c r="C10" s="52" t="str">
        <x:v>Parcial: falta esfuerzo operativo</x:v>
      </x:c>
      <x:c r="D10" s="53" t="str">
        <x:v>Comparación de gasto cloud habilitada</x:v>
      </x:c>
    </x:row>
    <x:row r="12">
      <x:c r="A12" s="25" t="str">
        <x:v>Alcance</x:v>
      </x:c>
      <x:c r="B12" s="25" t="str">
        <x:v>Producción y no producción</x:v>
      </x:c>
      <x:c r="C12" s="25" t="str">
        <x:v>Horizonte</x:v>
      </x:c>
      <x:c r="D12" s="25" t="str">
        <x:v>60 meses</x:v>
      </x:c>
    </x:row>
    <x:row r="13">
      <x:c r="A13" t="str">
        <x:v>Arquitectura</x:v>
      </x:c>
      <x:c r="B13" t="str">
        <x:v>API web en Azure Container Apps Consumption</x:v>
      </x:c>
      <x:c r="C13" t="str">
        <x:v>Base de datos</x:v>
      </x:c>
      <x:c r="D13" t="str">
        <x:v>PostgreSQL Flexible Server GP, 2 vCores</x:v>
      </x:c>
    </x:row>
    <x:row r="14">
      <x:c r="A14" t="str">
        <x:v>Regiones</x:v>
      </x:c>
      <x:c r="B14" t="str">
        <x:v>Chile Central</x:v>
      </x:c>
      <x:c r="C14" t="str">
        <x:v>East US</x:v>
      </x:c>
      <x:c r="D14" t="str">
        <x:v>Mismo diseño lógico</x:v>
      </x:c>
    </x:row>
    <x:row r="15" ht="28" customHeight="1">
      <x:c r="A15" s="51" t="str">
        <x:v>Componentes</x:v>
      </x:c>
      <x:c r="B15" s="51" t="str">
        <x:v>Cómputo, datos, objetos, red, logs, respaldo y categorías TCO</x:v>
      </x:c>
      <x:c r="C15" s="51" t="str">
        <x:v>Moneda</x:v>
      </x:c>
      <x:c r="D15" s="51" t="str">
        <x:v>USD</x:v>
      </x:c>
    </x:row>
    <x:row r="16" ht="28" customHeight="1">
      <x:c r="A16" s="51" t="str">
        <x:v>Disponibilidad</x:v>
      </x:c>
      <x:c r="B16" s="51" t="str">
        <x:v>HA desactivada en la base; backup automático 7 días</x:v>
      </x:c>
      <x:c r="C16" s="51" t="str">
        <x:v>Tramos gratuitos</x:v>
      </x:c>
      <x:c r="D16" s="51" t="str">
        <x:v>Asignados primero a producción</x:v>
      </x:c>
    </x:row>
    <x:row r="17" ht="28" customHeight="1">
      <x:c r="A17" s="51" t="str">
        <x:v>Limitación</x:v>
      </x:c>
      <x:c r="B17" s="51" t="str">
        <x:v>Faltan horas y tarifa de operación; Blob ops/consultas/HA excluidos</x:v>
      </x:c>
      <x:c r="C17" s="51" t="str">
        <x:v>Acción requerida</x:v>
      </x:c>
      <x:c r="D17" s="51" t="str">
        <x:v>Validación humana de supuestos y contrato</x:v>
      </x:c>
    </x:row>
    <x:row r="20">
      <x:c r="A20" s="25" t="str">
        <x:v>Nota: el total mostrado es gasto cloud comparable. No es TCO económico completo hasta informar horas y tarifa de operación. Los tramos gratuitos se suponen disponibles íntegramente para cada alternativa regional.</x:v>
      </x:c>
      <x:c r="B20" s="26"/>
      <x:c r="C20" s="26"/>
      <x:c r="D20" s="26"/>
    </x:row>
  </x:sheetData>
  <x:conditionalFormatting sqref="B10:D10">
    <x:cfRule type="containsText" dxfId="1" priority="1" operator="containsText" text="Pendi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26" hidden="0" customWidth="1"/>
    <x:col min="3" max="3" width="17" hidden="0" customWidth="1"/>
    <x:col min="4" max="4" width="46" hidden="0" customWidth="1"/>
  </x:cols>
  <x:sheetData>
    <x:row r="2">
      <x:c r="A2" s="1" t="str">
        <x:v>FP-183 — Supuestos de línea base</x:v>
      </x:c>
    </x:row>
    <x:row r="3">
      <x:c r="A3" s="2" t="str">
        <x:v>Escenario ilustrativo TI-06. Las celdas ámbar son entradas editables; vacíos significan pendiente, no cero.</x:v>
      </x:c>
    </x:row>
    <x:row r="4">
      <x:c r="A4" s="3"/>
      <x:c r="B4" s="3"/>
      <x:c r="C4" s="3"/>
      <x:c r="D4" s="3"/>
    </x:row>
    <x:row r="6">
      <x:c r="A6" s="13" t="str">
        <x:v>Variable</x:v>
      </x:c>
      <x:c r="B6" s="14" t="str">
        <x:v>Valor</x:v>
      </x:c>
      <x:c r="C6" s="14" t="str">
        <x:v>Unidad</x:v>
      </x:c>
      <x:c r="D6" s="15" t="str">
        <x:v>Origen / regla</x:v>
      </x:c>
    </x:row>
    <x:row r="7">
      <x:c r="A7" s="75" t="str">
        <x:v>Horizonte</x:v>
      </x:c>
      <x:c r="B7" s="95" t="n">
        <x:v>60</x:v>
      </x:c>
      <x:c r="C7" s="51" t="str">
        <x:v>meses</x:v>
      </x:c>
      <x:c r="D7" s="77" t="str">
        <x:v>FP-182: 5 años</x:v>
      </x:c>
    </x:row>
    <x:row r="8">
      <x:c r="A8" s="75" t="str">
        <x:v>Horas por mes</x:v>
      </x:c>
      <x:c r="B8" s="95" t="n">
        <x:v>730</x:v>
      </x:c>
      <x:c r="C8" s="51" t="str">
        <x:v>horas</x:v>
      </x:c>
      <x:c r="D8" s="77" t="str">
        <x:v>Convención de modelación editable</x:v>
      </x:c>
    </x:row>
    <x:row r="9">
      <x:c r="A9" s="75" t="str">
        <x:v>Región Chile</x:v>
      </x:c>
      <x:c r="B9" s="95" t="str">
        <x:v>Chile Central</x:v>
      </x:c>
      <x:c r="C9" s="51" t="str">
        <x:v>región</x:v>
      </x:c>
      <x:c r="D9" s="77" t="str">
        <x:v>FP-182 / FP-174</x:v>
      </x:c>
    </x:row>
    <x:row r="10">
      <x:c r="A10" s="75" t="str">
        <x:v>Región EE. UU.</x:v>
      </x:c>
      <x:c r="B10" s="95" t="str">
        <x:v>East US</x:v>
      </x:c>
      <x:c r="C10" s="51" t="str">
        <x:v>región</x:v>
      </x:c>
      <x:c r="D10" s="77" t="str">
        <x:v>FP-182 / FP-174</x:v>
      </x:c>
    </x:row>
    <x:row r="11">
      <x:c r="A11" s="75" t="str">
        <x:v>vCPU producción</x:v>
      </x:c>
      <x:c r="B11" s="95" t="n">
        <x:v>1</x:v>
      </x:c>
      <x:c r="C11" s="51" t="str">
        <x:v>vCPU</x:v>
      </x:c>
      <x:c r="D11" s="77" t="str">
        <x:v>Azure Container Apps Consumption</x:v>
      </x:c>
    </x:row>
    <x:row r="12">
      <x:c r="A12" s="75" t="str">
        <x:v>Memoria producción</x:v>
      </x:c>
      <x:c r="B12" s="95" t="n">
        <x:v>2</x:v>
      </x:c>
      <x:c r="C12" s="51" t="str">
        <x:v>GiB</x:v>
      </x:c>
      <x:c r="D12" s="77" t="str">
        <x:v>Azure Container Apps Consumption</x:v>
      </x:c>
    </x:row>
    <x:row r="13">
      <x:c r="A13" s="75" t="str">
        <x:v>Solicitudes producción</x:v>
      </x:c>
      <x:c r="B13" s="96" t="n">
        <x:v>1000000</x:v>
      </x:c>
      <x:c r="C13" s="51" t="str">
        <x:v>solicitudes/mes</x:v>
      </x:c>
      <x:c r="D13" s="77" t="str">
        <x:v>Escenario ilustrativo</x:v>
      </x:c>
    </x:row>
    <x:row r="14">
      <x:c r="A14" s="75" t="str">
        <x:v>Almacenamiento base de datos</x:v>
      </x:c>
      <x:c r="B14" s="95" t="n">
        <x:v>100</x:v>
      </x:c>
      <x:c r="C14" s="51" t="str">
        <x:v>GiB</x:v>
      </x:c>
      <x:c r="D14" s="77" t="str">
        <x:v>PostgreSQL Flexible Server</x:v>
      </x:c>
    </x:row>
    <x:row r="15">
      <x:c r="A15" s="75" t="str">
        <x:v>Almacenamiento objetos inicial</x:v>
      </x:c>
      <x:c r="B15" s="95" t="n">
        <x:v>500</x:v>
      </x:c>
      <x:c r="C15" s="51" t="str">
        <x:v>GB</x:v>
      </x:c>
      <x:c r="D15" s="77" t="str">
        <x:v>Blob Storage Hot LRS</x:v>
      </x:c>
    </x:row>
    <x:row r="16">
      <x:c r="A16" s="75" t="str">
        <x:v>Crecimiento anual de objetos</x:v>
      </x:c>
      <x:c r="B16" s="97" t="n">
        <x:v>0.2</x:v>
      </x:c>
      <x:c r="C16" s="51" t="str">
        <x:v>%</x:v>
      </x:c>
      <x:c r="D16" s="77" t="str">
        <x:v>Escenario ilustrativo</x:v>
      </x:c>
    </x:row>
    <x:row r="17">
      <x:c r="A17" s="75" t="str">
        <x:v>Egreso a Internet</x:v>
      </x:c>
      <x:c r="B17" s="98" t="n">
        <x:v>200</x:v>
      </x:c>
      <x:c r="C17" s="51" t="str">
        <x:v>GB/mes</x:v>
      </x:c>
      <x:c r="D17" s="77" t="str">
        <x:v>Microsoft Premium Global Network</x:v>
      </x:c>
    </x:row>
    <x:row r="18">
      <x:c r="A18" s="75" t="str">
        <x:v>Ingesta de registros</x:v>
      </x:c>
      <x:c r="B18" s="98" t="n">
        <x:v>50</x:v>
      </x:c>
      <x:c r="C18" s="51" t="str">
        <x:v>GB/mes</x:v>
      </x:c>
      <x:c r="D18" s="77" t="str">
        <x:v>Azure Monitor Basic Logs</x:v>
      </x:c>
    </x:row>
    <x:row r="19">
      <x:c r="A19" s="75" t="str">
        <x:v>Horas no producción</x:v>
      </x:c>
      <x:c r="B19" s="98" t="n">
        <x:v>264</x:v>
      </x:c>
      <x:c r="C19" s="51" t="str">
        <x:v>horas/mes</x:v>
      </x:c>
      <x:c r="D19" s="77" t="str">
        <x:v>12 h × 22 días</x:v>
      </x:c>
    </x:row>
    <x:row r="20">
      <x:c r="A20" s="75" t="str">
        <x:v>vCPU no producción</x:v>
      </x:c>
      <x:c r="B20" s="98" t="n">
        <x:v>0.5</x:v>
      </x:c>
      <x:c r="C20" s="51" t="str">
        <x:v>vCPU</x:v>
      </x:c>
      <x:c r="D20" s="77" t="str">
        <x:v>Escenario ilustrativo</x:v>
      </x:c>
    </x:row>
    <x:row r="21">
      <x:c r="A21" s="75" t="str">
        <x:v>Memoria no producción</x:v>
      </x:c>
      <x:c r="B21" s="98" t="n">
        <x:v>1</x:v>
      </x:c>
      <x:c r="C21" s="51" t="str">
        <x:v>GiB</x:v>
      </x:c>
      <x:c r="D21" s="77" t="str">
        <x:v>Escenario ilustrativo</x:v>
      </x:c>
    </x:row>
    <x:row r="22">
      <x:c r="A22" s="75" t="str">
        <x:v>Solicitudes no producción</x:v>
      </x:c>
      <x:c r="B22" s="96" t="n">
        <x:v>100000</x:v>
      </x:c>
      <x:c r="C22" s="51" t="str">
        <x:v>solicitudes/mes</x:v>
      </x:c>
      <x:c r="D22" s="77" t="str">
        <x:v>Escenario ilustrativo</x:v>
      </x:c>
    </x:row>
    <x:row r="23">
      <x:c r="A23" s="75" t="str">
        <x:v>Franquicia CPU Container Apps</x:v>
      </x:c>
      <x:c r="B23" s="96" t="n">
        <x:v>50</x:v>
      </x:c>
      <x:c r="C23" s="51" t="str">
        <x:v>vCPU-h/mes</x:v>
      </x:c>
      <x:c r="D23" s="77" t="str">
        <x:v>180.000 vCPU-s por suscripción/mes</x:v>
      </x:c>
    </x:row>
    <x:row r="24">
      <x:c r="A24" s="75" t="str">
        <x:v>Franquicia memoria Container Apps</x:v>
      </x:c>
      <x:c r="B24" s="96" t="n">
        <x:v>100</x:v>
      </x:c>
      <x:c r="C24" s="51" t="str">
        <x:v>GiB-h/mes</x:v>
      </x:c>
      <x:c r="D24" s="77" t="str">
        <x:v>360.000 GiB-s por suscripción/mes</x:v>
      </x:c>
    </x:row>
    <x:row r="25">
      <x:c r="A25" s="75" t="str">
        <x:v>Franquicia solicitudes Container Apps</x:v>
      </x:c>
      <x:c r="B25" s="96" t="n">
        <x:v>2000000</x:v>
      </x:c>
      <x:c r="C25" s="51" t="str">
        <x:v>solicitudes/mes</x:v>
      </x:c>
      <x:c r="D25" s="77" t="str">
        <x:v>Por suscripción; se asigna primero a producción</x:v>
      </x:c>
    </x:row>
    <x:row r="26">
      <x:c r="A26" s="59" t="str">
        <x:v>vCores PostgreSQL producción</x:v>
      </x:c>
      <x:c r="B26" s="99" t="n">
        <x:v>2</x:v>
      </x:c>
      <x:c r="C26" s="52" t="str">
        <x:v>vCore</x:v>
      </x:c>
      <x:c r="D26" s="53" t="str">
        <x:v>Mínimo General Purpose desplegable</x:v>
      </x:c>
    </x:row>
    <x:row r="27">
      <x:c r="A27" s="51" t="str">
        <x:v>Backup automático excedente</x:v>
      </x:c>
      <x:c r="B27" s="100" t="n">
        <x:v>0</x:v>
      </x:c>
      <x:c r="C27" s="51" t="str">
        <x:v>GiB-mes</x:v>
      </x:c>
      <x:c r="D27" s="51" t="str">
        <x:v>Retención 7 días; &lt;=100% del storage provisionado</x:v>
      </x:c>
    </x:row>
    <x:row r="28">
      <x:c r="A28" s="51" t="str">
        <x:v>Retención backup automático</x:v>
      </x:c>
      <x:c r="B28" s="100" t="n">
        <x:v>7</x:v>
      </x:c>
      <x:c r="C28" s="51" t="str">
        <x:v>días</x:v>
      </x:c>
      <x:c r="D28" s="51" t="str">
        <x:v>Sin Azure Backup LTR ni GRS en la línea base</x:v>
      </x:c>
    </x:row>
    <x:row r="29">
      <x:c r="A29" s="26" t="str">
        <x:v>Franquicia egress Internet</x:v>
      </x:c>
      <x:c r="B29" s="101" t="n">
        <x:v>100</x:v>
      </x:c>
      <x:c r="C29" s="26" t="str">
        <x:v>GB/mes</x:v>
      </x:c>
      <x:c r="D29" s="26" t="str">
        <x:v>Primeros 100 GB/mes gratuitos</x:v>
      </x:c>
    </x:row>
    <x:row r="30">
      <x:c r="A30" s="51" t="str">
        <x:v>Horas de operación</x:v>
      </x:c>
      <x:c r="B30" s="100"/>
      <x:c r="C30" s="51" t="str">
        <x:v>horas/mes</x:v>
      </x:c>
      <x:c r="D30" s="51" t="str">
        <x:v>Pendiente de responsable operativo</x:v>
      </x:c>
    </x:row>
    <x:row r="31">
      <x:c r="A31" s="51" t="str">
        <x:v>Tarifa de operación</x:v>
      </x:c>
      <x:c r="B31" s="100"/>
      <x:c r="C31" s="51" t="str">
        <x:v>USD/hora</x:v>
      </x:c>
      <x:c r="D31" s="51" t="str">
        <x:v>Pendiente de responsable financiero</x:v>
      </x:c>
    </x:row>
    <x:row r="32">
      <x:c r="A32" s="51" t="str">
        <x:v>Moneda</x:v>
      </x:c>
      <x:c r="B32" s="51" t="str">
        <x:v>USD</x:v>
      </x:c>
      <x:c r="C32" s="51" t="str">
        <x:v>moneda</x:v>
      </x:c>
      <x:c r="D32" s="51" t="str">
        <x:v>Misma base para ambas regiones</x:v>
      </x:c>
    </x:row>
    <x:row r="33">
      <x:c r="A33" s="51" t="str">
        <x:v>Estado de aprobación</x:v>
      </x:c>
      <x:c r="B33" s="51" t="str">
        <x:v>Pendiente de validación humana</x:v>
      </x:c>
      <x:c r="C33" s="51" t="str">
        <x:v>estado</x:v>
      </x:c>
      <x:c r="D33" s="51" t="str">
        <x:v>FP-182 / FP-183</x:v>
      </x:c>
    </x:row>
    <x:row r="36">
      <x:c r="A36" t="str">
        <x:v>Regla de uso</x:v>
      </x:c>
      <x:c r="B36" t="str">
        <x:v>Un vacío no se convierte en cero. El costo operativo queda fuera del total hasta completar horas y tarifa.</x:v>
      </x:c>
      <x:c r="C36"/>
      <x:c r="D3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6" ySplit="6" topLeftCell="G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7" hidden="0" customWidth="1"/>
    <x:col min="5" max="5" width="17" hidden="0" customWidth="1"/>
    <x:col min="6" max="6" width="36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9" hidden="0" customWidth="1"/>
  </x:cols>
  <x:sheetData>
    <x:row r="2">
      <x:c r="A2" s="1" t="str">
        <x:v>FP-183 — Modelo TCO de 60 meses</x:v>
      </x:c>
    </x:row>
    <x:row r="3">
      <x:c r="A3" s="2" t="str">
        <x:v>Las celdas calculadas quedan vacías hasta que exista un precio unitario verificable en Fuentes y Cotizaciones.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</x:row>
    <x:row r="6">
      <x:c r="A6" s="13" t="str">
        <x:v>Id</x:v>
      </x:c>
      <x:c r="B6" s="14" t="str">
        <x:v>Región</x:v>
      </x:c>
      <x:c r="C6" s="14" t="str">
        <x:v>Componente</x:v>
      </x:c>
      <x:c r="D6" s="14" t="str">
        <x:v>Unidad de consumo</x:v>
      </x:c>
      <x:c r="E6" s="14" t="str">
        <x:v>Precio unitario USD</x:v>
      </x:c>
      <x:c r="F6" s="14" t="str">
        <x:v>Regla de consumo</x:v>
      </x:c>
      <x:c r="G6" s="46" t="n">
        <x:v>46023</x:v>
      </x:c>
      <x:c r="H6" s="46" t="n">
        <x:v>46054</x:v>
      </x:c>
      <x:c r="I6" s="46" t="n">
        <x:v>46082</x:v>
      </x:c>
      <x:c r="J6" s="46" t="n">
        <x:v>46113</x:v>
      </x:c>
      <x:c r="K6" s="46" t="n">
        <x:v>46143</x:v>
      </x:c>
      <x:c r="L6" s="46" t="n">
        <x:v>46174</x:v>
      </x:c>
      <x:c r="M6" s="46" t="n">
        <x:v>46204</x:v>
      </x:c>
      <x:c r="N6" s="46" t="n">
        <x:v>46235</x:v>
      </x:c>
      <x:c r="O6" s="46" t="n">
        <x:v>46266</x:v>
      </x:c>
      <x:c r="P6" s="46" t="n">
        <x:v>46296</x:v>
      </x:c>
      <x:c r="Q6" s="46" t="n">
        <x:v>46327</x:v>
      </x:c>
      <x:c r="R6" s="46" t="n">
        <x:v>46357</x:v>
      </x:c>
      <x:c r="S6" s="46" t="n">
        <x:v>46388</x:v>
      </x:c>
      <x:c r="T6" s="46" t="n">
        <x:v>46419</x:v>
      </x:c>
      <x:c r="U6" s="46" t="n">
        <x:v>46447</x:v>
      </x:c>
      <x:c r="V6" s="46" t="n">
        <x:v>46478</x:v>
      </x:c>
      <x:c r="W6" s="46" t="n">
        <x:v>46508</x:v>
      </x:c>
      <x:c r="X6" s="46" t="n">
        <x:v>46539</x:v>
      </x:c>
      <x:c r="Y6" s="46" t="n">
        <x:v>46569</x:v>
      </x:c>
      <x:c r="Z6" s="46" t="n">
        <x:v>46600</x:v>
      </x:c>
      <x:c r="AA6" s="46" t="n">
        <x:v>46631</x:v>
      </x:c>
      <x:c r="AB6" s="46" t="n">
        <x:v>46661</x:v>
      </x:c>
      <x:c r="AC6" s="46" t="n">
        <x:v>46692</x:v>
      </x:c>
      <x:c r="AD6" s="46" t="n">
        <x:v>46722</x:v>
      </x:c>
      <x:c r="AE6" s="46" t="n">
        <x:v>46753</x:v>
      </x:c>
      <x:c r="AF6" s="46" t="n">
        <x:v>46784</x:v>
      </x:c>
      <x:c r="AG6" s="46" t="n">
        <x:v>46813</x:v>
      </x:c>
      <x:c r="AH6" s="46" t="n">
        <x:v>46844</x:v>
      </x:c>
      <x:c r="AI6" s="46" t="n">
        <x:v>46874</x:v>
      </x:c>
      <x:c r="AJ6" s="46" t="n">
        <x:v>46905</x:v>
      </x:c>
      <x:c r="AK6" s="46" t="n">
        <x:v>46935</x:v>
      </x:c>
      <x:c r="AL6" s="46" t="n">
        <x:v>46966</x:v>
      </x:c>
      <x:c r="AM6" s="46" t="n">
        <x:v>46997</x:v>
      </x:c>
      <x:c r="AN6" s="46" t="n">
        <x:v>47027</x:v>
      </x:c>
      <x:c r="AO6" s="46" t="n">
        <x:v>47058</x:v>
      </x:c>
      <x:c r="AP6" s="46" t="n">
        <x:v>47088</x:v>
      </x:c>
      <x:c r="AQ6" s="46" t="n">
        <x:v>47119</x:v>
      </x:c>
      <x:c r="AR6" s="46" t="n">
        <x:v>47150</x:v>
      </x:c>
      <x:c r="AS6" s="46" t="n">
        <x:v>47178</x:v>
      </x:c>
      <x:c r="AT6" s="46" t="n">
        <x:v>47209</x:v>
      </x:c>
      <x:c r="AU6" s="46" t="n">
        <x:v>47239</x:v>
      </x:c>
      <x:c r="AV6" s="46" t="n">
        <x:v>47270</x:v>
      </x:c>
      <x:c r="AW6" s="46" t="n">
        <x:v>47300</x:v>
      </x:c>
      <x:c r="AX6" s="46" t="n">
        <x:v>47331</x:v>
      </x:c>
      <x:c r="AY6" s="46" t="n">
        <x:v>47362</x:v>
      </x:c>
      <x:c r="AZ6" s="46" t="n">
        <x:v>47392</x:v>
      </x:c>
      <x:c r="BA6" s="46" t="n">
        <x:v>47423</x:v>
      </x:c>
      <x:c r="BB6" s="46" t="n">
        <x:v>47453</x:v>
      </x:c>
      <x:c r="BC6" s="46" t="n">
        <x:v>47484</x:v>
      </x:c>
      <x:c r="BD6" s="46" t="n">
        <x:v>47515</x:v>
      </x:c>
      <x:c r="BE6" s="46" t="n">
        <x:v>47543</x:v>
      </x:c>
      <x:c r="BF6" s="46" t="n">
        <x:v>47574</x:v>
      </x:c>
      <x:c r="BG6" s="46" t="n">
        <x:v>47604</x:v>
      </x:c>
      <x:c r="BH6" s="46" t="n">
        <x:v>47635</x:v>
      </x:c>
      <x:c r="BI6" s="46" t="n">
        <x:v>47665</x:v>
      </x:c>
      <x:c r="BJ6" s="46" t="n">
        <x:v>47696</x:v>
      </x:c>
      <x:c r="BK6" s="46" t="n">
        <x:v>47727</x:v>
      </x:c>
      <x:c r="BL6" s="46" t="n">
        <x:v>47757</x:v>
      </x:c>
      <x:c r="BM6" s="46" t="n">
        <x:v>47788</x:v>
      </x:c>
      <x:c r="BN6" s="46" t="n">
        <x:v>47818</x:v>
      </x:c>
      <x:c r="BO6" s="15" t="str">
        <x:v>TCO 5 años USD</x:v>
      </x:c>
    </x:row>
    <x:row r="7">
      <x:c r="A7" s="16" t="str">
        <x:v>SCL-01</x:v>
      </x:c>
      <x:c r="B7" s="17" t="str">
        <x:v>Chile Central</x:v>
      </x:c>
      <x:c r="C7" s="17" t="str">
        <x:v>CPU activa producción</x:v>
      </x:c>
      <x:c r="D7" s="17" t="str">
        <x:v>vCPU-hora</x:v>
      </x:c>
      <x:c r="E7" s="38" t="n">
        <x:f>'Fuentes y Cotizaciones'!F7</x:f>
        <x:v>0.1224</x:v>
      </x:c>
      <x:c r="F7" s="17" t="str">
        <x:v>vCPU-h facturables después de franquicia</x:v>
      </x:c>
      <x:c r="G7" s="39" t="n">
        <x:f>IF($E7="","",$E7*MAX(Supuestos!$B$8*Supuestos!$B$11-Supuestos!$B$23,0))</x:f>
        <x:v>83.232</x:v>
      </x:c>
      <x:c r="H7" s="39" t="n">
        <x:f>IF($E7="","",$E7*MAX(Supuestos!$B$8*Supuestos!$B$11-Supuestos!$B$23,0))</x:f>
        <x:v>83.232</x:v>
      </x:c>
      <x:c r="I7" s="39" t="n">
        <x:f>IF($E7="","",$E7*MAX(Supuestos!$B$8*Supuestos!$B$11-Supuestos!$B$23,0))</x:f>
        <x:v>83.232</x:v>
      </x:c>
      <x:c r="J7" s="39" t="n">
        <x:f>IF($E7="","",$E7*MAX(Supuestos!$B$8*Supuestos!$B$11-Supuestos!$B$23,0))</x:f>
        <x:v>83.232</x:v>
      </x:c>
      <x:c r="K7" s="39" t="n">
        <x:f>IF($E7="","",$E7*MAX(Supuestos!$B$8*Supuestos!$B$11-Supuestos!$B$23,0))</x:f>
        <x:v>83.232</x:v>
      </x:c>
      <x:c r="L7" s="39" t="n">
        <x:f>IF($E7="","",$E7*MAX(Supuestos!$B$8*Supuestos!$B$11-Supuestos!$B$23,0))</x:f>
        <x:v>83.232</x:v>
      </x:c>
      <x:c r="M7" s="39" t="n">
        <x:f>IF($E7="","",$E7*MAX(Supuestos!$B$8*Supuestos!$B$11-Supuestos!$B$23,0))</x:f>
        <x:v>83.232</x:v>
      </x:c>
      <x:c r="N7" s="39" t="n">
        <x:f>IF($E7="","",$E7*MAX(Supuestos!$B$8*Supuestos!$B$11-Supuestos!$B$23,0))</x:f>
        <x:v>83.232</x:v>
      </x:c>
      <x:c r="O7" s="39" t="n">
        <x:f>IF($E7="","",$E7*MAX(Supuestos!$B$8*Supuestos!$B$11-Supuestos!$B$23,0))</x:f>
        <x:v>83.232</x:v>
      </x:c>
      <x:c r="P7" s="39" t="n">
        <x:f>IF($E7="","",$E7*MAX(Supuestos!$B$8*Supuestos!$B$11-Supuestos!$B$23,0))</x:f>
        <x:v>83.232</x:v>
      </x:c>
      <x:c r="Q7" s="39" t="n">
        <x:f>IF($E7="","",$E7*MAX(Supuestos!$B$8*Supuestos!$B$11-Supuestos!$B$23,0))</x:f>
        <x:v>83.232</x:v>
      </x:c>
      <x:c r="R7" s="39" t="n">
        <x:f>IF($E7="","",$E7*MAX(Supuestos!$B$8*Supuestos!$B$11-Supuestos!$B$23,0))</x:f>
        <x:v>83.232</x:v>
      </x:c>
      <x:c r="S7" s="39" t="n">
        <x:f>IF($E7="","",$E7*MAX(Supuestos!$B$8*Supuestos!$B$11-Supuestos!$B$23,0))</x:f>
        <x:v>83.232</x:v>
      </x:c>
      <x:c r="T7" s="39" t="n">
        <x:f>IF($E7="","",$E7*MAX(Supuestos!$B$8*Supuestos!$B$11-Supuestos!$B$23,0))</x:f>
        <x:v>83.232</x:v>
      </x:c>
      <x:c r="U7" s="39" t="n">
        <x:f>IF($E7="","",$E7*MAX(Supuestos!$B$8*Supuestos!$B$11-Supuestos!$B$23,0))</x:f>
        <x:v>83.232</x:v>
      </x:c>
      <x:c r="V7" s="39" t="n">
        <x:f>IF($E7="","",$E7*MAX(Supuestos!$B$8*Supuestos!$B$11-Supuestos!$B$23,0))</x:f>
        <x:v>83.232</x:v>
      </x:c>
      <x:c r="W7" s="39" t="n">
        <x:f>IF($E7="","",$E7*MAX(Supuestos!$B$8*Supuestos!$B$11-Supuestos!$B$23,0))</x:f>
        <x:v>83.232</x:v>
      </x:c>
      <x:c r="X7" s="39" t="n">
        <x:f>IF($E7="","",$E7*MAX(Supuestos!$B$8*Supuestos!$B$11-Supuestos!$B$23,0))</x:f>
        <x:v>83.232</x:v>
      </x:c>
      <x:c r="Y7" s="39" t="n">
        <x:f>IF($E7="","",$E7*MAX(Supuestos!$B$8*Supuestos!$B$11-Supuestos!$B$23,0))</x:f>
        <x:v>83.232</x:v>
      </x:c>
      <x:c r="Z7" s="39" t="n">
        <x:f>IF($E7="","",$E7*MAX(Supuestos!$B$8*Supuestos!$B$11-Supuestos!$B$23,0))</x:f>
        <x:v>83.232</x:v>
      </x:c>
      <x:c r="AA7" s="39" t="n">
        <x:f>IF($E7="","",$E7*MAX(Supuestos!$B$8*Supuestos!$B$11-Supuestos!$B$23,0))</x:f>
        <x:v>83.232</x:v>
      </x:c>
      <x:c r="AB7" s="39" t="n">
        <x:f>IF($E7="","",$E7*MAX(Supuestos!$B$8*Supuestos!$B$11-Supuestos!$B$23,0))</x:f>
        <x:v>83.232</x:v>
      </x:c>
      <x:c r="AC7" s="39" t="n">
        <x:f>IF($E7="","",$E7*MAX(Supuestos!$B$8*Supuestos!$B$11-Supuestos!$B$23,0))</x:f>
        <x:v>83.232</x:v>
      </x:c>
      <x:c r="AD7" s="39" t="n">
        <x:f>IF($E7="","",$E7*MAX(Supuestos!$B$8*Supuestos!$B$11-Supuestos!$B$23,0))</x:f>
        <x:v>83.232</x:v>
      </x:c>
      <x:c r="AE7" s="39" t="n">
        <x:f>IF($E7="","",$E7*MAX(Supuestos!$B$8*Supuestos!$B$11-Supuestos!$B$23,0))</x:f>
        <x:v>83.232</x:v>
      </x:c>
      <x:c r="AF7" s="39" t="n">
        <x:f>IF($E7="","",$E7*MAX(Supuestos!$B$8*Supuestos!$B$11-Supuestos!$B$23,0))</x:f>
        <x:v>83.232</x:v>
      </x:c>
      <x:c r="AG7" s="39" t="n">
        <x:f>IF($E7="","",$E7*MAX(Supuestos!$B$8*Supuestos!$B$11-Supuestos!$B$23,0))</x:f>
        <x:v>83.232</x:v>
      </x:c>
      <x:c r="AH7" s="39" t="n">
        <x:f>IF($E7="","",$E7*MAX(Supuestos!$B$8*Supuestos!$B$11-Supuestos!$B$23,0))</x:f>
        <x:v>83.232</x:v>
      </x:c>
      <x:c r="AI7" s="39" t="n">
        <x:f>IF($E7="","",$E7*MAX(Supuestos!$B$8*Supuestos!$B$11-Supuestos!$B$23,0))</x:f>
        <x:v>83.232</x:v>
      </x:c>
      <x:c r="AJ7" s="39" t="n">
        <x:f>IF($E7="","",$E7*MAX(Supuestos!$B$8*Supuestos!$B$11-Supuestos!$B$23,0))</x:f>
        <x:v>83.232</x:v>
      </x:c>
      <x:c r="AK7" s="39" t="n">
        <x:f>IF($E7="","",$E7*MAX(Supuestos!$B$8*Supuestos!$B$11-Supuestos!$B$23,0))</x:f>
        <x:v>83.232</x:v>
      </x:c>
      <x:c r="AL7" s="39" t="n">
        <x:f>IF($E7="","",$E7*MAX(Supuestos!$B$8*Supuestos!$B$11-Supuestos!$B$23,0))</x:f>
        <x:v>83.232</x:v>
      </x:c>
      <x:c r="AM7" s="39" t="n">
        <x:f>IF($E7="","",$E7*MAX(Supuestos!$B$8*Supuestos!$B$11-Supuestos!$B$23,0))</x:f>
        <x:v>83.232</x:v>
      </x:c>
      <x:c r="AN7" s="39" t="n">
        <x:f>IF($E7="","",$E7*MAX(Supuestos!$B$8*Supuestos!$B$11-Supuestos!$B$23,0))</x:f>
        <x:v>83.232</x:v>
      </x:c>
      <x:c r="AO7" s="39" t="n">
        <x:f>IF($E7="","",$E7*MAX(Supuestos!$B$8*Supuestos!$B$11-Supuestos!$B$23,0))</x:f>
        <x:v>83.232</x:v>
      </x:c>
      <x:c r="AP7" s="39" t="n">
        <x:f>IF($E7="","",$E7*MAX(Supuestos!$B$8*Supuestos!$B$11-Supuestos!$B$23,0))</x:f>
        <x:v>83.232</x:v>
      </x:c>
      <x:c r="AQ7" s="39" t="n">
        <x:f>IF($E7="","",$E7*MAX(Supuestos!$B$8*Supuestos!$B$11-Supuestos!$B$23,0))</x:f>
        <x:v>83.232</x:v>
      </x:c>
      <x:c r="AR7" s="39" t="n">
        <x:f>IF($E7="","",$E7*MAX(Supuestos!$B$8*Supuestos!$B$11-Supuestos!$B$23,0))</x:f>
        <x:v>83.232</x:v>
      </x:c>
      <x:c r="AS7" s="39" t="n">
        <x:f>IF($E7="","",$E7*MAX(Supuestos!$B$8*Supuestos!$B$11-Supuestos!$B$23,0))</x:f>
        <x:v>83.232</x:v>
      </x:c>
      <x:c r="AT7" s="39" t="n">
        <x:f>IF($E7="","",$E7*MAX(Supuestos!$B$8*Supuestos!$B$11-Supuestos!$B$23,0))</x:f>
        <x:v>83.232</x:v>
      </x:c>
      <x:c r="AU7" s="39" t="n">
        <x:f>IF($E7="","",$E7*MAX(Supuestos!$B$8*Supuestos!$B$11-Supuestos!$B$23,0))</x:f>
        <x:v>83.232</x:v>
      </x:c>
      <x:c r="AV7" s="39" t="n">
        <x:f>IF($E7="","",$E7*MAX(Supuestos!$B$8*Supuestos!$B$11-Supuestos!$B$23,0))</x:f>
        <x:v>83.232</x:v>
      </x:c>
      <x:c r="AW7" s="39" t="n">
        <x:f>IF($E7="","",$E7*MAX(Supuestos!$B$8*Supuestos!$B$11-Supuestos!$B$23,0))</x:f>
        <x:v>83.232</x:v>
      </x:c>
      <x:c r="AX7" s="39" t="n">
        <x:f>IF($E7="","",$E7*MAX(Supuestos!$B$8*Supuestos!$B$11-Supuestos!$B$23,0))</x:f>
        <x:v>83.232</x:v>
      </x:c>
      <x:c r="AY7" s="39" t="n">
        <x:f>IF($E7="","",$E7*MAX(Supuestos!$B$8*Supuestos!$B$11-Supuestos!$B$23,0))</x:f>
        <x:v>83.232</x:v>
      </x:c>
      <x:c r="AZ7" s="39" t="n">
        <x:f>IF($E7="","",$E7*MAX(Supuestos!$B$8*Supuestos!$B$11-Supuestos!$B$23,0))</x:f>
        <x:v>83.232</x:v>
      </x:c>
      <x:c r="BA7" s="39" t="n">
        <x:f>IF($E7="","",$E7*MAX(Supuestos!$B$8*Supuestos!$B$11-Supuestos!$B$23,0))</x:f>
        <x:v>83.232</x:v>
      </x:c>
      <x:c r="BB7" s="39" t="n">
        <x:f>IF($E7="","",$E7*MAX(Supuestos!$B$8*Supuestos!$B$11-Supuestos!$B$23,0))</x:f>
        <x:v>83.232</x:v>
      </x:c>
      <x:c r="BC7" s="39" t="n">
        <x:f>IF($E7="","",$E7*MAX(Supuestos!$B$8*Supuestos!$B$11-Supuestos!$B$23,0))</x:f>
        <x:v>83.232</x:v>
      </x:c>
      <x:c r="BD7" s="39" t="n">
        <x:f>IF($E7="","",$E7*MAX(Supuestos!$B$8*Supuestos!$B$11-Supuestos!$B$23,0))</x:f>
        <x:v>83.232</x:v>
      </x:c>
      <x:c r="BE7" s="39" t="n">
        <x:f>IF($E7="","",$E7*MAX(Supuestos!$B$8*Supuestos!$B$11-Supuestos!$B$23,0))</x:f>
        <x:v>83.232</x:v>
      </x:c>
      <x:c r="BF7" s="39" t="n">
        <x:f>IF($E7="","",$E7*MAX(Supuestos!$B$8*Supuestos!$B$11-Supuestos!$B$23,0))</x:f>
        <x:v>83.232</x:v>
      </x:c>
      <x:c r="BG7" s="39" t="n">
        <x:f>IF($E7="","",$E7*MAX(Supuestos!$B$8*Supuestos!$B$11-Supuestos!$B$23,0))</x:f>
        <x:v>83.232</x:v>
      </x:c>
      <x:c r="BH7" s="39" t="n">
        <x:f>IF($E7="","",$E7*MAX(Supuestos!$B$8*Supuestos!$B$11-Supuestos!$B$23,0))</x:f>
        <x:v>83.232</x:v>
      </x:c>
      <x:c r="BI7" s="39" t="n">
        <x:f>IF($E7="","",$E7*MAX(Supuestos!$B$8*Supuestos!$B$11-Supuestos!$B$23,0))</x:f>
        <x:v>83.232</x:v>
      </x:c>
      <x:c r="BJ7" s="39" t="n">
        <x:f>IF($E7="","",$E7*MAX(Supuestos!$B$8*Supuestos!$B$11-Supuestos!$B$23,0))</x:f>
        <x:v>83.232</x:v>
      </x:c>
      <x:c r="BK7" s="39" t="n">
        <x:f>IF($E7="","",$E7*MAX(Supuestos!$B$8*Supuestos!$B$11-Supuestos!$B$23,0))</x:f>
        <x:v>83.232</x:v>
      </x:c>
      <x:c r="BL7" s="39" t="n">
        <x:f>IF($E7="","",$E7*MAX(Supuestos!$B$8*Supuestos!$B$11-Supuestos!$B$23,0))</x:f>
        <x:v>83.232</x:v>
      </x:c>
      <x:c r="BM7" s="39" t="n">
        <x:f>IF($E7="","",$E7*MAX(Supuestos!$B$8*Supuestos!$B$11-Supuestos!$B$23,0))</x:f>
        <x:v>83.232</x:v>
      </x:c>
      <x:c r="BN7" s="39" t="n">
        <x:f>IF($E7="","",$E7*MAX(Supuestos!$B$8*Supuestos!$B$11-Supuestos!$B$23,0))</x:f>
        <x:v>83.232</x:v>
      </x:c>
      <x:c r="BO7" s="47" t="n">
        <x:f>IF(COUNT(G7:BN7)=0,"",SUM(G7:BN7))</x:f>
        <x:v>4993.919999999999</x:v>
      </x:c>
    </x:row>
    <x:row r="8">
      <x:c r="A8" s="16" t="str">
        <x:v>SCL-02</x:v>
      </x:c>
      <x:c r="B8" s="17" t="str">
        <x:v>Chile Central</x:v>
      </x:c>
      <x:c r="C8" s="17" t="str">
        <x:v>Memoria activa producción</x:v>
      </x:c>
      <x:c r="D8" s="17" t="str">
        <x:v>GiB-hora</x:v>
      </x:c>
      <x:c r="E8" s="38" t="n">
        <x:f>'Fuentes y Cotizaciones'!F8</x:f>
        <x:v>0.0144</x:v>
      </x:c>
      <x:c r="F8" s="17" t="str">
        <x:v>GiB-h facturables después de franquicia</x:v>
      </x:c>
      <x:c r="G8" s="39" t="n">
        <x:f>IF($E8="","",$E8*MAX(Supuestos!$B$8*Supuestos!$B$12-Supuestos!$B$24,0))</x:f>
        <x:v>19.584</x:v>
      </x:c>
      <x:c r="H8" s="39" t="n">
        <x:f>IF($E8="","",$E8*MAX(Supuestos!$B$8*Supuestos!$B$12-Supuestos!$B$24,0))</x:f>
        <x:v>19.584</x:v>
      </x:c>
      <x:c r="I8" s="39" t="n">
        <x:f>IF($E8="","",$E8*MAX(Supuestos!$B$8*Supuestos!$B$12-Supuestos!$B$24,0))</x:f>
        <x:v>19.584</x:v>
      </x:c>
      <x:c r="J8" s="39" t="n">
        <x:f>IF($E8="","",$E8*MAX(Supuestos!$B$8*Supuestos!$B$12-Supuestos!$B$24,0))</x:f>
        <x:v>19.584</x:v>
      </x:c>
      <x:c r="K8" s="39" t="n">
        <x:f>IF($E8="","",$E8*MAX(Supuestos!$B$8*Supuestos!$B$12-Supuestos!$B$24,0))</x:f>
        <x:v>19.584</x:v>
      </x:c>
      <x:c r="L8" s="39" t="n">
        <x:f>IF($E8="","",$E8*MAX(Supuestos!$B$8*Supuestos!$B$12-Supuestos!$B$24,0))</x:f>
        <x:v>19.584</x:v>
      </x:c>
      <x:c r="M8" s="39" t="n">
        <x:f>IF($E8="","",$E8*MAX(Supuestos!$B$8*Supuestos!$B$12-Supuestos!$B$24,0))</x:f>
        <x:v>19.584</x:v>
      </x:c>
      <x:c r="N8" s="39" t="n">
        <x:f>IF($E8="","",$E8*MAX(Supuestos!$B$8*Supuestos!$B$12-Supuestos!$B$24,0))</x:f>
        <x:v>19.584</x:v>
      </x:c>
      <x:c r="O8" s="39" t="n">
        <x:f>IF($E8="","",$E8*MAX(Supuestos!$B$8*Supuestos!$B$12-Supuestos!$B$24,0))</x:f>
        <x:v>19.584</x:v>
      </x:c>
      <x:c r="P8" s="39" t="n">
        <x:f>IF($E8="","",$E8*MAX(Supuestos!$B$8*Supuestos!$B$12-Supuestos!$B$24,0))</x:f>
        <x:v>19.584</x:v>
      </x:c>
      <x:c r="Q8" s="39" t="n">
        <x:f>IF($E8="","",$E8*MAX(Supuestos!$B$8*Supuestos!$B$12-Supuestos!$B$24,0))</x:f>
        <x:v>19.584</x:v>
      </x:c>
      <x:c r="R8" s="39" t="n">
        <x:f>IF($E8="","",$E8*MAX(Supuestos!$B$8*Supuestos!$B$12-Supuestos!$B$24,0))</x:f>
        <x:v>19.584</x:v>
      </x:c>
      <x:c r="S8" s="39" t="n">
        <x:f>IF($E8="","",$E8*MAX(Supuestos!$B$8*Supuestos!$B$12-Supuestos!$B$24,0))</x:f>
        <x:v>19.584</x:v>
      </x:c>
      <x:c r="T8" s="39" t="n">
        <x:f>IF($E8="","",$E8*MAX(Supuestos!$B$8*Supuestos!$B$12-Supuestos!$B$24,0))</x:f>
        <x:v>19.584</x:v>
      </x:c>
      <x:c r="U8" s="39" t="n">
        <x:f>IF($E8="","",$E8*MAX(Supuestos!$B$8*Supuestos!$B$12-Supuestos!$B$24,0))</x:f>
        <x:v>19.584</x:v>
      </x:c>
      <x:c r="V8" s="39" t="n">
        <x:f>IF($E8="","",$E8*MAX(Supuestos!$B$8*Supuestos!$B$12-Supuestos!$B$24,0))</x:f>
        <x:v>19.584</x:v>
      </x:c>
      <x:c r="W8" s="39" t="n">
        <x:f>IF($E8="","",$E8*MAX(Supuestos!$B$8*Supuestos!$B$12-Supuestos!$B$24,0))</x:f>
        <x:v>19.584</x:v>
      </x:c>
      <x:c r="X8" s="39" t="n">
        <x:f>IF($E8="","",$E8*MAX(Supuestos!$B$8*Supuestos!$B$12-Supuestos!$B$24,0))</x:f>
        <x:v>19.584</x:v>
      </x:c>
      <x:c r="Y8" s="39" t="n">
        <x:f>IF($E8="","",$E8*MAX(Supuestos!$B$8*Supuestos!$B$12-Supuestos!$B$24,0))</x:f>
        <x:v>19.584</x:v>
      </x:c>
      <x:c r="Z8" s="39" t="n">
        <x:f>IF($E8="","",$E8*MAX(Supuestos!$B$8*Supuestos!$B$12-Supuestos!$B$24,0))</x:f>
        <x:v>19.584</x:v>
      </x:c>
      <x:c r="AA8" s="39" t="n">
        <x:f>IF($E8="","",$E8*MAX(Supuestos!$B$8*Supuestos!$B$12-Supuestos!$B$24,0))</x:f>
        <x:v>19.584</x:v>
      </x:c>
      <x:c r="AB8" s="39" t="n">
        <x:f>IF($E8="","",$E8*MAX(Supuestos!$B$8*Supuestos!$B$12-Supuestos!$B$24,0))</x:f>
        <x:v>19.584</x:v>
      </x:c>
      <x:c r="AC8" s="39" t="n">
        <x:f>IF($E8="","",$E8*MAX(Supuestos!$B$8*Supuestos!$B$12-Supuestos!$B$24,0))</x:f>
        <x:v>19.584</x:v>
      </x:c>
      <x:c r="AD8" s="39" t="n">
        <x:f>IF($E8="","",$E8*MAX(Supuestos!$B$8*Supuestos!$B$12-Supuestos!$B$24,0))</x:f>
        <x:v>19.584</x:v>
      </x:c>
      <x:c r="AE8" s="39" t="n">
        <x:f>IF($E8="","",$E8*MAX(Supuestos!$B$8*Supuestos!$B$12-Supuestos!$B$24,0))</x:f>
        <x:v>19.584</x:v>
      </x:c>
      <x:c r="AF8" s="39" t="n">
        <x:f>IF($E8="","",$E8*MAX(Supuestos!$B$8*Supuestos!$B$12-Supuestos!$B$24,0))</x:f>
        <x:v>19.584</x:v>
      </x:c>
      <x:c r="AG8" s="39" t="n">
        <x:f>IF($E8="","",$E8*MAX(Supuestos!$B$8*Supuestos!$B$12-Supuestos!$B$24,0))</x:f>
        <x:v>19.584</x:v>
      </x:c>
      <x:c r="AH8" s="39" t="n">
        <x:f>IF($E8="","",$E8*MAX(Supuestos!$B$8*Supuestos!$B$12-Supuestos!$B$24,0))</x:f>
        <x:v>19.584</x:v>
      </x:c>
      <x:c r="AI8" s="39" t="n">
        <x:f>IF($E8="","",$E8*MAX(Supuestos!$B$8*Supuestos!$B$12-Supuestos!$B$24,0))</x:f>
        <x:v>19.584</x:v>
      </x:c>
      <x:c r="AJ8" s="39" t="n">
        <x:f>IF($E8="","",$E8*MAX(Supuestos!$B$8*Supuestos!$B$12-Supuestos!$B$24,0))</x:f>
        <x:v>19.584</x:v>
      </x:c>
      <x:c r="AK8" s="39" t="n">
        <x:f>IF($E8="","",$E8*MAX(Supuestos!$B$8*Supuestos!$B$12-Supuestos!$B$24,0))</x:f>
        <x:v>19.584</x:v>
      </x:c>
      <x:c r="AL8" s="39" t="n">
        <x:f>IF($E8="","",$E8*MAX(Supuestos!$B$8*Supuestos!$B$12-Supuestos!$B$24,0))</x:f>
        <x:v>19.584</x:v>
      </x:c>
      <x:c r="AM8" s="39" t="n">
        <x:f>IF($E8="","",$E8*MAX(Supuestos!$B$8*Supuestos!$B$12-Supuestos!$B$24,0))</x:f>
        <x:v>19.584</x:v>
      </x:c>
      <x:c r="AN8" s="39" t="n">
        <x:f>IF($E8="","",$E8*MAX(Supuestos!$B$8*Supuestos!$B$12-Supuestos!$B$24,0))</x:f>
        <x:v>19.584</x:v>
      </x:c>
      <x:c r="AO8" s="39" t="n">
        <x:f>IF($E8="","",$E8*MAX(Supuestos!$B$8*Supuestos!$B$12-Supuestos!$B$24,0))</x:f>
        <x:v>19.584</x:v>
      </x:c>
      <x:c r="AP8" s="39" t="n">
        <x:f>IF($E8="","",$E8*MAX(Supuestos!$B$8*Supuestos!$B$12-Supuestos!$B$24,0))</x:f>
        <x:v>19.584</x:v>
      </x:c>
      <x:c r="AQ8" s="39" t="n">
        <x:f>IF($E8="","",$E8*MAX(Supuestos!$B$8*Supuestos!$B$12-Supuestos!$B$24,0))</x:f>
        <x:v>19.584</x:v>
      </x:c>
      <x:c r="AR8" s="39" t="n">
        <x:f>IF($E8="","",$E8*MAX(Supuestos!$B$8*Supuestos!$B$12-Supuestos!$B$24,0))</x:f>
        <x:v>19.584</x:v>
      </x:c>
      <x:c r="AS8" s="39" t="n">
        <x:f>IF($E8="","",$E8*MAX(Supuestos!$B$8*Supuestos!$B$12-Supuestos!$B$24,0))</x:f>
        <x:v>19.584</x:v>
      </x:c>
      <x:c r="AT8" s="39" t="n">
        <x:f>IF($E8="","",$E8*MAX(Supuestos!$B$8*Supuestos!$B$12-Supuestos!$B$24,0))</x:f>
        <x:v>19.584</x:v>
      </x:c>
      <x:c r="AU8" s="39" t="n">
        <x:f>IF($E8="","",$E8*MAX(Supuestos!$B$8*Supuestos!$B$12-Supuestos!$B$24,0))</x:f>
        <x:v>19.584</x:v>
      </x:c>
      <x:c r="AV8" s="39" t="n">
        <x:f>IF($E8="","",$E8*MAX(Supuestos!$B$8*Supuestos!$B$12-Supuestos!$B$24,0))</x:f>
        <x:v>19.584</x:v>
      </x:c>
      <x:c r="AW8" s="39" t="n">
        <x:f>IF($E8="","",$E8*MAX(Supuestos!$B$8*Supuestos!$B$12-Supuestos!$B$24,0))</x:f>
        <x:v>19.584</x:v>
      </x:c>
      <x:c r="AX8" s="39" t="n">
        <x:f>IF($E8="","",$E8*MAX(Supuestos!$B$8*Supuestos!$B$12-Supuestos!$B$24,0))</x:f>
        <x:v>19.584</x:v>
      </x:c>
      <x:c r="AY8" s="39" t="n">
        <x:f>IF($E8="","",$E8*MAX(Supuestos!$B$8*Supuestos!$B$12-Supuestos!$B$24,0))</x:f>
        <x:v>19.584</x:v>
      </x:c>
      <x:c r="AZ8" s="39" t="n">
        <x:f>IF($E8="","",$E8*MAX(Supuestos!$B$8*Supuestos!$B$12-Supuestos!$B$24,0))</x:f>
        <x:v>19.584</x:v>
      </x:c>
      <x:c r="BA8" s="39" t="n">
        <x:f>IF($E8="","",$E8*MAX(Supuestos!$B$8*Supuestos!$B$12-Supuestos!$B$24,0))</x:f>
        <x:v>19.584</x:v>
      </x:c>
      <x:c r="BB8" s="39" t="n">
        <x:f>IF($E8="","",$E8*MAX(Supuestos!$B$8*Supuestos!$B$12-Supuestos!$B$24,0))</x:f>
        <x:v>19.584</x:v>
      </x:c>
      <x:c r="BC8" s="39" t="n">
        <x:f>IF($E8="","",$E8*MAX(Supuestos!$B$8*Supuestos!$B$12-Supuestos!$B$24,0))</x:f>
        <x:v>19.584</x:v>
      </x:c>
      <x:c r="BD8" s="39" t="n">
        <x:f>IF($E8="","",$E8*MAX(Supuestos!$B$8*Supuestos!$B$12-Supuestos!$B$24,0))</x:f>
        <x:v>19.584</x:v>
      </x:c>
      <x:c r="BE8" s="39" t="n">
        <x:f>IF($E8="","",$E8*MAX(Supuestos!$B$8*Supuestos!$B$12-Supuestos!$B$24,0))</x:f>
        <x:v>19.584</x:v>
      </x:c>
      <x:c r="BF8" s="39" t="n">
        <x:f>IF($E8="","",$E8*MAX(Supuestos!$B$8*Supuestos!$B$12-Supuestos!$B$24,0))</x:f>
        <x:v>19.584</x:v>
      </x:c>
      <x:c r="BG8" s="39" t="n">
        <x:f>IF($E8="","",$E8*MAX(Supuestos!$B$8*Supuestos!$B$12-Supuestos!$B$24,0))</x:f>
        <x:v>19.584</x:v>
      </x:c>
      <x:c r="BH8" s="39" t="n">
        <x:f>IF($E8="","",$E8*MAX(Supuestos!$B$8*Supuestos!$B$12-Supuestos!$B$24,0))</x:f>
        <x:v>19.584</x:v>
      </x:c>
      <x:c r="BI8" s="39" t="n">
        <x:f>IF($E8="","",$E8*MAX(Supuestos!$B$8*Supuestos!$B$12-Supuestos!$B$24,0))</x:f>
        <x:v>19.584</x:v>
      </x:c>
      <x:c r="BJ8" s="39" t="n">
        <x:f>IF($E8="","",$E8*MAX(Supuestos!$B$8*Supuestos!$B$12-Supuestos!$B$24,0))</x:f>
        <x:v>19.584</x:v>
      </x:c>
      <x:c r="BK8" s="39" t="n">
        <x:f>IF($E8="","",$E8*MAX(Supuestos!$B$8*Supuestos!$B$12-Supuestos!$B$24,0))</x:f>
        <x:v>19.584</x:v>
      </x:c>
      <x:c r="BL8" s="39" t="n">
        <x:f>IF($E8="","",$E8*MAX(Supuestos!$B$8*Supuestos!$B$12-Supuestos!$B$24,0))</x:f>
        <x:v>19.584</x:v>
      </x:c>
      <x:c r="BM8" s="39" t="n">
        <x:f>IF($E8="","",$E8*MAX(Supuestos!$B$8*Supuestos!$B$12-Supuestos!$B$24,0))</x:f>
        <x:v>19.584</x:v>
      </x:c>
      <x:c r="BN8" s="39" t="n">
        <x:f>IF($E8="","",$E8*MAX(Supuestos!$B$8*Supuestos!$B$12-Supuestos!$B$24,0))</x:f>
        <x:v>19.584</x:v>
      </x:c>
      <x:c r="BO8" s="47" t="n">
        <x:f>IF(COUNT(G8:BN8)=0,"",SUM(G8:BN8))</x:f>
        <x:v>1175.039999999999</x:v>
      </x:c>
    </x:row>
    <x:row r="9">
      <x:c r="A9" s="16" t="str">
        <x:v>SCL-03</x:v>
      </x:c>
      <x:c r="B9" s="17" t="str">
        <x:v>Chile Central</x:v>
      </x:c>
      <x:c r="C9" s="17" t="str">
        <x:v>Solicitudes producción</x:v>
      </x:c>
      <x:c r="D9" s="17" t="str">
        <x:v>millón de solicitudes</x:v>
      </x:c>
      <x:c r="E9" s="38" t="n">
        <x:f>'Fuentes y Cotizaciones'!F9</x:f>
        <x:v>0.4</x:v>
      </x:c>
      <x:c r="F9" s="17" t="str">
        <x:v>Producción consume primero la franquicia</x:v>
      </x:c>
      <x:c r="G9" s="39" t="n">
        <x:f>IF($E9="","",$E9*MAX(Supuestos!$B$13-Supuestos!$B$25,0)/1000000)</x:f>
        <x:v>0</x:v>
      </x:c>
      <x:c r="H9" s="39" t="n">
        <x:f>IF($E9="","",$E9*MAX(Supuestos!$B$13-Supuestos!$B$25,0)/1000000)</x:f>
        <x:v>0</x:v>
      </x:c>
      <x:c r="I9" s="39" t="n">
        <x:f>IF($E9="","",$E9*MAX(Supuestos!$B$13-Supuestos!$B$25,0)/1000000)</x:f>
        <x:v>0</x:v>
      </x:c>
      <x:c r="J9" s="39" t="n">
        <x:f>IF($E9="","",$E9*MAX(Supuestos!$B$13-Supuestos!$B$25,0)/1000000)</x:f>
        <x:v>0</x:v>
      </x:c>
      <x:c r="K9" s="39" t="n">
        <x:f>IF($E9="","",$E9*MAX(Supuestos!$B$13-Supuestos!$B$25,0)/1000000)</x:f>
        <x:v>0</x:v>
      </x:c>
      <x:c r="L9" s="39" t="n">
        <x:f>IF($E9="","",$E9*MAX(Supuestos!$B$13-Supuestos!$B$25,0)/1000000)</x:f>
        <x:v>0</x:v>
      </x:c>
      <x:c r="M9" s="39" t="n">
        <x:f>IF($E9="","",$E9*MAX(Supuestos!$B$13-Supuestos!$B$25,0)/1000000)</x:f>
        <x:v>0</x:v>
      </x:c>
      <x:c r="N9" s="39" t="n">
        <x:f>IF($E9="","",$E9*MAX(Supuestos!$B$13-Supuestos!$B$25,0)/1000000)</x:f>
        <x:v>0</x:v>
      </x:c>
      <x:c r="O9" s="39" t="n">
        <x:f>IF($E9="","",$E9*MAX(Supuestos!$B$13-Supuestos!$B$25,0)/1000000)</x:f>
        <x:v>0</x:v>
      </x:c>
      <x:c r="P9" s="39" t="n">
        <x:f>IF($E9="","",$E9*MAX(Supuestos!$B$13-Supuestos!$B$25,0)/1000000)</x:f>
        <x:v>0</x:v>
      </x:c>
      <x:c r="Q9" s="39" t="n">
        <x:f>IF($E9="","",$E9*MAX(Supuestos!$B$13-Supuestos!$B$25,0)/1000000)</x:f>
        <x:v>0</x:v>
      </x:c>
      <x:c r="R9" s="39" t="n">
        <x:f>IF($E9="","",$E9*MAX(Supuestos!$B$13-Supuestos!$B$25,0)/1000000)</x:f>
        <x:v>0</x:v>
      </x:c>
      <x:c r="S9" s="39" t="n">
        <x:f>IF($E9="","",$E9*MAX(Supuestos!$B$13-Supuestos!$B$25,0)/1000000)</x:f>
        <x:v>0</x:v>
      </x:c>
      <x:c r="T9" s="39" t="n">
        <x:f>IF($E9="","",$E9*MAX(Supuestos!$B$13-Supuestos!$B$25,0)/1000000)</x:f>
        <x:v>0</x:v>
      </x:c>
      <x:c r="U9" s="39" t="n">
        <x:f>IF($E9="","",$E9*MAX(Supuestos!$B$13-Supuestos!$B$25,0)/1000000)</x:f>
        <x:v>0</x:v>
      </x:c>
      <x:c r="V9" s="39" t="n">
        <x:f>IF($E9="","",$E9*MAX(Supuestos!$B$13-Supuestos!$B$25,0)/1000000)</x:f>
        <x:v>0</x:v>
      </x:c>
      <x:c r="W9" s="39" t="n">
        <x:f>IF($E9="","",$E9*MAX(Supuestos!$B$13-Supuestos!$B$25,0)/1000000)</x:f>
        <x:v>0</x:v>
      </x:c>
      <x:c r="X9" s="39" t="n">
        <x:f>IF($E9="","",$E9*MAX(Supuestos!$B$13-Supuestos!$B$25,0)/1000000)</x:f>
        <x:v>0</x:v>
      </x:c>
      <x:c r="Y9" s="39" t="n">
        <x:f>IF($E9="","",$E9*MAX(Supuestos!$B$13-Supuestos!$B$25,0)/1000000)</x:f>
        <x:v>0</x:v>
      </x:c>
      <x:c r="Z9" s="39" t="n">
        <x:f>IF($E9="","",$E9*MAX(Supuestos!$B$13-Supuestos!$B$25,0)/1000000)</x:f>
        <x:v>0</x:v>
      </x:c>
      <x:c r="AA9" s="39" t="n">
        <x:f>IF($E9="","",$E9*MAX(Supuestos!$B$13-Supuestos!$B$25,0)/1000000)</x:f>
        <x:v>0</x:v>
      </x:c>
      <x:c r="AB9" s="39" t="n">
        <x:f>IF($E9="","",$E9*MAX(Supuestos!$B$13-Supuestos!$B$25,0)/1000000)</x:f>
        <x:v>0</x:v>
      </x:c>
      <x:c r="AC9" s="39" t="n">
        <x:f>IF($E9="","",$E9*MAX(Supuestos!$B$13-Supuestos!$B$25,0)/1000000)</x:f>
        <x:v>0</x:v>
      </x:c>
      <x:c r="AD9" s="39" t="n">
        <x:f>IF($E9="","",$E9*MAX(Supuestos!$B$13-Supuestos!$B$25,0)/1000000)</x:f>
        <x:v>0</x:v>
      </x:c>
      <x:c r="AE9" s="39" t="n">
        <x:f>IF($E9="","",$E9*MAX(Supuestos!$B$13-Supuestos!$B$25,0)/1000000)</x:f>
        <x:v>0</x:v>
      </x:c>
      <x:c r="AF9" s="39" t="n">
        <x:f>IF($E9="","",$E9*MAX(Supuestos!$B$13-Supuestos!$B$25,0)/1000000)</x:f>
        <x:v>0</x:v>
      </x:c>
      <x:c r="AG9" s="39" t="n">
        <x:f>IF($E9="","",$E9*MAX(Supuestos!$B$13-Supuestos!$B$25,0)/1000000)</x:f>
        <x:v>0</x:v>
      </x:c>
      <x:c r="AH9" s="39" t="n">
        <x:f>IF($E9="","",$E9*MAX(Supuestos!$B$13-Supuestos!$B$25,0)/1000000)</x:f>
        <x:v>0</x:v>
      </x:c>
      <x:c r="AI9" s="39" t="n">
        <x:f>IF($E9="","",$E9*MAX(Supuestos!$B$13-Supuestos!$B$25,0)/1000000)</x:f>
        <x:v>0</x:v>
      </x:c>
      <x:c r="AJ9" s="39" t="n">
        <x:f>IF($E9="","",$E9*MAX(Supuestos!$B$13-Supuestos!$B$25,0)/1000000)</x:f>
        <x:v>0</x:v>
      </x:c>
      <x:c r="AK9" s="39" t="n">
        <x:f>IF($E9="","",$E9*MAX(Supuestos!$B$13-Supuestos!$B$25,0)/1000000)</x:f>
        <x:v>0</x:v>
      </x:c>
      <x:c r="AL9" s="39" t="n">
        <x:f>IF($E9="","",$E9*MAX(Supuestos!$B$13-Supuestos!$B$25,0)/1000000)</x:f>
        <x:v>0</x:v>
      </x:c>
      <x:c r="AM9" s="39" t="n">
        <x:f>IF($E9="","",$E9*MAX(Supuestos!$B$13-Supuestos!$B$25,0)/1000000)</x:f>
        <x:v>0</x:v>
      </x:c>
      <x:c r="AN9" s="39" t="n">
        <x:f>IF($E9="","",$E9*MAX(Supuestos!$B$13-Supuestos!$B$25,0)/1000000)</x:f>
        <x:v>0</x:v>
      </x:c>
      <x:c r="AO9" s="39" t="n">
        <x:f>IF($E9="","",$E9*MAX(Supuestos!$B$13-Supuestos!$B$25,0)/1000000)</x:f>
        <x:v>0</x:v>
      </x:c>
      <x:c r="AP9" s="39" t="n">
        <x:f>IF($E9="","",$E9*MAX(Supuestos!$B$13-Supuestos!$B$25,0)/1000000)</x:f>
        <x:v>0</x:v>
      </x:c>
      <x:c r="AQ9" s="39" t="n">
        <x:f>IF($E9="","",$E9*MAX(Supuestos!$B$13-Supuestos!$B$25,0)/1000000)</x:f>
        <x:v>0</x:v>
      </x:c>
      <x:c r="AR9" s="39" t="n">
        <x:f>IF($E9="","",$E9*MAX(Supuestos!$B$13-Supuestos!$B$25,0)/1000000)</x:f>
        <x:v>0</x:v>
      </x:c>
      <x:c r="AS9" s="39" t="n">
        <x:f>IF($E9="","",$E9*MAX(Supuestos!$B$13-Supuestos!$B$25,0)/1000000)</x:f>
        <x:v>0</x:v>
      </x:c>
      <x:c r="AT9" s="39" t="n">
        <x:f>IF($E9="","",$E9*MAX(Supuestos!$B$13-Supuestos!$B$25,0)/1000000)</x:f>
        <x:v>0</x:v>
      </x:c>
      <x:c r="AU9" s="39" t="n">
        <x:f>IF($E9="","",$E9*MAX(Supuestos!$B$13-Supuestos!$B$25,0)/1000000)</x:f>
        <x:v>0</x:v>
      </x:c>
      <x:c r="AV9" s="39" t="n">
        <x:f>IF($E9="","",$E9*MAX(Supuestos!$B$13-Supuestos!$B$25,0)/1000000)</x:f>
        <x:v>0</x:v>
      </x:c>
      <x:c r="AW9" s="39" t="n">
        <x:f>IF($E9="","",$E9*MAX(Supuestos!$B$13-Supuestos!$B$25,0)/1000000)</x:f>
        <x:v>0</x:v>
      </x:c>
      <x:c r="AX9" s="39" t="n">
        <x:f>IF($E9="","",$E9*MAX(Supuestos!$B$13-Supuestos!$B$25,0)/1000000)</x:f>
        <x:v>0</x:v>
      </x:c>
      <x:c r="AY9" s="39" t="n">
        <x:f>IF($E9="","",$E9*MAX(Supuestos!$B$13-Supuestos!$B$25,0)/1000000)</x:f>
        <x:v>0</x:v>
      </x:c>
      <x:c r="AZ9" s="39" t="n">
        <x:f>IF($E9="","",$E9*MAX(Supuestos!$B$13-Supuestos!$B$25,0)/1000000)</x:f>
        <x:v>0</x:v>
      </x:c>
      <x:c r="BA9" s="39" t="n">
        <x:f>IF($E9="","",$E9*MAX(Supuestos!$B$13-Supuestos!$B$25,0)/1000000)</x:f>
        <x:v>0</x:v>
      </x:c>
      <x:c r="BB9" s="39" t="n">
        <x:f>IF($E9="","",$E9*MAX(Supuestos!$B$13-Supuestos!$B$25,0)/1000000)</x:f>
        <x:v>0</x:v>
      </x:c>
      <x:c r="BC9" s="39" t="n">
        <x:f>IF($E9="","",$E9*MAX(Supuestos!$B$13-Supuestos!$B$25,0)/1000000)</x:f>
        <x:v>0</x:v>
      </x:c>
      <x:c r="BD9" s="39" t="n">
        <x:f>IF($E9="","",$E9*MAX(Supuestos!$B$13-Supuestos!$B$25,0)/1000000)</x:f>
        <x:v>0</x:v>
      </x:c>
      <x:c r="BE9" s="39" t="n">
        <x:f>IF($E9="","",$E9*MAX(Supuestos!$B$13-Supuestos!$B$25,0)/1000000)</x:f>
        <x:v>0</x:v>
      </x:c>
      <x:c r="BF9" s="39" t="n">
        <x:f>IF($E9="","",$E9*MAX(Supuestos!$B$13-Supuestos!$B$25,0)/1000000)</x:f>
        <x:v>0</x:v>
      </x:c>
      <x:c r="BG9" s="39" t="n">
        <x:f>IF($E9="","",$E9*MAX(Supuestos!$B$13-Supuestos!$B$25,0)/1000000)</x:f>
        <x:v>0</x:v>
      </x:c>
      <x:c r="BH9" s="39" t="n">
        <x:f>IF($E9="","",$E9*MAX(Supuestos!$B$13-Supuestos!$B$25,0)/1000000)</x:f>
        <x:v>0</x:v>
      </x:c>
      <x:c r="BI9" s="39" t="n">
        <x:f>IF($E9="","",$E9*MAX(Supuestos!$B$13-Supuestos!$B$25,0)/1000000)</x:f>
        <x:v>0</x:v>
      </x:c>
      <x:c r="BJ9" s="39" t="n">
        <x:f>IF($E9="","",$E9*MAX(Supuestos!$B$13-Supuestos!$B$25,0)/1000000)</x:f>
        <x:v>0</x:v>
      </x:c>
      <x:c r="BK9" s="39" t="n">
        <x:f>IF($E9="","",$E9*MAX(Supuestos!$B$13-Supuestos!$B$25,0)/1000000)</x:f>
        <x:v>0</x:v>
      </x:c>
      <x:c r="BL9" s="39" t="n">
        <x:f>IF($E9="","",$E9*MAX(Supuestos!$B$13-Supuestos!$B$25,0)/1000000)</x:f>
        <x:v>0</x:v>
      </x:c>
      <x:c r="BM9" s="39" t="n">
        <x:f>IF($E9="","",$E9*MAX(Supuestos!$B$13-Supuestos!$B$25,0)/1000000)</x:f>
        <x:v>0</x:v>
      </x:c>
      <x:c r="BN9" s="39" t="n">
        <x:f>IF($E9="","",$E9*MAX(Supuestos!$B$13-Supuestos!$B$25,0)/1000000)</x:f>
        <x:v>0</x:v>
      </x:c>
      <x:c r="BO9" s="47" t="n">
        <x:f>IF(COUNT(G9:BN9)=0,"",SUM(G9:BN9))</x:f>
        <x:v>0</x:v>
      </x:c>
    </x:row>
    <x:row r="10">
      <x:c r="A10" s="16" t="str">
        <x:v>SCL-04</x:v>
      </x:c>
      <x:c r="B10" s="17" t="str">
        <x:v>Chile Central</x:v>
      </x:c>
      <x:c r="C10" s="17" t="str">
        <x:v>Base de datos gestionada</x:v>
      </x:c>
      <x:c r="D10" s="17" t="str">
        <x:v>vCore-hora</x:v>
      </x:c>
      <x:c r="E10" s="38" t="n">
        <x:f>'Fuentes y Cotizaciones'!F10</x:f>
        <x:v>0.1197</x:v>
      </x:c>
      <x:c r="F10" s="17" t="str">
        <x:v>2 vCores GP × horas/mes</x:v>
      </x:c>
      <x:c r="G10" s="39" t="n">
        <x:f>IF($E10="","",$E10*Supuestos!$B$8*Supuestos!$B$26)</x:f>
        <x:v>174.762</x:v>
      </x:c>
      <x:c r="H10" s="39" t="n">
        <x:f>IF($E10="","",$E10*Supuestos!$B$8*Supuestos!$B$26)</x:f>
        <x:v>174.762</x:v>
      </x:c>
      <x:c r="I10" s="39" t="n">
        <x:f>IF($E10="","",$E10*Supuestos!$B$8*Supuestos!$B$26)</x:f>
        <x:v>174.762</x:v>
      </x:c>
      <x:c r="J10" s="39" t="n">
        <x:f>IF($E10="","",$E10*Supuestos!$B$8*Supuestos!$B$26)</x:f>
        <x:v>174.762</x:v>
      </x:c>
      <x:c r="K10" s="39" t="n">
        <x:f>IF($E10="","",$E10*Supuestos!$B$8*Supuestos!$B$26)</x:f>
        <x:v>174.762</x:v>
      </x:c>
      <x:c r="L10" s="39" t="n">
        <x:f>IF($E10="","",$E10*Supuestos!$B$8*Supuestos!$B$26)</x:f>
        <x:v>174.762</x:v>
      </x:c>
      <x:c r="M10" s="39" t="n">
        <x:f>IF($E10="","",$E10*Supuestos!$B$8*Supuestos!$B$26)</x:f>
        <x:v>174.762</x:v>
      </x:c>
      <x:c r="N10" s="39" t="n">
        <x:f>IF($E10="","",$E10*Supuestos!$B$8*Supuestos!$B$26)</x:f>
        <x:v>174.762</x:v>
      </x:c>
      <x:c r="O10" s="39" t="n">
        <x:f>IF($E10="","",$E10*Supuestos!$B$8*Supuestos!$B$26)</x:f>
        <x:v>174.762</x:v>
      </x:c>
      <x:c r="P10" s="39" t="n">
        <x:f>IF($E10="","",$E10*Supuestos!$B$8*Supuestos!$B$26)</x:f>
        <x:v>174.762</x:v>
      </x:c>
      <x:c r="Q10" s="39" t="n">
        <x:f>IF($E10="","",$E10*Supuestos!$B$8*Supuestos!$B$26)</x:f>
        <x:v>174.762</x:v>
      </x:c>
      <x:c r="R10" s="39" t="n">
        <x:f>IF($E10="","",$E10*Supuestos!$B$8*Supuestos!$B$26)</x:f>
        <x:v>174.762</x:v>
      </x:c>
      <x:c r="S10" s="39" t="n">
        <x:f>IF($E10="","",$E10*Supuestos!$B$8*Supuestos!$B$26)</x:f>
        <x:v>174.762</x:v>
      </x:c>
      <x:c r="T10" s="39" t="n">
        <x:f>IF($E10="","",$E10*Supuestos!$B$8*Supuestos!$B$26)</x:f>
        <x:v>174.762</x:v>
      </x:c>
      <x:c r="U10" s="39" t="n">
        <x:f>IF($E10="","",$E10*Supuestos!$B$8*Supuestos!$B$26)</x:f>
        <x:v>174.762</x:v>
      </x:c>
      <x:c r="V10" s="39" t="n">
        <x:f>IF($E10="","",$E10*Supuestos!$B$8*Supuestos!$B$26)</x:f>
        <x:v>174.762</x:v>
      </x:c>
      <x:c r="W10" s="39" t="n">
        <x:f>IF($E10="","",$E10*Supuestos!$B$8*Supuestos!$B$26)</x:f>
        <x:v>174.762</x:v>
      </x:c>
      <x:c r="X10" s="39" t="n">
        <x:f>IF($E10="","",$E10*Supuestos!$B$8*Supuestos!$B$26)</x:f>
        <x:v>174.762</x:v>
      </x:c>
      <x:c r="Y10" s="39" t="n">
        <x:f>IF($E10="","",$E10*Supuestos!$B$8*Supuestos!$B$26)</x:f>
        <x:v>174.762</x:v>
      </x:c>
      <x:c r="Z10" s="39" t="n">
        <x:f>IF($E10="","",$E10*Supuestos!$B$8*Supuestos!$B$26)</x:f>
        <x:v>174.762</x:v>
      </x:c>
      <x:c r="AA10" s="39" t="n">
        <x:f>IF($E10="","",$E10*Supuestos!$B$8*Supuestos!$B$26)</x:f>
        <x:v>174.762</x:v>
      </x:c>
      <x:c r="AB10" s="39" t="n">
        <x:f>IF($E10="","",$E10*Supuestos!$B$8*Supuestos!$B$26)</x:f>
        <x:v>174.762</x:v>
      </x:c>
      <x:c r="AC10" s="39" t="n">
        <x:f>IF($E10="","",$E10*Supuestos!$B$8*Supuestos!$B$26)</x:f>
        <x:v>174.762</x:v>
      </x:c>
      <x:c r="AD10" s="39" t="n">
        <x:f>IF($E10="","",$E10*Supuestos!$B$8*Supuestos!$B$26)</x:f>
        <x:v>174.762</x:v>
      </x:c>
      <x:c r="AE10" s="39" t="n">
        <x:f>IF($E10="","",$E10*Supuestos!$B$8*Supuestos!$B$26)</x:f>
        <x:v>174.762</x:v>
      </x:c>
      <x:c r="AF10" s="39" t="n">
        <x:f>IF($E10="","",$E10*Supuestos!$B$8*Supuestos!$B$26)</x:f>
        <x:v>174.762</x:v>
      </x:c>
      <x:c r="AG10" s="39" t="n">
        <x:f>IF($E10="","",$E10*Supuestos!$B$8*Supuestos!$B$26)</x:f>
        <x:v>174.762</x:v>
      </x:c>
      <x:c r="AH10" s="39" t="n">
        <x:f>IF($E10="","",$E10*Supuestos!$B$8*Supuestos!$B$26)</x:f>
        <x:v>174.762</x:v>
      </x:c>
      <x:c r="AI10" s="39" t="n">
        <x:f>IF($E10="","",$E10*Supuestos!$B$8*Supuestos!$B$26)</x:f>
        <x:v>174.762</x:v>
      </x:c>
      <x:c r="AJ10" s="39" t="n">
        <x:f>IF($E10="","",$E10*Supuestos!$B$8*Supuestos!$B$26)</x:f>
        <x:v>174.762</x:v>
      </x:c>
      <x:c r="AK10" s="39" t="n">
        <x:f>IF($E10="","",$E10*Supuestos!$B$8*Supuestos!$B$26)</x:f>
        <x:v>174.762</x:v>
      </x:c>
      <x:c r="AL10" s="39" t="n">
        <x:f>IF($E10="","",$E10*Supuestos!$B$8*Supuestos!$B$26)</x:f>
        <x:v>174.762</x:v>
      </x:c>
      <x:c r="AM10" s="39" t="n">
        <x:f>IF($E10="","",$E10*Supuestos!$B$8*Supuestos!$B$26)</x:f>
        <x:v>174.762</x:v>
      </x:c>
      <x:c r="AN10" s="39" t="n">
        <x:f>IF($E10="","",$E10*Supuestos!$B$8*Supuestos!$B$26)</x:f>
        <x:v>174.762</x:v>
      </x:c>
      <x:c r="AO10" s="39" t="n">
        <x:f>IF($E10="","",$E10*Supuestos!$B$8*Supuestos!$B$26)</x:f>
        <x:v>174.762</x:v>
      </x:c>
      <x:c r="AP10" s="39" t="n">
        <x:f>IF($E10="","",$E10*Supuestos!$B$8*Supuestos!$B$26)</x:f>
        <x:v>174.762</x:v>
      </x:c>
      <x:c r="AQ10" s="39" t="n">
        <x:f>IF($E10="","",$E10*Supuestos!$B$8*Supuestos!$B$26)</x:f>
        <x:v>174.762</x:v>
      </x:c>
      <x:c r="AR10" s="39" t="n">
        <x:f>IF($E10="","",$E10*Supuestos!$B$8*Supuestos!$B$26)</x:f>
        <x:v>174.762</x:v>
      </x:c>
      <x:c r="AS10" s="39" t="n">
        <x:f>IF($E10="","",$E10*Supuestos!$B$8*Supuestos!$B$26)</x:f>
        <x:v>174.762</x:v>
      </x:c>
      <x:c r="AT10" s="39" t="n">
        <x:f>IF($E10="","",$E10*Supuestos!$B$8*Supuestos!$B$26)</x:f>
        <x:v>174.762</x:v>
      </x:c>
      <x:c r="AU10" s="39" t="n">
        <x:f>IF($E10="","",$E10*Supuestos!$B$8*Supuestos!$B$26)</x:f>
        <x:v>174.762</x:v>
      </x:c>
      <x:c r="AV10" s="39" t="n">
        <x:f>IF($E10="","",$E10*Supuestos!$B$8*Supuestos!$B$26)</x:f>
        <x:v>174.762</x:v>
      </x:c>
      <x:c r="AW10" s="39" t="n">
        <x:f>IF($E10="","",$E10*Supuestos!$B$8*Supuestos!$B$26)</x:f>
        <x:v>174.762</x:v>
      </x:c>
      <x:c r="AX10" s="39" t="n">
        <x:f>IF($E10="","",$E10*Supuestos!$B$8*Supuestos!$B$26)</x:f>
        <x:v>174.762</x:v>
      </x:c>
      <x:c r="AY10" s="39" t="n">
        <x:f>IF($E10="","",$E10*Supuestos!$B$8*Supuestos!$B$26)</x:f>
        <x:v>174.762</x:v>
      </x:c>
      <x:c r="AZ10" s="39" t="n">
        <x:f>IF($E10="","",$E10*Supuestos!$B$8*Supuestos!$B$26)</x:f>
        <x:v>174.762</x:v>
      </x:c>
      <x:c r="BA10" s="39" t="n">
        <x:f>IF($E10="","",$E10*Supuestos!$B$8*Supuestos!$B$26)</x:f>
        <x:v>174.762</x:v>
      </x:c>
      <x:c r="BB10" s="39" t="n">
        <x:f>IF($E10="","",$E10*Supuestos!$B$8*Supuestos!$B$26)</x:f>
        <x:v>174.762</x:v>
      </x:c>
      <x:c r="BC10" s="39" t="n">
        <x:f>IF($E10="","",$E10*Supuestos!$B$8*Supuestos!$B$26)</x:f>
        <x:v>174.762</x:v>
      </x:c>
      <x:c r="BD10" s="39" t="n">
        <x:f>IF($E10="","",$E10*Supuestos!$B$8*Supuestos!$B$26)</x:f>
        <x:v>174.762</x:v>
      </x:c>
      <x:c r="BE10" s="39" t="n">
        <x:f>IF($E10="","",$E10*Supuestos!$B$8*Supuestos!$B$26)</x:f>
        <x:v>174.762</x:v>
      </x:c>
      <x:c r="BF10" s="39" t="n">
        <x:f>IF($E10="","",$E10*Supuestos!$B$8*Supuestos!$B$26)</x:f>
        <x:v>174.762</x:v>
      </x:c>
      <x:c r="BG10" s="39" t="n">
        <x:f>IF($E10="","",$E10*Supuestos!$B$8*Supuestos!$B$26)</x:f>
        <x:v>174.762</x:v>
      </x:c>
      <x:c r="BH10" s="39" t="n">
        <x:f>IF($E10="","",$E10*Supuestos!$B$8*Supuestos!$B$26)</x:f>
        <x:v>174.762</x:v>
      </x:c>
      <x:c r="BI10" s="39" t="n">
        <x:f>IF($E10="","",$E10*Supuestos!$B$8*Supuestos!$B$26)</x:f>
        <x:v>174.762</x:v>
      </x:c>
      <x:c r="BJ10" s="39" t="n">
        <x:f>IF($E10="","",$E10*Supuestos!$B$8*Supuestos!$B$26)</x:f>
        <x:v>174.762</x:v>
      </x:c>
      <x:c r="BK10" s="39" t="n">
        <x:f>IF($E10="","",$E10*Supuestos!$B$8*Supuestos!$B$26)</x:f>
        <x:v>174.762</x:v>
      </x:c>
      <x:c r="BL10" s="39" t="n">
        <x:f>IF($E10="","",$E10*Supuestos!$B$8*Supuestos!$B$26)</x:f>
        <x:v>174.762</x:v>
      </x:c>
      <x:c r="BM10" s="39" t="n">
        <x:f>IF($E10="","",$E10*Supuestos!$B$8*Supuestos!$B$26)</x:f>
        <x:v>174.762</x:v>
      </x:c>
      <x:c r="BN10" s="39" t="n">
        <x:f>IF($E10="","",$E10*Supuestos!$B$8*Supuestos!$B$26)</x:f>
        <x:v>174.762</x:v>
      </x:c>
      <x:c r="BO10" s="47" t="n">
        <x:f>IF(COUNT(G10:BN10)=0,"",SUM(G10:BN10))</x:f>
        <x:v>10485.720000000003</x:v>
      </x:c>
    </x:row>
    <x:row r="11">
      <x:c r="A11" s="16" t="str">
        <x:v>SCL-05</x:v>
      </x:c>
      <x:c r="B11" s="17" t="str">
        <x:v>Chile Central</x:v>
      </x:c>
      <x:c r="C11" s="17" t="str">
        <x:v>Almacenamiento base de datos</x:v>
      </x:c>
      <x:c r="D11" s="17" t="str">
        <x:v>GiB-mes</x:v>
      </x:c>
      <x:c r="E11" s="38" t="n">
        <x:f>'Fuentes y Cotizaciones'!F11</x:f>
        <x:v>0.161</x:v>
      </x:c>
      <x:c r="F11" s="17" t="str">
        <x:v>GiB provisionados</x:v>
      </x:c>
      <x:c r="G11" s="39" t="n">
        <x:f>IF($E11="","",$E11*Supuestos!$B$14)</x:f>
        <x:v>16.1</x:v>
      </x:c>
      <x:c r="H11" s="39" t="n">
        <x:f>IF($E11="","",$E11*Supuestos!$B$14)</x:f>
        <x:v>16.1</x:v>
      </x:c>
      <x:c r="I11" s="39" t="n">
        <x:f>IF($E11="","",$E11*Supuestos!$B$14)</x:f>
        <x:v>16.1</x:v>
      </x:c>
      <x:c r="J11" s="39" t="n">
        <x:f>IF($E11="","",$E11*Supuestos!$B$14)</x:f>
        <x:v>16.1</x:v>
      </x:c>
      <x:c r="K11" s="39" t="n">
        <x:f>IF($E11="","",$E11*Supuestos!$B$14)</x:f>
        <x:v>16.1</x:v>
      </x:c>
      <x:c r="L11" s="39" t="n">
        <x:f>IF($E11="","",$E11*Supuestos!$B$14)</x:f>
        <x:v>16.1</x:v>
      </x:c>
      <x:c r="M11" s="39" t="n">
        <x:f>IF($E11="","",$E11*Supuestos!$B$14)</x:f>
        <x:v>16.1</x:v>
      </x:c>
      <x:c r="N11" s="39" t="n">
        <x:f>IF($E11="","",$E11*Supuestos!$B$14)</x:f>
        <x:v>16.1</x:v>
      </x:c>
      <x:c r="O11" s="39" t="n">
        <x:f>IF($E11="","",$E11*Supuestos!$B$14)</x:f>
        <x:v>16.1</x:v>
      </x:c>
      <x:c r="P11" s="39" t="n">
        <x:f>IF($E11="","",$E11*Supuestos!$B$14)</x:f>
        <x:v>16.1</x:v>
      </x:c>
      <x:c r="Q11" s="39" t="n">
        <x:f>IF($E11="","",$E11*Supuestos!$B$14)</x:f>
        <x:v>16.1</x:v>
      </x:c>
      <x:c r="R11" s="39" t="n">
        <x:f>IF($E11="","",$E11*Supuestos!$B$14)</x:f>
        <x:v>16.1</x:v>
      </x:c>
      <x:c r="S11" s="39" t="n">
        <x:f>IF($E11="","",$E11*Supuestos!$B$14)</x:f>
        <x:v>16.1</x:v>
      </x:c>
      <x:c r="T11" s="39" t="n">
        <x:f>IF($E11="","",$E11*Supuestos!$B$14)</x:f>
        <x:v>16.1</x:v>
      </x:c>
      <x:c r="U11" s="39" t="n">
        <x:f>IF($E11="","",$E11*Supuestos!$B$14)</x:f>
        <x:v>16.1</x:v>
      </x:c>
      <x:c r="V11" s="39" t="n">
        <x:f>IF($E11="","",$E11*Supuestos!$B$14)</x:f>
        <x:v>16.1</x:v>
      </x:c>
      <x:c r="W11" s="39" t="n">
        <x:f>IF($E11="","",$E11*Supuestos!$B$14)</x:f>
        <x:v>16.1</x:v>
      </x:c>
      <x:c r="X11" s="39" t="n">
        <x:f>IF($E11="","",$E11*Supuestos!$B$14)</x:f>
        <x:v>16.1</x:v>
      </x:c>
      <x:c r="Y11" s="39" t="n">
        <x:f>IF($E11="","",$E11*Supuestos!$B$14)</x:f>
        <x:v>16.1</x:v>
      </x:c>
      <x:c r="Z11" s="39" t="n">
        <x:f>IF($E11="","",$E11*Supuestos!$B$14)</x:f>
        <x:v>16.1</x:v>
      </x:c>
      <x:c r="AA11" s="39" t="n">
        <x:f>IF($E11="","",$E11*Supuestos!$B$14)</x:f>
        <x:v>16.1</x:v>
      </x:c>
      <x:c r="AB11" s="39" t="n">
        <x:f>IF($E11="","",$E11*Supuestos!$B$14)</x:f>
        <x:v>16.1</x:v>
      </x:c>
      <x:c r="AC11" s="39" t="n">
        <x:f>IF($E11="","",$E11*Supuestos!$B$14)</x:f>
        <x:v>16.1</x:v>
      </x:c>
      <x:c r="AD11" s="39" t="n">
        <x:f>IF($E11="","",$E11*Supuestos!$B$14)</x:f>
        <x:v>16.1</x:v>
      </x:c>
      <x:c r="AE11" s="39" t="n">
        <x:f>IF($E11="","",$E11*Supuestos!$B$14)</x:f>
        <x:v>16.1</x:v>
      </x:c>
      <x:c r="AF11" s="39" t="n">
        <x:f>IF($E11="","",$E11*Supuestos!$B$14)</x:f>
        <x:v>16.1</x:v>
      </x:c>
      <x:c r="AG11" s="39" t="n">
        <x:f>IF($E11="","",$E11*Supuestos!$B$14)</x:f>
        <x:v>16.1</x:v>
      </x:c>
      <x:c r="AH11" s="39" t="n">
        <x:f>IF($E11="","",$E11*Supuestos!$B$14)</x:f>
        <x:v>16.1</x:v>
      </x:c>
      <x:c r="AI11" s="39" t="n">
        <x:f>IF($E11="","",$E11*Supuestos!$B$14)</x:f>
        <x:v>16.1</x:v>
      </x:c>
      <x:c r="AJ11" s="39" t="n">
        <x:f>IF($E11="","",$E11*Supuestos!$B$14)</x:f>
        <x:v>16.1</x:v>
      </x:c>
      <x:c r="AK11" s="39" t="n">
        <x:f>IF($E11="","",$E11*Supuestos!$B$14)</x:f>
        <x:v>16.1</x:v>
      </x:c>
      <x:c r="AL11" s="39" t="n">
        <x:f>IF($E11="","",$E11*Supuestos!$B$14)</x:f>
        <x:v>16.1</x:v>
      </x:c>
      <x:c r="AM11" s="39" t="n">
        <x:f>IF($E11="","",$E11*Supuestos!$B$14)</x:f>
        <x:v>16.1</x:v>
      </x:c>
      <x:c r="AN11" s="39" t="n">
        <x:f>IF($E11="","",$E11*Supuestos!$B$14)</x:f>
        <x:v>16.1</x:v>
      </x:c>
      <x:c r="AO11" s="39" t="n">
        <x:f>IF($E11="","",$E11*Supuestos!$B$14)</x:f>
        <x:v>16.1</x:v>
      </x:c>
      <x:c r="AP11" s="39" t="n">
        <x:f>IF($E11="","",$E11*Supuestos!$B$14)</x:f>
        <x:v>16.1</x:v>
      </x:c>
      <x:c r="AQ11" s="39" t="n">
        <x:f>IF($E11="","",$E11*Supuestos!$B$14)</x:f>
        <x:v>16.1</x:v>
      </x:c>
      <x:c r="AR11" s="39" t="n">
        <x:f>IF($E11="","",$E11*Supuestos!$B$14)</x:f>
        <x:v>16.1</x:v>
      </x:c>
      <x:c r="AS11" s="39" t="n">
        <x:f>IF($E11="","",$E11*Supuestos!$B$14)</x:f>
        <x:v>16.1</x:v>
      </x:c>
      <x:c r="AT11" s="39" t="n">
        <x:f>IF($E11="","",$E11*Supuestos!$B$14)</x:f>
        <x:v>16.1</x:v>
      </x:c>
      <x:c r="AU11" s="39" t="n">
        <x:f>IF($E11="","",$E11*Supuestos!$B$14)</x:f>
        <x:v>16.1</x:v>
      </x:c>
      <x:c r="AV11" s="39" t="n">
        <x:f>IF($E11="","",$E11*Supuestos!$B$14)</x:f>
        <x:v>16.1</x:v>
      </x:c>
      <x:c r="AW11" s="39" t="n">
        <x:f>IF($E11="","",$E11*Supuestos!$B$14)</x:f>
        <x:v>16.1</x:v>
      </x:c>
      <x:c r="AX11" s="39" t="n">
        <x:f>IF($E11="","",$E11*Supuestos!$B$14)</x:f>
        <x:v>16.1</x:v>
      </x:c>
      <x:c r="AY11" s="39" t="n">
        <x:f>IF($E11="","",$E11*Supuestos!$B$14)</x:f>
        <x:v>16.1</x:v>
      </x:c>
      <x:c r="AZ11" s="39" t="n">
        <x:f>IF($E11="","",$E11*Supuestos!$B$14)</x:f>
        <x:v>16.1</x:v>
      </x:c>
      <x:c r="BA11" s="39" t="n">
        <x:f>IF($E11="","",$E11*Supuestos!$B$14)</x:f>
        <x:v>16.1</x:v>
      </x:c>
      <x:c r="BB11" s="39" t="n">
        <x:f>IF($E11="","",$E11*Supuestos!$B$14)</x:f>
        <x:v>16.1</x:v>
      </x:c>
      <x:c r="BC11" s="39" t="n">
        <x:f>IF($E11="","",$E11*Supuestos!$B$14)</x:f>
        <x:v>16.1</x:v>
      </x:c>
      <x:c r="BD11" s="39" t="n">
        <x:f>IF($E11="","",$E11*Supuestos!$B$14)</x:f>
        <x:v>16.1</x:v>
      </x:c>
      <x:c r="BE11" s="39" t="n">
        <x:f>IF($E11="","",$E11*Supuestos!$B$14)</x:f>
        <x:v>16.1</x:v>
      </x:c>
      <x:c r="BF11" s="39" t="n">
        <x:f>IF($E11="","",$E11*Supuestos!$B$14)</x:f>
        <x:v>16.1</x:v>
      </x:c>
      <x:c r="BG11" s="39" t="n">
        <x:f>IF($E11="","",$E11*Supuestos!$B$14)</x:f>
        <x:v>16.1</x:v>
      </x:c>
      <x:c r="BH11" s="39" t="n">
        <x:f>IF($E11="","",$E11*Supuestos!$B$14)</x:f>
        <x:v>16.1</x:v>
      </x:c>
      <x:c r="BI11" s="39" t="n">
        <x:f>IF($E11="","",$E11*Supuestos!$B$14)</x:f>
        <x:v>16.1</x:v>
      </x:c>
      <x:c r="BJ11" s="39" t="n">
        <x:f>IF($E11="","",$E11*Supuestos!$B$14)</x:f>
        <x:v>16.1</x:v>
      </x:c>
      <x:c r="BK11" s="39" t="n">
        <x:f>IF($E11="","",$E11*Supuestos!$B$14)</x:f>
        <x:v>16.1</x:v>
      </x:c>
      <x:c r="BL11" s="39" t="n">
        <x:f>IF($E11="","",$E11*Supuestos!$B$14)</x:f>
        <x:v>16.1</x:v>
      </x:c>
      <x:c r="BM11" s="39" t="n">
        <x:f>IF($E11="","",$E11*Supuestos!$B$14)</x:f>
        <x:v>16.1</x:v>
      </x:c>
      <x:c r="BN11" s="39" t="n">
        <x:f>IF($E11="","",$E11*Supuestos!$B$14)</x:f>
        <x:v>16.1</x:v>
      </x:c>
      <x:c r="BO11" s="47" t="n">
        <x:f>IF(COUNT(G11:BN11)=0,"",SUM(G11:BN11))</x:f>
        <x:v>966.0000000000009</x:v>
      </x:c>
    </x:row>
    <x:row r="12">
      <x:c r="A12" s="16" t="str">
        <x:v>SCL-06</x:v>
      </x:c>
      <x:c r="B12" s="17" t="str">
        <x:v>Chile Central</x:v>
      </x:c>
      <x:c r="C12" s="17" t="str">
        <x:v>Almacenamiento de objetos</x:v>
      </x:c>
      <x:c r="D12" s="17" t="str">
        <x:v>GB-mes</x:v>
      </x:c>
      <x:c r="E12" s="38" t="n">
        <x:f>'Fuentes y Cotizaciones'!F12</x:f>
        <x:v>0.02576</x:v>
      </x:c>
      <x:c r="F12" s="17" t="str">
        <x:v>Objetos con crecimiento anual</x:v>
      </x:c>
      <x:c r="G12" s="39" t="n">
        <x:f>IF($E12="","",$E12*Supuestos!$B$15*(1+Supuestos!$B$16)^((COLUMNS($G12:G12)-1)/12))</x:f>
        <x:v>12.88</x:v>
      </x:c>
      <x:c r="H12" s="39" t="n">
        <x:f>IF($E12="","",$E12*Supuestos!$B$15*(1+Supuestos!$B$16)^((COLUMNS($G12:H12)-1)/12))</x:f>
        <x:v>13.077185980036539</x:v>
      </x:c>
      <x:c r="I12" s="39" t="n">
        <x:f>IF($E12="","",$E12*Supuestos!$B$15*(1+Supuestos!$B$16)^((COLUMNS($G12:I12)-1)/12))</x:f>
        <x:v>13.277390773017407</x:v>
      </x:c>
      <x:c r="J12" s="39" t="n">
        <x:f>IF($E12="","",$E12*Supuestos!$B$15*(1+Supuestos!$B$16)^((COLUMNS($G12:J12)-1)/12))</x:f>
        <x:v>13.48066059537032</x:v>
      </x:c>
      <x:c r="K12" s="39" t="n">
        <x:f>IF($E12="","",$E12*Supuestos!$B$15*(1+Supuestos!$B$16)^((COLUMNS($G12:K12)-1)/12))</x:f>
        <x:v>13.687042371072032</x:v>
      </x:c>
      <x:c r="L12" s="39" t="n">
        <x:f>IF($E12="","",$E12*Supuestos!$B$15*(1+Supuestos!$B$16)^((COLUMNS($G12:L12)-1)/12))</x:f>
        <x:v>13.896583742480528</x:v>
      </x:c>
      <x:c r="M12" s="39" t="n">
        <x:f>IF($E12="","",$E12*Supuestos!$B$15*(1+Supuestos!$B$16)^((COLUMNS($G12:M12)-1)/12))</x:f>
        <x:v>14.109333081333078</x:v>
      </x:c>
      <x:c r="N12" s="39" t="n">
        <x:f>IF($E12="","",$E12*Supuestos!$B$15*(1+Supuestos!$B$16)^((COLUMNS($G12:N12)-1)/12))</x:f>
        <x:v>14.32533949991263</x:v>
      </x:c>
      <x:c r="O12" s="39" t="n">
        <x:f>IF($E12="","",$E12*Supuestos!$B$15*(1+Supuestos!$B$16)^((COLUMNS($G12:O12)-1)/12))</x:f>
        <x:v>14.544652862385176</x:v>
      </x:c>
      <x:c r="P12" s="39" t="n">
        <x:f>IF($E12="","",$E12*Supuestos!$B$15*(1+Supuestos!$B$16)^((COLUMNS($G12:P12)-1)/12))</x:f>
        <x:v>14.767323796310693</x:v>
      </x:c>
      <x:c r="Q12" s="39" t="n">
        <x:f>IF($E12="","",$E12*Supuestos!$B$15*(1+Supuestos!$B$16)^((COLUMNS($G12:Q12)-1)/12))</x:f>
        <x:v>14.993403704330293</x:v>
      </x:c>
      <x:c r="R12" s="39" t="n">
        <x:f>IF($E12="","",$E12*Supuestos!$B$15*(1+Supuestos!$B$16)^((COLUMNS($G12:R12)-1)/12))</x:f>
        <x:v>15.222944776032298</x:v>
      </x:c>
      <x:c r="S12" s="39" t="n">
        <x:f>IF($E12="","",$E12*Supuestos!$B$15*(1+Supuestos!$B$16)^((COLUMNS($G12:S12)-1)/12))</x:f>
        <x:v>15.456</x:v>
      </x:c>
      <x:c r="T12" s="39" t="n">
        <x:f>IF($E12="","",$E12*Supuestos!$B$15*(1+Supuestos!$B$16)^((COLUMNS($G12:T12)-1)/12))</x:f>
        <x:v>15.692623176043845</x:v>
      </x:c>
      <x:c r="U12" s="39" t="n">
        <x:f>IF($E12="","",$E12*Supuestos!$B$15*(1+Supuestos!$B$16)^((COLUMNS($G12:U12)-1)/12))</x:f>
        <x:v>15.932868927620888</x:v>
      </x:c>
      <x:c r="V12" s="39" t="n">
        <x:f>IF($E12="","",$E12*Supuestos!$B$15*(1+Supuestos!$B$16)^((COLUMNS($G12:V12)-1)/12))</x:f>
        <x:v>16.17679271444438</x:v>
      </x:c>
      <x:c r="W12" s="39" t="n">
        <x:f>IF($E12="","",$E12*Supuestos!$B$15*(1+Supuestos!$B$16)^((COLUMNS($G12:W12)-1)/12))</x:f>
        <x:v>16.424450845286437</x:v>
      </x:c>
      <x:c r="X12" s="39" t="n">
        <x:f>IF($E12="","",$E12*Supuestos!$B$15*(1+Supuestos!$B$16)^((COLUMNS($G12:X12)-1)/12))</x:f>
        <x:v>16.675900490976638</x:v>
      </x:c>
      <x:c r="Y12" s="39" t="n">
        <x:f>IF($E12="","",$E12*Supuestos!$B$15*(1+Supuestos!$B$16)^((COLUMNS($G12:Y12)-1)/12))</x:f>
        <x:v>16.931199697599695</x:v>
      </x:c>
      <x:c r="Z12" s="39" t="n">
        <x:f>IF($E12="","",$E12*Supuestos!$B$15*(1+Supuestos!$B$16)^((COLUMNS($G12:Z12)-1)/12))</x:f>
        <x:v>17.190407399895154</x:v>
      </x:c>
      <x:c r="AA12" s="39" t="n">
        <x:f>IF($E12="","",$E12*Supuestos!$B$15*(1+Supuestos!$B$16)^((COLUMNS($G12:AA12)-1)/12))</x:f>
        <x:v>17.453583434862214</x:v>
      </x:c>
      <x:c r="AB12" s="39" t="n">
        <x:f>IF($E12="","",$E12*Supuestos!$B$15*(1+Supuestos!$B$16)^((COLUMNS($G12:AB12)-1)/12))</x:f>
        <x:v>17.72078855557283</x:v>
      </x:c>
      <x:c r="AC12" s="39" t="n">
        <x:f>IF($E12="","",$E12*Supuestos!$B$15*(1+Supuestos!$B$16)^((COLUMNS($G12:AC12)-1)/12))</x:f>
        <x:v>17.992084445196348</x:v>
      </x:c>
      <x:c r="AD12" s="39" t="n">
        <x:f>IF($E12="","",$E12*Supuestos!$B$15*(1+Supuestos!$B$16)^((COLUMNS($G12:AD12)-1)/12))</x:f>
        <x:v>18.267533731238757</x:v>
      </x:c>
      <x:c r="AE12" s="39" t="n">
        <x:f>IF($E12="","",$E12*Supuestos!$B$15*(1+Supuestos!$B$16)^((COLUMNS($G12:AE12)-1)/12))</x:f>
        <x:v>18.5472</x:v>
      </x:c>
      <x:c r="AF12" s="39" t="n">
        <x:f>IF($E12="","",$E12*Supuestos!$B$15*(1+Supuestos!$B$16)^((COLUMNS($G12:AF12)-1)/12))</x:f>
        <x:v>18.831147811252617</x:v>
      </x:c>
      <x:c r="AG12" s="39" t="n">
        <x:f>IF($E12="","",$E12*Supuestos!$B$15*(1+Supuestos!$B$16)^((COLUMNS($G12:AG12)-1)/12))</x:f>
        <x:v>19.119442713145066</x:v>
      </x:c>
      <x:c r="AH12" s="39" t="n">
        <x:f>IF($E12="","",$E12*Supuestos!$B$15*(1+Supuestos!$B$16)^((COLUMNS($G12:AH12)-1)/12))</x:f>
        <x:v>19.41215125733326</x:v>
      </x:c>
      <x:c r="AI12" s="39" t="n">
        <x:f>IF($E12="","",$E12*Supuestos!$B$15*(1+Supuestos!$B$16)^((COLUMNS($G12:AI12)-1)/12))</x:f>
        <x:v>19.709341014343725</x:v>
      </x:c>
      <x:c r="AJ12" s="39" t="n">
        <x:f>IF($E12="","",$E12*Supuestos!$B$15*(1+Supuestos!$B$16)^((COLUMNS($G12:AJ12)-1)/12))</x:f>
        <x:v>20.01108058917196</x:v>
      </x:c>
      <x:c r="AK12" s="39" t="n">
        <x:f>IF($E12="","",$E12*Supuestos!$B$15*(1+Supuestos!$B$16)^((COLUMNS($G12:AK12)-1)/12))</x:f>
        <x:v>20.317439637119634</x:v>
      </x:c>
      <x:c r="AL12" s="39" t="n">
        <x:f>IF($E12="","",$E12*Supuestos!$B$15*(1+Supuestos!$B$16)^((COLUMNS($G12:AL12)-1)/12))</x:f>
        <x:v>20.628488879874187</x:v>
      </x:c>
      <x:c r="AM12" s="39" t="n">
        <x:f>IF($E12="","",$E12*Supuestos!$B$15*(1+Supuestos!$B$16)^((COLUMNS($G12:AM12)-1)/12))</x:f>
        <x:v>20.944300121834655</x:v>
      </x:c>
      <x:c r="AN12" s="39" t="n">
        <x:f>IF($E12="","",$E12*Supuestos!$B$15*(1+Supuestos!$B$16)^((COLUMNS($G12:AN12)-1)/12))</x:f>
        <x:v>21.264946266687396</x:v>
      </x:c>
      <x:c r="AO12" s="39" t="n">
        <x:f>IF($E12="","",$E12*Supuestos!$B$15*(1+Supuestos!$B$16)^((COLUMNS($G12:AO12)-1)/12))</x:f>
        <x:v>21.59050133423562</x:v>
      </x:c>
      <x:c r="AP12" s="39" t="n">
        <x:f>IF($E12="","",$E12*Supuestos!$B$15*(1+Supuestos!$B$16)^((COLUMNS($G12:AP12)-1)/12))</x:f>
        <x:v>21.921040477486503</x:v>
      </x:c>
      <x:c r="AQ12" s="39" t="n">
        <x:f>IF($E12="","",$E12*Supuestos!$B$15*(1+Supuestos!$B$16)^((COLUMNS($G12:AQ12)-1)/12))</x:f>
        <x:v>22.256639999999997</x:v>
      </x:c>
      <x:c r="AR12" s="39" t="n">
        <x:f>IF($E12="","",$E12*Supuestos!$B$15*(1+Supuestos!$B$16)^((COLUMNS($G12:AR12)-1)/12))</x:f>
        <x:v>22.597377373503136</x:v>
      </x:c>
      <x:c r="AS12" s="39" t="n">
        <x:f>IF($E12="","",$E12*Supuestos!$B$15*(1+Supuestos!$B$16)^((COLUMNS($G12:AS12)-1)/12))</x:f>
        <x:v>22.943331255774076</x:v>
      </x:c>
      <x:c r="AT12" s="39" t="n">
        <x:f>IF($E12="","",$E12*Supuestos!$B$15*(1+Supuestos!$B$16)^((COLUMNS($G12:AT12)-1)/12))</x:f>
        <x:v>23.29458150879991</x:v>
      </x:c>
      <x:c r="AU12" s="39" t="n">
        <x:f>IF($E12="","",$E12*Supuestos!$B$15*(1+Supuestos!$B$16)^((COLUMNS($G12:AU12)-1)/12))</x:f>
        <x:v>23.651209217212468</x:v>
      </x:c>
      <x:c r="AV12" s="39" t="n">
        <x:f>IF($E12="","",$E12*Supuestos!$B$15*(1+Supuestos!$B$16)^((COLUMNS($G12:AV12)-1)/12))</x:f>
        <x:v>24.01329670700635</x:v>
      </x:c>
      <x:c r="AW12" s="39" t="n">
        <x:f>IF($E12="","",$E12*Supuestos!$B$15*(1+Supuestos!$B$16)^((COLUMNS($G12:AW12)-1)/12))</x:f>
        <x:v>24.38092756454356</x:v>
      </x:c>
      <x:c r="AX12" s="39" t="n">
        <x:f>IF($E12="","",$E12*Supuestos!$B$15*(1+Supuestos!$B$16)^((COLUMNS($G12:AX12)-1)/12))</x:f>
        <x:v>24.754186655849022</x:v>
      </x:c>
      <x:c r="AY12" s="39" t="n">
        <x:f>IF($E12="","",$E12*Supuestos!$B$15*(1+Supuestos!$B$16)^((COLUMNS($G12:AY12)-1)/12))</x:f>
        <x:v>25.133160146201583</x:v>
      </x:c>
      <x:c r="AZ12" s="39" t="n">
        <x:f>IF($E12="","",$E12*Supuestos!$B$15*(1+Supuestos!$B$16)^((COLUMNS($G12:AZ12)-1)/12))</x:f>
        <x:v>25.517935520024874</x:v>
      </x:c>
      <x:c r="BA12" s="39" t="n">
        <x:f>IF($E12="","",$E12*Supuestos!$B$15*(1+Supuestos!$B$16)^((COLUMNS($G12:BA12)-1)/12))</x:f>
        <x:v>25.908601601082744</x:v>
      </x:c>
      <x:c r="BB12" s="39" t="n">
        <x:f>IF($E12="","",$E12*Supuestos!$B$15*(1+Supuestos!$B$16)^((COLUMNS($G12:BB12)-1)/12))</x:f>
        <x:v>26.305248572983807</x:v>
      </x:c>
      <x:c r="BC12" s="39" t="n">
        <x:f>IF($E12="","",$E12*Supuestos!$B$15*(1+Supuestos!$B$16)^((COLUMNS($G12:BC12)-1)/12))</x:f>
        <x:v>26.707968</x:v>
      </x:c>
      <x:c r="BD12" s="39" t="n">
        <x:f>IF($E12="","",$E12*Supuestos!$B$15*(1+Supuestos!$B$16)^((COLUMNS($G12:BD12)-1)/12))</x:f>
        <x:v>27.116852848203763</x:v>
      </x:c>
      <x:c r="BE12" s="39" t="n">
        <x:f>IF($E12="","",$E12*Supuestos!$B$15*(1+Supuestos!$B$16)^((COLUMNS($G12:BE12)-1)/12))</x:f>
        <x:v>27.531997506928892</x:v>
      </x:c>
      <x:c r="BF12" s="39" t="n">
        <x:f>IF($E12="","",$E12*Supuestos!$B$15*(1+Supuestos!$B$16)^((COLUMNS($G12:BF12)-1)/12))</x:f>
        <x:v>27.95349781055989</x:v>
      </x:c>
      <x:c r="BG12" s="39" t="n">
        <x:f>IF($E12="","",$E12*Supuestos!$B$15*(1+Supuestos!$B$16)^((COLUMNS($G12:BG12)-1)/12))</x:f>
        <x:v>28.381451060654957</x:v>
      </x:c>
      <x:c r="BH12" s="39" t="n">
        <x:f>IF($E12="","",$E12*Supuestos!$B$15*(1+Supuestos!$B$16)^((COLUMNS($G12:BH12)-1)/12))</x:f>
        <x:v>28.815956048407624</x:v>
      </x:c>
      <x:c r="BI12" s="39" t="n">
        <x:f>IF($E12="","",$E12*Supuestos!$B$15*(1+Supuestos!$B$16)^((COLUMNS($G12:BI12)-1)/12))</x:f>
        <x:v>29.25711307745227</x:v>
      </x:c>
      <x:c r="BJ12" s="39" t="n">
        <x:f>IF($E12="","",$E12*Supuestos!$B$15*(1+Supuestos!$B$16)^((COLUMNS($G12:BJ12)-1)/12))</x:f>
        <x:v>29.705023987018823</x:v>
      </x:c>
      <x:c r="BK12" s="39" t="n">
        <x:f>IF($E12="","",$E12*Supuestos!$B$15*(1+Supuestos!$B$16)^((COLUMNS($G12:BK12)-1)/12))</x:f>
        <x:v>30.159792175441897</x:v>
      </x:c>
      <x:c r="BL12" s="39" t="n">
        <x:f>IF($E12="","",$E12*Supuestos!$B$15*(1+Supuestos!$B$16)^((COLUMNS($G12:BL12)-1)/12))</x:f>
        <x:v>30.621522624029854</x:v>
      </x:c>
      <x:c r="BM12" s="39" t="n">
        <x:f>IF($E12="","",$E12*Supuestos!$B$15*(1+Supuestos!$B$16)^((COLUMNS($G12:BM12)-1)/12))</x:f>
        <x:v>31.090321921299285</x:v>
      </x:c>
      <x:c r="BN12" s="39" t="n">
        <x:f>IF($E12="","",$E12*Supuestos!$B$15*(1+Supuestos!$B$16)^((COLUMNS($G12:BN12)-1)/12))</x:f>
        <x:v>31.566298287580565</x:v>
      </x:c>
      <x:c r="BO12" s="47" t="n">
        <x:f>IF(COUNT(G12:BN12)=0,"",SUM(G12:BN12))</x:f>
        <x:v>1252.137466174062</x:v>
      </x:c>
    </x:row>
    <x:row r="13">
      <x:c r="A13" s="16" t="str">
        <x:v>SCL-07</x:v>
      </x:c>
      <x:c r="B13" s="17" t="str">
        <x:v>Chile Central</x:v>
      </x:c>
      <x:c r="C13" s="17" t="str">
        <x:v>Egreso a Internet</x:v>
      </x:c>
      <x:c r="D13" s="17" t="str">
        <x:v>GB</x:v>
      </x:c>
      <x:c r="E13" s="38" t="n">
        <x:f>'Fuentes y Cotizaciones'!F13</x:f>
        <x:v>0.181</x:v>
      </x:c>
      <x:c r="F13" s="17" t="str">
        <x:v>MAX(egreso − 100 GB gratis, 0)</x:v>
      </x:c>
      <x:c r="G13" s="39" t="n">
        <x:f>IF($E13="","",$E13*MAX(Supuestos!$B$17-Supuestos!$B$29,0))</x:f>
        <x:v>18.099999999999998</x:v>
      </x:c>
      <x:c r="H13" s="39" t="n">
        <x:f>IF($E13="","",$E13*MAX(Supuestos!$B$17-Supuestos!$B$29,0))</x:f>
        <x:v>18.099999999999998</x:v>
      </x:c>
      <x:c r="I13" s="39" t="n">
        <x:f>IF($E13="","",$E13*MAX(Supuestos!$B$17-Supuestos!$B$29,0))</x:f>
        <x:v>18.099999999999998</x:v>
      </x:c>
      <x:c r="J13" s="39" t="n">
        <x:f>IF($E13="","",$E13*MAX(Supuestos!$B$17-Supuestos!$B$29,0))</x:f>
        <x:v>18.099999999999998</x:v>
      </x:c>
      <x:c r="K13" s="39" t="n">
        <x:f>IF($E13="","",$E13*MAX(Supuestos!$B$17-Supuestos!$B$29,0))</x:f>
        <x:v>18.099999999999998</x:v>
      </x:c>
      <x:c r="L13" s="39" t="n">
        <x:f>IF($E13="","",$E13*MAX(Supuestos!$B$17-Supuestos!$B$29,0))</x:f>
        <x:v>18.099999999999998</x:v>
      </x:c>
      <x:c r="M13" s="39" t="n">
        <x:f>IF($E13="","",$E13*MAX(Supuestos!$B$17-Supuestos!$B$29,0))</x:f>
        <x:v>18.099999999999998</x:v>
      </x:c>
      <x:c r="N13" s="39" t="n">
        <x:f>IF($E13="","",$E13*MAX(Supuestos!$B$17-Supuestos!$B$29,0))</x:f>
        <x:v>18.099999999999998</x:v>
      </x:c>
      <x:c r="O13" s="39" t="n">
        <x:f>IF($E13="","",$E13*MAX(Supuestos!$B$17-Supuestos!$B$29,0))</x:f>
        <x:v>18.099999999999998</x:v>
      </x:c>
      <x:c r="P13" s="39" t="n">
        <x:f>IF($E13="","",$E13*MAX(Supuestos!$B$17-Supuestos!$B$29,0))</x:f>
        <x:v>18.099999999999998</x:v>
      </x:c>
      <x:c r="Q13" s="39" t="n">
        <x:f>IF($E13="","",$E13*MAX(Supuestos!$B$17-Supuestos!$B$29,0))</x:f>
        <x:v>18.099999999999998</x:v>
      </x:c>
      <x:c r="R13" s="39" t="n">
        <x:f>IF($E13="","",$E13*MAX(Supuestos!$B$17-Supuestos!$B$29,0))</x:f>
        <x:v>18.099999999999998</x:v>
      </x:c>
      <x:c r="S13" s="39" t="n">
        <x:f>IF($E13="","",$E13*MAX(Supuestos!$B$17-Supuestos!$B$29,0))</x:f>
        <x:v>18.099999999999998</x:v>
      </x:c>
      <x:c r="T13" s="39" t="n">
        <x:f>IF($E13="","",$E13*MAX(Supuestos!$B$17-Supuestos!$B$29,0))</x:f>
        <x:v>18.099999999999998</x:v>
      </x:c>
      <x:c r="U13" s="39" t="n">
        <x:f>IF($E13="","",$E13*MAX(Supuestos!$B$17-Supuestos!$B$29,0))</x:f>
        <x:v>18.099999999999998</x:v>
      </x:c>
      <x:c r="V13" s="39" t="n">
        <x:f>IF($E13="","",$E13*MAX(Supuestos!$B$17-Supuestos!$B$29,0))</x:f>
        <x:v>18.099999999999998</x:v>
      </x:c>
      <x:c r="W13" s="39" t="n">
        <x:f>IF($E13="","",$E13*MAX(Supuestos!$B$17-Supuestos!$B$29,0))</x:f>
        <x:v>18.099999999999998</x:v>
      </x:c>
      <x:c r="X13" s="39" t="n">
        <x:f>IF($E13="","",$E13*MAX(Supuestos!$B$17-Supuestos!$B$29,0))</x:f>
        <x:v>18.099999999999998</x:v>
      </x:c>
      <x:c r="Y13" s="39" t="n">
        <x:f>IF($E13="","",$E13*MAX(Supuestos!$B$17-Supuestos!$B$29,0))</x:f>
        <x:v>18.099999999999998</x:v>
      </x:c>
      <x:c r="Z13" s="39" t="n">
        <x:f>IF($E13="","",$E13*MAX(Supuestos!$B$17-Supuestos!$B$29,0))</x:f>
        <x:v>18.099999999999998</x:v>
      </x:c>
      <x:c r="AA13" s="39" t="n">
        <x:f>IF($E13="","",$E13*MAX(Supuestos!$B$17-Supuestos!$B$29,0))</x:f>
        <x:v>18.099999999999998</x:v>
      </x:c>
      <x:c r="AB13" s="39" t="n">
        <x:f>IF($E13="","",$E13*MAX(Supuestos!$B$17-Supuestos!$B$29,0))</x:f>
        <x:v>18.099999999999998</x:v>
      </x:c>
      <x:c r="AC13" s="39" t="n">
        <x:f>IF($E13="","",$E13*MAX(Supuestos!$B$17-Supuestos!$B$29,0))</x:f>
        <x:v>18.099999999999998</x:v>
      </x:c>
      <x:c r="AD13" s="39" t="n">
        <x:f>IF($E13="","",$E13*MAX(Supuestos!$B$17-Supuestos!$B$29,0))</x:f>
        <x:v>18.099999999999998</x:v>
      </x:c>
      <x:c r="AE13" s="39" t="n">
        <x:f>IF($E13="","",$E13*MAX(Supuestos!$B$17-Supuestos!$B$29,0))</x:f>
        <x:v>18.099999999999998</x:v>
      </x:c>
      <x:c r="AF13" s="39" t="n">
        <x:f>IF($E13="","",$E13*MAX(Supuestos!$B$17-Supuestos!$B$29,0))</x:f>
        <x:v>18.099999999999998</x:v>
      </x:c>
      <x:c r="AG13" s="39" t="n">
        <x:f>IF($E13="","",$E13*MAX(Supuestos!$B$17-Supuestos!$B$29,0))</x:f>
        <x:v>18.099999999999998</x:v>
      </x:c>
      <x:c r="AH13" s="39" t="n">
        <x:f>IF($E13="","",$E13*MAX(Supuestos!$B$17-Supuestos!$B$29,0))</x:f>
        <x:v>18.099999999999998</x:v>
      </x:c>
      <x:c r="AI13" s="39" t="n">
        <x:f>IF($E13="","",$E13*MAX(Supuestos!$B$17-Supuestos!$B$29,0))</x:f>
        <x:v>18.099999999999998</x:v>
      </x:c>
      <x:c r="AJ13" s="39" t="n">
        <x:f>IF($E13="","",$E13*MAX(Supuestos!$B$17-Supuestos!$B$29,0))</x:f>
        <x:v>18.099999999999998</x:v>
      </x:c>
      <x:c r="AK13" s="39" t="n">
        <x:f>IF($E13="","",$E13*MAX(Supuestos!$B$17-Supuestos!$B$29,0))</x:f>
        <x:v>18.099999999999998</x:v>
      </x:c>
      <x:c r="AL13" s="39" t="n">
        <x:f>IF($E13="","",$E13*MAX(Supuestos!$B$17-Supuestos!$B$29,0))</x:f>
        <x:v>18.099999999999998</x:v>
      </x:c>
      <x:c r="AM13" s="39" t="n">
        <x:f>IF($E13="","",$E13*MAX(Supuestos!$B$17-Supuestos!$B$29,0))</x:f>
        <x:v>18.099999999999998</x:v>
      </x:c>
      <x:c r="AN13" s="39" t="n">
        <x:f>IF($E13="","",$E13*MAX(Supuestos!$B$17-Supuestos!$B$29,0))</x:f>
        <x:v>18.099999999999998</x:v>
      </x:c>
      <x:c r="AO13" s="39" t="n">
        <x:f>IF($E13="","",$E13*MAX(Supuestos!$B$17-Supuestos!$B$29,0))</x:f>
        <x:v>18.099999999999998</x:v>
      </x:c>
      <x:c r="AP13" s="39" t="n">
        <x:f>IF($E13="","",$E13*MAX(Supuestos!$B$17-Supuestos!$B$29,0))</x:f>
        <x:v>18.099999999999998</x:v>
      </x:c>
      <x:c r="AQ13" s="39" t="n">
        <x:f>IF($E13="","",$E13*MAX(Supuestos!$B$17-Supuestos!$B$29,0))</x:f>
        <x:v>18.099999999999998</x:v>
      </x:c>
      <x:c r="AR13" s="39" t="n">
        <x:f>IF($E13="","",$E13*MAX(Supuestos!$B$17-Supuestos!$B$29,0))</x:f>
        <x:v>18.099999999999998</x:v>
      </x:c>
      <x:c r="AS13" s="39" t="n">
        <x:f>IF($E13="","",$E13*MAX(Supuestos!$B$17-Supuestos!$B$29,0))</x:f>
        <x:v>18.099999999999998</x:v>
      </x:c>
      <x:c r="AT13" s="39" t="n">
        <x:f>IF($E13="","",$E13*MAX(Supuestos!$B$17-Supuestos!$B$29,0))</x:f>
        <x:v>18.099999999999998</x:v>
      </x:c>
      <x:c r="AU13" s="39" t="n">
        <x:f>IF($E13="","",$E13*MAX(Supuestos!$B$17-Supuestos!$B$29,0))</x:f>
        <x:v>18.099999999999998</x:v>
      </x:c>
      <x:c r="AV13" s="39" t="n">
        <x:f>IF($E13="","",$E13*MAX(Supuestos!$B$17-Supuestos!$B$29,0))</x:f>
        <x:v>18.099999999999998</x:v>
      </x:c>
      <x:c r="AW13" s="39" t="n">
        <x:f>IF($E13="","",$E13*MAX(Supuestos!$B$17-Supuestos!$B$29,0))</x:f>
        <x:v>18.099999999999998</x:v>
      </x:c>
      <x:c r="AX13" s="39" t="n">
        <x:f>IF($E13="","",$E13*MAX(Supuestos!$B$17-Supuestos!$B$29,0))</x:f>
        <x:v>18.099999999999998</x:v>
      </x:c>
      <x:c r="AY13" s="39" t="n">
        <x:f>IF($E13="","",$E13*MAX(Supuestos!$B$17-Supuestos!$B$29,0))</x:f>
        <x:v>18.099999999999998</x:v>
      </x:c>
      <x:c r="AZ13" s="39" t="n">
        <x:f>IF($E13="","",$E13*MAX(Supuestos!$B$17-Supuestos!$B$29,0))</x:f>
        <x:v>18.099999999999998</x:v>
      </x:c>
      <x:c r="BA13" s="39" t="n">
        <x:f>IF($E13="","",$E13*MAX(Supuestos!$B$17-Supuestos!$B$29,0))</x:f>
        <x:v>18.099999999999998</x:v>
      </x:c>
      <x:c r="BB13" s="39" t="n">
        <x:f>IF($E13="","",$E13*MAX(Supuestos!$B$17-Supuestos!$B$29,0))</x:f>
        <x:v>18.099999999999998</x:v>
      </x:c>
      <x:c r="BC13" s="39" t="n">
        <x:f>IF($E13="","",$E13*MAX(Supuestos!$B$17-Supuestos!$B$29,0))</x:f>
        <x:v>18.099999999999998</x:v>
      </x:c>
      <x:c r="BD13" s="39" t="n">
        <x:f>IF($E13="","",$E13*MAX(Supuestos!$B$17-Supuestos!$B$29,0))</x:f>
        <x:v>18.099999999999998</x:v>
      </x:c>
      <x:c r="BE13" s="39" t="n">
        <x:f>IF($E13="","",$E13*MAX(Supuestos!$B$17-Supuestos!$B$29,0))</x:f>
        <x:v>18.099999999999998</x:v>
      </x:c>
      <x:c r="BF13" s="39" t="n">
        <x:f>IF($E13="","",$E13*MAX(Supuestos!$B$17-Supuestos!$B$29,0))</x:f>
        <x:v>18.099999999999998</x:v>
      </x:c>
      <x:c r="BG13" s="39" t="n">
        <x:f>IF($E13="","",$E13*MAX(Supuestos!$B$17-Supuestos!$B$29,0))</x:f>
        <x:v>18.099999999999998</x:v>
      </x:c>
      <x:c r="BH13" s="39" t="n">
        <x:f>IF($E13="","",$E13*MAX(Supuestos!$B$17-Supuestos!$B$29,0))</x:f>
        <x:v>18.099999999999998</x:v>
      </x:c>
      <x:c r="BI13" s="39" t="n">
        <x:f>IF($E13="","",$E13*MAX(Supuestos!$B$17-Supuestos!$B$29,0))</x:f>
        <x:v>18.099999999999998</x:v>
      </x:c>
      <x:c r="BJ13" s="39" t="n">
        <x:f>IF($E13="","",$E13*MAX(Supuestos!$B$17-Supuestos!$B$29,0))</x:f>
        <x:v>18.099999999999998</x:v>
      </x:c>
      <x:c r="BK13" s="39" t="n">
        <x:f>IF($E13="","",$E13*MAX(Supuestos!$B$17-Supuestos!$B$29,0))</x:f>
        <x:v>18.099999999999998</x:v>
      </x:c>
      <x:c r="BL13" s="39" t="n">
        <x:f>IF($E13="","",$E13*MAX(Supuestos!$B$17-Supuestos!$B$29,0))</x:f>
        <x:v>18.099999999999998</x:v>
      </x:c>
      <x:c r="BM13" s="39" t="n">
        <x:f>IF($E13="","",$E13*MAX(Supuestos!$B$17-Supuestos!$B$29,0))</x:f>
        <x:v>18.099999999999998</x:v>
      </x:c>
      <x:c r="BN13" s="39" t="n">
        <x:f>IF($E13="","",$E13*MAX(Supuestos!$B$17-Supuestos!$B$29,0))</x:f>
        <x:v>18.099999999999998</x:v>
      </x:c>
      <x:c r="BO13" s="47" t="n">
        <x:f>IF(COUNT(G13:BN13)=0,"",SUM(G13:BN13))</x:f>
        <x:v>1086.0000000000005</x:v>
      </x:c>
    </x:row>
    <x:row r="14">
      <x:c r="A14" s="16" t="str">
        <x:v>SCL-08</x:v>
      </x:c>
      <x:c r="B14" s="17" t="str">
        <x:v>Chile Central</x:v>
      </x:c>
      <x:c r="C14" s="17" t="str">
        <x:v>Logs y monitoreo</x:v>
      </x:c>
      <x:c r="D14" s="17" t="str">
        <x:v>GB</x:v>
      </x:c>
      <x:c r="E14" s="38" t="n">
        <x:f>'Fuentes y Cotizaciones'!F14</x:f>
        <x:v>0.7</x:v>
      </x:c>
      <x:c r="F14" s="17" t="str">
        <x:v>Ingesta mensual Basic Logs</x:v>
      </x:c>
      <x:c r="G14" s="39" t="n">
        <x:f>IF($E14="","",$E14*Supuestos!$B$18)</x:f>
        <x:v>35</x:v>
      </x:c>
      <x:c r="H14" s="39" t="n">
        <x:f>IF($E14="","",$E14*Supuestos!$B$18)</x:f>
        <x:v>35</x:v>
      </x:c>
      <x:c r="I14" s="39" t="n">
        <x:f>IF($E14="","",$E14*Supuestos!$B$18)</x:f>
        <x:v>35</x:v>
      </x:c>
      <x:c r="J14" s="39" t="n">
        <x:f>IF($E14="","",$E14*Supuestos!$B$18)</x:f>
        <x:v>35</x:v>
      </x:c>
      <x:c r="K14" s="39" t="n">
        <x:f>IF($E14="","",$E14*Supuestos!$B$18)</x:f>
        <x:v>35</x:v>
      </x:c>
      <x:c r="L14" s="39" t="n">
        <x:f>IF($E14="","",$E14*Supuestos!$B$18)</x:f>
        <x:v>35</x:v>
      </x:c>
      <x:c r="M14" s="39" t="n">
        <x:f>IF($E14="","",$E14*Supuestos!$B$18)</x:f>
        <x:v>35</x:v>
      </x:c>
      <x:c r="N14" s="39" t="n">
        <x:f>IF($E14="","",$E14*Supuestos!$B$18)</x:f>
        <x:v>35</x:v>
      </x:c>
      <x:c r="O14" s="39" t="n">
        <x:f>IF($E14="","",$E14*Supuestos!$B$18)</x:f>
        <x:v>35</x:v>
      </x:c>
      <x:c r="P14" s="39" t="n">
        <x:f>IF($E14="","",$E14*Supuestos!$B$18)</x:f>
        <x:v>35</x:v>
      </x:c>
      <x:c r="Q14" s="39" t="n">
        <x:f>IF($E14="","",$E14*Supuestos!$B$18)</x:f>
        <x:v>35</x:v>
      </x:c>
      <x:c r="R14" s="39" t="n">
        <x:f>IF($E14="","",$E14*Supuestos!$B$18)</x:f>
        <x:v>35</x:v>
      </x:c>
      <x:c r="S14" s="39" t="n">
        <x:f>IF($E14="","",$E14*Supuestos!$B$18)</x:f>
        <x:v>35</x:v>
      </x:c>
      <x:c r="T14" s="39" t="n">
        <x:f>IF($E14="","",$E14*Supuestos!$B$18)</x:f>
        <x:v>35</x:v>
      </x:c>
      <x:c r="U14" s="39" t="n">
        <x:f>IF($E14="","",$E14*Supuestos!$B$18)</x:f>
        <x:v>35</x:v>
      </x:c>
      <x:c r="V14" s="39" t="n">
        <x:f>IF($E14="","",$E14*Supuestos!$B$18)</x:f>
        <x:v>35</x:v>
      </x:c>
      <x:c r="W14" s="39" t="n">
        <x:f>IF($E14="","",$E14*Supuestos!$B$18)</x:f>
        <x:v>35</x:v>
      </x:c>
      <x:c r="X14" s="39" t="n">
        <x:f>IF($E14="","",$E14*Supuestos!$B$18)</x:f>
        <x:v>35</x:v>
      </x:c>
      <x:c r="Y14" s="39" t="n">
        <x:f>IF($E14="","",$E14*Supuestos!$B$18)</x:f>
        <x:v>35</x:v>
      </x:c>
      <x:c r="Z14" s="39" t="n">
        <x:f>IF($E14="","",$E14*Supuestos!$B$18)</x:f>
        <x:v>35</x:v>
      </x:c>
      <x:c r="AA14" s="39" t="n">
        <x:f>IF($E14="","",$E14*Supuestos!$B$18)</x:f>
        <x:v>35</x:v>
      </x:c>
      <x:c r="AB14" s="39" t="n">
        <x:f>IF($E14="","",$E14*Supuestos!$B$18)</x:f>
        <x:v>35</x:v>
      </x:c>
      <x:c r="AC14" s="39" t="n">
        <x:f>IF($E14="","",$E14*Supuestos!$B$18)</x:f>
        <x:v>35</x:v>
      </x:c>
      <x:c r="AD14" s="39" t="n">
        <x:f>IF($E14="","",$E14*Supuestos!$B$18)</x:f>
        <x:v>35</x:v>
      </x:c>
      <x:c r="AE14" s="39" t="n">
        <x:f>IF($E14="","",$E14*Supuestos!$B$18)</x:f>
        <x:v>35</x:v>
      </x:c>
      <x:c r="AF14" s="39" t="n">
        <x:f>IF($E14="","",$E14*Supuestos!$B$18)</x:f>
        <x:v>35</x:v>
      </x:c>
      <x:c r="AG14" s="39" t="n">
        <x:f>IF($E14="","",$E14*Supuestos!$B$18)</x:f>
        <x:v>35</x:v>
      </x:c>
      <x:c r="AH14" s="39" t="n">
        <x:f>IF($E14="","",$E14*Supuestos!$B$18)</x:f>
        <x:v>35</x:v>
      </x:c>
      <x:c r="AI14" s="39" t="n">
        <x:f>IF($E14="","",$E14*Supuestos!$B$18)</x:f>
        <x:v>35</x:v>
      </x:c>
      <x:c r="AJ14" s="39" t="n">
        <x:f>IF($E14="","",$E14*Supuestos!$B$18)</x:f>
        <x:v>35</x:v>
      </x:c>
      <x:c r="AK14" s="39" t="n">
        <x:f>IF($E14="","",$E14*Supuestos!$B$18)</x:f>
        <x:v>35</x:v>
      </x:c>
      <x:c r="AL14" s="39" t="n">
        <x:f>IF($E14="","",$E14*Supuestos!$B$18)</x:f>
        <x:v>35</x:v>
      </x:c>
      <x:c r="AM14" s="39" t="n">
        <x:f>IF($E14="","",$E14*Supuestos!$B$18)</x:f>
        <x:v>35</x:v>
      </x:c>
      <x:c r="AN14" s="39" t="n">
        <x:f>IF($E14="","",$E14*Supuestos!$B$18)</x:f>
        <x:v>35</x:v>
      </x:c>
      <x:c r="AO14" s="39" t="n">
        <x:f>IF($E14="","",$E14*Supuestos!$B$18)</x:f>
        <x:v>35</x:v>
      </x:c>
      <x:c r="AP14" s="39" t="n">
        <x:f>IF($E14="","",$E14*Supuestos!$B$18)</x:f>
        <x:v>35</x:v>
      </x:c>
      <x:c r="AQ14" s="39" t="n">
        <x:f>IF($E14="","",$E14*Supuestos!$B$18)</x:f>
        <x:v>35</x:v>
      </x:c>
      <x:c r="AR14" s="39" t="n">
        <x:f>IF($E14="","",$E14*Supuestos!$B$18)</x:f>
        <x:v>35</x:v>
      </x:c>
      <x:c r="AS14" s="39" t="n">
        <x:f>IF($E14="","",$E14*Supuestos!$B$18)</x:f>
        <x:v>35</x:v>
      </x:c>
      <x:c r="AT14" s="39" t="n">
        <x:f>IF($E14="","",$E14*Supuestos!$B$18)</x:f>
        <x:v>35</x:v>
      </x:c>
      <x:c r="AU14" s="39" t="n">
        <x:f>IF($E14="","",$E14*Supuestos!$B$18)</x:f>
        <x:v>35</x:v>
      </x:c>
      <x:c r="AV14" s="39" t="n">
        <x:f>IF($E14="","",$E14*Supuestos!$B$18)</x:f>
        <x:v>35</x:v>
      </x:c>
      <x:c r="AW14" s="39" t="n">
        <x:f>IF($E14="","",$E14*Supuestos!$B$18)</x:f>
        <x:v>35</x:v>
      </x:c>
      <x:c r="AX14" s="39" t="n">
        <x:f>IF($E14="","",$E14*Supuestos!$B$18)</x:f>
        <x:v>35</x:v>
      </x:c>
      <x:c r="AY14" s="39" t="n">
        <x:f>IF($E14="","",$E14*Supuestos!$B$18)</x:f>
        <x:v>35</x:v>
      </x:c>
      <x:c r="AZ14" s="39" t="n">
        <x:f>IF($E14="","",$E14*Supuestos!$B$18)</x:f>
        <x:v>35</x:v>
      </x:c>
      <x:c r="BA14" s="39" t="n">
        <x:f>IF($E14="","",$E14*Supuestos!$B$18)</x:f>
        <x:v>35</x:v>
      </x:c>
      <x:c r="BB14" s="39" t="n">
        <x:f>IF($E14="","",$E14*Supuestos!$B$18)</x:f>
        <x:v>35</x:v>
      </x:c>
      <x:c r="BC14" s="39" t="n">
        <x:f>IF($E14="","",$E14*Supuestos!$B$18)</x:f>
        <x:v>35</x:v>
      </x:c>
      <x:c r="BD14" s="39" t="n">
        <x:f>IF($E14="","",$E14*Supuestos!$B$18)</x:f>
        <x:v>35</x:v>
      </x:c>
      <x:c r="BE14" s="39" t="n">
        <x:f>IF($E14="","",$E14*Supuestos!$B$18)</x:f>
        <x:v>35</x:v>
      </x:c>
      <x:c r="BF14" s="39" t="n">
        <x:f>IF($E14="","",$E14*Supuestos!$B$18)</x:f>
        <x:v>35</x:v>
      </x:c>
      <x:c r="BG14" s="39" t="n">
        <x:f>IF($E14="","",$E14*Supuestos!$B$18)</x:f>
        <x:v>35</x:v>
      </x:c>
      <x:c r="BH14" s="39" t="n">
        <x:f>IF($E14="","",$E14*Supuestos!$B$18)</x:f>
        <x:v>35</x:v>
      </x:c>
      <x:c r="BI14" s="39" t="n">
        <x:f>IF($E14="","",$E14*Supuestos!$B$18)</x:f>
        <x:v>35</x:v>
      </x:c>
      <x:c r="BJ14" s="39" t="n">
        <x:f>IF($E14="","",$E14*Supuestos!$B$18)</x:f>
        <x:v>35</x:v>
      </x:c>
      <x:c r="BK14" s="39" t="n">
        <x:f>IF($E14="","",$E14*Supuestos!$B$18)</x:f>
        <x:v>35</x:v>
      </x:c>
      <x:c r="BL14" s="39" t="n">
        <x:f>IF($E14="","",$E14*Supuestos!$B$18)</x:f>
        <x:v>35</x:v>
      </x:c>
      <x:c r="BM14" s="39" t="n">
        <x:f>IF($E14="","",$E14*Supuestos!$B$18)</x:f>
        <x:v>35</x:v>
      </x:c>
      <x:c r="BN14" s="39" t="n">
        <x:f>IF($E14="","",$E14*Supuestos!$B$18)</x:f>
        <x:v>35</x:v>
      </x:c>
      <x:c r="BO14" s="47" t="n">
        <x:f>IF(COUNT(G14:BN14)=0,"",SUM(G14:BN14))</x:f>
        <x:v>2100</x:v>
      </x:c>
    </x:row>
    <x:row r="15">
      <x:c r="A15" s="16" t="str">
        <x:v>SCL-09</x:v>
      </x:c>
      <x:c r="B15" s="17" t="str">
        <x:v>Chile Central</x:v>
      </x:c>
      <x:c r="C15" s="17" t="str">
        <x:v>Backup automático excedente</x:v>
      </x:c>
      <x:c r="D15" s="17" t="str">
        <x:v>GiB-mes</x:v>
      </x:c>
      <x:c r="E15" s="38" t="n">
        <x:f>'Fuentes y Cotizaciones'!F15</x:f>
        <x:v>0.095</x:v>
      </x:c>
      <x:c r="F15" s="17" t="str">
        <x:v>Excedente sobre 100% del storage provisionado</x:v>
      </x:c>
      <x:c r="G15" s="39" t="n">
        <x:f>IF($E15="","",$E15*Supuestos!$B$27)</x:f>
        <x:v>0</x:v>
      </x:c>
      <x:c r="H15" s="39" t="n">
        <x:f>IF($E15="","",$E15*Supuestos!$B$27)</x:f>
        <x:v>0</x:v>
      </x:c>
      <x:c r="I15" s="39" t="n">
        <x:f>IF($E15="","",$E15*Supuestos!$B$27)</x:f>
        <x:v>0</x:v>
      </x:c>
      <x:c r="J15" s="39" t="n">
        <x:f>IF($E15="","",$E15*Supuestos!$B$27)</x:f>
        <x:v>0</x:v>
      </x:c>
      <x:c r="K15" s="39" t="n">
        <x:f>IF($E15="","",$E15*Supuestos!$B$27)</x:f>
        <x:v>0</x:v>
      </x:c>
      <x:c r="L15" s="39" t="n">
        <x:f>IF($E15="","",$E15*Supuestos!$B$27)</x:f>
        <x:v>0</x:v>
      </x:c>
      <x:c r="M15" s="39" t="n">
        <x:f>IF($E15="","",$E15*Supuestos!$B$27)</x:f>
        <x:v>0</x:v>
      </x:c>
      <x:c r="N15" s="39" t="n">
        <x:f>IF($E15="","",$E15*Supuestos!$B$27)</x:f>
        <x:v>0</x:v>
      </x:c>
      <x:c r="O15" s="39" t="n">
        <x:f>IF($E15="","",$E15*Supuestos!$B$27)</x:f>
        <x:v>0</x:v>
      </x:c>
      <x:c r="P15" s="39" t="n">
        <x:f>IF($E15="","",$E15*Supuestos!$B$27)</x:f>
        <x:v>0</x:v>
      </x:c>
      <x:c r="Q15" s="39" t="n">
        <x:f>IF($E15="","",$E15*Supuestos!$B$27)</x:f>
        <x:v>0</x:v>
      </x:c>
      <x:c r="R15" s="39" t="n">
        <x:f>IF($E15="","",$E15*Supuestos!$B$27)</x:f>
        <x:v>0</x:v>
      </x:c>
      <x:c r="S15" s="39" t="n">
        <x:f>IF($E15="","",$E15*Supuestos!$B$27)</x:f>
        <x:v>0</x:v>
      </x:c>
      <x:c r="T15" s="39" t="n">
        <x:f>IF($E15="","",$E15*Supuestos!$B$27)</x:f>
        <x:v>0</x:v>
      </x:c>
      <x:c r="U15" s="39" t="n">
        <x:f>IF($E15="","",$E15*Supuestos!$B$27)</x:f>
        <x:v>0</x:v>
      </x:c>
      <x:c r="V15" s="39" t="n">
        <x:f>IF($E15="","",$E15*Supuestos!$B$27)</x:f>
        <x:v>0</x:v>
      </x:c>
      <x:c r="W15" s="39" t="n">
        <x:f>IF($E15="","",$E15*Supuestos!$B$27)</x:f>
        <x:v>0</x:v>
      </x:c>
      <x:c r="X15" s="39" t="n">
        <x:f>IF($E15="","",$E15*Supuestos!$B$27)</x:f>
        <x:v>0</x:v>
      </x:c>
      <x:c r="Y15" s="39" t="n">
        <x:f>IF($E15="","",$E15*Supuestos!$B$27)</x:f>
        <x:v>0</x:v>
      </x:c>
      <x:c r="Z15" s="39" t="n">
        <x:f>IF($E15="","",$E15*Supuestos!$B$27)</x:f>
        <x:v>0</x:v>
      </x:c>
      <x:c r="AA15" s="39" t="n">
        <x:f>IF($E15="","",$E15*Supuestos!$B$27)</x:f>
        <x:v>0</x:v>
      </x:c>
      <x:c r="AB15" s="39" t="n">
        <x:f>IF($E15="","",$E15*Supuestos!$B$27)</x:f>
        <x:v>0</x:v>
      </x:c>
      <x:c r="AC15" s="39" t="n">
        <x:f>IF($E15="","",$E15*Supuestos!$B$27)</x:f>
        <x:v>0</x:v>
      </x:c>
      <x:c r="AD15" s="39" t="n">
        <x:f>IF($E15="","",$E15*Supuestos!$B$27)</x:f>
        <x:v>0</x:v>
      </x:c>
      <x:c r="AE15" s="39" t="n">
        <x:f>IF($E15="","",$E15*Supuestos!$B$27)</x:f>
        <x:v>0</x:v>
      </x:c>
      <x:c r="AF15" s="39" t="n">
        <x:f>IF($E15="","",$E15*Supuestos!$B$27)</x:f>
        <x:v>0</x:v>
      </x:c>
      <x:c r="AG15" s="39" t="n">
        <x:f>IF($E15="","",$E15*Supuestos!$B$27)</x:f>
        <x:v>0</x:v>
      </x:c>
      <x:c r="AH15" s="39" t="n">
        <x:f>IF($E15="","",$E15*Supuestos!$B$27)</x:f>
        <x:v>0</x:v>
      </x:c>
      <x:c r="AI15" s="39" t="n">
        <x:f>IF($E15="","",$E15*Supuestos!$B$27)</x:f>
        <x:v>0</x:v>
      </x:c>
      <x:c r="AJ15" s="39" t="n">
        <x:f>IF($E15="","",$E15*Supuestos!$B$27)</x:f>
        <x:v>0</x:v>
      </x:c>
      <x:c r="AK15" s="39" t="n">
        <x:f>IF($E15="","",$E15*Supuestos!$B$27)</x:f>
        <x:v>0</x:v>
      </x:c>
      <x:c r="AL15" s="39" t="n">
        <x:f>IF($E15="","",$E15*Supuestos!$B$27)</x:f>
        <x:v>0</x:v>
      </x:c>
      <x:c r="AM15" s="39" t="n">
        <x:f>IF($E15="","",$E15*Supuestos!$B$27)</x:f>
        <x:v>0</x:v>
      </x:c>
      <x:c r="AN15" s="39" t="n">
        <x:f>IF($E15="","",$E15*Supuestos!$B$27)</x:f>
        <x:v>0</x:v>
      </x:c>
      <x:c r="AO15" s="39" t="n">
        <x:f>IF($E15="","",$E15*Supuestos!$B$27)</x:f>
        <x:v>0</x:v>
      </x:c>
      <x:c r="AP15" s="39" t="n">
        <x:f>IF($E15="","",$E15*Supuestos!$B$27)</x:f>
        <x:v>0</x:v>
      </x:c>
      <x:c r="AQ15" s="39" t="n">
        <x:f>IF($E15="","",$E15*Supuestos!$B$27)</x:f>
        <x:v>0</x:v>
      </x:c>
      <x:c r="AR15" s="39" t="n">
        <x:f>IF($E15="","",$E15*Supuestos!$B$27)</x:f>
        <x:v>0</x:v>
      </x:c>
      <x:c r="AS15" s="39" t="n">
        <x:f>IF($E15="","",$E15*Supuestos!$B$27)</x:f>
        <x:v>0</x:v>
      </x:c>
      <x:c r="AT15" s="39" t="n">
        <x:f>IF($E15="","",$E15*Supuestos!$B$27)</x:f>
        <x:v>0</x:v>
      </x:c>
      <x:c r="AU15" s="39" t="n">
        <x:f>IF($E15="","",$E15*Supuestos!$B$27)</x:f>
        <x:v>0</x:v>
      </x:c>
      <x:c r="AV15" s="39" t="n">
        <x:f>IF($E15="","",$E15*Supuestos!$B$27)</x:f>
        <x:v>0</x:v>
      </x:c>
      <x:c r="AW15" s="39" t="n">
        <x:f>IF($E15="","",$E15*Supuestos!$B$27)</x:f>
        <x:v>0</x:v>
      </x:c>
      <x:c r="AX15" s="39" t="n">
        <x:f>IF($E15="","",$E15*Supuestos!$B$27)</x:f>
        <x:v>0</x:v>
      </x:c>
      <x:c r="AY15" s="39" t="n">
        <x:f>IF($E15="","",$E15*Supuestos!$B$27)</x:f>
        <x:v>0</x:v>
      </x:c>
      <x:c r="AZ15" s="39" t="n">
        <x:f>IF($E15="","",$E15*Supuestos!$B$27)</x:f>
        <x:v>0</x:v>
      </x:c>
      <x:c r="BA15" s="39" t="n">
        <x:f>IF($E15="","",$E15*Supuestos!$B$27)</x:f>
        <x:v>0</x:v>
      </x:c>
      <x:c r="BB15" s="39" t="n">
        <x:f>IF($E15="","",$E15*Supuestos!$B$27)</x:f>
        <x:v>0</x:v>
      </x:c>
      <x:c r="BC15" s="39" t="n">
        <x:f>IF($E15="","",$E15*Supuestos!$B$27)</x:f>
        <x:v>0</x:v>
      </x:c>
      <x:c r="BD15" s="39" t="n">
        <x:f>IF($E15="","",$E15*Supuestos!$B$27)</x:f>
        <x:v>0</x:v>
      </x:c>
      <x:c r="BE15" s="39" t="n">
        <x:f>IF($E15="","",$E15*Supuestos!$B$27)</x:f>
        <x:v>0</x:v>
      </x:c>
      <x:c r="BF15" s="39" t="n">
        <x:f>IF($E15="","",$E15*Supuestos!$B$27)</x:f>
        <x:v>0</x:v>
      </x:c>
      <x:c r="BG15" s="39" t="n">
        <x:f>IF($E15="","",$E15*Supuestos!$B$27)</x:f>
        <x:v>0</x:v>
      </x:c>
      <x:c r="BH15" s="39" t="n">
        <x:f>IF($E15="","",$E15*Supuestos!$B$27)</x:f>
        <x:v>0</x:v>
      </x:c>
      <x:c r="BI15" s="39" t="n">
        <x:f>IF($E15="","",$E15*Supuestos!$B$27)</x:f>
        <x:v>0</x:v>
      </x:c>
      <x:c r="BJ15" s="39" t="n">
        <x:f>IF($E15="","",$E15*Supuestos!$B$27)</x:f>
        <x:v>0</x:v>
      </x:c>
      <x:c r="BK15" s="39" t="n">
        <x:f>IF($E15="","",$E15*Supuestos!$B$27)</x:f>
        <x:v>0</x:v>
      </x:c>
      <x:c r="BL15" s="39" t="n">
        <x:f>IF($E15="","",$E15*Supuestos!$B$27)</x:f>
        <x:v>0</x:v>
      </x:c>
      <x:c r="BM15" s="39" t="n">
        <x:f>IF($E15="","",$E15*Supuestos!$B$27)</x:f>
        <x:v>0</x:v>
      </x:c>
      <x:c r="BN15" s="39" t="n">
        <x:f>IF($E15="","",$E15*Supuestos!$B$27)</x:f>
        <x:v>0</x:v>
      </x:c>
      <x:c r="BO15" s="47" t="n">
        <x:f>IF(COUNT(G15:BN15)=0,"",SUM(G15:BN15))</x:f>
        <x:v>0</x:v>
      </x:c>
    </x:row>
    <x:row r="16">
      <x:c r="A16" s="16" t="str">
        <x:v>SCL-10</x:v>
      </x:c>
      <x:c r="B16" s="17" t="str">
        <x:v>Chile Central</x:v>
      </x:c>
      <x:c r="C16" s="17" t="str">
        <x:v>CPU activa no producción</x:v>
      </x:c>
      <x:c r="D16" s="17" t="str">
        <x:v>vCPU-hora</x:v>
      </x:c>
      <x:c r="E16" s="38" t="n">
        <x:f>'Fuentes y Cotizaciones'!F16</x:f>
        <x:v>0.1224</x:v>
      </x:c>
      <x:c r="F16" s="17" t="str">
        <x:v>Franquicia remanente tras producción</x:v>
      </x:c>
      <x:c r="G16" s="39" t="n">
        <x:f>IF($E16="","",$E16*MAX(Supuestos!$B$19*Supuestos!$B$20-MAX(Supuestos!$B$23-Supuestos!$B$8*Supuestos!$B$11,0),0))</x:f>
        <x:v>16.1568</x:v>
      </x:c>
      <x:c r="H16" s="39" t="n">
        <x:f>IF($E16="","",$E16*MAX(Supuestos!$B$19*Supuestos!$B$20-MAX(Supuestos!$B$23-Supuestos!$B$8*Supuestos!$B$11,0),0))</x:f>
        <x:v>16.1568</x:v>
      </x:c>
      <x:c r="I16" s="39" t="n">
        <x:f>IF($E16="","",$E16*MAX(Supuestos!$B$19*Supuestos!$B$20-MAX(Supuestos!$B$23-Supuestos!$B$8*Supuestos!$B$11,0),0))</x:f>
        <x:v>16.1568</x:v>
      </x:c>
      <x:c r="J16" s="39" t="n">
        <x:f>IF($E16="","",$E16*MAX(Supuestos!$B$19*Supuestos!$B$20-MAX(Supuestos!$B$23-Supuestos!$B$8*Supuestos!$B$11,0),0))</x:f>
        <x:v>16.1568</x:v>
      </x:c>
      <x:c r="K16" s="39" t="n">
        <x:f>IF($E16="","",$E16*MAX(Supuestos!$B$19*Supuestos!$B$20-MAX(Supuestos!$B$23-Supuestos!$B$8*Supuestos!$B$11,0),0))</x:f>
        <x:v>16.1568</x:v>
      </x:c>
      <x:c r="L16" s="39" t="n">
        <x:f>IF($E16="","",$E16*MAX(Supuestos!$B$19*Supuestos!$B$20-MAX(Supuestos!$B$23-Supuestos!$B$8*Supuestos!$B$11,0),0))</x:f>
        <x:v>16.1568</x:v>
      </x:c>
      <x:c r="M16" s="39" t="n">
        <x:f>IF($E16="","",$E16*MAX(Supuestos!$B$19*Supuestos!$B$20-MAX(Supuestos!$B$23-Supuestos!$B$8*Supuestos!$B$11,0),0))</x:f>
        <x:v>16.1568</x:v>
      </x:c>
      <x:c r="N16" s="39" t="n">
        <x:f>IF($E16="","",$E16*MAX(Supuestos!$B$19*Supuestos!$B$20-MAX(Supuestos!$B$23-Supuestos!$B$8*Supuestos!$B$11,0),0))</x:f>
        <x:v>16.1568</x:v>
      </x:c>
      <x:c r="O16" s="39" t="n">
        <x:f>IF($E16="","",$E16*MAX(Supuestos!$B$19*Supuestos!$B$20-MAX(Supuestos!$B$23-Supuestos!$B$8*Supuestos!$B$11,0),0))</x:f>
        <x:v>16.1568</x:v>
      </x:c>
      <x:c r="P16" s="39" t="n">
        <x:f>IF($E16="","",$E16*MAX(Supuestos!$B$19*Supuestos!$B$20-MAX(Supuestos!$B$23-Supuestos!$B$8*Supuestos!$B$11,0),0))</x:f>
        <x:v>16.1568</x:v>
      </x:c>
      <x:c r="Q16" s="39" t="n">
        <x:f>IF($E16="","",$E16*MAX(Supuestos!$B$19*Supuestos!$B$20-MAX(Supuestos!$B$23-Supuestos!$B$8*Supuestos!$B$11,0),0))</x:f>
        <x:v>16.1568</x:v>
      </x:c>
      <x:c r="R16" s="39" t="n">
        <x:f>IF($E16="","",$E16*MAX(Supuestos!$B$19*Supuestos!$B$20-MAX(Supuestos!$B$23-Supuestos!$B$8*Supuestos!$B$11,0),0))</x:f>
        <x:v>16.1568</x:v>
      </x:c>
      <x:c r="S16" s="39" t="n">
        <x:f>IF($E16="","",$E16*MAX(Supuestos!$B$19*Supuestos!$B$20-MAX(Supuestos!$B$23-Supuestos!$B$8*Supuestos!$B$11,0),0))</x:f>
        <x:v>16.1568</x:v>
      </x:c>
      <x:c r="T16" s="39" t="n">
        <x:f>IF($E16="","",$E16*MAX(Supuestos!$B$19*Supuestos!$B$20-MAX(Supuestos!$B$23-Supuestos!$B$8*Supuestos!$B$11,0),0))</x:f>
        <x:v>16.1568</x:v>
      </x:c>
      <x:c r="U16" s="39" t="n">
        <x:f>IF($E16="","",$E16*MAX(Supuestos!$B$19*Supuestos!$B$20-MAX(Supuestos!$B$23-Supuestos!$B$8*Supuestos!$B$11,0),0))</x:f>
        <x:v>16.1568</x:v>
      </x:c>
      <x:c r="V16" s="39" t="n">
        <x:f>IF($E16="","",$E16*MAX(Supuestos!$B$19*Supuestos!$B$20-MAX(Supuestos!$B$23-Supuestos!$B$8*Supuestos!$B$11,0),0))</x:f>
        <x:v>16.1568</x:v>
      </x:c>
      <x:c r="W16" s="39" t="n">
        <x:f>IF($E16="","",$E16*MAX(Supuestos!$B$19*Supuestos!$B$20-MAX(Supuestos!$B$23-Supuestos!$B$8*Supuestos!$B$11,0),0))</x:f>
        <x:v>16.1568</x:v>
      </x:c>
      <x:c r="X16" s="39" t="n">
        <x:f>IF($E16="","",$E16*MAX(Supuestos!$B$19*Supuestos!$B$20-MAX(Supuestos!$B$23-Supuestos!$B$8*Supuestos!$B$11,0),0))</x:f>
        <x:v>16.1568</x:v>
      </x:c>
      <x:c r="Y16" s="39" t="n">
        <x:f>IF($E16="","",$E16*MAX(Supuestos!$B$19*Supuestos!$B$20-MAX(Supuestos!$B$23-Supuestos!$B$8*Supuestos!$B$11,0),0))</x:f>
        <x:v>16.1568</x:v>
      </x:c>
      <x:c r="Z16" s="39" t="n">
        <x:f>IF($E16="","",$E16*MAX(Supuestos!$B$19*Supuestos!$B$20-MAX(Supuestos!$B$23-Supuestos!$B$8*Supuestos!$B$11,0),0))</x:f>
        <x:v>16.1568</x:v>
      </x:c>
      <x:c r="AA16" s="39" t="n">
        <x:f>IF($E16="","",$E16*MAX(Supuestos!$B$19*Supuestos!$B$20-MAX(Supuestos!$B$23-Supuestos!$B$8*Supuestos!$B$11,0),0))</x:f>
        <x:v>16.1568</x:v>
      </x:c>
      <x:c r="AB16" s="39" t="n">
        <x:f>IF($E16="","",$E16*MAX(Supuestos!$B$19*Supuestos!$B$20-MAX(Supuestos!$B$23-Supuestos!$B$8*Supuestos!$B$11,0),0))</x:f>
        <x:v>16.1568</x:v>
      </x:c>
      <x:c r="AC16" s="39" t="n">
        <x:f>IF($E16="","",$E16*MAX(Supuestos!$B$19*Supuestos!$B$20-MAX(Supuestos!$B$23-Supuestos!$B$8*Supuestos!$B$11,0),0))</x:f>
        <x:v>16.1568</x:v>
      </x:c>
      <x:c r="AD16" s="39" t="n">
        <x:f>IF($E16="","",$E16*MAX(Supuestos!$B$19*Supuestos!$B$20-MAX(Supuestos!$B$23-Supuestos!$B$8*Supuestos!$B$11,0),0))</x:f>
        <x:v>16.1568</x:v>
      </x:c>
      <x:c r="AE16" s="39" t="n">
        <x:f>IF($E16="","",$E16*MAX(Supuestos!$B$19*Supuestos!$B$20-MAX(Supuestos!$B$23-Supuestos!$B$8*Supuestos!$B$11,0),0))</x:f>
        <x:v>16.1568</x:v>
      </x:c>
      <x:c r="AF16" s="39" t="n">
        <x:f>IF($E16="","",$E16*MAX(Supuestos!$B$19*Supuestos!$B$20-MAX(Supuestos!$B$23-Supuestos!$B$8*Supuestos!$B$11,0),0))</x:f>
        <x:v>16.1568</x:v>
      </x:c>
      <x:c r="AG16" s="39" t="n">
        <x:f>IF($E16="","",$E16*MAX(Supuestos!$B$19*Supuestos!$B$20-MAX(Supuestos!$B$23-Supuestos!$B$8*Supuestos!$B$11,0),0))</x:f>
        <x:v>16.1568</x:v>
      </x:c>
      <x:c r="AH16" s="39" t="n">
        <x:f>IF($E16="","",$E16*MAX(Supuestos!$B$19*Supuestos!$B$20-MAX(Supuestos!$B$23-Supuestos!$B$8*Supuestos!$B$11,0),0))</x:f>
        <x:v>16.1568</x:v>
      </x:c>
      <x:c r="AI16" s="39" t="n">
        <x:f>IF($E16="","",$E16*MAX(Supuestos!$B$19*Supuestos!$B$20-MAX(Supuestos!$B$23-Supuestos!$B$8*Supuestos!$B$11,0),0))</x:f>
        <x:v>16.1568</x:v>
      </x:c>
      <x:c r="AJ16" s="39" t="n">
        <x:f>IF($E16="","",$E16*MAX(Supuestos!$B$19*Supuestos!$B$20-MAX(Supuestos!$B$23-Supuestos!$B$8*Supuestos!$B$11,0),0))</x:f>
        <x:v>16.1568</x:v>
      </x:c>
      <x:c r="AK16" s="39" t="n">
        <x:f>IF($E16="","",$E16*MAX(Supuestos!$B$19*Supuestos!$B$20-MAX(Supuestos!$B$23-Supuestos!$B$8*Supuestos!$B$11,0),0))</x:f>
        <x:v>16.1568</x:v>
      </x:c>
      <x:c r="AL16" s="39" t="n">
        <x:f>IF($E16="","",$E16*MAX(Supuestos!$B$19*Supuestos!$B$20-MAX(Supuestos!$B$23-Supuestos!$B$8*Supuestos!$B$11,0),0))</x:f>
        <x:v>16.1568</x:v>
      </x:c>
      <x:c r="AM16" s="39" t="n">
        <x:f>IF($E16="","",$E16*MAX(Supuestos!$B$19*Supuestos!$B$20-MAX(Supuestos!$B$23-Supuestos!$B$8*Supuestos!$B$11,0),0))</x:f>
        <x:v>16.1568</x:v>
      </x:c>
      <x:c r="AN16" s="39" t="n">
        <x:f>IF($E16="","",$E16*MAX(Supuestos!$B$19*Supuestos!$B$20-MAX(Supuestos!$B$23-Supuestos!$B$8*Supuestos!$B$11,0),0))</x:f>
        <x:v>16.1568</x:v>
      </x:c>
      <x:c r="AO16" s="39" t="n">
        <x:f>IF($E16="","",$E16*MAX(Supuestos!$B$19*Supuestos!$B$20-MAX(Supuestos!$B$23-Supuestos!$B$8*Supuestos!$B$11,0),0))</x:f>
        <x:v>16.1568</x:v>
      </x:c>
      <x:c r="AP16" s="39" t="n">
        <x:f>IF($E16="","",$E16*MAX(Supuestos!$B$19*Supuestos!$B$20-MAX(Supuestos!$B$23-Supuestos!$B$8*Supuestos!$B$11,0),0))</x:f>
        <x:v>16.1568</x:v>
      </x:c>
      <x:c r="AQ16" s="39" t="n">
        <x:f>IF($E16="","",$E16*MAX(Supuestos!$B$19*Supuestos!$B$20-MAX(Supuestos!$B$23-Supuestos!$B$8*Supuestos!$B$11,0),0))</x:f>
        <x:v>16.1568</x:v>
      </x:c>
      <x:c r="AR16" s="39" t="n">
        <x:f>IF($E16="","",$E16*MAX(Supuestos!$B$19*Supuestos!$B$20-MAX(Supuestos!$B$23-Supuestos!$B$8*Supuestos!$B$11,0),0))</x:f>
        <x:v>16.1568</x:v>
      </x:c>
      <x:c r="AS16" s="39" t="n">
        <x:f>IF($E16="","",$E16*MAX(Supuestos!$B$19*Supuestos!$B$20-MAX(Supuestos!$B$23-Supuestos!$B$8*Supuestos!$B$11,0),0))</x:f>
        <x:v>16.1568</x:v>
      </x:c>
      <x:c r="AT16" s="39" t="n">
        <x:f>IF($E16="","",$E16*MAX(Supuestos!$B$19*Supuestos!$B$20-MAX(Supuestos!$B$23-Supuestos!$B$8*Supuestos!$B$11,0),0))</x:f>
        <x:v>16.1568</x:v>
      </x:c>
      <x:c r="AU16" s="39" t="n">
        <x:f>IF($E16="","",$E16*MAX(Supuestos!$B$19*Supuestos!$B$20-MAX(Supuestos!$B$23-Supuestos!$B$8*Supuestos!$B$11,0),0))</x:f>
        <x:v>16.1568</x:v>
      </x:c>
      <x:c r="AV16" s="39" t="n">
        <x:f>IF($E16="","",$E16*MAX(Supuestos!$B$19*Supuestos!$B$20-MAX(Supuestos!$B$23-Supuestos!$B$8*Supuestos!$B$11,0),0))</x:f>
        <x:v>16.1568</x:v>
      </x:c>
      <x:c r="AW16" s="39" t="n">
        <x:f>IF($E16="","",$E16*MAX(Supuestos!$B$19*Supuestos!$B$20-MAX(Supuestos!$B$23-Supuestos!$B$8*Supuestos!$B$11,0),0))</x:f>
        <x:v>16.1568</x:v>
      </x:c>
      <x:c r="AX16" s="39" t="n">
        <x:f>IF($E16="","",$E16*MAX(Supuestos!$B$19*Supuestos!$B$20-MAX(Supuestos!$B$23-Supuestos!$B$8*Supuestos!$B$11,0),0))</x:f>
        <x:v>16.1568</x:v>
      </x:c>
      <x:c r="AY16" s="39" t="n">
        <x:f>IF($E16="","",$E16*MAX(Supuestos!$B$19*Supuestos!$B$20-MAX(Supuestos!$B$23-Supuestos!$B$8*Supuestos!$B$11,0),0))</x:f>
        <x:v>16.1568</x:v>
      </x:c>
      <x:c r="AZ16" s="39" t="n">
        <x:f>IF($E16="","",$E16*MAX(Supuestos!$B$19*Supuestos!$B$20-MAX(Supuestos!$B$23-Supuestos!$B$8*Supuestos!$B$11,0),0))</x:f>
        <x:v>16.1568</x:v>
      </x:c>
      <x:c r="BA16" s="39" t="n">
        <x:f>IF($E16="","",$E16*MAX(Supuestos!$B$19*Supuestos!$B$20-MAX(Supuestos!$B$23-Supuestos!$B$8*Supuestos!$B$11,0),0))</x:f>
        <x:v>16.1568</x:v>
      </x:c>
      <x:c r="BB16" s="39" t="n">
        <x:f>IF($E16="","",$E16*MAX(Supuestos!$B$19*Supuestos!$B$20-MAX(Supuestos!$B$23-Supuestos!$B$8*Supuestos!$B$11,0),0))</x:f>
        <x:v>16.1568</x:v>
      </x:c>
      <x:c r="BC16" s="39" t="n">
        <x:f>IF($E16="","",$E16*MAX(Supuestos!$B$19*Supuestos!$B$20-MAX(Supuestos!$B$23-Supuestos!$B$8*Supuestos!$B$11,0),0))</x:f>
        <x:v>16.1568</x:v>
      </x:c>
      <x:c r="BD16" s="39" t="n">
        <x:f>IF($E16="","",$E16*MAX(Supuestos!$B$19*Supuestos!$B$20-MAX(Supuestos!$B$23-Supuestos!$B$8*Supuestos!$B$11,0),0))</x:f>
        <x:v>16.1568</x:v>
      </x:c>
      <x:c r="BE16" s="39" t="n">
        <x:f>IF($E16="","",$E16*MAX(Supuestos!$B$19*Supuestos!$B$20-MAX(Supuestos!$B$23-Supuestos!$B$8*Supuestos!$B$11,0),0))</x:f>
        <x:v>16.1568</x:v>
      </x:c>
      <x:c r="BF16" s="39" t="n">
        <x:f>IF($E16="","",$E16*MAX(Supuestos!$B$19*Supuestos!$B$20-MAX(Supuestos!$B$23-Supuestos!$B$8*Supuestos!$B$11,0),0))</x:f>
        <x:v>16.1568</x:v>
      </x:c>
      <x:c r="BG16" s="39" t="n">
        <x:f>IF($E16="","",$E16*MAX(Supuestos!$B$19*Supuestos!$B$20-MAX(Supuestos!$B$23-Supuestos!$B$8*Supuestos!$B$11,0),0))</x:f>
        <x:v>16.1568</x:v>
      </x:c>
      <x:c r="BH16" s="39" t="n">
        <x:f>IF($E16="","",$E16*MAX(Supuestos!$B$19*Supuestos!$B$20-MAX(Supuestos!$B$23-Supuestos!$B$8*Supuestos!$B$11,0),0))</x:f>
        <x:v>16.1568</x:v>
      </x:c>
      <x:c r="BI16" s="39" t="n">
        <x:f>IF($E16="","",$E16*MAX(Supuestos!$B$19*Supuestos!$B$20-MAX(Supuestos!$B$23-Supuestos!$B$8*Supuestos!$B$11,0),0))</x:f>
        <x:v>16.1568</x:v>
      </x:c>
      <x:c r="BJ16" s="39" t="n">
        <x:f>IF($E16="","",$E16*MAX(Supuestos!$B$19*Supuestos!$B$20-MAX(Supuestos!$B$23-Supuestos!$B$8*Supuestos!$B$11,0),0))</x:f>
        <x:v>16.1568</x:v>
      </x:c>
      <x:c r="BK16" s="39" t="n">
        <x:f>IF($E16="","",$E16*MAX(Supuestos!$B$19*Supuestos!$B$20-MAX(Supuestos!$B$23-Supuestos!$B$8*Supuestos!$B$11,0),0))</x:f>
        <x:v>16.1568</x:v>
      </x:c>
      <x:c r="BL16" s="39" t="n">
        <x:f>IF($E16="","",$E16*MAX(Supuestos!$B$19*Supuestos!$B$20-MAX(Supuestos!$B$23-Supuestos!$B$8*Supuestos!$B$11,0),0))</x:f>
        <x:v>16.1568</x:v>
      </x:c>
      <x:c r="BM16" s="39" t="n">
        <x:f>IF($E16="","",$E16*MAX(Supuestos!$B$19*Supuestos!$B$20-MAX(Supuestos!$B$23-Supuestos!$B$8*Supuestos!$B$11,0),0))</x:f>
        <x:v>16.1568</x:v>
      </x:c>
      <x:c r="BN16" s="39" t="n">
        <x:f>IF($E16="","",$E16*MAX(Supuestos!$B$19*Supuestos!$B$20-MAX(Supuestos!$B$23-Supuestos!$B$8*Supuestos!$B$11,0),0))</x:f>
        <x:v>16.1568</x:v>
      </x:c>
      <x:c r="BO16" s="47" t="n">
        <x:f>IF(COUNT(G16:BN16)=0,"",SUM(G16:BN16))</x:f>
        <x:v>969.407999999999</x:v>
      </x:c>
    </x:row>
    <x:row r="17">
      <x:c r="A17" s="16" t="str">
        <x:v>SCL-11</x:v>
      </x:c>
      <x:c r="B17" s="17" t="str">
        <x:v>Chile Central</x:v>
      </x:c>
      <x:c r="C17" s="17" t="str">
        <x:v>Memoria activa no producción</x:v>
      </x:c>
      <x:c r="D17" s="17" t="str">
        <x:v>GiB-hora</x:v>
      </x:c>
      <x:c r="E17" s="38" t="n">
        <x:f>'Fuentes y Cotizaciones'!F17</x:f>
        <x:v>0.0144</x:v>
      </x:c>
      <x:c r="F17" s="17" t="str">
        <x:v>Franquicia remanente tras producción</x:v>
      </x:c>
      <x:c r="G17" s="39" t="n">
        <x:f>IF($E17="","",$E17*MAX(Supuestos!$B$19*Supuestos!$B$21-MAX(Supuestos!$B$24-Supuestos!$B$8*Supuestos!$B$12,0),0))</x:f>
        <x:v>3.8016</x:v>
      </x:c>
      <x:c r="H17" s="39" t="n">
        <x:f>IF($E17="","",$E17*MAX(Supuestos!$B$19*Supuestos!$B$21-MAX(Supuestos!$B$24-Supuestos!$B$8*Supuestos!$B$12,0),0))</x:f>
        <x:v>3.8016</x:v>
      </x:c>
      <x:c r="I17" s="39" t="n">
        <x:f>IF($E17="","",$E17*MAX(Supuestos!$B$19*Supuestos!$B$21-MAX(Supuestos!$B$24-Supuestos!$B$8*Supuestos!$B$12,0),0))</x:f>
        <x:v>3.8016</x:v>
      </x:c>
      <x:c r="J17" s="39" t="n">
        <x:f>IF($E17="","",$E17*MAX(Supuestos!$B$19*Supuestos!$B$21-MAX(Supuestos!$B$24-Supuestos!$B$8*Supuestos!$B$12,0),0))</x:f>
        <x:v>3.8016</x:v>
      </x:c>
      <x:c r="K17" s="39" t="n">
        <x:f>IF($E17="","",$E17*MAX(Supuestos!$B$19*Supuestos!$B$21-MAX(Supuestos!$B$24-Supuestos!$B$8*Supuestos!$B$12,0),0))</x:f>
        <x:v>3.8016</x:v>
      </x:c>
      <x:c r="L17" s="39" t="n">
        <x:f>IF($E17="","",$E17*MAX(Supuestos!$B$19*Supuestos!$B$21-MAX(Supuestos!$B$24-Supuestos!$B$8*Supuestos!$B$12,0),0))</x:f>
        <x:v>3.8016</x:v>
      </x:c>
      <x:c r="M17" s="39" t="n">
        <x:f>IF($E17="","",$E17*MAX(Supuestos!$B$19*Supuestos!$B$21-MAX(Supuestos!$B$24-Supuestos!$B$8*Supuestos!$B$12,0),0))</x:f>
        <x:v>3.8016</x:v>
      </x:c>
      <x:c r="N17" s="39" t="n">
        <x:f>IF($E17="","",$E17*MAX(Supuestos!$B$19*Supuestos!$B$21-MAX(Supuestos!$B$24-Supuestos!$B$8*Supuestos!$B$12,0),0))</x:f>
        <x:v>3.8016</x:v>
      </x:c>
      <x:c r="O17" s="39" t="n">
        <x:f>IF($E17="","",$E17*MAX(Supuestos!$B$19*Supuestos!$B$21-MAX(Supuestos!$B$24-Supuestos!$B$8*Supuestos!$B$12,0),0))</x:f>
        <x:v>3.8016</x:v>
      </x:c>
      <x:c r="P17" s="39" t="n">
        <x:f>IF($E17="","",$E17*MAX(Supuestos!$B$19*Supuestos!$B$21-MAX(Supuestos!$B$24-Supuestos!$B$8*Supuestos!$B$12,0),0))</x:f>
        <x:v>3.8016</x:v>
      </x:c>
      <x:c r="Q17" s="39" t="n">
        <x:f>IF($E17="","",$E17*MAX(Supuestos!$B$19*Supuestos!$B$21-MAX(Supuestos!$B$24-Supuestos!$B$8*Supuestos!$B$12,0),0))</x:f>
        <x:v>3.8016</x:v>
      </x:c>
      <x:c r="R17" s="39" t="n">
        <x:f>IF($E17="","",$E17*MAX(Supuestos!$B$19*Supuestos!$B$21-MAX(Supuestos!$B$24-Supuestos!$B$8*Supuestos!$B$12,0),0))</x:f>
        <x:v>3.8016</x:v>
      </x:c>
      <x:c r="S17" s="39" t="n">
        <x:f>IF($E17="","",$E17*MAX(Supuestos!$B$19*Supuestos!$B$21-MAX(Supuestos!$B$24-Supuestos!$B$8*Supuestos!$B$12,0),0))</x:f>
        <x:v>3.8016</x:v>
      </x:c>
      <x:c r="T17" s="39" t="n">
        <x:f>IF($E17="","",$E17*MAX(Supuestos!$B$19*Supuestos!$B$21-MAX(Supuestos!$B$24-Supuestos!$B$8*Supuestos!$B$12,0),0))</x:f>
        <x:v>3.8016</x:v>
      </x:c>
      <x:c r="U17" s="39" t="n">
        <x:f>IF($E17="","",$E17*MAX(Supuestos!$B$19*Supuestos!$B$21-MAX(Supuestos!$B$24-Supuestos!$B$8*Supuestos!$B$12,0),0))</x:f>
        <x:v>3.8016</x:v>
      </x:c>
      <x:c r="V17" s="39" t="n">
        <x:f>IF($E17="","",$E17*MAX(Supuestos!$B$19*Supuestos!$B$21-MAX(Supuestos!$B$24-Supuestos!$B$8*Supuestos!$B$12,0),0))</x:f>
        <x:v>3.8016</x:v>
      </x:c>
      <x:c r="W17" s="39" t="n">
        <x:f>IF($E17="","",$E17*MAX(Supuestos!$B$19*Supuestos!$B$21-MAX(Supuestos!$B$24-Supuestos!$B$8*Supuestos!$B$12,0),0))</x:f>
        <x:v>3.8016</x:v>
      </x:c>
      <x:c r="X17" s="39" t="n">
        <x:f>IF($E17="","",$E17*MAX(Supuestos!$B$19*Supuestos!$B$21-MAX(Supuestos!$B$24-Supuestos!$B$8*Supuestos!$B$12,0),0))</x:f>
        <x:v>3.8016</x:v>
      </x:c>
      <x:c r="Y17" s="39" t="n">
        <x:f>IF($E17="","",$E17*MAX(Supuestos!$B$19*Supuestos!$B$21-MAX(Supuestos!$B$24-Supuestos!$B$8*Supuestos!$B$12,0),0))</x:f>
        <x:v>3.8016</x:v>
      </x:c>
      <x:c r="Z17" s="39" t="n">
        <x:f>IF($E17="","",$E17*MAX(Supuestos!$B$19*Supuestos!$B$21-MAX(Supuestos!$B$24-Supuestos!$B$8*Supuestos!$B$12,0),0))</x:f>
        <x:v>3.8016</x:v>
      </x:c>
      <x:c r="AA17" s="39" t="n">
        <x:f>IF($E17="","",$E17*MAX(Supuestos!$B$19*Supuestos!$B$21-MAX(Supuestos!$B$24-Supuestos!$B$8*Supuestos!$B$12,0),0))</x:f>
        <x:v>3.8016</x:v>
      </x:c>
      <x:c r="AB17" s="39" t="n">
        <x:f>IF($E17="","",$E17*MAX(Supuestos!$B$19*Supuestos!$B$21-MAX(Supuestos!$B$24-Supuestos!$B$8*Supuestos!$B$12,0),0))</x:f>
        <x:v>3.8016</x:v>
      </x:c>
      <x:c r="AC17" s="39" t="n">
        <x:f>IF($E17="","",$E17*MAX(Supuestos!$B$19*Supuestos!$B$21-MAX(Supuestos!$B$24-Supuestos!$B$8*Supuestos!$B$12,0),0))</x:f>
        <x:v>3.8016</x:v>
      </x:c>
      <x:c r="AD17" s="39" t="n">
        <x:f>IF($E17="","",$E17*MAX(Supuestos!$B$19*Supuestos!$B$21-MAX(Supuestos!$B$24-Supuestos!$B$8*Supuestos!$B$12,0),0))</x:f>
        <x:v>3.8016</x:v>
      </x:c>
      <x:c r="AE17" s="39" t="n">
        <x:f>IF($E17="","",$E17*MAX(Supuestos!$B$19*Supuestos!$B$21-MAX(Supuestos!$B$24-Supuestos!$B$8*Supuestos!$B$12,0),0))</x:f>
        <x:v>3.8016</x:v>
      </x:c>
      <x:c r="AF17" s="39" t="n">
        <x:f>IF($E17="","",$E17*MAX(Supuestos!$B$19*Supuestos!$B$21-MAX(Supuestos!$B$24-Supuestos!$B$8*Supuestos!$B$12,0),0))</x:f>
        <x:v>3.8016</x:v>
      </x:c>
      <x:c r="AG17" s="39" t="n">
        <x:f>IF($E17="","",$E17*MAX(Supuestos!$B$19*Supuestos!$B$21-MAX(Supuestos!$B$24-Supuestos!$B$8*Supuestos!$B$12,0),0))</x:f>
        <x:v>3.8016</x:v>
      </x:c>
      <x:c r="AH17" s="39" t="n">
        <x:f>IF($E17="","",$E17*MAX(Supuestos!$B$19*Supuestos!$B$21-MAX(Supuestos!$B$24-Supuestos!$B$8*Supuestos!$B$12,0),0))</x:f>
        <x:v>3.8016</x:v>
      </x:c>
      <x:c r="AI17" s="39" t="n">
        <x:f>IF($E17="","",$E17*MAX(Supuestos!$B$19*Supuestos!$B$21-MAX(Supuestos!$B$24-Supuestos!$B$8*Supuestos!$B$12,0),0))</x:f>
        <x:v>3.8016</x:v>
      </x:c>
      <x:c r="AJ17" s="39" t="n">
        <x:f>IF($E17="","",$E17*MAX(Supuestos!$B$19*Supuestos!$B$21-MAX(Supuestos!$B$24-Supuestos!$B$8*Supuestos!$B$12,0),0))</x:f>
        <x:v>3.8016</x:v>
      </x:c>
      <x:c r="AK17" s="39" t="n">
        <x:f>IF($E17="","",$E17*MAX(Supuestos!$B$19*Supuestos!$B$21-MAX(Supuestos!$B$24-Supuestos!$B$8*Supuestos!$B$12,0),0))</x:f>
        <x:v>3.8016</x:v>
      </x:c>
      <x:c r="AL17" s="39" t="n">
        <x:f>IF($E17="","",$E17*MAX(Supuestos!$B$19*Supuestos!$B$21-MAX(Supuestos!$B$24-Supuestos!$B$8*Supuestos!$B$12,0),0))</x:f>
        <x:v>3.8016</x:v>
      </x:c>
      <x:c r="AM17" s="39" t="n">
        <x:f>IF($E17="","",$E17*MAX(Supuestos!$B$19*Supuestos!$B$21-MAX(Supuestos!$B$24-Supuestos!$B$8*Supuestos!$B$12,0),0))</x:f>
        <x:v>3.8016</x:v>
      </x:c>
      <x:c r="AN17" s="39" t="n">
        <x:f>IF($E17="","",$E17*MAX(Supuestos!$B$19*Supuestos!$B$21-MAX(Supuestos!$B$24-Supuestos!$B$8*Supuestos!$B$12,0),0))</x:f>
        <x:v>3.8016</x:v>
      </x:c>
      <x:c r="AO17" s="39" t="n">
        <x:f>IF($E17="","",$E17*MAX(Supuestos!$B$19*Supuestos!$B$21-MAX(Supuestos!$B$24-Supuestos!$B$8*Supuestos!$B$12,0),0))</x:f>
        <x:v>3.8016</x:v>
      </x:c>
      <x:c r="AP17" s="39" t="n">
        <x:f>IF($E17="","",$E17*MAX(Supuestos!$B$19*Supuestos!$B$21-MAX(Supuestos!$B$24-Supuestos!$B$8*Supuestos!$B$12,0),0))</x:f>
        <x:v>3.8016</x:v>
      </x:c>
      <x:c r="AQ17" s="39" t="n">
        <x:f>IF($E17="","",$E17*MAX(Supuestos!$B$19*Supuestos!$B$21-MAX(Supuestos!$B$24-Supuestos!$B$8*Supuestos!$B$12,0),0))</x:f>
        <x:v>3.8016</x:v>
      </x:c>
      <x:c r="AR17" s="39" t="n">
        <x:f>IF($E17="","",$E17*MAX(Supuestos!$B$19*Supuestos!$B$21-MAX(Supuestos!$B$24-Supuestos!$B$8*Supuestos!$B$12,0),0))</x:f>
        <x:v>3.8016</x:v>
      </x:c>
      <x:c r="AS17" s="39" t="n">
        <x:f>IF($E17="","",$E17*MAX(Supuestos!$B$19*Supuestos!$B$21-MAX(Supuestos!$B$24-Supuestos!$B$8*Supuestos!$B$12,0),0))</x:f>
        <x:v>3.8016</x:v>
      </x:c>
      <x:c r="AT17" s="39" t="n">
        <x:f>IF($E17="","",$E17*MAX(Supuestos!$B$19*Supuestos!$B$21-MAX(Supuestos!$B$24-Supuestos!$B$8*Supuestos!$B$12,0),0))</x:f>
        <x:v>3.8016</x:v>
      </x:c>
      <x:c r="AU17" s="39" t="n">
        <x:f>IF($E17="","",$E17*MAX(Supuestos!$B$19*Supuestos!$B$21-MAX(Supuestos!$B$24-Supuestos!$B$8*Supuestos!$B$12,0),0))</x:f>
        <x:v>3.8016</x:v>
      </x:c>
      <x:c r="AV17" s="39" t="n">
        <x:f>IF($E17="","",$E17*MAX(Supuestos!$B$19*Supuestos!$B$21-MAX(Supuestos!$B$24-Supuestos!$B$8*Supuestos!$B$12,0),0))</x:f>
        <x:v>3.8016</x:v>
      </x:c>
      <x:c r="AW17" s="39" t="n">
        <x:f>IF($E17="","",$E17*MAX(Supuestos!$B$19*Supuestos!$B$21-MAX(Supuestos!$B$24-Supuestos!$B$8*Supuestos!$B$12,0),0))</x:f>
        <x:v>3.8016</x:v>
      </x:c>
      <x:c r="AX17" s="39" t="n">
        <x:f>IF($E17="","",$E17*MAX(Supuestos!$B$19*Supuestos!$B$21-MAX(Supuestos!$B$24-Supuestos!$B$8*Supuestos!$B$12,0),0))</x:f>
        <x:v>3.8016</x:v>
      </x:c>
      <x:c r="AY17" s="39" t="n">
        <x:f>IF($E17="","",$E17*MAX(Supuestos!$B$19*Supuestos!$B$21-MAX(Supuestos!$B$24-Supuestos!$B$8*Supuestos!$B$12,0),0))</x:f>
        <x:v>3.8016</x:v>
      </x:c>
      <x:c r="AZ17" s="39" t="n">
        <x:f>IF($E17="","",$E17*MAX(Supuestos!$B$19*Supuestos!$B$21-MAX(Supuestos!$B$24-Supuestos!$B$8*Supuestos!$B$12,0),0))</x:f>
        <x:v>3.8016</x:v>
      </x:c>
      <x:c r="BA17" s="39" t="n">
        <x:f>IF($E17="","",$E17*MAX(Supuestos!$B$19*Supuestos!$B$21-MAX(Supuestos!$B$24-Supuestos!$B$8*Supuestos!$B$12,0),0))</x:f>
        <x:v>3.8016</x:v>
      </x:c>
      <x:c r="BB17" s="39" t="n">
        <x:f>IF($E17="","",$E17*MAX(Supuestos!$B$19*Supuestos!$B$21-MAX(Supuestos!$B$24-Supuestos!$B$8*Supuestos!$B$12,0),0))</x:f>
        <x:v>3.8016</x:v>
      </x:c>
      <x:c r="BC17" s="39" t="n">
        <x:f>IF($E17="","",$E17*MAX(Supuestos!$B$19*Supuestos!$B$21-MAX(Supuestos!$B$24-Supuestos!$B$8*Supuestos!$B$12,0),0))</x:f>
        <x:v>3.8016</x:v>
      </x:c>
      <x:c r="BD17" s="39" t="n">
        <x:f>IF($E17="","",$E17*MAX(Supuestos!$B$19*Supuestos!$B$21-MAX(Supuestos!$B$24-Supuestos!$B$8*Supuestos!$B$12,0),0))</x:f>
        <x:v>3.8016</x:v>
      </x:c>
      <x:c r="BE17" s="39" t="n">
        <x:f>IF($E17="","",$E17*MAX(Supuestos!$B$19*Supuestos!$B$21-MAX(Supuestos!$B$24-Supuestos!$B$8*Supuestos!$B$12,0),0))</x:f>
        <x:v>3.8016</x:v>
      </x:c>
      <x:c r="BF17" s="39" t="n">
        <x:f>IF($E17="","",$E17*MAX(Supuestos!$B$19*Supuestos!$B$21-MAX(Supuestos!$B$24-Supuestos!$B$8*Supuestos!$B$12,0),0))</x:f>
        <x:v>3.8016</x:v>
      </x:c>
      <x:c r="BG17" s="39" t="n">
        <x:f>IF($E17="","",$E17*MAX(Supuestos!$B$19*Supuestos!$B$21-MAX(Supuestos!$B$24-Supuestos!$B$8*Supuestos!$B$12,0),0))</x:f>
        <x:v>3.8016</x:v>
      </x:c>
      <x:c r="BH17" s="39" t="n">
        <x:f>IF($E17="","",$E17*MAX(Supuestos!$B$19*Supuestos!$B$21-MAX(Supuestos!$B$24-Supuestos!$B$8*Supuestos!$B$12,0),0))</x:f>
        <x:v>3.8016</x:v>
      </x:c>
      <x:c r="BI17" s="39" t="n">
        <x:f>IF($E17="","",$E17*MAX(Supuestos!$B$19*Supuestos!$B$21-MAX(Supuestos!$B$24-Supuestos!$B$8*Supuestos!$B$12,0),0))</x:f>
        <x:v>3.8016</x:v>
      </x:c>
      <x:c r="BJ17" s="39" t="n">
        <x:f>IF($E17="","",$E17*MAX(Supuestos!$B$19*Supuestos!$B$21-MAX(Supuestos!$B$24-Supuestos!$B$8*Supuestos!$B$12,0),0))</x:f>
        <x:v>3.8016</x:v>
      </x:c>
      <x:c r="BK17" s="39" t="n">
        <x:f>IF($E17="","",$E17*MAX(Supuestos!$B$19*Supuestos!$B$21-MAX(Supuestos!$B$24-Supuestos!$B$8*Supuestos!$B$12,0),0))</x:f>
        <x:v>3.8016</x:v>
      </x:c>
      <x:c r="BL17" s="39" t="n">
        <x:f>IF($E17="","",$E17*MAX(Supuestos!$B$19*Supuestos!$B$21-MAX(Supuestos!$B$24-Supuestos!$B$8*Supuestos!$B$12,0),0))</x:f>
        <x:v>3.8016</x:v>
      </x:c>
      <x:c r="BM17" s="39" t="n">
        <x:f>IF($E17="","",$E17*MAX(Supuestos!$B$19*Supuestos!$B$21-MAX(Supuestos!$B$24-Supuestos!$B$8*Supuestos!$B$12,0),0))</x:f>
        <x:v>3.8016</x:v>
      </x:c>
      <x:c r="BN17" s="39" t="n">
        <x:f>IF($E17="","",$E17*MAX(Supuestos!$B$19*Supuestos!$B$21-MAX(Supuestos!$B$24-Supuestos!$B$8*Supuestos!$B$12,0),0))</x:f>
        <x:v>3.8016</x:v>
      </x:c>
      <x:c r="BO17" s="47" t="n">
        <x:f>IF(COUNT(G17:BN17)=0,"",SUM(G17:BN17))</x:f>
        <x:v>228.0960000000001</x:v>
      </x:c>
    </x:row>
    <x:row r="18">
      <x:c r="A18" s="16" t="str">
        <x:v>SCL-12</x:v>
      </x:c>
      <x:c r="B18" s="17" t="str">
        <x:v>Chile Central</x:v>
      </x:c>
      <x:c r="C18" s="17" t="str">
        <x:v>Solicitudes no producción</x:v>
      </x:c>
      <x:c r="D18" s="17" t="str">
        <x:v>millón de solicitudes</x:v>
      </x:c>
      <x:c r="E18" s="38" t="n">
        <x:f>'Fuentes y Cotizaciones'!F18</x:f>
        <x:v>0.4</x:v>
      </x:c>
      <x:c r="F18" s="17" t="str">
        <x:v>Franquicia remanente tras producción</x:v>
      </x:c>
      <x:c r="G18" s="39" t="n">
        <x:f>IF($E18="","",$E18*MAX(Supuestos!$B$22-MAX(Supuestos!$B$25-Supuestos!$B$13,0),0)/1000000)</x:f>
        <x:v>0</x:v>
      </x:c>
      <x:c r="H18" s="39" t="n">
        <x:f>IF($E18="","",$E18*MAX(Supuestos!$B$22-MAX(Supuestos!$B$25-Supuestos!$B$13,0),0)/1000000)</x:f>
        <x:v>0</x:v>
      </x:c>
      <x:c r="I18" s="39" t="n">
        <x:f>IF($E18="","",$E18*MAX(Supuestos!$B$22-MAX(Supuestos!$B$25-Supuestos!$B$13,0),0)/1000000)</x:f>
        <x:v>0</x:v>
      </x:c>
      <x:c r="J18" s="39" t="n">
        <x:f>IF($E18="","",$E18*MAX(Supuestos!$B$22-MAX(Supuestos!$B$25-Supuestos!$B$13,0),0)/1000000)</x:f>
        <x:v>0</x:v>
      </x:c>
      <x:c r="K18" s="39" t="n">
        <x:f>IF($E18="","",$E18*MAX(Supuestos!$B$22-MAX(Supuestos!$B$25-Supuestos!$B$13,0),0)/1000000)</x:f>
        <x:v>0</x:v>
      </x:c>
      <x:c r="L18" s="39" t="n">
        <x:f>IF($E18="","",$E18*MAX(Supuestos!$B$22-MAX(Supuestos!$B$25-Supuestos!$B$13,0),0)/1000000)</x:f>
        <x:v>0</x:v>
      </x:c>
      <x:c r="M18" s="39" t="n">
        <x:f>IF($E18="","",$E18*MAX(Supuestos!$B$22-MAX(Supuestos!$B$25-Supuestos!$B$13,0),0)/1000000)</x:f>
        <x:v>0</x:v>
      </x:c>
      <x:c r="N18" s="39" t="n">
        <x:f>IF($E18="","",$E18*MAX(Supuestos!$B$22-MAX(Supuestos!$B$25-Supuestos!$B$13,0),0)/1000000)</x:f>
        <x:v>0</x:v>
      </x:c>
      <x:c r="O18" s="39" t="n">
        <x:f>IF($E18="","",$E18*MAX(Supuestos!$B$22-MAX(Supuestos!$B$25-Supuestos!$B$13,0),0)/1000000)</x:f>
        <x:v>0</x:v>
      </x:c>
      <x:c r="P18" s="39" t="n">
        <x:f>IF($E18="","",$E18*MAX(Supuestos!$B$22-MAX(Supuestos!$B$25-Supuestos!$B$13,0),0)/1000000)</x:f>
        <x:v>0</x:v>
      </x:c>
      <x:c r="Q18" s="39" t="n">
        <x:f>IF($E18="","",$E18*MAX(Supuestos!$B$22-MAX(Supuestos!$B$25-Supuestos!$B$13,0),0)/1000000)</x:f>
        <x:v>0</x:v>
      </x:c>
      <x:c r="R18" s="39" t="n">
        <x:f>IF($E18="","",$E18*MAX(Supuestos!$B$22-MAX(Supuestos!$B$25-Supuestos!$B$13,0),0)/1000000)</x:f>
        <x:v>0</x:v>
      </x:c>
      <x:c r="S18" s="39" t="n">
        <x:f>IF($E18="","",$E18*MAX(Supuestos!$B$22-MAX(Supuestos!$B$25-Supuestos!$B$13,0),0)/1000000)</x:f>
        <x:v>0</x:v>
      </x:c>
      <x:c r="T18" s="39" t="n">
        <x:f>IF($E18="","",$E18*MAX(Supuestos!$B$22-MAX(Supuestos!$B$25-Supuestos!$B$13,0),0)/1000000)</x:f>
        <x:v>0</x:v>
      </x:c>
      <x:c r="U18" s="39" t="n">
        <x:f>IF($E18="","",$E18*MAX(Supuestos!$B$22-MAX(Supuestos!$B$25-Supuestos!$B$13,0),0)/1000000)</x:f>
        <x:v>0</x:v>
      </x:c>
      <x:c r="V18" s="39" t="n">
        <x:f>IF($E18="","",$E18*MAX(Supuestos!$B$22-MAX(Supuestos!$B$25-Supuestos!$B$13,0),0)/1000000)</x:f>
        <x:v>0</x:v>
      </x:c>
      <x:c r="W18" s="39" t="n">
        <x:f>IF($E18="","",$E18*MAX(Supuestos!$B$22-MAX(Supuestos!$B$25-Supuestos!$B$13,0),0)/1000000)</x:f>
        <x:v>0</x:v>
      </x:c>
      <x:c r="X18" s="39" t="n">
        <x:f>IF($E18="","",$E18*MAX(Supuestos!$B$22-MAX(Supuestos!$B$25-Supuestos!$B$13,0),0)/1000000)</x:f>
        <x:v>0</x:v>
      </x:c>
      <x:c r="Y18" s="39" t="n">
        <x:f>IF($E18="","",$E18*MAX(Supuestos!$B$22-MAX(Supuestos!$B$25-Supuestos!$B$13,0),0)/1000000)</x:f>
        <x:v>0</x:v>
      </x:c>
      <x:c r="Z18" s="39" t="n">
        <x:f>IF($E18="","",$E18*MAX(Supuestos!$B$22-MAX(Supuestos!$B$25-Supuestos!$B$13,0),0)/1000000)</x:f>
        <x:v>0</x:v>
      </x:c>
      <x:c r="AA18" s="39" t="n">
        <x:f>IF($E18="","",$E18*MAX(Supuestos!$B$22-MAX(Supuestos!$B$25-Supuestos!$B$13,0),0)/1000000)</x:f>
        <x:v>0</x:v>
      </x:c>
      <x:c r="AB18" s="39" t="n">
        <x:f>IF($E18="","",$E18*MAX(Supuestos!$B$22-MAX(Supuestos!$B$25-Supuestos!$B$13,0),0)/1000000)</x:f>
        <x:v>0</x:v>
      </x:c>
      <x:c r="AC18" s="39" t="n">
        <x:f>IF($E18="","",$E18*MAX(Supuestos!$B$22-MAX(Supuestos!$B$25-Supuestos!$B$13,0),0)/1000000)</x:f>
        <x:v>0</x:v>
      </x:c>
      <x:c r="AD18" s="39" t="n">
        <x:f>IF($E18="","",$E18*MAX(Supuestos!$B$22-MAX(Supuestos!$B$25-Supuestos!$B$13,0),0)/1000000)</x:f>
        <x:v>0</x:v>
      </x:c>
      <x:c r="AE18" s="39" t="n">
        <x:f>IF($E18="","",$E18*MAX(Supuestos!$B$22-MAX(Supuestos!$B$25-Supuestos!$B$13,0),0)/1000000)</x:f>
        <x:v>0</x:v>
      </x:c>
      <x:c r="AF18" s="39" t="n">
        <x:f>IF($E18="","",$E18*MAX(Supuestos!$B$22-MAX(Supuestos!$B$25-Supuestos!$B$13,0),0)/1000000)</x:f>
        <x:v>0</x:v>
      </x:c>
      <x:c r="AG18" s="39" t="n">
        <x:f>IF($E18="","",$E18*MAX(Supuestos!$B$22-MAX(Supuestos!$B$25-Supuestos!$B$13,0),0)/1000000)</x:f>
        <x:v>0</x:v>
      </x:c>
      <x:c r="AH18" s="39" t="n">
        <x:f>IF($E18="","",$E18*MAX(Supuestos!$B$22-MAX(Supuestos!$B$25-Supuestos!$B$13,0),0)/1000000)</x:f>
        <x:v>0</x:v>
      </x:c>
      <x:c r="AI18" s="39" t="n">
        <x:f>IF($E18="","",$E18*MAX(Supuestos!$B$22-MAX(Supuestos!$B$25-Supuestos!$B$13,0),0)/1000000)</x:f>
        <x:v>0</x:v>
      </x:c>
      <x:c r="AJ18" s="39" t="n">
        <x:f>IF($E18="","",$E18*MAX(Supuestos!$B$22-MAX(Supuestos!$B$25-Supuestos!$B$13,0),0)/1000000)</x:f>
        <x:v>0</x:v>
      </x:c>
      <x:c r="AK18" s="39" t="n">
        <x:f>IF($E18="","",$E18*MAX(Supuestos!$B$22-MAX(Supuestos!$B$25-Supuestos!$B$13,0),0)/1000000)</x:f>
        <x:v>0</x:v>
      </x:c>
      <x:c r="AL18" s="39" t="n">
        <x:f>IF($E18="","",$E18*MAX(Supuestos!$B$22-MAX(Supuestos!$B$25-Supuestos!$B$13,0),0)/1000000)</x:f>
        <x:v>0</x:v>
      </x:c>
      <x:c r="AM18" s="39" t="n">
        <x:f>IF($E18="","",$E18*MAX(Supuestos!$B$22-MAX(Supuestos!$B$25-Supuestos!$B$13,0),0)/1000000)</x:f>
        <x:v>0</x:v>
      </x:c>
      <x:c r="AN18" s="39" t="n">
        <x:f>IF($E18="","",$E18*MAX(Supuestos!$B$22-MAX(Supuestos!$B$25-Supuestos!$B$13,0),0)/1000000)</x:f>
        <x:v>0</x:v>
      </x:c>
      <x:c r="AO18" s="39" t="n">
        <x:f>IF($E18="","",$E18*MAX(Supuestos!$B$22-MAX(Supuestos!$B$25-Supuestos!$B$13,0),0)/1000000)</x:f>
        <x:v>0</x:v>
      </x:c>
      <x:c r="AP18" s="39" t="n">
        <x:f>IF($E18="","",$E18*MAX(Supuestos!$B$22-MAX(Supuestos!$B$25-Supuestos!$B$13,0),0)/1000000)</x:f>
        <x:v>0</x:v>
      </x:c>
      <x:c r="AQ18" s="39" t="n">
        <x:f>IF($E18="","",$E18*MAX(Supuestos!$B$22-MAX(Supuestos!$B$25-Supuestos!$B$13,0),0)/1000000)</x:f>
        <x:v>0</x:v>
      </x:c>
      <x:c r="AR18" s="39" t="n">
        <x:f>IF($E18="","",$E18*MAX(Supuestos!$B$22-MAX(Supuestos!$B$25-Supuestos!$B$13,0),0)/1000000)</x:f>
        <x:v>0</x:v>
      </x:c>
      <x:c r="AS18" s="39" t="n">
        <x:f>IF($E18="","",$E18*MAX(Supuestos!$B$22-MAX(Supuestos!$B$25-Supuestos!$B$13,0),0)/1000000)</x:f>
        <x:v>0</x:v>
      </x:c>
      <x:c r="AT18" s="39" t="n">
        <x:f>IF($E18="","",$E18*MAX(Supuestos!$B$22-MAX(Supuestos!$B$25-Supuestos!$B$13,0),0)/1000000)</x:f>
        <x:v>0</x:v>
      </x:c>
      <x:c r="AU18" s="39" t="n">
        <x:f>IF($E18="","",$E18*MAX(Supuestos!$B$22-MAX(Supuestos!$B$25-Supuestos!$B$13,0),0)/1000000)</x:f>
        <x:v>0</x:v>
      </x:c>
      <x:c r="AV18" s="39" t="n">
        <x:f>IF($E18="","",$E18*MAX(Supuestos!$B$22-MAX(Supuestos!$B$25-Supuestos!$B$13,0),0)/1000000)</x:f>
        <x:v>0</x:v>
      </x:c>
      <x:c r="AW18" s="39" t="n">
        <x:f>IF($E18="","",$E18*MAX(Supuestos!$B$22-MAX(Supuestos!$B$25-Supuestos!$B$13,0),0)/1000000)</x:f>
        <x:v>0</x:v>
      </x:c>
      <x:c r="AX18" s="39" t="n">
        <x:f>IF($E18="","",$E18*MAX(Supuestos!$B$22-MAX(Supuestos!$B$25-Supuestos!$B$13,0),0)/1000000)</x:f>
        <x:v>0</x:v>
      </x:c>
      <x:c r="AY18" s="39" t="n">
        <x:f>IF($E18="","",$E18*MAX(Supuestos!$B$22-MAX(Supuestos!$B$25-Supuestos!$B$13,0),0)/1000000)</x:f>
        <x:v>0</x:v>
      </x:c>
      <x:c r="AZ18" s="39" t="n">
        <x:f>IF($E18="","",$E18*MAX(Supuestos!$B$22-MAX(Supuestos!$B$25-Supuestos!$B$13,0),0)/1000000)</x:f>
        <x:v>0</x:v>
      </x:c>
      <x:c r="BA18" s="39" t="n">
        <x:f>IF($E18="","",$E18*MAX(Supuestos!$B$22-MAX(Supuestos!$B$25-Supuestos!$B$13,0),0)/1000000)</x:f>
        <x:v>0</x:v>
      </x:c>
      <x:c r="BB18" s="39" t="n">
        <x:f>IF($E18="","",$E18*MAX(Supuestos!$B$22-MAX(Supuestos!$B$25-Supuestos!$B$13,0),0)/1000000)</x:f>
        <x:v>0</x:v>
      </x:c>
      <x:c r="BC18" s="39" t="n">
        <x:f>IF($E18="","",$E18*MAX(Supuestos!$B$22-MAX(Supuestos!$B$25-Supuestos!$B$13,0),0)/1000000)</x:f>
        <x:v>0</x:v>
      </x:c>
      <x:c r="BD18" s="39" t="n">
        <x:f>IF($E18="","",$E18*MAX(Supuestos!$B$22-MAX(Supuestos!$B$25-Supuestos!$B$13,0),0)/1000000)</x:f>
        <x:v>0</x:v>
      </x:c>
      <x:c r="BE18" s="39" t="n">
        <x:f>IF($E18="","",$E18*MAX(Supuestos!$B$22-MAX(Supuestos!$B$25-Supuestos!$B$13,0),0)/1000000)</x:f>
        <x:v>0</x:v>
      </x:c>
      <x:c r="BF18" s="39" t="n">
        <x:f>IF($E18="","",$E18*MAX(Supuestos!$B$22-MAX(Supuestos!$B$25-Supuestos!$B$13,0),0)/1000000)</x:f>
        <x:v>0</x:v>
      </x:c>
      <x:c r="BG18" s="39" t="n">
        <x:f>IF($E18="","",$E18*MAX(Supuestos!$B$22-MAX(Supuestos!$B$25-Supuestos!$B$13,0),0)/1000000)</x:f>
        <x:v>0</x:v>
      </x:c>
      <x:c r="BH18" s="39" t="n">
        <x:f>IF($E18="","",$E18*MAX(Supuestos!$B$22-MAX(Supuestos!$B$25-Supuestos!$B$13,0),0)/1000000)</x:f>
        <x:v>0</x:v>
      </x:c>
      <x:c r="BI18" s="39" t="n">
        <x:f>IF($E18="","",$E18*MAX(Supuestos!$B$22-MAX(Supuestos!$B$25-Supuestos!$B$13,0),0)/1000000)</x:f>
        <x:v>0</x:v>
      </x:c>
      <x:c r="BJ18" s="39" t="n">
        <x:f>IF($E18="","",$E18*MAX(Supuestos!$B$22-MAX(Supuestos!$B$25-Supuestos!$B$13,0),0)/1000000)</x:f>
        <x:v>0</x:v>
      </x:c>
      <x:c r="BK18" s="39" t="n">
        <x:f>IF($E18="","",$E18*MAX(Supuestos!$B$22-MAX(Supuestos!$B$25-Supuestos!$B$13,0),0)/1000000)</x:f>
        <x:v>0</x:v>
      </x:c>
      <x:c r="BL18" s="39" t="n">
        <x:f>IF($E18="","",$E18*MAX(Supuestos!$B$22-MAX(Supuestos!$B$25-Supuestos!$B$13,0),0)/1000000)</x:f>
        <x:v>0</x:v>
      </x:c>
      <x:c r="BM18" s="39" t="n">
        <x:f>IF($E18="","",$E18*MAX(Supuestos!$B$22-MAX(Supuestos!$B$25-Supuestos!$B$13,0),0)/1000000)</x:f>
        <x:v>0</x:v>
      </x:c>
      <x:c r="BN18" s="39" t="n">
        <x:f>IF($E18="","",$E18*MAX(Supuestos!$B$22-MAX(Supuestos!$B$25-Supuestos!$B$13,0),0)/1000000)</x:f>
        <x:v>0</x:v>
      </x:c>
      <x:c r="BO18" s="47" t="n">
        <x:f>IF(COUNT(G18:BN18)=0,"",SUM(G18:BN18))</x:f>
        <x:v>0</x:v>
      </x:c>
    </x:row>
    <x:row r="19">
      <x:c r="A19" s="16" t="str">
        <x:v>USA-01</x:v>
      </x:c>
      <x:c r="B19" s="17" t="str">
        <x:v>East US</x:v>
      </x:c>
      <x:c r="C19" s="17" t="str">
        <x:v>CPU activa producción</x:v>
      </x:c>
      <x:c r="D19" s="17" t="str">
        <x:v>vCPU-hora</x:v>
      </x:c>
      <x:c r="E19" s="38" t="n">
        <x:f>'Fuentes y Cotizaciones'!F19</x:f>
        <x:v>0.0864</x:v>
      </x:c>
      <x:c r="F19" s="17" t="str">
        <x:v>vCPU-h facturables después de franquicia</x:v>
      </x:c>
      <x:c r="G19" s="39" t="n">
        <x:f>IF($E19="","",$E19*MAX(Supuestos!$B$8*Supuestos!$B$11-Supuestos!$B$23,0))</x:f>
        <x:v>58.752</x:v>
      </x:c>
      <x:c r="H19" s="39" t="n">
        <x:f>IF($E19="","",$E19*MAX(Supuestos!$B$8*Supuestos!$B$11-Supuestos!$B$23,0))</x:f>
        <x:v>58.752</x:v>
      </x:c>
      <x:c r="I19" s="39" t="n">
        <x:f>IF($E19="","",$E19*MAX(Supuestos!$B$8*Supuestos!$B$11-Supuestos!$B$23,0))</x:f>
        <x:v>58.752</x:v>
      </x:c>
      <x:c r="J19" s="39" t="n">
        <x:f>IF($E19="","",$E19*MAX(Supuestos!$B$8*Supuestos!$B$11-Supuestos!$B$23,0))</x:f>
        <x:v>58.752</x:v>
      </x:c>
      <x:c r="K19" s="39" t="n">
        <x:f>IF($E19="","",$E19*MAX(Supuestos!$B$8*Supuestos!$B$11-Supuestos!$B$23,0))</x:f>
        <x:v>58.752</x:v>
      </x:c>
      <x:c r="L19" s="39" t="n">
        <x:f>IF($E19="","",$E19*MAX(Supuestos!$B$8*Supuestos!$B$11-Supuestos!$B$23,0))</x:f>
        <x:v>58.752</x:v>
      </x:c>
      <x:c r="M19" s="39" t="n">
        <x:f>IF($E19="","",$E19*MAX(Supuestos!$B$8*Supuestos!$B$11-Supuestos!$B$23,0))</x:f>
        <x:v>58.752</x:v>
      </x:c>
      <x:c r="N19" s="39" t="n">
        <x:f>IF($E19="","",$E19*MAX(Supuestos!$B$8*Supuestos!$B$11-Supuestos!$B$23,0))</x:f>
        <x:v>58.752</x:v>
      </x:c>
      <x:c r="O19" s="39" t="n">
        <x:f>IF($E19="","",$E19*MAX(Supuestos!$B$8*Supuestos!$B$11-Supuestos!$B$23,0))</x:f>
        <x:v>58.752</x:v>
      </x:c>
      <x:c r="P19" s="39" t="n">
        <x:f>IF($E19="","",$E19*MAX(Supuestos!$B$8*Supuestos!$B$11-Supuestos!$B$23,0))</x:f>
        <x:v>58.752</x:v>
      </x:c>
      <x:c r="Q19" s="39" t="n">
        <x:f>IF($E19="","",$E19*MAX(Supuestos!$B$8*Supuestos!$B$11-Supuestos!$B$23,0))</x:f>
        <x:v>58.752</x:v>
      </x:c>
      <x:c r="R19" s="39" t="n">
        <x:f>IF($E19="","",$E19*MAX(Supuestos!$B$8*Supuestos!$B$11-Supuestos!$B$23,0))</x:f>
        <x:v>58.752</x:v>
      </x:c>
      <x:c r="S19" s="39" t="n">
        <x:f>IF($E19="","",$E19*MAX(Supuestos!$B$8*Supuestos!$B$11-Supuestos!$B$23,0))</x:f>
        <x:v>58.752</x:v>
      </x:c>
      <x:c r="T19" s="39" t="n">
        <x:f>IF($E19="","",$E19*MAX(Supuestos!$B$8*Supuestos!$B$11-Supuestos!$B$23,0))</x:f>
        <x:v>58.752</x:v>
      </x:c>
      <x:c r="U19" s="39" t="n">
        <x:f>IF($E19="","",$E19*MAX(Supuestos!$B$8*Supuestos!$B$11-Supuestos!$B$23,0))</x:f>
        <x:v>58.752</x:v>
      </x:c>
      <x:c r="V19" s="39" t="n">
        <x:f>IF($E19="","",$E19*MAX(Supuestos!$B$8*Supuestos!$B$11-Supuestos!$B$23,0))</x:f>
        <x:v>58.752</x:v>
      </x:c>
      <x:c r="W19" s="39" t="n">
        <x:f>IF($E19="","",$E19*MAX(Supuestos!$B$8*Supuestos!$B$11-Supuestos!$B$23,0))</x:f>
        <x:v>58.752</x:v>
      </x:c>
      <x:c r="X19" s="39" t="n">
        <x:f>IF($E19="","",$E19*MAX(Supuestos!$B$8*Supuestos!$B$11-Supuestos!$B$23,0))</x:f>
        <x:v>58.752</x:v>
      </x:c>
      <x:c r="Y19" s="39" t="n">
        <x:f>IF($E19="","",$E19*MAX(Supuestos!$B$8*Supuestos!$B$11-Supuestos!$B$23,0))</x:f>
        <x:v>58.752</x:v>
      </x:c>
      <x:c r="Z19" s="39" t="n">
        <x:f>IF($E19="","",$E19*MAX(Supuestos!$B$8*Supuestos!$B$11-Supuestos!$B$23,0))</x:f>
        <x:v>58.752</x:v>
      </x:c>
      <x:c r="AA19" s="39" t="n">
        <x:f>IF($E19="","",$E19*MAX(Supuestos!$B$8*Supuestos!$B$11-Supuestos!$B$23,0))</x:f>
        <x:v>58.752</x:v>
      </x:c>
      <x:c r="AB19" s="39" t="n">
        <x:f>IF($E19="","",$E19*MAX(Supuestos!$B$8*Supuestos!$B$11-Supuestos!$B$23,0))</x:f>
        <x:v>58.752</x:v>
      </x:c>
      <x:c r="AC19" s="39" t="n">
        <x:f>IF($E19="","",$E19*MAX(Supuestos!$B$8*Supuestos!$B$11-Supuestos!$B$23,0))</x:f>
        <x:v>58.752</x:v>
      </x:c>
      <x:c r="AD19" s="39" t="n">
        <x:f>IF($E19="","",$E19*MAX(Supuestos!$B$8*Supuestos!$B$11-Supuestos!$B$23,0))</x:f>
        <x:v>58.752</x:v>
      </x:c>
      <x:c r="AE19" s="39" t="n">
        <x:f>IF($E19="","",$E19*MAX(Supuestos!$B$8*Supuestos!$B$11-Supuestos!$B$23,0))</x:f>
        <x:v>58.752</x:v>
      </x:c>
      <x:c r="AF19" s="39" t="n">
        <x:f>IF($E19="","",$E19*MAX(Supuestos!$B$8*Supuestos!$B$11-Supuestos!$B$23,0))</x:f>
        <x:v>58.752</x:v>
      </x:c>
      <x:c r="AG19" s="39" t="n">
        <x:f>IF($E19="","",$E19*MAX(Supuestos!$B$8*Supuestos!$B$11-Supuestos!$B$23,0))</x:f>
        <x:v>58.752</x:v>
      </x:c>
      <x:c r="AH19" s="39" t="n">
        <x:f>IF($E19="","",$E19*MAX(Supuestos!$B$8*Supuestos!$B$11-Supuestos!$B$23,0))</x:f>
        <x:v>58.752</x:v>
      </x:c>
      <x:c r="AI19" s="39" t="n">
        <x:f>IF($E19="","",$E19*MAX(Supuestos!$B$8*Supuestos!$B$11-Supuestos!$B$23,0))</x:f>
        <x:v>58.752</x:v>
      </x:c>
      <x:c r="AJ19" s="39" t="n">
        <x:f>IF($E19="","",$E19*MAX(Supuestos!$B$8*Supuestos!$B$11-Supuestos!$B$23,0))</x:f>
        <x:v>58.752</x:v>
      </x:c>
      <x:c r="AK19" s="39" t="n">
        <x:f>IF($E19="","",$E19*MAX(Supuestos!$B$8*Supuestos!$B$11-Supuestos!$B$23,0))</x:f>
        <x:v>58.752</x:v>
      </x:c>
      <x:c r="AL19" s="39" t="n">
        <x:f>IF($E19="","",$E19*MAX(Supuestos!$B$8*Supuestos!$B$11-Supuestos!$B$23,0))</x:f>
        <x:v>58.752</x:v>
      </x:c>
      <x:c r="AM19" s="39" t="n">
        <x:f>IF($E19="","",$E19*MAX(Supuestos!$B$8*Supuestos!$B$11-Supuestos!$B$23,0))</x:f>
        <x:v>58.752</x:v>
      </x:c>
      <x:c r="AN19" s="39" t="n">
        <x:f>IF($E19="","",$E19*MAX(Supuestos!$B$8*Supuestos!$B$11-Supuestos!$B$23,0))</x:f>
        <x:v>58.752</x:v>
      </x:c>
      <x:c r="AO19" s="39" t="n">
        <x:f>IF($E19="","",$E19*MAX(Supuestos!$B$8*Supuestos!$B$11-Supuestos!$B$23,0))</x:f>
        <x:v>58.752</x:v>
      </x:c>
      <x:c r="AP19" s="39" t="n">
        <x:f>IF($E19="","",$E19*MAX(Supuestos!$B$8*Supuestos!$B$11-Supuestos!$B$23,0))</x:f>
        <x:v>58.752</x:v>
      </x:c>
      <x:c r="AQ19" s="39" t="n">
        <x:f>IF($E19="","",$E19*MAX(Supuestos!$B$8*Supuestos!$B$11-Supuestos!$B$23,0))</x:f>
        <x:v>58.752</x:v>
      </x:c>
      <x:c r="AR19" s="39" t="n">
        <x:f>IF($E19="","",$E19*MAX(Supuestos!$B$8*Supuestos!$B$11-Supuestos!$B$23,0))</x:f>
        <x:v>58.752</x:v>
      </x:c>
      <x:c r="AS19" s="39" t="n">
        <x:f>IF($E19="","",$E19*MAX(Supuestos!$B$8*Supuestos!$B$11-Supuestos!$B$23,0))</x:f>
        <x:v>58.752</x:v>
      </x:c>
      <x:c r="AT19" s="39" t="n">
        <x:f>IF($E19="","",$E19*MAX(Supuestos!$B$8*Supuestos!$B$11-Supuestos!$B$23,0))</x:f>
        <x:v>58.752</x:v>
      </x:c>
      <x:c r="AU19" s="39" t="n">
        <x:f>IF($E19="","",$E19*MAX(Supuestos!$B$8*Supuestos!$B$11-Supuestos!$B$23,0))</x:f>
        <x:v>58.752</x:v>
      </x:c>
      <x:c r="AV19" s="39" t="n">
        <x:f>IF($E19="","",$E19*MAX(Supuestos!$B$8*Supuestos!$B$11-Supuestos!$B$23,0))</x:f>
        <x:v>58.752</x:v>
      </x:c>
      <x:c r="AW19" s="39" t="n">
        <x:f>IF($E19="","",$E19*MAX(Supuestos!$B$8*Supuestos!$B$11-Supuestos!$B$23,0))</x:f>
        <x:v>58.752</x:v>
      </x:c>
      <x:c r="AX19" s="39" t="n">
        <x:f>IF($E19="","",$E19*MAX(Supuestos!$B$8*Supuestos!$B$11-Supuestos!$B$23,0))</x:f>
        <x:v>58.752</x:v>
      </x:c>
      <x:c r="AY19" s="39" t="n">
        <x:f>IF($E19="","",$E19*MAX(Supuestos!$B$8*Supuestos!$B$11-Supuestos!$B$23,0))</x:f>
        <x:v>58.752</x:v>
      </x:c>
      <x:c r="AZ19" s="39" t="n">
        <x:f>IF($E19="","",$E19*MAX(Supuestos!$B$8*Supuestos!$B$11-Supuestos!$B$23,0))</x:f>
        <x:v>58.752</x:v>
      </x:c>
      <x:c r="BA19" s="39" t="n">
        <x:f>IF($E19="","",$E19*MAX(Supuestos!$B$8*Supuestos!$B$11-Supuestos!$B$23,0))</x:f>
        <x:v>58.752</x:v>
      </x:c>
      <x:c r="BB19" s="39" t="n">
        <x:f>IF($E19="","",$E19*MAX(Supuestos!$B$8*Supuestos!$B$11-Supuestos!$B$23,0))</x:f>
        <x:v>58.752</x:v>
      </x:c>
      <x:c r="BC19" s="39" t="n">
        <x:f>IF($E19="","",$E19*MAX(Supuestos!$B$8*Supuestos!$B$11-Supuestos!$B$23,0))</x:f>
        <x:v>58.752</x:v>
      </x:c>
      <x:c r="BD19" s="39" t="n">
        <x:f>IF($E19="","",$E19*MAX(Supuestos!$B$8*Supuestos!$B$11-Supuestos!$B$23,0))</x:f>
        <x:v>58.752</x:v>
      </x:c>
      <x:c r="BE19" s="39" t="n">
        <x:f>IF($E19="","",$E19*MAX(Supuestos!$B$8*Supuestos!$B$11-Supuestos!$B$23,0))</x:f>
        <x:v>58.752</x:v>
      </x:c>
      <x:c r="BF19" s="39" t="n">
        <x:f>IF($E19="","",$E19*MAX(Supuestos!$B$8*Supuestos!$B$11-Supuestos!$B$23,0))</x:f>
        <x:v>58.752</x:v>
      </x:c>
      <x:c r="BG19" s="39" t="n">
        <x:f>IF($E19="","",$E19*MAX(Supuestos!$B$8*Supuestos!$B$11-Supuestos!$B$23,0))</x:f>
        <x:v>58.752</x:v>
      </x:c>
      <x:c r="BH19" s="39" t="n">
        <x:f>IF($E19="","",$E19*MAX(Supuestos!$B$8*Supuestos!$B$11-Supuestos!$B$23,0))</x:f>
        <x:v>58.752</x:v>
      </x:c>
      <x:c r="BI19" s="39" t="n">
        <x:f>IF($E19="","",$E19*MAX(Supuestos!$B$8*Supuestos!$B$11-Supuestos!$B$23,0))</x:f>
        <x:v>58.752</x:v>
      </x:c>
      <x:c r="BJ19" s="39" t="n">
        <x:f>IF($E19="","",$E19*MAX(Supuestos!$B$8*Supuestos!$B$11-Supuestos!$B$23,0))</x:f>
        <x:v>58.752</x:v>
      </x:c>
      <x:c r="BK19" s="39" t="n">
        <x:f>IF($E19="","",$E19*MAX(Supuestos!$B$8*Supuestos!$B$11-Supuestos!$B$23,0))</x:f>
        <x:v>58.752</x:v>
      </x:c>
      <x:c r="BL19" s="39" t="n">
        <x:f>IF($E19="","",$E19*MAX(Supuestos!$B$8*Supuestos!$B$11-Supuestos!$B$23,0))</x:f>
        <x:v>58.752</x:v>
      </x:c>
      <x:c r="BM19" s="39" t="n">
        <x:f>IF($E19="","",$E19*MAX(Supuestos!$B$8*Supuestos!$B$11-Supuestos!$B$23,0))</x:f>
        <x:v>58.752</x:v>
      </x:c>
      <x:c r="BN19" s="39" t="n">
        <x:f>IF($E19="","",$E19*MAX(Supuestos!$B$8*Supuestos!$B$11-Supuestos!$B$23,0))</x:f>
        <x:v>58.752</x:v>
      </x:c>
      <x:c r="BO19" s="47" t="n">
        <x:f>IF(COUNT(G19:BN19)=0,"",SUM(G19:BN19))</x:f>
        <x:v>3525.1199999999976</x:v>
      </x:c>
    </x:row>
    <x:row r="20">
      <x:c r="A20" s="16" t="str">
        <x:v>USA-02</x:v>
      </x:c>
      <x:c r="B20" s="17" t="str">
        <x:v>East US</x:v>
      </x:c>
      <x:c r="C20" s="17" t="str">
        <x:v>Memoria activa producción</x:v>
      </x:c>
      <x:c r="D20" s="17" t="str">
        <x:v>GiB-hora</x:v>
      </x:c>
      <x:c r="E20" s="38" t="n">
        <x:f>'Fuentes y Cotizaciones'!F20</x:f>
        <x:v>0.0108</x:v>
      </x:c>
      <x:c r="F20" s="17" t="str">
        <x:v>GiB-h facturables después de franquicia</x:v>
      </x:c>
      <x:c r="G20" s="39" t="n">
        <x:f>IF($E20="","",$E20*MAX(Supuestos!$B$8*Supuestos!$B$12-Supuestos!$B$24,0))</x:f>
        <x:v>14.688</x:v>
      </x:c>
      <x:c r="H20" s="39" t="n">
        <x:f>IF($E20="","",$E20*MAX(Supuestos!$B$8*Supuestos!$B$12-Supuestos!$B$24,0))</x:f>
        <x:v>14.688</x:v>
      </x:c>
      <x:c r="I20" s="39" t="n">
        <x:f>IF($E20="","",$E20*MAX(Supuestos!$B$8*Supuestos!$B$12-Supuestos!$B$24,0))</x:f>
        <x:v>14.688</x:v>
      </x:c>
      <x:c r="J20" s="39" t="n">
        <x:f>IF($E20="","",$E20*MAX(Supuestos!$B$8*Supuestos!$B$12-Supuestos!$B$24,0))</x:f>
        <x:v>14.688</x:v>
      </x:c>
      <x:c r="K20" s="39" t="n">
        <x:f>IF($E20="","",$E20*MAX(Supuestos!$B$8*Supuestos!$B$12-Supuestos!$B$24,0))</x:f>
        <x:v>14.688</x:v>
      </x:c>
      <x:c r="L20" s="39" t="n">
        <x:f>IF($E20="","",$E20*MAX(Supuestos!$B$8*Supuestos!$B$12-Supuestos!$B$24,0))</x:f>
        <x:v>14.688</x:v>
      </x:c>
      <x:c r="M20" s="39" t="n">
        <x:f>IF($E20="","",$E20*MAX(Supuestos!$B$8*Supuestos!$B$12-Supuestos!$B$24,0))</x:f>
        <x:v>14.688</x:v>
      </x:c>
      <x:c r="N20" s="39" t="n">
        <x:f>IF($E20="","",$E20*MAX(Supuestos!$B$8*Supuestos!$B$12-Supuestos!$B$24,0))</x:f>
        <x:v>14.688</x:v>
      </x:c>
      <x:c r="O20" s="39" t="n">
        <x:f>IF($E20="","",$E20*MAX(Supuestos!$B$8*Supuestos!$B$12-Supuestos!$B$24,0))</x:f>
        <x:v>14.688</x:v>
      </x:c>
      <x:c r="P20" s="39" t="n">
        <x:f>IF($E20="","",$E20*MAX(Supuestos!$B$8*Supuestos!$B$12-Supuestos!$B$24,0))</x:f>
        <x:v>14.688</x:v>
      </x:c>
      <x:c r="Q20" s="39" t="n">
        <x:f>IF($E20="","",$E20*MAX(Supuestos!$B$8*Supuestos!$B$12-Supuestos!$B$24,0))</x:f>
        <x:v>14.688</x:v>
      </x:c>
      <x:c r="R20" s="39" t="n">
        <x:f>IF($E20="","",$E20*MAX(Supuestos!$B$8*Supuestos!$B$12-Supuestos!$B$24,0))</x:f>
        <x:v>14.688</x:v>
      </x:c>
      <x:c r="S20" s="39" t="n">
        <x:f>IF($E20="","",$E20*MAX(Supuestos!$B$8*Supuestos!$B$12-Supuestos!$B$24,0))</x:f>
        <x:v>14.688</x:v>
      </x:c>
      <x:c r="T20" s="39" t="n">
        <x:f>IF($E20="","",$E20*MAX(Supuestos!$B$8*Supuestos!$B$12-Supuestos!$B$24,0))</x:f>
        <x:v>14.688</x:v>
      </x:c>
      <x:c r="U20" s="39" t="n">
        <x:f>IF($E20="","",$E20*MAX(Supuestos!$B$8*Supuestos!$B$12-Supuestos!$B$24,0))</x:f>
        <x:v>14.688</x:v>
      </x:c>
      <x:c r="V20" s="39" t="n">
        <x:f>IF($E20="","",$E20*MAX(Supuestos!$B$8*Supuestos!$B$12-Supuestos!$B$24,0))</x:f>
        <x:v>14.688</x:v>
      </x:c>
      <x:c r="W20" s="39" t="n">
        <x:f>IF($E20="","",$E20*MAX(Supuestos!$B$8*Supuestos!$B$12-Supuestos!$B$24,0))</x:f>
        <x:v>14.688</x:v>
      </x:c>
      <x:c r="X20" s="39" t="n">
        <x:f>IF($E20="","",$E20*MAX(Supuestos!$B$8*Supuestos!$B$12-Supuestos!$B$24,0))</x:f>
        <x:v>14.688</x:v>
      </x:c>
      <x:c r="Y20" s="39" t="n">
        <x:f>IF($E20="","",$E20*MAX(Supuestos!$B$8*Supuestos!$B$12-Supuestos!$B$24,0))</x:f>
        <x:v>14.688</x:v>
      </x:c>
      <x:c r="Z20" s="39" t="n">
        <x:f>IF($E20="","",$E20*MAX(Supuestos!$B$8*Supuestos!$B$12-Supuestos!$B$24,0))</x:f>
        <x:v>14.688</x:v>
      </x:c>
      <x:c r="AA20" s="39" t="n">
        <x:f>IF($E20="","",$E20*MAX(Supuestos!$B$8*Supuestos!$B$12-Supuestos!$B$24,0))</x:f>
        <x:v>14.688</x:v>
      </x:c>
      <x:c r="AB20" s="39" t="n">
        <x:f>IF($E20="","",$E20*MAX(Supuestos!$B$8*Supuestos!$B$12-Supuestos!$B$24,0))</x:f>
        <x:v>14.688</x:v>
      </x:c>
      <x:c r="AC20" s="39" t="n">
        <x:f>IF($E20="","",$E20*MAX(Supuestos!$B$8*Supuestos!$B$12-Supuestos!$B$24,0))</x:f>
        <x:v>14.688</x:v>
      </x:c>
      <x:c r="AD20" s="39" t="n">
        <x:f>IF($E20="","",$E20*MAX(Supuestos!$B$8*Supuestos!$B$12-Supuestos!$B$24,0))</x:f>
        <x:v>14.688</x:v>
      </x:c>
      <x:c r="AE20" s="39" t="n">
        <x:f>IF($E20="","",$E20*MAX(Supuestos!$B$8*Supuestos!$B$12-Supuestos!$B$24,0))</x:f>
        <x:v>14.688</x:v>
      </x:c>
      <x:c r="AF20" s="39" t="n">
        <x:f>IF($E20="","",$E20*MAX(Supuestos!$B$8*Supuestos!$B$12-Supuestos!$B$24,0))</x:f>
        <x:v>14.688</x:v>
      </x:c>
      <x:c r="AG20" s="39" t="n">
        <x:f>IF($E20="","",$E20*MAX(Supuestos!$B$8*Supuestos!$B$12-Supuestos!$B$24,0))</x:f>
        <x:v>14.688</x:v>
      </x:c>
      <x:c r="AH20" s="39" t="n">
        <x:f>IF($E20="","",$E20*MAX(Supuestos!$B$8*Supuestos!$B$12-Supuestos!$B$24,0))</x:f>
        <x:v>14.688</x:v>
      </x:c>
      <x:c r="AI20" s="39" t="n">
        <x:f>IF($E20="","",$E20*MAX(Supuestos!$B$8*Supuestos!$B$12-Supuestos!$B$24,0))</x:f>
        <x:v>14.688</x:v>
      </x:c>
      <x:c r="AJ20" s="39" t="n">
        <x:f>IF($E20="","",$E20*MAX(Supuestos!$B$8*Supuestos!$B$12-Supuestos!$B$24,0))</x:f>
        <x:v>14.688</x:v>
      </x:c>
      <x:c r="AK20" s="39" t="n">
        <x:f>IF($E20="","",$E20*MAX(Supuestos!$B$8*Supuestos!$B$12-Supuestos!$B$24,0))</x:f>
        <x:v>14.688</x:v>
      </x:c>
      <x:c r="AL20" s="39" t="n">
        <x:f>IF($E20="","",$E20*MAX(Supuestos!$B$8*Supuestos!$B$12-Supuestos!$B$24,0))</x:f>
        <x:v>14.688</x:v>
      </x:c>
      <x:c r="AM20" s="39" t="n">
        <x:f>IF($E20="","",$E20*MAX(Supuestos!$B$8*Supuestos!$B$12-Supuestos!$B$24,0))</x:f>
        <x:v>14.688</x:v>
      </x:c>
      <x:c r="AN20" s="39" t="n">
        <x:f>IF($E20="","",$E20*MAX(Supuestos!$B$8*Supuestos!$B$12-Supuestos!$B$24,0))</x:f>
        <x:v>14.688</x:v>
      </x:c>
      <x:c r="AO20" s="39" t="n">
        <x:f>IF($E20="","",$E20*MAX(Supuestos!$B$8*Supuestos!$B$12-Supuestos!$B$24,0))</x:f>
        <x:v>14.688</x:v>
      </x:c>
      <x:c r="AP20" s="39" t="n">
        <x:f>IF($E20="","",$E20*MAX(Supuestos!$B$8*Supuestos!$B$12-Supuestos!$B$24,0))</x:f>
        <x:v>14.688</x:v>
      </x:c>
      <x:c r="AQ20" s="39" t="n">
        <x:f>IF($E20="","",$E20*MAX(Supuestos!$B$8*Supuestos!$B$12-Supuestos!$B$24,0))</x:f>
        <x:v>14.688</x:v>
      </x:c>
      <x:c r="AR20" s="39" t="n">
        <x:f>IF($E20="","",$E20*MAX(Supuestos!$B$8*Supuestos!$B$12-Supuestos!$B$24,0))</x:f>
        <x:v>14.688</x:v>
      </x:c>
      <x:c r="AS20" s="39" t="n">
        <x:f>IF($E20="","",$E20*MAX(Supuestos!$B$8*Supuestos!$B$12-Supuestos!$B$24,0))</x:f>
        <x:v>14.688</x:v>
      </x:c>
      <x:c r="AT20" s="39" t="n">
        <x:f>IF($E20="","",$E20*MAX(Supuestos!$B$8*Supuestos!$B$12-Supuestos!$B$24,0))</x:f>
        <x:v>14.688</x:v>
      </x:c>
      <x:c r="AU20" s="39" t="n">
        <x:f>IF($E20="","",$E20*MAX(Supuestos!$B$8*Supuestos!$B$12-Supuestos!$B$24,0))</x:f>
        <x:v>14.688</x:v>
      </x:c>
      <x:c r="AV20" s="39" t="n">
        <x:f>IF($E20="","",$E20*MAX(Supuestos!$B$8*Supuestos!$B$12-Supuestos!$B$24,0))</x:f>
        <x:v>14.688</x:v>
      </x:c>
      <x:c r="AW20" s="39" t="n">
        <x:f>IF($E20="","",$E20*MAX(Supuestos!$B$8*Supuestos!$B$12-Supuestos!$B$24,0))</x:f>
        <x:v>14.688</x:v>
      </x:c>
      <x:c r="AX20" s="39" t="n">
        <x:f>IF($E20="","",$E20*MAX(Supuestos!$B$8*Supuestos!$B$12-Supuestos!$B$24,0))</x:f>
        <x:v>14.688</x:v>
      </x:c>
      <x:c r="AY20" s="39" t="n">
        <x:f>IF($E20="","",$E20*MAX(Supuestos!$B$8*Supuestos!$B$12-Supuestos!$B$24,0))</x:f>
        <x:v>14.688</x:v>
      </x:c>
      <x:c r="AZ20" s="39" t="n">
        <x:f>IF($E20="","",$E20*MAX(Supuestos!$B$8*Supuestos!$B$12-Supuestos!$B$24,0))</x:f>
        <x:v>14.688</x:v>
      </x:c>
      <x:c r="BA20" s="39" t="n">
        <x:f>IF($E20="","",$E20*MAX(Supuestos!$B$8*Supuestos!$B$12-Supuestos!$B$24,0))</x:f>
        <x:v>14.688</x:v>
      </x:c>
      <x:c r="BB20" s="39" t="n">
        <x:f>IF($E20="","",$E20*MAX(Supuestos!$B$8*Supuestos!$B$12-Supuestos!$B$24,0))</x:f>
        <x:v>14.688</x:v>
      </x:c>
      <x:c r="BC20" s="39" t="n">
        <x:f>IF($E20="","",$E20*MAX(Supuestos!$B$8*Supuestos!$B$12-Supuestos!$B$24,0))</x:f>
        <x:v>14.688</x:v>
      </x:c>
      <x:c r="BD20" s="39" t="n">
        <x:f>IF($E20="","",$E20*MAX(Supuestos!$B$8*Supuestos!$B$12-Supuestos!$B$24,0))</x:f>
        <x:v>14.688</x:v>
      </x:c>
      <x:c r="BE20" s="39" t="n">
        <x:f>IF($E20="","",$E20*MAX(Supuestos!$B$8*Supuestos!$B$12-Supuestos!$B$24,0))</x:f>
        <x:v>14.688</x:v>
      </x:c>
      <x:c r="BF20" s="39" t="n">
        <x:f>IF($E20="","",$E20*MAX(Supuestos!$B$8*Supuestos!$B$12-Supuestos!$B$24,0))</x:f>
        <x:v>14.688</x:v>
      </x:c>
      <x:c r="BG20" s="39" t="n">
        <x:f>IF($E20="","",$E20*MAX(Supuestos!$B$8*Supuestos!$B$12-Supuestos!$B$24,0))</x:f>
        <x:v>14.688</x:v>
      </x:c>
      <x:c r="BH20" s="39" t="n">
        <x:f>IF($E20="","",$E20*MAX(Supuestos!$B$8*Supuestos!$B$12-Supuestos!$B$24,0))</x:f>
        <x:v>14.688</x:v>
      </x:c>
      <x:c r="BI20" s="39" t="n">
        <x:f>IF($E20="","",$E20*MAX(Supuestos!$B$8*Supuestos!$B$12-Supuestos!$B$24,0))</x:f>
        <x:v>14.688</x:v>
      </x:c>
      <x:c r="BJ20" s="39" t="n">
        <x:f>IF($E20="","",$E20*MAX(Supuestos!$B$8*Supuestos!$B$12-Supuestos!$B$24,0))</x:f>
        <x:v>14.688</x:v>
      </x:c>
      <x:c r="BK20" s="39" t="n">
        <x:f>IF($E20="","",$E20*MAX(Supuestos!$B$8*Supuestos!$B$12-Supuestos!$B$24,0))</x:f>
        <x:v>14.688</x:v>
      </x:c>
      <x:c r="BL20" s="39" t="n">
        <x:f>IF($E20="","",$E20*MAX(Supuestos!$B$8*Supuestos!$B$12-Supuestos!$B$24,0))</x:f>
        <x:v>14.688</x:v>
      </x:c>
      <x:c r="BM20" s="39" t="n">
        <x:f>IF($E20="","",$E20*MAX(Supuestos!$B$8*Supuestos!$B$12-Supuestos!$B$24,0))</x:f>
        <x:v>14.688</x:v>
      </x:c>
      <x:c r="BN20" s="39" t="n">
        <x:f>IF($E20="","",$E20*MAX(Supuestos!$B$8*Supuestos!$B$12-Supuestos!$B$24,0))</x:f>
        <x:v>14.688</x:v>
      </x:c>
      <x:c r="BO20" s="47" t="n">
        <x:f>IF(COUNT(G20:BN20)=0,"",SUM(G20:BN20))</x:f>
        <x:v>881.2799999999994</x:v>
      </x:c>
    </x:row>
    <x:row r="21">
      <x:c r="A21" s="16" t="str">
        <x:v>USA-03</x:v>
      </x:c>
      <x:c r="B21" s="17" t="str">
        <x:v>East US</x:v>
      </x:c>
      <x:c r="C21" s="17" t="str">
        <x:v>Solicitudes producción</x:v>
      </x:c>
      <x:c r="D21" s="17" t="str">
        <x:v>millón de solicitudes</x:v>
      </x:c>
      <x:c r="E21" s="38" t="n">
        <x:f>'Fuentes y Cotizaciones'!F21</x:f>
        <x:v>0.4</x:v>
      </x:c>
      <x:c r="F21" s="17" t="str">
        <x:v>Producción consume primero la franquicia</x:v>
      </x:c>
      <x:c r="G21" s="39" t="n">
        <x:f>IF($E21="","",$E21*MAX(Supuestos!$B$13-Supuestos!$B$25,0)/1000000)</x:f>
        <x:v>0</x:v>
      </x:c>
      <x:c r="H21" s="39" t="n">
        <x:f>IF($E21="","",$E21*MAX(Supuestos!$B$13-Supuestos!$B$25,0)/1000000)</x:f>
        <x:v>0</x:v>
      </x:c>
      <x:c r="I21" s="39" t="n">
        <x:f>IF($E21="","",$E21*MAX(Supuestos!$B$13-Supuestos!$B$25,0)/1000000)</x:f>
        <x:v>0</x:v>
      </x:c>
      <x:c r="J21" s="39" t="n">
        <x:f>IF($E21="","",$E21*MAX(Supuestos!$B$13-Supuestos!$B$25,0)/1000000)</x:f>
        <x:v>0</x:v>
      </x:c>
      <x:c r="K21" s="39" t="n">
        <x:f>IF($E21="","",$E21*MAX(Supuestos!$B$13-Supuestos!$B$25,0)/1000000)</x:f>
        <x:v>0</x:v>
      </x:c>
      <x:c r="L21" s="39" t="n">
        <x:f>IF($E21="","",$E21*MAX(Supuestos!$B$13-Supuestos!$B$25,0)/1000000)</x:f>
        <x:v>0</x:v>
      </x:c>
      <x:c r="M21" s="39" t="n">
        <x:f>IF($E21="","",$E21*MAX(Supuestos!$B$13-Supuestos!$B$25,0)/1000000)</x:f>
        <x:v>0</x:v>
      </x:c>
      <x:c r="N21" s="39" t="n">
        <x:f>IF($E21="","",$E21*MAX(Supuestos!$B$13-Supuestos!$B$25,0)/1000000)</x:f>
        <x:v>0</x:v>
      </x:c>
      <x:c r="O21" s="39" t="n">
        <x:f>IF($E21="","",$E21*MAX(Supuestos!$B$13-Supuestos!$B$25,0)/1000000)</x:f>
        <x:v>0</x:v>
      </x:c>
      <x:c r="P21" s="39" t="n">
        <x:f>IF($E21="","",$E21*MAX(Supuestos!$B$13-Supuestos!$B$25,0)/1000000)</x:f>
        <x:v>0</x:v>
      </x:c>
      <x:c r="Q21" s="39" t="n">
        <x:f>IF($E21="","",$E21*MAX(Supuestos!$B$13-Supuestos!$B$25,0)/1000000)</x:f>
        <x:v>0</x:v>
      </x:c>
      <x:c r="R21" s="39" t="n">
        <x:f>IF($E21="","",$E21*MAX(Supuestos!$B$13-Supuestos!$B$25,0)/1000000)</x:f>
        <x:v>0</x:v>
      </x:c>
      <x:c r="S21" s="39" t="n">
        <x:f>IF($E21="","",$E21*MAX(Supuestos!$B$13-Supuestos!$B$25,0)/1000000)</x:f>
        <x:v>0</x:v>
      </x:c>
      <x:c r="T21" s="39" t="n">
        <x:f>IF($E21="","",$E21*MAX(Supuestos!$B$13-Supuestos!$B$25,0)/1000000)</x:f>
        <x:v>0</x:v>
      </x:c>
      <x:c r="U21" s="39" t="n">
        <x:f>IF($E21="","",$E21*MAX(Supuestos!$B$13-Supuestos!$B$25,0)/1000000)</x:f>
        <x:v>0</x:v>
      </x:c>
      <x:c r="V21" s="39" t="n">
        <x:f>IF($E21="","",$E21*MAX(Supuestos!$B$13-Supuestos!$B$25,0)/1000000)</x:f>
        <x:v>0</x:v>
      </x:c>
      <x:c r="W21" s="39" t="n">
        <x:f>IF($E21="","",$E21*MAX(Supuestos!$B$13-Supuestos!$B$25,0)/1000000)</x:f>
        <x:v>0</x:v>
      </x:c>
      <x:c r="X21" s="39" t="n">
        <x:f>IF($E21="","",$E21*MAX(Supuestos!$B$13-Supuestos!$B$25,0)/1000000)</x:f>
        <x:v>0</x:v>
      </x:c>
      <x:c r="Y21" s="39" t="n">
        <x:f>IF($E21="","",$E21*MAX(Supuestos!$B$13-Supuestos!$B$25,0)/1000000)</x:f>
        <x:v>0</x:v>
      </x:c>
      <x:c r="Z21" s="39" t="n">
        <x:f>IF($E21="","",$E21*MAX(Supuestos!$B$13-Supuestos!$B$25,0)/1000000)</x:f>
        <x:v>0</x:v>
      </x:c>
      <x:c r="AA21" s="39" t="n">
        <x:f>IF($E21="","",$E21*MAX(Supuestos!$B$13-Supuestos!$B$25,0)/1000000)</x:f>
        <x:v>0</x:v>
      </x:c>
      <x:c r="AB21" s="39" t="n">
        <x:f>IF($E21="","",$E21*MAX(Supuestos!$B$13-Supuestos!$B$25,0)/1000000)</x:f>
        <x:v>0</x:v>
      </x:c>
      <x:c r="AC21" s="39" t="n">
        <x:f>IF($E21="","",$E21*MAX(Supuestos!$B$13-Supuestos!$B$25,0)/1000000)</x:f>
        <x:v>0</x:v>
      </x:c>
      <x:c r="AD21" s="39" t="n">
        <x:f>IF($E21="","",$E21*MAX(Supuestos!$B$13-Supuestos!$B$25,0)/1000000)</x:f>
        <x:v>0</x:v>
      </x:c>
      <x:c r="AE21" s="39" t="n">
        <x:f>IF($E21="","",$E21*MAX(Supuestos!$B$13-Supuestos!$B$25,0)/1000000)</x:f>
        <x:v>0</x:v>
      </x:c>
      <x:c r="AF21" s="39" t="n">
        <x:f>IF($E21="","",$E21*MAX(Supuestos!$B$13-Supuestos!$B$25,0)/1000000)</x:f>
        <x:v>0</x:v>
      </x:c>
      <x:c r="AG21" s="39" t="n">
        <x:f>IF($E21="","",$E21*MAX(Supuestos!$B$13-Supuestos!$B$25,0)/1000000)</x:f>
        <x:v>0</x:v>
      </x:c>
      <x:c r="AH21" s="39" t="n">
        <x:f>IF($E21="","",$E21*MAX(Supuestos!$B$13-Supuestos!$B$25,0)/1000000)</x:f>
        <x:v>0</x:v>
      </x:c>
      <x:c r="AI21" s="39" t="n">
        <x:f>IF($E21="","",$E21*MAX(Supuestos!$B$13-Supuestos!$B$25,0)/1000000)</x:f>
        <x:v>0</x:v>
      </x:c>
      <x:c r="AJ21" s="39" t="n">
        <x:f>IF($E21="","",$E21*MAX(Supuestos!$B$13-Supuestos!$B$25,0)/1000000)</x:f>
        <x:v>0</x:v>
      </x:c>
      <x:c r="AK21" s="39" t="n">
        <x:f>IF($E21="","",$E21*MAX(Supuestos!$B$13-Supuestos!$B$25,0)/1000000)</x:f>
        <x:v>0</x:v>
      </x:c>
      <x:c r="AL21" s="39" t="n">
        <x:f>IF($E21="","",$E21*MAX(Supuestos!$B$13-Supuestos!$B$25,0)/1000000)</x:f>
        <x:v>0</x:v>
      </x:c>
      <x:c r="AM21" s="39" t="n">
        <x:f>IF($E21="","",$E21*MAX(Supuestos!$B$13-Supuestos!$B$25,0)/1000000)</x:f>
        <x:v>0</x:v>
      </x:c>
      <x:c r="AN21" s="39" t="n">
        <x:f>IF($E21="","",$E21*MAX(Supuestos!$B$13-Supuestos!$B$25,0)/1000000)</x:f>
        <x:v>0</x:v>
      </x:c>
      <x:c r="AO21" s="39" t="n">
        <x:f>IF($E21="","",$E21*MAX(Supuestos!$B$13-Supuestos!$B$25,0)/1000000)</x:f>
        <x:v>0</x:v>
      </x:c>
      <x:c r="AP21" s="39" t="n">
        <x:f>IF($E21="","",$E21*MAX(Supuestos!$B$13-Supuestos!$B$25,0)/1000000)</x:f>
        <x:v>0</x:v>
      </x:c>
      <x:c r="AQ21" s="39" t="n">
        <x:f>IF($E21="","",$E21*MAX(Supuestos!$B$13-Supuestos!$B$25,0)/1000000)</x:f>
        <x:v>0</x:v>
      </x:c>
      <x:c r="AR21" s="39" t="n">
        <x:f>IF($E21="","",$E21*MAX(Supuestos!$B$13-Supuestos!$B$25,0)/1000000)</x:f>
        <x:v>0</x:v>
      </x:c>
      <x:c r="AS21" s="39" t="n">
        <x:f>IF($E21="","",$E21*MAX(Supuestos!$B$13-Supuestos!$B$25,0)/1000000)</x:f>
        <x:v>0</x:v>
      </x:c>
      <x:c r="AT21" s="39" t="n">
        <x:f>IF($E21="","",$E21*MAX(Supuestos!$B$13-Supuestos!$B$25,0)/1000000)</x:f>
        <x:v>0</x:v>
      </x:c>
      <x:c r="AU21" s="39" t="n">
        <x:f>IF($E21="","",$E21*MAX(Supuestos!$B$13-Supuestos!$B$25,0)/1000000)</x:f>
        <x:v>0</x:v>
      </x:c>
      <x:c r="AV21" s="39" t="n">
        <x:f>IF($E21="","",$E21*MAX(Supuestos!$B$13-Supuestos!$B$25,0)/1000000)</x:f>
        <x:v>0</x:v>
      </x:c>
      <x:c r="AW21" s="39" t="n">
        <x:f>IF($E21="","",$E21*MAX(Supuestos!$B$13-Supuestos!$B$25,0)/1000000)</x:f>
        <x:v>0</x:v>
      </x:c>
      <x:c r="AX21" s="39" t="n">
        <x:f>IF($E21="","",$E21*MAX(Supuestos!$B$13-Supuestos!$B$25,0)/1000000)</x:f>
        <x:v>0</x:v>
      </x:c>
      <x:c r="AY21" s="39" t="n">
        <x:f>IF($E21="","",$E21*MAX(Supuestos!$B$13-Supuestos!$B$25,0)/1000000)</x:f>
        <x:v>0</x:v>
      </x:c>
      <x:c r="AZ21" s="39" t="n">
        <x:f>IF($E21="","",$E21*MAX(Supuestos!$B$13-Supuestos!$B$25,0)/1000000)</x:f>
        <x:v>0</x:v>
      </x:c>
      <x:c r="BA21" s="39" t="n">
        <x:f>IF($E21="","",$E21*MAX(Supuestos!$B$13-Supuestos!$B$25,0)/1000000)</x:f>
        <x:v>0</x:v>
      </x:c>
      <x:c r="BB21" s="39" t="n">
        <x:f>IF($E21="","",$E21*MAX(Supuestos!$B$13-Supuestos!$B$25,0)/1000000)</x:f>
        <x:v>0</x:v>
      </x:c>
      <x:c r="BC21" s="39" t="n">
        <x:f>IF($E21="","",$E21*MAX(Supuestos!$B$13-Supuestos!$B$25,0)/1000000)</x:f>
        <x:v>0</x:v>
      </x:c>
      <x:c r="BD21" s="39" t="n">
        <x:f>IF($E21="","",$E21*MAX(Supuestos!$B$13-Supuestos!$B$25,0)/1000000)</x:f>
        <x:v>0</x:v>
      </x:c>
      <x:c r="BE21" s="39" t="n">
        <x:f>IF($E21="","",$E21*MAX(Supuestos!$B$13-Supuestos!$B$25,0)/1000000)</x:f>
        <x:v>0</x:v>
      </x:c>
      <x:c r="BF21" s="39" t="n">
        <x:f>IF($E21="","",$E21*MAX(Supuestos!$B$13-Supuestos!$B$25,0)/1000000)</x:f>
        <x:v>0</x:v>
      </x:c>
      <x:c r="BG21" s="39" t="n">
        <x:f>IF($E21="","",$E21*MAX(Supuestos!$B$13-Supuestos!$B$25,0)/1000000)</x:f>
        <x:v>0</x:v>
      </x:c>
      <x:c r="BH21" s="39" t="n">
        <x:f>IF($E21="","",$E21*MAX(Supuestos!$B$13-Supuestos!$B$25,0)/1000000)</x:f>
        <x:v>0</x:v>
      </x:c>
      <x:c r="BI21" s="39" t="n">
        <x:f>IF($E21="","",$E21*MAX(Supuestos!$B$13-Supuestos!$B$25,0)/1000000)</x:f>
        <x:v>0</x:v>
      </x:c>
      <x:c r="BJ21" s="39" t="n">
        <x:f>IF($E21="","",$E21*MAX(Supuestos!$B$13-Supuestos!$B$25,0)/1000000)</x:f>
        <x:v>0</x:v>
      </x:c>
      <x:c r="BK21" s="39" t="n">
        <x:f>IF($E21="","",$E21*MAX(Supuestos!$B$13-Supuestos!$B$25,0)/1000000)</x:f>
        <x:v>0</x:v>
      </x:c>
      <x:c r="BL21" s="39" t="n">
        <x:f>IF($E21="","",$E21*MAX(Supuestos!$B$13-Supuestos!$B$25,0)/1000000)</x:f>
        <x:v>0</x:v>
      </x:c>
      <x:c r="BM21" s="39" t="n">
        <x:f>IF($E21="","",$E21*MAX(Supuestos!$B$13-Supuestos!$B$25,0)/1000000)</x:f>
        <x:v>0</x:v>
      </x:c>
      <x:c r="BN21" s="39" t="n">
        <x:f>IF($E21="","",$E21*MAX(Supuestos!$B$13-Supuestos!$B$25,0)/1000000)</x:f>
        <x:v>0</x:v>
      </x:c>
      <x:c r="BO21" s="47" t="n">
        <x:f>IF(COUNT(G21:BN21)=0,"",SUM(G21:BN21))</x:f>
        <x:v>0</x:v>
      </x:c>
    </x:row>
    <x:row r="22">
      <x:c r="A22" s="16" t="str">
        <x:v>USA-04</x:v>
      </x:c>
      <x:c r="B22" s="17" t="str">
        <x:v>East US</x:v>
      </x:c>
      <x:c r="C22" s="17" t="str">
        <x:v>Base de datos gestionada</x:v>
      </x:c>
      <x:c r="D22" s="17" t="str">
        <x:v>vCore-hora</x:v>
      </x:c>
      <x:c r="E22" s="38" t="n">
        <x:f>'Fuentes y Cotizaciones'!F22</x:f>
        <x:v>0.0855</x:v>
      </x:c>
      <x:c r="F22" s="17" t="str">
        <x:v>2 vCores GP × horas/mes</x:v>
      </x:c>
      <x:c r="G22" s="39" t="n">
        <x:f>IF($E22="","",$E22*Supuestos!$B$8*Supuestos!$B$26)</x:f>
        <x:v>124.83000000000001</x:v>
      </x:c>
      <x:c r="H22" s="39" t="n">
        <x:f>IF($E22="","",$E22*Supuestos!$B$8*Supuestos!$B$26)</x:f>
        <x:v>124.83000000000001</x:v>
      </x:c>
      <x:c r="I22" s="39" t="n">
        <x:f>IF($E22="","",$E22*Supuestos!$B$8*Supuestos!$B$26)</x:f>
        <x:v>124.83000000000001</x:v>
      </x:c>
      <x:c r="J22" s="39" t="n">
        <x:f>IF($E22="","",$E22*Supuestos!$B$8*Supuestos!$B$26)</x:f>
        <x:v>124.83000000000001</x:v>
      </x:c>
      <x:c r="K22" s="39" t="n">
        <x:f>IF($E22="","",$E22*Supuestos!$B$8*Supuestos!$B$26)</x:f>
        <x:v>124.83000000000001</x:v>
      </x:c>
      <x:c r="L22" s="39" t="n">
        <x:f>IF($E22="","",$E22*Supuestos!$B$8*Supuestos!$B$26)</x:f>
        <x:v>124.83000000000001</x:v>
      </x:c>
      <x:c r="M22" s="39" t="n">
        <x:f>IF($E22="","",$E22*Supuestos!$B$8*Supuestos!$B$26)</x:f>
        <x:v>124.83000000000001</x:v>
      </x:c>
      <x:c r="N22" s="39" t="n">
        <x:f>IF($E22="","",$E22*Supuestos!$B$8*Supuestos!$B$26)</x:f>
        <x:v>124.83000000000001</x:v>
      </x:c>
      <x:c r="O22" s="39" t="n">
        <x:f>IF($E22="","",$E22*Supuestos!$B$8*Supuestos!$B$26)</x:f>
        <x:v>124.83000000000001</x:v>
      </x:c>
      <x:c r="P22" s="39" t="n">
        <x:f>IF($E22="","",$E22*Supuestos!$B$8*Supuestos!$B$26)</x:f>
        <x:v>124.83000000000001</x:v>
      </x:c>
      <x:c r="Q22" s="39" t="n">
        <x:f>IF($E22="","",$E22*Supuestos!$B$8*Supuestos!$B$26)</x:f>
        <x:v>124.83000000000001</x:v>
      </x:c>
      <x:c r="R22" s="39" t="n">
        <x:f>IF($E22="","",$E22*Supuestos!$B$8*Supuestos!$B$26)</x:f>
        <x:v>124.83000000000001</x:v>
      </x:c>
      <x:c r="S22" s="39" t="n">
        <x:f>IF($E22="","",$E22*Supuestos!$B$8*Supuestos!$B$26)</x:f>
        <x:v>124.83000000000001</x:v>
      </x:c>
      <x:c r="T22" s="39" t="n">
        <x:f>IF($E22="","",$E22*Supuestos!$B$8*Supuestos!$B$26)</x:f>
        <x:v>124.83000000000001</x:v>
      </x:c>
      <x:c r="U22" s="39" t="n">
        <x:f>IF($E22="","",$E22*Supuestos!$B$8*Supuestos!$B$26)</x:f>
        <x:v>124.83000000000001</x:v>
      </x:c>
      <x:c r="V22" s="39" t="n">
        <x:f>IF($E22="","",$E22*Supuestos!$B$8*Supuestos!$B$26)</x:f>
        <x:v>124.83000000000001</x:v>
      </x:c>
      <x:c r="W22" s="39" t="n">
        <x:f>IF($E22="","",$E22*Supuestos!$B$8*Supuestos!$B$26)</x:f>
        <x:v>124.83000000000001</x:v>
      </x:c>
      <x:c r="X22" s="39" t="n">
        <x:f>IF($E22="","",$E22*Supuestos!$B$8*Supuestos!$B$26)</x:f>
        <x:v>124.83000000000001</x:v>
      </x:c>
      <x:c r="Y22" s="39" t="n">
        <x:f>IF($E22="","",$E22*Supuestos!$B$8*Supuestos!$B$26)</x:f>
        <x:v>124.83000000000001</x:v>
      </x:c>
      <x:c r="Z22" s="39" t="n">
        <x:f>IF($E22="","",$E22*Supuestos!$B$8*Supuestos!$B$26)</x:f>
        <x:v>124.83000000000001</x:v>
      </x:c>
      <x:c r="AA22" s="39" t="n">
        <x:f>IF($E22="","",$E22*Supuestos!$B$8*Supuestos!$B$26)</x:f>
        <x:v>124.83000000000001</x:v>
      </x:c>
      <x:c r="AB22" s="39" t="n">
        <x:f>IF($E22="","",$E22*Supuestos!$B$8*Supuestos!$B$26)</x:f>
        <x:v>124.83000000000001</x:v>
      </x:c>
      <x:c r="AC22" s="39" t="n">
        <x:f>IF($E22="","",$E22*Supuestos!$B$8*Supuestos!$B$26)</x:f>
        <x:v>124.83000000000001</x:v>
      </x:c>
      <x:c r="AD22" s="39" t="n">
        <x:f>IF($E22="","",$E22*Supuestos!$B$8*Supuestos!$B$26)</x:f>
        <x:v>124.83000000000001</x:v>
      </x:c>
      <x:c r="AE22" s="39" t="n">
        <x:f>IF($E22="","",$E22*Supuestos!$B$8*Supuestos!$B$26)</x:f>
        <x:v>124.83000000000001</x:v>
      </x:c>
      <x:c r="AF22" s="39" t="n">
        <x:f>IF($E22="","",$E22*Supuestos!$B$8*Supuestos!$B$26)</x:f>
        <x:v>124.83000000000001</x:v>
      </x:c>
      <x:c r="AG22" s="39" t="n">
        <x:f>IF($E22="","",$E22*Supuestos!$B$8*Supuestos!$B$26)</x:f>
        <x:v>124.83000000000001</x:v>
      </x:c>
      <x:c r="AH22" s="39" t="n">
        <x:f>IF($E22="","",$E22*Supuestos!$B$8*Supuestos!$B$26)</x:f>
        <x:v>124.83000000000001</x:v>
      </x:c>
      <x:c r="AI22" s="39" t="n">
        <x:f>IF($E22="","",$E22*Supuestos!$B$8*Supuestos!$B$26)</x:f>
        <x:v>124.83000000000001</x:v>
      </x:c>
      <x:c r="AJ22" s="39" t="n">
        <x:f>IF($E22="","",$E22*Supuestos!$B$8*Supuestos!$B$26)</x:f>
        <x:v>124.83000000000001</x:v>
      </x:c>
      <x:c r="AK22" s="39" t="n">
        <x:f>IF($E22="","",$E22*Supuestos!$B$8*Supuestos!$B$26)</x:f>
        <x:v>124.83000000000001</x:v>
      </x:c>
      <x:c r="AL22" s="39" t="n">
        <x:f>IF($E22="","",$E22*Supuestos!$B$8*Supuestos!$B$26)</x:f>
        <x:v>124.83000000000001</x:v>
      </x:c>
      <x:c r="AM22" s="39" t="n">
        <x:f>IF($E22="","",$E22*Supuestos!$B$8*Supuestos!$B$26)</x:f>
        <x:v>124.83000000000001</x:v>
      </x:c>
      <x:c r="AN22" s="39" t="n">
        <x:f>IF($E22="","",$E22*Supuestos!$B$8*Supuestos!$B$26)</x:f>
        <x:v>124.83000000000001</x:v>
      </x:c>
      <x:c r="AO22" s="39" t="n">
        <x:f>IF($E22="","",$E22*Supuestos!$B$8*Supuestos!$B$26)</x:f>
        <x:v>124.83000000000001</x:v>
      </x:c>
      <x:c r="AP22" s="39" t="n">
        <x:f>IF($E22="","",$E22*Supuestos!$B$8*Supuestos!$B$26)</x:f>
        <x:v>124.83000000000001</x:v>
      </x:c>
      <x:c r="AQ22" s="39" t="n">
        <x:f>IF($E22="","",$E22*Supuestos!$B$8*Supuestos!$B$26)</x:f>
        <x:v>124.83000000000001</x:v>
      </x:c>
      <x:c r="AR22" s="39" t="n">
        <x:f>IF($E22="","",$E22*Supuestos!$B$8*Supuestos!$B$26)</x:f>
        <x:v>124.83000000000001</x:v>
      </x:c>
      <x:c r="AS22" s="39" t="n">
        <x:f>IF($E22="","",$E22*Supuestos!$B$8*Supuestos!$B$26)</x:f>
        <x:v>124.83000000000001</x:v>
      </x:c>
      <x:c r="AT22" s="39" t="n">
        <x:f>IF($E22="","",$E22*Supuestos!$B$8*Supuestos!$B$26)</x:f>
        <x:v>124.83000000000001</x:v>
      </x:c>
      <x:c r="AU22" s="39" t="n">
        <x:f>IF($E22="","",$E22*Supuestos!$B$8*Supuestos!$B$26)</x:f>
        <x:v>124.83000000000001</x:v>
      </x:c>
      <x:c r="AV22" s="39" t="n">
        <x:f>IF($E22="","",$E22*Supuestos!$B$8*Supuestos!$B$26)</x:f>
        <x:v>124.83000000000001</x:v>
      </x:c>
      <x:c r="AW22" s="39" t="n">
        <x:f>IF($E22="","",$E22*Supuestos!$B$8*Supuestos!$B$26)</x:f>
        <x:v>124.83000000000001</x:v>
      </x:c>
      <x:c r="AX22" s="39" t="n">
        <x:f>IF($E22="","",$E22*Supuestos!$B$8*Supuestos!$B$26)</x:f>
        <x:v>124.83000000000001</x:v>
      </x:c>
      <x:c r="AY22" s="39" t="n">
        <x:f>IF($E22="","",$E22*Supuestos!$B$8*Supuestos!$B$26)</x:f>
        <x:v>124.83000000000001</x:v>
      </x:c>
      <x:c r="AZ22" s="39" t="n">
        <x:f>IF($E22="","",$E22*Supuestos!$B$8*Supuestos!$B$26)</x:f>
        <x:v>124.83000000000001</x:v>
      </x:c>
      <x:c r="BA22" s="39" t="n">
        <x:f>IF($E22="","",$E22*Supuestos!$B$8*Supuestos!$B$26)</x:f>
        <x:v>124.83000000000001</x:v>
      </x:c>
      <x:c r="BB22" s="39" t="n">
        <x:f>IF($E22="","",$E22*Supuestos!$B$8*Supuestos!$B$26)</x:f>
        <x:v>124.83000000000001</x:v>
      </x:c>
      <x:c r="BC22" s="39" t="n">
        <x:f>IF($E22="","",$E22*Supuestos!$B$8*Supuestos!$B$26)</x:f>
        <x:v>124.83000000000001</x:v>
      </x:c>
      <x:c r="BD22" s="39" t="n">
        <x:f>IF($E22="","",$E22*Supuestos!$B$8*Supuestos!$B$26)</x:f>
        <x:v>124.83000000000001</x:v>
      </x:c>
      <x:c r="BE22" s="39" t="n">
        <x:f>IF($E22="","",$E22*Supuestos!$B$8*Supuestos!$B$26)</x:f>
        <x:v>124.83000000000001</x:v>
      </x:c>
      <x:c r="BF22" s="39" t="n">
        <x:f>IF($E22="","",$E22*Supuestos!$B$8*Supuestos!$B$26)</x:f>
        <x:v>124.83000000000001</x:v>
      </x:c>
      <x:c r="BG22" s="39" t="n">
        <x:f>IF($E22="","",$E22*Supuestos!$B$8*Supuestos!$B$26)</x:f>
        <x:v>124.83000000000001</x:v>
      </x:c>
      <x:c r="BH22" s="39" t="n">
        <x:f>IF($E22="","",$E22*Supuestos!$B$8*Supuestos!$B$26)</x:f>
        <x:v>124.83000000000001</x:v>
      </x:c>
      <x:c r="BI22" s="39" t="n">
        <x:f>IF($E22="","",$E22*Supuestos!$B$8*Supuestos!$B$26)</x:f>
        <x:v>124.83000000000001</x:v>
      </x:c>
      <x:c r="BJ22" s="39" t="n">
        <x:f>IF($E22="","",$E22*Supuestos!$B$8*Supuestos!$B$26)</x:f>
        <x:v>124.83000000000001</x:v>
      </x:c>
      <x:c r="BK22" s="39" t="n">
        <x:f>IF($E22="","",$E22*Supuestos!$B$8*Supuestos!$B$26)</x:f>
        <x:v>124.83000000000001</x:v>
      </x:c>
      <x:c r="BL22" s="39" t="n">
        <x:f>IF($E22="","",$E22*Supuestos!$B$8*Supuestos!$B$26)</x:f>
        <x:v>124.83000000000001</x:v>
      </x:c>
      <x:c r="BM22" s="39" t="n">
        <x:f>IF($E22="","",$E22*Supuestos!$B$8*Supuestos!$B$26)</x:f>
        <x:v>124.83000000000001</x:v>
      </x:c>
      <x:c r="BN22" s="39" t="n">
        <x:f>IF($E22="","",$E22*Supuestos!$B$8*Supuestos!$B$26)</x:f>
        <x:v>124.83000000000001</x:v>
      </x:c>
      <x:c r="BO22" s="47" t="n">
        <x:f>IF(COUNT(G22:BN22)=0,"",SUM(G22:BN22))</x:f>
        <x:v>7489.7999999999965</x:v>
      </x:c>
    </x:row>
    <x:row r="23">
      <x:c r="A23" s="16" t="str">
        <x:v>USA-05</x:v>
      </x:c>
      <x:c r="B23" s="17" t="str">
        <x:v>East US</x:v>
      </x:c>
      <x:c r="C23" s="17" t="str">
        <x:v>Almacenamiento base de datos</x:v>
      </x:c>
      <x:c r="D23" s="17" t="str">
        <x:v>GiB-mes</x:v>
      </x:c>
      <x:c r="E23" s="38" t="n">
        <x:f>'Fuentes y Cotizaciones'!F23</x:f>
        <x:v>0.115</x:v>
      </x:c>
      <x:c r="F23" s="17" t="str">
        <x:v>GiB provisionados</x:v>
      </x:c>
      <x:c r="G23" s="39" t="n">
        <x:f>IF($E23="","",$E23*Supuestos!$B$14)</x:f>
        <x:v>11.5</x:v>
      </x:c>
      <x:c r="H23" s="39" t="n">
        <x:f>IF($E23="","",$E23*Supuestos!$B$14)</x:f>
        <x:v>11.5</x:v>
      </x:c>
      <x:c r="I23" s="39" t="n">
        <x:f>IF($E23="","",$E23*Supuestos!$B$14)</x:f>
        <x:v>11.5</x:v>
      </x:c>
      <x:c r="J23" s="39" t="n">
        <x:f>IF($E23="","",$E23*Supuestos!$B$14)</x:f>
        <x:v>11.5</x:v>
      </x:c>
      <x:c r="K23" s="39" t="n">
        <x:f>IF($E23="","",$E23*Supuestos!$B$14)</x:f>
        <x:v>11.5</x:v>
      </x:c>
      <x:c r="L23" s="39" t="n">
        <x:f>IF($E23="","",$E23*Supuestos!$B$14)</x:f>
        <x:v>11.5</x:v>
      </x:c>
      <x:c r="M23" s="39" t="n">
        <x:f>IF($E23="","",$E23*Supuestos!$B$14)</x:f>
        <x:v>11.5</x:v>
      </x:c>
      <x:c r="N23" s="39" t="n">
        <x:f>IF($E23="","",$E23*Supuestos!$B$14)</x:f>
        <x:v>11.5</x:v>
      </x:c>
      <x:c r="O23" s="39" t="n">
        <x:f>IF($E23="","",$E23*Supuestos!$B$14)</x:f>
        <x:v>11.5</x:v>
      </x:c>
      <x:c r="P23" s="39" t="n">
        <x:f>IF($E23="","",$E23*Supuestos!$B$14)</x:f>
        <x:v>11.5</x:v>
      </x:c>
      <x:c r="Q23" s="39" t="n">
        <x:f>IF($E23="","",$E23*Supuestos!$B$14)</x:f>
        <x:v>11.5</x:v>
      </x:c>
      <x:c r="R23" s="39" t="n">
        <x:f>IF($E23="","",$E23*Supuestos!$B$14)</x:f>
        <x:v>11.5</x:v>
      </x:c>
      <x:c r="S23" s="39" t="n">
        <x:f>IF($E23="","",$E23*Supuestos!$B$14)</x:f>
        <x:v>11.5</x:v>
      </x:c>
      <x:c r="T23" s="39" t="n">
        <x:f>IF($E23="","",$E23*Supuestos!$B$14)</x:f>
        <x:v>11.5</x:v>
      </x:c>
      <x:c r="U23" s="39" t="n">
        <x:f>IF($E23="","",$E23*Supuestos!$B$14)</x:f>
        <x:v>11.5</x:v>
      </x:c>
      <x:c r="V23" s="39" t="n">
        <x:f>IF($E23="","",$E23*Supuestos!$B$14)</x:f>
        <x:v>11.5</x:v>
      </x:c>
      <x:c r="W23" s="39" t="n">
        <x:f>IF($E23="","",$E23*Supuestos!$B$14)</x:f>
        <x:v>11.5</x:v>
      </x:c>
      <x:c r="X23" s="39" t="n">
        <x:f>IF($E23="","",$E23*Supuestos!$B$14)</x:f>
        <x:v>11.5</x:v>
      </x:c>
      <x:c r="Y23" s="39" t="n">
        <x:f>IF($E23="","",$E23*Supuestos!$B$14)</x:f>
        <x:v>11.5</x:v>
      </x:c>
      <x:c r="Z23" s="39" t="n">
        <x:f>IF($E23="","",$E23*Supuestos!$B$14)</x:f>
        <x:v>11.5</x:v>
      </x:c>
      <x:c r="AA23" s="39" t="n">
        <x:f>IF($E23="","",$E23*Supuestos!$B$14)</x:f>
        <x:v>11.5</x:v>
      </x:c>
      <x:c r="AB23" s="39" t="n">
        <x:f>IF($E23="","",$E23*Supuestos!$B$14)</x:f>
        <x:v>11.5</x:v>
      </x:c>
      <x:c r="AC23" s="39" t="n">
        <x:f>IF($E23="","",$E23*Supuestos!$B$14)</x:f>
        <x:v>11.5</x:v>
      </x:c>
      <x:c r="AD23" s="39" t="n">
        <x:f>IF($E23="","",$E23*Supuestos!$B$14)</x:f>
        <x:v>11.5</x:v>
      </x:c>
      <x:c r="AE23" s="39" t="n">
        <x:f>IF($E23="","",$E23*Supuestos!$B$14)</x:f>
        <x:v>11.5</x:v>
      </x:c>
      <x:c r="AF23" s="39" t="n">
        <x:f>IF($E23="","",$E23*Supuestos!$B$14)</x:f>
        <x:v>11.5</x:v>
      </x:c>
      <x:c r="AG23" s="39" t="n">
        <x:f>IF($E23="","",$E23*Supuestos!$B$14)</x:f>
        <x:v>11.5</x:v>
      </x:c>
      <x:c r="AH23" s="39" t="n">
        <x:f>IF($E23="","",$E23*Supuestos!$B$14)</x:f>
        <x:v>11.5</x:v>
      </x:c>
      <x:c r="AI23" s="39" t="n">
        <x:f>IF($E23="","",$E23*Supuestos!$B$14)</x:f>
        <x:v>11.5</x:v>
      </x:c>
      <x:c r="AJ23" s="39" t="n">
        <x:f>IF($E23="","",$E23*Supuestos!$B$14)</x:f>
        <x:v>11.5</x:v>
      </x:c>
      <x:c r="AK23" s="39" t="n">
        <x:f>IF($E23="","",$E23*Supuestos!$B$14)</x:f>
        <x:v>11.5</x:v>
      </x:c>
      <x:c r="AL23" s="39" t="n">
        <x:f>IF($E23="","",$E23*Supuestos!$B$14)</x:f>
        <x:v>11.5</x:v>
      </x:c>
      <x:c r="AM23" s="39" t="n">
        <x:f>IF($E23="","",$E23*Supuestos!$B$14)</x:f>
        <x:v>11.5</x:v>
      </x:c>
      <x:c r="AN23" s="39" t="n">
        <x:f>IF($E23="","",$E23*Supuestos!$B$14)</x:f>
        <x:v>11.5</x:v>
      </x:c>
      <x:c r="AO23" s="39" t="n">
        <x:f>IF($E23="","",$E23*Supuestos!$B$14)</x:f>
        <x:v>11.5</x:v>
      </x:c>
      <x:c r="AP23" s="39" t="n">
        <x:f>IF($E23="","",$E23*Supuestos!$B$14)</x:f>
        <x:v>11.5</x:v>
      </x:c>
      <x:c r="AQ23" s="39" t="n">
        <x:f>IF($E23="","",$E23*Supuestos!$B$14)</x:f>
        <x:v>11.5</x:v>
      </x:c>
      <x:c r="AR23" s="39" t="n">
        <x:f>IF($E23="","",$E23*Supuestos!$B$14)</x:f>
        <x:v>11.5</x:v>
      </x:c>
      <x:c r="AS23" s="39" t="n">
        <x:f>IF($E23="","",$E23*Supuestos!$B$14)</x:f>
        <x:v>11.5</x:v>
      </x:c>
      <x:c r="AT23" s="39" t="n">
        <x:f>IF($E23="","",$E23*Supuestos!$B$14)</x:f>
        <x:v>11.5</x:v>
      </x:c>
      <x:c r="AU23" s="39" t="n">
        <x:f>IF($E23="","",$E23*Supuestos!$B$14)</x:f>
        <x:v>11.5</x:v>
      </x:c>
      <x:c r="AV23" s="39" t="n">
        <x:f>IF($E23="","",$E23*Supuestos!$B$14)</x:f>
        <x:v>11.5</x:v>
      </x:c>
      <x:c r="AW23" s="39" t="n">
        <x:f>IF($E23="","",$E23*Supuestos!$B$14)</x:f>
        <x:v>11.5</x:v>
      </x:c>
      <x:c r="AX23" s="39" t="n">
        <x:f>IF($E23="","",$E23*Supuestos!$B$14)</x:f>
        <x:v>11.5</x:v>
      </x:c>
      <x:c r="AY23" s="39" t="n">
        <x:f>IF($E23="","",$E23*Supuestos!$B$14)</x:f>
        <x:v>11.5</x:v>
      </x:c>
      <x:c r="AZ23" s="39" t="n">
        <x:f>IF($E23="","",$E23*Supuestos!$B$14)</x:f>
        <x:v>11.5</x:v>
      </x:c>
      <x:c r="BA23" s="39" t="n">
        <x:f>IF($E23="","",$E23*Supuestos!$B$14)</x:f>
        <x:v>11.5</x:v>
      </x:c>
      <x:c r="BB23" s="39" t="n">
        <x:f>IF($E23="","",$E23*Supuestos!$B$14)</x:f>
        <x:v>11.5</x:v>
      </x:c>
      <x:c r="BC23" s="39" t="n">
        <x:f>IF($E23="","",$E23*Supuestos!$B$14)</x:f>
        <x:v>11.5</x:v>
      </x:c>
      <x:c r="BD23" s="39" t="n">
        <x:f>IF($E23="","",$E23*Supuestos!$B$14)</x:f>
        <x:v>11.5</x:v>
      </x:c>
      <x:c r="BE23" s="39" t="n">
        <x:f>IF($E23="","",$E23*Supuestos!$B$14)</x:f>
        <x:v>11.5</x:v>
      </x:c>
      <x:c r="BF23" s="39" t="n">
        <x:f>IF($E23="","",$E23*Supuestos!$B$14)</x:f>
        <x:v>11.5</x:v>
      </x:c>
      <x:c r="BG23" s="39" t="n">
        <x:f>IF($E23="","",$E23*Supuestos!$B$14)</x:f>
        <x:v>11.5</x:v>
      </x:c>
      <x:c r="BH23" s="39" t="n">
        <x:f>IF($E23="","",$E23*Supuestos!$B$14)</x:f>
        <x:v>11.5</x:v>
      </x:c>
      <x:c r="BI23" s="39" t="n">
        <x:f>IF($E23="","",$E23*Supuestos!$B$14)</x:f>
        <x:v>11.5</x:v>
      </x:c>
      <x:c r="BJ23" s="39" t="n">
        <x:f>IF($E23="","",$E23*Supuestos!$B$14)</x:f>
        <x:v>11.5</x:v>
      </x:c>
      <x:c r="BK23" s="39" t="n">
        <x:f>IF($E23="","",$E23*Supuestos!$B$14)</x:f>
        <x:v>11.5</x:v>
      </x:c>
      <x:c r="BL23" s="39" t="n">
        <x:f>IF($E23="","",$E23*Supuestos!$B$14)</x:f>
        <x:v>11.5</x:v>
      </x:c>
      <x:c r="BM23" s="39" t="n">
        <x:f>IF($E23="","",$E23*Supuestos!$B$14)</x:f>
        <x:v>11.5</x:v>
      </x:c>
      <x:c r="BN23" s="39" t="n">
        <x:f>IF($E23="","",$E23*Supuestos!$B$14)</x:f>
        <x:v>11.5</x:v>
      </x:c>
      <x:c r="BO23" s="47" t="n">
        <x:f>IF(COUNT(G23:BN23)=0,"",SUM(G23:BN23))</x:f>
        <x:v>690</x:v>
      </x:c>
    </x:row>
    <x:row r="24">
      <x:c r="A24" s="16" t="str">
        <x:v>USA-06</x:v>
      </x:c>
      <x:c r="B24" s="17" t="str">
        <x:v>East US</x:v>
      </x:c>
      <x:c r="C24" s="17" t="str">
        <x:v>Almacenamiento de objetos</x:v>
      </x:c>
      <x:c r="D24" s="17" t="str">
        <x:v>GB-mes</x:v>
      </x:c>
      <x:c r="E24" s="38" t="n">
        <x:f>'Fuentes y Cotizaciones'!F24</x:f>
        <x:v>0.0208</x:v>
      </x:c>
      <x:c r="F24" s="17" t="str">
        <x:v>Objetos con crecimiento anual</x:v>
      </x:c>
      <x:c r="G24" s="39" t="n">
        <x:f>IF($E24="","",$E24*Supuestos!$B$15*(1+Supuestos!$B$16)^((COLUMNS($G24:G24)-1)/12))</x:f>
        <x:v>10.4</x:v>
      </x:c>
      <x:c r="H24" s="39" t="n">
        <x:f>IF($E24="","",$E24*Supuestos!$B$15*(1+Supuestos!$B$16)^((COLUMNS($G24:H24)-1)/12))</x:f>
        <x:v>10.559218493197205</x:v>
      </x:c>
      <x:c r="I24" s="39" t="n">
        <x:f>IF($E24="","",$E24*Supuestos!$B$15*(1+Supuestos!$B$16)^((COLUMNS($G24:I24)-1)/12))</x:f>
        <x:v>10.720874537219023</x:v>
      </x:c>
      <x:c r="J24" s="39" t="n">
        <x:f>IF($E24="","",$E24*Supuestos!$B$15*(1+Supuestos!$B$16)^((COLUMNS($G24:J24)-1)/12))</x:f>
        <x:v>10.885005449677898</x:v>
      </x:c>
      <x:c r="K24" s="39" t="n">
        <x:f>IF($E24="","",$E24*Supuestos!$B$15*(1+Supuestos!$B$16)^((COLUMNS($G24:K24)-1)/12))</x:f>
        <x:v>11.051649119499157</x:v>
      </x:c>
      <x:c r="L24" s="39" t="n">
        <x:f>IF($E24="","",$E24*Supuestos!$B$15*(1+Supuestos!$B$16)^((COLUMNS($G24:L24)-1)/12))</x:f>
        <x:v>11.220844015667508</x:v>
      </x:c>
      <x:c r="M24" s="39" t="n">
        <x:f>IF($E24="","",$E24*Supuestos!$B$15*(1+Supuestos!$B$16)^((COLUMNS($G24:M24)-1)/12))</x:f>
        <x:v>11.392629196107455</x:v>
      </x:c>
      <x:c r="N24" s="39" t="n">
        <x:f>IF($E24="","",$E24*Supuestos!$B$15*(1+Supuestos!$B$16)^((COLUMNS($G24:N24)-1)/12))</x:f>
        <x:v>11.56704431669964</x:v>
      </x:c>
      <x:c r="O24" s="39" t="n">
        <x:f>IF($E24="","",$E24*Supuestos!$B$15*(1+Supuestos!$B$16)^((COLUMNS($G24:O24)-1)/12))</x:f>
        <x:v>11.744129640435235</x:v>
      </x:c>
      <x:c r="P24" s="39" t="n">
        <x:f>IF($E24="","",$E24*Supuestos!$B$15*(1+Supuestos!$B$16)^((COLUMNS($G24:P24)-1)/12))</x:f>
        <x:v>11.923926046710498</x:v>
      </x:c>
      <x:c r="Q24" s="39" t="n">
        <x:f>IF($E24="","",$E24*Supuestos!$B$15*(1+Supuestos!$B$16)^((COLUMNS($G24:Q24)-1)/12))</x:f>
        <x:v>12.10647504076359</x:v>
      </x:c>
      <x:c r="R24" s="39" t="n">
        <x:f>IF($E24="","",$E24*Supuestos!$B$15*(1+Supuestos!$B$16)^((COLUMNS($G24:R24)-1)/12))</x:f>
        <x:v>12.291818763255892</x:v>
      </x:c>
      <x:c r="S24" s="39" t="n">
        <x:f>IF($E24="","",$E24*Supuestos!$B$15*(1+Supuestos!$B$16)^((COLUMNS($G24:S24)-1)/12))</x:f>
        <x:v>12.48</x:v>
      </x:c>
      <x:c r="T24" s="39" t="n">
        <x:f>IF($E24="","",$E24*Supuestos!$B$15*(1+Supuestos!$B$16)^((COLUMNS($G24:T24)-1)/12))</x:f>
        <x:v>12.671062191836645</x:v>
      </x:c>
      <x:c r="U24" s="39" t="n">
        <x:f>IF($E24="","",$E24*Supuestos!$B$15*(1+Supuestos!$B$16)^((COLUMNS($G24:U24)-1)/12))</x:f>
        <x:v>12.865049444662828</x:v>
      </x:c>
      <x:c r="V24" s="39" t="n">
        <x:f>IF($E24="","",$E24*Supuestos!$B$15*(1+Supuestos!$B$16)^((COLUMNS($G24:V24)-1)/12))</x:f>
        <x:v>13.062006539613476</x:v>
      </x:c>
      <x:c r="W24" s="39" t="n">
        <x:f>IF($E24="","",$E24*Supuestos!$B$15*(1+Supuestos!$B$16)^((COLUMNS($G24:W24)-1)/12))</x:f>
        <x:v>13.261978943398987</x:v>
      </x:c>
      <x:c r="X24" s="39" t="n">
        <x:f>IF($E24="","",$E24*Supuestos!$B$15*(1+Supuestos!$B$16)^((COLUMNS($G24:X24)-1)/12))</x:f>
        <x:v>13.46501281880101</x:v>
      </x:c>
      <x:c r="Y24" s="39" t="n">
        <x:f>IF($E24="","",$E24*Supuestos!$B$15*(1+Supuestos!$B$16)^((COLUMNS($G24:Y24)-1)/12))</x:f>
        <x:v>13.671155035328944</x:v>
      </x:c>
      <x:c r="Z24" s="39" t="n">
        <x:f>IF($E24="","",$E24*Supuestos!$B$15*(1+Supuestos!$B$16)^((COLUMNS($G24:Z24)-1)/12))</x:f>
        <x:v>13.880453180039565</x:v>
      </x:c>
      <x:c r="AA24" s="39" t="n">
        <x:f>IF($E24="","",$E24*Supuestos!$B$15*(1+Supuestos!$B$16)^((COLUMNS($G24:AA24)-1)/12))</x:f>
        <x:v>14.092955568522283</x:v>
      </x:c>
      <x:c r="AB24" s="39" t="n">
        <x:f>IF($E24="","",$E24*Supuestos!$B$15*(1+Supuestos!$B$16)^((COLUMNS($G24:AB24)-1)/12))</x:f>
        <x:v>14.308711256052597</x:v>
      </x:c>
      <x:c r="AC24" s="39" t="n">
        <x:f>IF($E24="","",$E24*Supuestos!$B$15*(1+Supuestos!$B$16)^((COLUMNS($G24:AC24)-1)/12))</x:f>
        <x:v>14.527770048916306</x:v>
      </x:c>
      <x:c r="AD24" s="39" t="n">
        <x:f>IF($E24="","",$E24*Supuestos!$B$15*(1+Supuestos!$B$16)^((COLUMNS($G24:AD24)-1)/12))</x:f>
        <x:v>14.75018251590707</x:v>
      </x:c>
      <x:c r="AE24" s="39" t="n">
        <x:f>IF($E24="","",$E24*Supuestos!$B$15*(1+Supuestos!$B$16)^((COLUMNS($G24:AE24)-1)/12))</x:f>
        <x:v>14.975999999999999</x:v>
      </x:c>
      <x:c r="AF24" s="39" t="n">
        <x:f>IF($E24="","",$E24*Supuestos!$B$15*(1+Supuestos!$B$16)^((COLUMNS($G24:AF24)-1)/12))</x:f>
        <x:v>15.205274630203975</x:v>
      </x:c>
      <x:c r="AG24" s="39" t="n">
        <x:f>IF($E24="","",$E24*Supuestos!$B$15*(1+Supuestos!$B$16)^((COLUMNS($G24:AG24)-1)/12))</x:f>
        <x:v>15.438059333595394</x:v>
      </x:c>
      <x:c r="AH24" s="39" t="n">
        <x:f>IF($E24="","",$E24*Supuestos!$B$15*(1+Supuestos!$B$16)^((COLUMNS($G24:AH24)-1)/12))</x:f>
        <x:v>15.674407847536173</x:v>
      </x:c>
      <x:c r="AI24" s="39" t="n">
        <x:f>IF($E24="","",$E24*Supuestos!$B$15*(1+Supuestos!$B$16)^((COLUMNS($G24:AI24)-1)/12))</x:f>
        <x:v>15.914374732078784</x:v>
      </x:c>
      <x:c r="AJ24" s="39" t="n">
        <x:f>IF($E24="","",$E24*Supuestos!$B$15*(1+Supuestos!$B$16)^((COLUMNS($G24:AJ24)-1)/12))</x:f>
        <x:v>16.15801538256121</x:v>
      </x:c>
      <x:c r="AK24" s="39" t="n">
        <x:f>IF($E24="","",$E24*Supuestos!$B$15*(1+Supuestos!$B$16)^((COLUMNS($G24:AK24)-1)/12))</x:f>
        <x:v>16.405386042394735</x:v>
      </x:c>
      <x:c r="AL24" s="39" t="n">
        <x:f>IF($E24="","",$E24*Supuestos!$B$15*(1+Supuestos!$B$16)^((COLUMNS($G24:AL24)-1)/12))</x:f>
        <x:v>16.656543816047478</x:v>
      </x:c>
      <x:c r="AM24" s="39" t="n">
        <x:f>IF($E24="","",$E24*Supuestos!$B$15*(1+Supuestos!$B$16)^((COLUMNS($G24:AM24)-1)/12))</x:f>
        <x:v>16.91154668222674</x:v>
      </x:c>
      <x:c r="AN24" s="39" t="n">
        <x:f>IF($E24="","",$E24*Supuestos!$B$15*(1+Supuestos!$B$16)^((COLUMNS($G24:AN24)-1)/12))</x:f>
        <x:v>17.170453507263115</x:v>
      </x:c>
      <x:c r="AO24" s="39" t="n">
        <x:f>IF($E24="","",$E24*Supuestos!$B$15*(1+Supuestos!$B$16)^((COLUMNS($G24:AO24)-1)/12))</x:f>
        <x:v>17.433324058699565</x:v>
      </x:c>
      <x:c r="AP24" s="39" t="n">
        <x:f>IF($E24="","",$E24*Supuestos!$B$15*(1+Supuestos!$B$16)^((COLUMNS($G24:AP24)-1)/12))</x:f>
        <x:v>17.700219019088482</x:v>
      </x:c>
      <x:c r="AQ24" s="39" t="n">
        <x:f>IF($E24="","",$E24*Supuestos!$B$15*(1+Supuestos!$B$16)^((COLUMNS($G24:AQ24)-1)/12))</x:f>
        <x:v>17.9712</x:v>
      </x:c>
      <x:c r="AR24" s="39" t="n">
        <x:f>IF($E24="","",$E24*Supuestos!$B$15*(1+Supuestos!$B$16)^((COLUMNS($G24:AR24)-1)/12))</x:f>
        <x:v>18.246329556244767</x:v>
      </x:c>
      <x:c r="AS24" s="39" t="n">
        <x:f>IF($E24="","",$E24*Supuestos!$B$15*(1+Supuestos!$B$16)^((COLUMNS($G24:AS24)-1)/12))</x:f>
        <x:v>18.52567120031447</x:v>
      </x:c>
      <x:c r="AT24" s="39" t="n">
        <x:f>IF($E24="","",$E24*Supuestos!$B$15*(1+Supuestos!$B$16)^((COLUMNS($G24:AT24)-1)/12))</x:f>
        <x:v>18.809289417043406</x:v>
      </x:c>
      <x:c r="AU24" s="39" t="n">
        <x:f>IF($E24="","",$E24*Supuestos!$B$15*(1+Supuestos!$B$16)^((COLUMNS($G24:AU24)-1)/12))</x:f>
        <x:v>19.09724967849454</x:v>
      </x:c>
      <x:c r="AV24" s="39" t="n">
        <x:f>IF($E24="","",$E24*Supuestos!$B$15*(1+Supuestos!$B$16)^((COLUMNS($G24:AV24)-1)/12))</x:f>
        <x:v>19.38961845907345</x:v>
      </x:c>
      <x:c r="AW24" s="39" t="n">
        <x:f>IF($E24="","",$E24*Supuestos!$B$15*(1+Supuestos!$B$16)^((COLUMNS($G24:AW24)-1)/12))</x:f>
        <x:v>19.68646325087368</x:v>
      </x:c>
      <x:c r="AX24" s="39" t="n">
        <x:f>IF($E24="","",$E24*Supuestos!$B$15*(1+Supuestos!$B$16)^((COLUMNS($G24:AX24)-1)/12))</x:f>
        <x:v>19.987852579256973</x:v>
      </x:c>
      <x:c r="AY24" s="39" t="n">
        <x:f>IF($E24="","",$E24*Supuestos!$B$15*(1+Supuestos!$B$16)^((COLUMNS($G24:AY24)-1)/12))</x:f>
        <x:v>20.293856018672084</x:v>
      </x:c>
      <x:c r="AZ24" s="39" t="n">
        <x:f>IF($E24="","",$E24*Supuestos!$B$15*(1+Supuestos!$B$16)^((COLUMNS($G24:AZ24)-1)/12))</x:f>
        <x:v>20.604544208715737</x:v>
      </x:c>
      <x:c r="BA24" s="39" t="n">
        <x:f>IF($E24="","",$E24*Supuestos!$B$15*(1+Supuestos!$B$16)^((COLUMNS($G24:BA24)-1)/12))</x:f>
        <x:v>20.919988870439482</x:v>
      </x:c>
      <x:c r="BB24" s="39" t="n">
        <x:f>IF($E24="","",$E24*Supuestos!$B$15*(1+Supuestos!$B$16)^((COLUMNS($G24:BB24)-1)/12))</x:f>
        <x:v>21.24026282290618</x:v>
      </x:c>
      <x:c r="BC24" s="39" t="n">
        <x:f>IF($E24="","",$E24*Supuestos!$B$15*(1+Supuestos!$B$16)^((COLUMNS($G24:BC24)-1)/12))</x:f>
        <x:v>21.56544</x:v>
      </x:c>
      <x:c r="BD24" s="39" t="n">
        <x:f>IF($E24="","",$E24*Supuestos!$B$15*(1+Supuestos!$B$16)^((COLUMNS($G24:BD24)-1)/12))</x:f>
        <x:v>21.895595467493724</x:v>
      </x:c>
      <x:c r="BE24" s="39" t="n">
        <x:f>IF($E24="","",$E24*Supuestos!$B$15*(1+Supuestos!$B$16)^((COLUMNS($G24:BE24)-1)/12))</x:f>
        <x:v>22.230805440377367</x:v>
      </x:c>
      <x:c r="BF24" s="39" t="n">
        <x:f>IF($E24="","",$E24*Supuestos!$B$15*(1+Supuestos!$B$16)^((COLUMNS($G24:BF24)-1)/12))</x:f>
        <x:v>22.571147300452086</x:v>
      </x:c>
      <x:c r="BG24" s="39" t="n">
        <x:f>IF($E24="","",$E24*Supuestos!$B$15*(1+Supuestos!$B$16)^((COLUMNS($G24:BG24)-1)/12))</x:f>
        <x:v>22.916699614193444</x:v>
      </x:c>
      <x:c r="BH24" s="39" t="n">
        <x:f>IF($E24="","",$E24*Supuestos!$B$15*(1+Supuestos!$B$16)^((COLUMNS($G24:BH24)-1)/12))</x:f>
        <x:v>23.267542150888143</x:v>
      </x:c>
      <x:c r="BI24" s="39" t="n">
        <x:f>IF($E24="","",$E24*Supuestos!$B$15*(1+Supuestos!$B$16)^((COLUMNS($G24:BI24)-1)/12))</x:f>
        <x:v>23.623755901048415</x:v>
      </x:c>
      <x:c r="BJ24" s="39" t="n">
        <x:f>IF($E24="","",$E24*Supuestos!$B$15*(1+Supuestos!$B$16)^((COLUMNS($G24:BJ24)-1)/12))</x:f>
        <x:v>23.985423095108366</x:v>
      </x:c>
      <x:c r="BK24" s="39" t="n">
        <x:f>IF($E24="","",$E24*Supuestos!$B$15*(1+Supuestos!$B$16)^((COLUMNS($G24:BK24)-1)/12))</x:f>
        <x:v>24.3526272224065</x:v>
      </x:c>
      <x:c r="BL24" s="39" t="n">
        <x:f>IF($E24="","",$E24*Supuestos!$B$15*(1+Supuestos!$B$16)^((COLUMNS($G24:BL24)-1)/12))</x:f>
        <x:v>24.725453050458885</x:v>
      </x:c>
      <x:c r="BM24" s="39" t="n">
        <x:f>IF($E24="","",$E24*Supuestos!$B$15*(1+Supuestos!$B$16)^((COLUMNS($G24:BM24)-1)/12))</x:f>
        <x:v>25.103986644527374</x:v>
      </x:c>
      <x:c r="BN24" s="39" t="n">
        <x:f>IF($E24="","",$E24*Supuestos!$B$15*(1+Supuestos!$B$16)^((COLUMNS($G24:BN24)-1)/12))</x:f>
        <x:v>25.488315387487415</x:v>
      </x:c>
      <x:c r="BO24" s="47" t="n">
        <x:f>IF(COUNT(G24:BN24)=0,"",SUM(G24:BN24))</x:f>
        <x:v>1011.0426745504848</x:v>
      </x:c>
    </x:row>
    <x:row r="25">
      <x:c r="A25" s="16" t="str">
        <x:v>USA-07</x:v>
      </x:c>
      <x:c r="B25" s="17" t="str">
        <x:v>East US</x:v>
      </x:c>
      <x:c r="C25" s="17" t="str">
        <x:v>Egreso a Internet</x:v>
      </x:c>
      <x:c r="D25" s="17" t="str">
        <x:v>GB</x:v>
      </x:c>
      <x:c r="E25" s="38" t="n">
        <x:f>'Fuentes y Cotizaciones'!F25</x:f>
        <x:v>0.087</x:v>
      </x:c>
      <x:c r="F25" s="17" t="str">
        <x:v>MAX(egreso − 100 GB gratis, 0)</x:v>
      </x:c>
      <x:c r="G25" s="39" t="n">
        <x:f>IF($E25="","",$E25*MAX(Supuestos!$B$17-Supuestos!$B$29,0))</x:f>
        <x:v>8.7</x:v>
      </x:c>
      <x:c r="H25" s="39" t="n">
        <x:f>IF($E25="","",$E25*MAX(Supuestos!$B$17-Supuestos!$B$29,0))</x:f>
        <x:v>8.7</x:v>
      </x:c>
      <x:c r="I25" s="39" t="n">
        <x:f>IF($E25="","",$E25*MAX(Supuestos!$B$17-Supuestos!$B$29,0))</x:f>
        <x:v>8.7</x:v>
      </x:c>
      <x:c r="J25" s="39" t="n">
        <x:f>IF($E25="","",$E25*MAX(Supuestos!$B$17-Supuestos!$B$29,0))</x:f>
        <x:v>8.7</x:v>
      </x:c>
      <x:c r="K25" s="39" t="n">
        <x:f>IF($E25="","",$E25*MAX(Supuestos!$B$17-Supuestos!$B$29,0))</x:f>
        <x:v>8.7</x:v>
      </x:c>
      <x:c r="L25" s="39" t="n">
        <x:f>IF($E25="","",$E25*MAX(Supuestos!$B$17-Supuestos!$B$29,0))</x:f>
        <x:v>8.7</x:v>
      </x:c>
      <x:c r="M25" s="39" t="n">
        <x:f>IF($E25="","",$E25*MAX(Supuestos!$B$17-Supuestos!$B$29,0))</x:f>
        <x:v>8.7</x:v>
      </x:c>
      <x:c r="N25" s="39" t="n">
        <x:f>IF($E25="","",$E25*MAX(Supuestos!$B$17-Supuestos!$B$29,0))</x:f>
        <x:v>8.7</x:v>
      </x:c>
      <x:c r="O25" s="39" t="n">
        <x:f>IF($E25="","",$E25*MAX(Supuestos!$B$17-Supuestos!$B$29,0))</x:f>
        <x:v>8.7</x:v>
      </x:c>
      <x:c r="P25" s="39" t="n">
        <x:f>IF($E25="","",$E25*MAX(Supuestos!$B$17-Supuestos!$B$29,0))</x:f>
        <x:v>8.7</x:v>
      </x:c>
      <x:c r="Q25" s="39" t="n">
        <x:f>IF($E25="","",$E25*MAX(Supuestos!$B$17-Supuestos!$B$29,0))</x:f>
        <x:v>8.7</x:v>
      </x:c>
      <x:c r="R25" s="39" t="n">
        <x:f>IF($E25="","",$E25*MAX(Supuestos!$B$17-Supuestos!$B$29,0))</x:f>
        <x:v>8.7</x:v>
      </x:c>
      <x:c r="S25" s="39" t="n">
        <x:f>IF($E25="","",$E25*MAX(Supuestos!$B$17-Supuestos!$B$29,0))</x:f>
        <x:v>8.7</x:v>
      </x:c>
      <x:c r="T25" s="39" t="n">
        <x:f>IF($E25="","",$E25*MAX(Supuestos!$B$17-Supuestos!$B$29,0))</x:f>
        <x:v>8.7</x:v>
      </x:c>
      <x:c r="U25" s="39" t="n">
        <x:f>IF($E25="","",$E25*MAX(Supuestos!$B$17-Supuestos!$B$29,0))</x:f>
        <x:v>8.7</x:v>
      </x:c>
      <x:c r="V25" s="39" t="n">
        <x:f>IF($E25="","",$E25*MAX(Supuestos!$B$17-Supuestos!$B$29,0))</x:f>
        <x:v>8.7</x:v>
      </x:c>
      <x:c r="W25" s="39" t="n">
        <x:f>IF($E25="","",$E25*MAX(Supuestos!$B$17-Supuestos!$B$29,0))</x:f>
        <x:v>8.7</x:v>
      </x:c>
      <x:c r="X25" s="39" t="n">
        <x:f>IF($E25="","",$E25*MAX(Supuestos!$B$17-Supuestos!$B$29,0))</x:f>
        <x:v>8.7</x:v>
      </x:c>
      <x:c r="Y25" s="39" t="n">
        <x:f>IF($E25="","",$E25*MAX(Supuestos!$B$17-Supuestos!$B$29,0))</x:f>
        <x:v>8.7</x:v>
      </x:c>
      <x:c r="Z25" s="39" t="n">
        <x:f>IF($E25="","",$E25*MAX(Supuestos!$B$17-Supuestos!$B$29,0))</x:f>
        <x:v>8.7</x:v>
      </x:c>
      <x:c r="AA25" s="39" t="n">
        <x:f>IF($E25="","",$E25*MAX(Supuestos!$B$17-Supuestos!$B$29,0))</x:f>
        <x:v>8.7</x:v>
      </x:c>
      <x:c r="AB25" s="39" t="n">
        <x:f>IF($E25="","",$E25*MAX(Supuestos!$B$17-Supuestos!$B$29,0))</x:f>
        <x:v>8.7</x:v>
      </x:c>
      <x:c r="AC25" s="39" t="n">
        <x:f>IF($E25="","",$E25*MAX(Supuestos!$B$17-Supuestos!$B$29,0))</x:f>
        <x:v>8.7</x:v>
      </x:c>
      <x:c r="AD25" s="39" t="n">
        <x:f>IF($E25="","",$E25*MAX(Supuestos!$B$17-Supuestos!$B$29,0))</x:f>
        <x:v>8.7</x:v>
      </x:c>
      <x:c r="AE25" s="39" t="n">
        <x:f>IF($E25="","",$E25*MAX(Supuestos!$B$17-Supuestos!$B$29,0))</x:f>
        <x:v>8.7</x:v>
      </x:c>
      <x:c r="AF25" s="39" t="n">
        <x:f>IF($E25="","",$E25*MAX(Supuestos!$B$17-Supuestos!$B$29,0))</x:f>
        <x:v>8.7</x:v>
      </x:c>
      <x:c r="AG25" s="39" t="n">
        <x:f>IF($E25="","",$E25*MAX(Supuestos!$B$17-Supuestos!$B$29,0))</x:f>
        <x:v>8.7</x:v>
      </x:c>
      <x:c r="AH25" s="39" t="n">
        <x:f>IF($E25="","",$E25*MAX(Supuestos!$B$17-Supuestos!$B$29,0))</x:f>
        <x:v>8.7</x:v>
      </x:c>
      <x:c r="AI25" s="39" t="n">
        <x:f>IF($E25="","",$E25*MAX(Supuestos!$B$17-Supuestos!$B$29,0))</x:f>
        <x:v>8.7</x:v>
      </x:c>
      <x:c r="AJ25" s="39" t="n">
        <x:f>IF($E25="","",$E25*MAX(Supuestos!$B$17-Supuestos!$B$29,0))</x:f>
        <x:v>8.7</x:v>
      </x:c>
      <x:c r="AK25" s="39" t="n">
        <x:f>IF($E25="","",$E25*MAX(Supuestos!$B$17-Supuestos!$B$29,0))</x:f>
        <x:v>8.7</x:v>
      </x:c>
      <x:c r="AL25" s="39" t="n">
        <x:f>IF($E25="","",$E25*MAX(Supuestos!$B$17-Supuestos!$B$29,0))</x:f>
        <x:v>8.7</x:v>
      </x:c>
      <x:c r="AM25" s="39" t="n">
        <x:f>IF($E25="","",$E25*MAX(Supuestos!$B$17-Supuestos!$B$29,0))</x:f>
        <x:v>8.7</x:v>
      </x:c>
      <x:c r="AN25" s="39" t="n">
        <x:f>IF($E25="","",$E25*MAX(Supuestos!$B$17-Supuestos!$B$29,0))</x:f>
        <x:v>8.7</x:v>
      </x:c>
      <x:c r="AO25" s="39" t="n">
        <x:f>IF($E25="","",$E25*MAX(Supuestos!$B$17-Supuestos!$B$29,0))</x:f>
        <x:v>8.7</x:v>
      </x:c>
      <x:c r="AP25" s="39" t="n">
        <x:f>IF($E25="","",$E25*MAX(Supuestos!$B$17-Supuestos!$B$29,0))</x:f>
        <x:v>8.7</x:v>
      </x:c>
      <x:c r="AQ25" s="39" t="n">
        <x:f>IF($E25="","",$E25*MAX(Supuestos!$B$17-Supuestos!$B$29,0))</x:f>
        <x:v>8.7</x:v>
      </x:c>
      <x:c r="AR25" s="39" t="n">
        <x:f>IF($E25="","",$E25*MAX(Supuestos!$B$17-Supuestos!$B$29,0))</x:f>
        <x:v>8.7</x:v>
      </x:c>
      <x:c r="AS25" s="39" t="n">
        <x:f>IF($E25="","",$E25*MAX(Supuestos!$B$17-Supuestos!$B$29,0))</x:f>
        <x:v>8.7</x:v>
      </x:c>
      <x:c r="AT25" s="39" t="n">
        <x:f>IF($E25="","",$E25*MAX(Supuestos!$B$17-Supuestos!$B$29,0))</x:f>
        <x:v>8.7</x:v>
      </x:c>
      <x:c r="AU25" s="39" t="n">
        <x:f>IF($E25="","",$E25*MAX(Supuestos!$B$17-Supuestos!$B$29,0))</x:f>
        <x:v>8.7</x:v>
      </x:c>
      <x:c r="AV25" s="39" t="n">
        <x:f>IF($E25="","",$E25*MAX(Supuestos!$B$17-Supuestos!$B$29,0))</x:f>
        <x:v>8.7</x:v>
      </x:c>
      <x:c r="AW25" s="39" t="n">
        <x:f>IF($E25="","",$E25*MAX(Supuestos!$B$17-Supuestos!$B$29,0))</x:f>
        <x:v>8.7</x:v>
      </x:c>
      <x:c r="AX25" s="39" t="n">
        <x:f>IF($E25="","",$E25*MAX(Supuestos!$B$17-Supuestos!$B$29,0))</x:f>
        <x:v>8.7</x:v>
      </x:c>
      <x:c r="AY25" s="39" t="n">
        <x:f>IF($E25="","",$E25*MAX(Supuestos!$B$17-Supuestos!$B$29,0))</x:f>
        <x:v>8.7</x:v>
      </x:c>
      <x:c r="AZ25" s="39" t="n">
        <x:f>IF($E25="","",$E25*MAX(Supuestos!$B$17-Supuestos!$B$29,0))</x:f>
        <x:v>8.7</x:v>
      </x:c>
      <x:c r="BA25" s="39" t="n">
        <x:f>IF($E25="","",$E25*MAX(Supuestos!$B$17-Supuestos!$B$29,0))</x:f>
        <x:v>8.7</x:v>
      </x:c>
      <x:c r="BB25" s="39" t="n">
        <x:f>IF($E25="","",$E25*MAX(Supuestos!$B$17-Supuestos!$B$29,0))</x:f>
        <x:v>8.7</x:v>
      </x:c>
      <x:c r="BC25" s="39" t="n">
        <x:f>IF($E25="","",$E25*MAX(Supuestos!$B$17-Supuestos!$B$29,0))</x:f>
        <x:v>8.7</x:v>
      </x:c>
      <x:c r="BD25" s="39" t="n">
        <x:f>IF($E25="","",$E25*MAX(Supuestos!$B$17-Supuestos!$B$29,0))</x:f>
        <x:v>8.7</x:v>
      </x:c>
      <x:c r="BE25" s="39" t="n">
        <x:f>IF($E25="","",$E25*MAX(Supuestos!$B$17-Supuestos!$B$29,0))</x:f>
        <x:v>8.7</x:v>
      </x:c>
      <x:c r="BF25" s="39" t="n">
        <x:f>IF($E25="","",$E25*MAX(Supuestos!$B$17-Supuestos!$B$29,0))</x:f>
        <x:v>8.7</x:v>
      </x:c>
      <x:c r="BG25" s="39" t="n">
        <x:f>IF($E25="","",$E25*MAX(Supuestos!$B$17-Supuestos!$B$29,0))</x:f>
        <x:v>8.7</x:v>
      </x:c>
      <x:c r="BH25" s="39" t="n">
        <x:f>IF($E25="","",$E25*MAX(Supuestos!$B$17-Supuestos!$B$29,0))</x:f>
        <x:v>8.7</x:v>
      </x:c>
      <x:c r="BI25" s="39" t="n">
        <x:f>IF($E25="","",$E25*MAX(Supuestos!$B$17-Supuestos!$B$29,0))</x:f>
        <x:v>8.7</x:v>
      </x:c>
      <x:c r="BJ25" s="39" t="n">
        <x:f>IF($E25="","",$E25*MAX(Supuestos!$B$17-Supuestos!$B$29,0))</x:f>
        <x:v>8.7</x:v>
      </x:c>
      <x:c r="BK25" s="39" t="n">
        <x:f>IF($E25="","",$E25*MAX(Supuestos!$B$17-Supuestos!$B$29,0))</x:f>
        <x:v>8.7</x:v>
      </x:c>
      <x:c r="BL25" s="39" t="n">
        <x:f>IF($E25="","",$E25*MAX(Supuestos!$B$17-Supuestos!$B$29,0))</x:f>
        <x:v>8.7</x:v>
      </x:c>
      <x:c r="BM25" s="39" t="n">
        <x:f>IF($E25="","",$E25*MAX(Supuestos!$B$17-Supuestos!$B$29,0))</x:f>
        <x:v>8.7</x:v>
      </x:c>
      <x:c r="BN25" s="39" t="n">
        <x:f>IF($E25="","",$E25*MAX(Supuestos!$B$17-Supuestos!$B$29,0))</x:f>
        <x:v>8.7</x:v>
      </x:c>
      <x:c r="BO25" s="47" t="n">
        <x:f>IF(COUNT(G25:BN25)=0,"",SUM(G25:BN25))</x:f>
        <x:v>521.9999999999997</x:v>
      </x:c>
    </x:row>
    <x:row r="26">
      <x:c r="A26" s="16" t="str">
        <x:v>USA-08</x:v>
      </x:c>
      <x:c r="B26" s="17" t="str">
        <x:v>East US</x:v>
      </x:c>
      <x:c r="C26" s="17" t="str">
        <x:v>Logs y monitoreo</x:v>
      </x:c>
      <x:c r="D26" s="17" t="str">
        <x:v>GB</x:v>
      </x:c>
      <x:c r="E26" s="38" t="n">
        <x:f>'Fuentes y Cotizaciones'!F26</x:f>
        <x:v>0.5</x:v>
      </x:c>
      <x:c r="F26" s="17" t="str">
        <x:v>Ingesta mensual Basic Logs</x:v>
      </x:c>
      <x:c r="G26" s="39" t="n">
        <x:f>IF($E26="","",$E26*Supuestos!$B$18)</x:f>
        <x:v>25</x:v>
      </x:c>
      <x:c r="H26" s="39" t="n">
        <x:f>IF($E26="","",$E26*Supuestos!$B$18)</x:f>
        <x:v>25</x:v>
      </x:c>
      <x:c r="I26" s="39" t="n">
        <x:f>IF($E26="","",$E26*Supuestos!$B$18)</x:f>
        <x:v>25</x:v>
      </x:c>
      <x:c r="J26" s="39" t="n">
        <x:f>IF($E26="","",$E26*Supuestos!$B$18)</x:f>
        <x:v>25</x:v>
      </x:c>
      <x:c r="K26" s="39" t="n">
        <x:f>IF($E26="","",$E26*Supuestos!$B$18)</x:f>
        <x:v>25</x:v>
      </x:c>
      <x:c r="L26" s="39" t="n">
        <x:f>IF($E26="","",$E26*Supuestos!$B$18)</x:f>
        <x:v>25</x:v>
      </x:c>
      <x:c r="M26" s="39" t="n">
        <x:f>IF($E26="","",$E26*Supuestos!$B$18)</x:f>
        <x:v>25</x:v>
      </x:c>
      <x:c r="N26" s="39" t="n">
        <x:f>IF($E26="","",$E26*Supuestos!$B$18)</x:f>
        <x:v>25</x:v>
      </x:c>
      <x:c r="O26" s="39" t="n">
        <x:f>IF($E26="","",$E26*Supuestos!$B$18)</x:f>
        <x:v>25</x:v>
      </x:c>
      <x:c r="P26" s="39" t="n">
        <x:f>IF($E26="","",$E26*Supuestos!$B$18)</x:f>
        <x:v>25</x:v>
      </x:c>
      <x:c r="Q26" s="39" t="n">
        <x:f>IF($E26="","",$E26*Supuestos!$B$18)</x:f>
        <x:v>25</x:v>
      </x:c>
      <x:c r="R26" s="39" t="n">
        <x:f>IF($E26="","",$E26*Supuestos!$B$18)</x:f>
        <x:v>25</x:v>
      </x:c>
      <x:c r="S26" s="39" t="n">
        <x:f>IF($E26="","",$E26*Supuestos!$B$18)</x:f>
        <x:v>25</x:v>
      </x:c>
      <x:c r="T26" s="39" t="n">
        <x:f>IF($E26="","",$E26*Supuestos!$B$18)</x:f>
        <x:v>25</x:v>
      </x:c>
      <x:c r="U26" s="39" t="n">
        <x:f>IF($E26="","",$E26*Supuestos!$B$18)</x:f>
        <x:v>25</x:v>
      </x:c>
      <x:c r="V26" s="39" t="n">
        <x:f>IF($E26="","",$E26*Supuestos!$B$18)</x:f>
        <x:v>25</x:v>
      </x:c>
      <x:c r="W26" s="39" t="n">
        <x:f>IF($E26="","",$E26*Supuestos!$B$18)</x:f>
        <x:v>25</x:v>
      </x:c>
      <x:c r="X26" s="39" t="n">
        <x:f>IF($E26="","",$E26*Supuestos!$B$18)</x:f>
        <x:v>25</x:v>
      </x:c>
      <x:c r="Y26" s="39" t="n">
        <x:f>IF($E26="","",$E26*Supuestos!$B$18)</x:f>
        <x:v>25</x:v>
      </x:c>
      <x:c r="Z26" s="39" t="n">
        <x:f>IF($E26="","",$E26*Supuestos!$B$18)</x:f>
        <x:v>25</x:v>
      </x:c>
      <x:c r="AA26" s="39" t="n">
        <x:f>IF($E26="","",$E26*Supuestos!$B$18)</x:f>
        <x:v>25</x:v>
      </x:c>
      <x:c r="AB26" s="39" t="n">
        <x:f>IF($E26="","",$E26*Supuestos!$B$18)</x:f>
        <x:v>25</x:v>
      </x:c>
      <x:c r="AC26" s="39" t="n">
        <x:f>IF($E26="","",$E26*Supuestos!$B$18)</x:f>
        <x:v>25</x:v>
      </x:c>
      <x:c r="AD26" s="39" t="n">
        <x:f>IF($E26="","",$E26*Supuestos!$B$18)</x:f>
        <x:v>25</x:v>
      </x:c>
      <x:c r="AE26" s="39" t="n">
        <x:f>IF($E26="","",$E26*Supuestos!$B$18)</x:f>
        <x:v>25</x:v>
      </x:c>
      <x:c r="AF26" s="39" t="n">
        <x:f>IF($E26="","",$E26*Supuestos!$B$18)</x:f>
        <x:v>25</x:v>
      </x:c>
      <x:c r="AG26" s="39" t="n">
        <x:f>IF($E26="","",$E26*Supuestos!$B$18)</x:f>
        <x:v>25</x:v>
      </x:c>
      <x:c r="AH26" s="39" t="n">
        <x:f>IF($E26="","",$E26*Supuestos!$B$18)</x:f>
        <x:v>25</x:v>
      </x:c>
      <x:c r="AI26" s="39" t="n">
        <x:f>IF($E26="","",$E26*Supuestos!$B$18)</x:f>
        <x:v>25</x:v>
      </x:c>
      <x:c r="AJ26" s="39" t="n">
        <x:f>IF($E26="","",$E26*Supuestos!$B$18)</x:f>
        <x:v>25</x:v>
      </x:c>
      <x:c r="AK26" s="39" t="n">
        <x:f>IF($E26="","",$E26*Supuestos!$B$18)</x:f>
        <x:v>25</x:v>
      </x:c>
      <x:c r="AL26" s="39" t="n">
        <x:f>IF($E26="","",$E26*Supuestos!$B$18)</x:f>
        <x:v>25</x:v>
      </x:c>
      <x:c r="AM26" s="39" t="n">
        <x:f>IF($E26="","",$E26*Supuestos!$B$18)</x:f>
        <x:v>25</x:v>
      </x:c>
      <x:c r="AN26" s="39" t="n">
        <x:f>IF($E26="","",$E26*Supuestos!$B$18)</x:f>
        <x:v>25</x:v>
      </x:c>
      <x:c r="AO26" s="39" t="n">
        <x:f>IF($E26="","",$E26*Supuestos!$B$18)</x:f>
        <x:v>25</x:v>
      </x:c>
      <x:c r="AP26" s="39" t="n">
        <x:f>IF($E26="","",$E26*Supuestos!$B$18)</x:f>
        <x:v>25</x:v>
      </x:c>
      <x:c r="AQ26" s="39" t="n">
        <x:f>IF($E26="","",$E26*Supuestos!$B$18)</x:f>
        <x:v>25</x:v>
      </x:c>
      <x:c r="AR26" s="39" t="n">
        <x:f>IF($E26="","",$E26*Supuestos!$B$18)</x:f>
        <x:v>25</x:v>
      </x:c>
      <x:c r="AS26" s="39" t="n">
        <x:f>IF($E26="","",$E26*Supuestos!$B$18)</x:f>
        <x:v>25</x:v>
      </x:c>
      <x:c r="AT26" s="39" t="n">
        <x:f>IF($E26="","",$E26*Supuestos!$B$18)</x:f>
        <x:v>25</x:v>
      </x:c>
      <x:c r="AU26" s="39" t="n">
        <x:f>IF($E26="","",$E26*Supuestos!$B$18)</x:f>
        <x:v>25</x:v>
      </x:c>
      <x:c r="AV26" s="39" t="n">
        <x:f>IF($E26="","",$E26*Supuestos!$B$18)</x:f>
        <x:v>25</x:v>
      </x:c>
      <x:c r="AW26" s="39" t="n">
        <x:f>IF($E26="","",$E26*Supuestos!$B$18)</x:f>
        <x:v>25</x:v>
      </x:c>
      <x:c r="AX26" s="39" t="n">
        <x:f>IF($E26="","",$E26*Supuestos!$B$18)</x:f>
        <x:v>25</x:v>
      </x:c>
      <x:c r="AY26" s="39" t="n">
        <x:f>IF($E26="","",$E26*Supuestos!$B$18)</x:f>
        <x:v>25</x:v>
      </x:c>
      <x:c r="AZ26" s="39" t="n">
        <x:f>IF($E26="","",$E26*Supuestos!$B$18)</x:f>
        <x:v>25</x:v>
      </x:c>
      <x:c r="BA26" s="39" t="n">
        <x:f>IF($E26="","",$E26*Supuestos!$B$18)</x:f>
        <x:v>25</x:v>
      </x:c>
      <x:c r="BB26" s="39" t="n">
        <x:f>IF($E26="","",$E26*Supuestos!$B$18)</x:f>
        <x:v>25</x:v>
      </x:c>
      <x:c r="BC26" s="39" t="n">
        <x:f>IF($E26="","",$E26*Supuestos!$B$18)</x:f>
        <x:v>25</x:v>
      </x:c>
      <x:c r="BD26" s="39" t="n">
        <x:f>IF($E26="","",$E26*Supuestos!$B$18)</x:f>
        <x:v>25</x:v>
      </x:c>
      <x:c r="BE26" s="39" t="n">
        <x:f>IF($E26="","",$E26*Supuestos!$B$18)</x:f>
        <x:v>25</x:v>
      </x:c>
      <x:c r="BF26" s="39" t="n">
        <x:f>IF($E26="","",$E26*Supuestos!$B$18)</x:f>
        <x:v>25</x:v>
      </x:c>
      <x:c r="BG26" s="39" t="n">
        <x:f>IF($E26="","",$E26*Supuestos!$B$18)</x:f>
        <x:v>25</x:v>
      </x:c>
      <x:c r="BH26" s="39" t="n">
        <x:f>IF($E26="","",$E26*Supuestos!$B$18)</x:f>
        <x:v>25</x:v>
      </x:c>
      <x:c r="BI26" s="39" t="n">
        <x:f>IF($E26="","",$E26*Supuestos!$B$18)</x:f>
        <x:v>25</x:v>
      </x:c>
      <x:c r="BJ26" s="39" t="n">
        <x:f>IF($E26="","",$E26*Supuestos!$B$18)</x:f>
        <x:v>25</x:v>
      </x:c>
      <x:c r="BK26" s="39" t="n">
        <x:f>IF($E26="","",$E26*Supuestos!$B$18)</x:f>
        <x:v>25</x:v>
      </x:c>
      <x:c r="BL26" s="39" t="n">
        <x:f>IF($E26="","",$E26*Supuestos!$B$18)</x:f>
        <x:v>25</x:v>
      </x:c>
      <x:c r="BM26" s="39" t="n">
        <x:f>IF($E26="","",$E26*Supuestos!$B$18)</x:f>
        <x:v>25</x:v>
      </x:c>
      <x:c r="BN26" s="39" t="n">
        <x:f>IF($E26="","",$E26*Supuestos!$B$18)</x:f>
        <x:v>25</x:v>
      </x:c>
      <x:c r="BO26" s="47" t="n">
        <x:f>IF(COUNT(G26:BN26)=0,"",SUM(G26:BN26))</x:f>
        <x:v>1500</x:v>
      </x:c>
    </x:row>
    <x:row r="27">
      <x:c r="A27" s="16" t="str">
        <x:v>USA-09</x:v>
      </x:c>
      <x:c r="B27" s="17" t="str">
        <x:v>East US</x:v>
      </x:c>
      <x:c r="C27" s="17" t="str">
        <x:v>Backup automático excedente</x:v>
      </x:c>
      <x:c r="D27" s="17" t="str">
        <x:v>GiB-mes</x:v>
      </x:c>
      <x:c r="E27" s="38" t="n">
        <x:f>'Fuentes y Cotizaciones'!F27</x:f>
        <x:v>0.095</x:v>
      </x:c>
      <x:c r="F27" s="17" t="str">
        <x:v>Excedente sobre 100% del storage provisionado</x:v>
      </x:c>
      <x:c r="G27" s="39" t="n">
        <x:f>IF($E27="","",$E27*Supuestos!$B$27)</x:f>
        <x:v>0</x:v>
      </x:c>
      <x:c r="H27" s="39" t="n">
        <x:f>IF($E27="","",$E27*Supuestos!$B$27)</x:f>
        <x:v>0</x:v>
      </x:c>
      <x:c r="I27" s="39" t="n">
        <x:f>IF($E27="","",$E27*Supuestos!$B$27)</x:f>
        <x:v>0</x:v>
      </x:c>
      <x:c r="J27" s="39" t="n">
        <x:f>IF($E27="","",$E27*Supuestos!$B$27)</x:f>
        <x:v>0</x:v>
      </x:c>
      <x:c r="K27" s="39" t="n">
        <x:f>IF($E27="","",$E27*Supuestos!$B$27)</x:f>
        <x:v>0</x:v>
      </x:c>
      <x:c r="L27" s="39" t="n">
        <x:f>IF($E27="","",$E27*Supuestos!$B$27)</x:f>
        <x:v>0</x:v>
      </x:c>
      <x:c r="M27" s="39" t="n">
        <x:f>IF($E27="","",$E27*Supuestos!$B$27)</x:f>
        <x:v>0</x:v>
      </x:c>
      <x:c r="N27" s="39" t="n">
        <x:f>IF($E27="","",$E27*Supuestos!$B$27)</x:f>
        <x:v>0</x:v>
      </x:c>
      <x:c r="O27" s="39" t="n">
        <x:f>IF($E27="","",$E27*Supuestos!$B$27)</x:f>
        <x:v>0</x:v>
      </x:c>
      <x:c r="P27" s="39" t="n">
        <x:f>IF($E27="","",$E27*Supuestos!$B$27)</x:f>
        <x:v>0</x:v>
      </x:c>
      <x:c r="Q27" s="39" t="n">
        <x:f>IF($E27="","",$E27*Supuestos!$B$27)</x:f>
        <x:v>0</x:v>
      </x:c>
      <x:c r="R27" s="39" t="n">
        <x:f>IF($E27="","",$E27*Supuestos!$B$27)</x:f>
        <x:v>0</x:v>
      </x:c>
      <x:c r="S27" s="39" t="n">
        <x:f>IF($E27="","",$E27*Supuestos!$B$27)</x:f>
        <x:v>0</x:v>
      </x:c>
      <x:c r="T27" s="39" t="n">
        <x:f>IF($E27="","",$E27*Supuestos!$B$27)</x:f>
        <x:v>0</x:v>
      </x:c>
      <x:c r="U27" s="39" t="n">
        <x:f>IF($E27="","",$E27*Supuestos!$B$27)</x:f>
        <x:v>0</x:v>
      </x:c>
      <x:c r="V27" s="39" t="n">
        <x:f>IF($E27="","",$E27*Supuestos!$B$27)</x:f>
        <x:v>0</x:v>
      </x:c>
      <x:c r="W27" s="39" t="n">
        <x:f>IF($E27="","",$E27*Supuestos!$B$27)</x:f>
        <x:v>0</x:v>
      </x:c>
      <x:c r="X27" s="39" t="n">
        <x:f>IF($E27="","",$E27*Supuestos!$B$27)</x:f>
        <x:v>0</x:v>
      </x:c>
      <x:c r="Y27" s="39" t="n">
        <x:f>IF($E27="","",$E27*Supuestos!$B$27)</x:f>
        <x:v>0</x:v>
      </x:c>
      <x:c r="Z27" s="39" t="n">
        <x:f>IF($E27="","",$E27*Supuestos!$B$27)</x:f>
        <x:v>0</x:v>
      </x:c>
      <x:c r="AA27" s="39" t="n">
        <x:f>IF($E27="","",$E27*Supuestos!$B$27)</x:f>
        <x:v>0</x:v>
      </x:c>
      <x:c r="AB27" s="39" t="n">
        <x:f>IF($E27="","",$E27*Supuestos!$B$27)</x:f>
        <x:v>0</x:v>
      </x:c>
      <x:c r="AC27" s="39" t="n">
        <x:f>IF($E27="","",$E27*Supuestos!$B$27)</x:f>
        <x:v>0</x:v>
      </x:c>
      <x:c r="AD27" s="39" t="n">
        <x:f>IF($E27="","",$E27*Supuestos!$B$27)</x:f>
        <x:v>0</x:v>
      </x:c>
      <x:c r="AE27" s="39" t="n">
        <x:f>IF($E27="","",$E27*Supuestos!$B$27)</x:f>
        <x:v>0</x:v>
      </x:c>
      <x:c r="AF27" s="39" t="n">
        <x:f>IF($E27="","",$E27*Supuestos!$B$27)</x:f>
        <x:v>0</x:v>
      </x:c>
      <x:c r="AG27" s="39" t="n">
        <x:f>IF($E27="","",$E27*Supuestos!$B$27)</x:f>
        <x:v>0</x:v>
      </x:c>
      <x:c r="AH27" s="39" t="n">
        <x:f>IF($E27="","",$E27*Supuestos!$B$27)</x:f>
        <x:v>0</x:v>
      </x:c>
      <x:c r="AI27" s="39" t="n">
        <x:f>IF($E27="","",$E27*Supuestos!$B$27)</x:f>
        <x:v>0</x:v>
      </x:c>
      <x:c r="AJ27" s="39" t="n">
        <x:f>IF($E27="","",$E27*Supuestos!$B$27)</x:f>
        <x:v>0</x:v>
      </x:c>
      <x:c r="AK27" s="39" t="n">
        <x:f>IF($E27="","",$E27*Supuestos!$B$27)</x:f>
        <x:v>0</x:v>
      </x:c>
      <x:c r="AL27" s="39" t="n">
        <x:f>IF($E27="","",$E27*Supuestos!$B$27)</x:f>
        <x:v>0</x:v>
      </x:c>
      <x:c r="AM27" s="39" t="n">
        <x:f>IF($E27="","",$E27*Supuestos!$B$27)</x:f>
        <x:v>0</x:v>
      </x:c>
      <x:c r="AN27" s="39" t="n">
        <x:f>IF($E27="","",$E27*Supuestos!$B$27)</x:f>
        <x:v>0</x:v>
      </x:c>
      <x:c r="AO27" s="39" t="n">
        <x:f>IF($E27="","",$E27*Supuestos!$B$27)</x:f>
        <x:v>0</x:v>
      </x:c>
      <x:c r="AP27" s="39" t="n">
        <x:f>IF($E27="","",$E27*Supuestos!$B$27)</x:f>
        <x:v>0</x:v>
      </x:c>
      <x:c r="AQ27" s="39" t="n">
        <x:f>IF($E27="","",$E27*Supuestos!$B$27)</x:f>
        <x:v>0</x:v>
      </x:c>
      <x:c r="AR27" s="39" t="n">
        <x:f>IF($E27="","",$E27*Supuestos!$B$27)</x:f>
        <x:v>0</x:v>
      </x:c>
      <x:c r="AS27" s="39" t="n">
        <x:f>IF($E27="","",$E27*Supuestos!$B$27)</x:f>
        <x:v>0</x:v>
      </x:c>
      <x:c r="AT27" s="39" t="n">
        <x:f>IF($E27="","",$E27*Supuestos!$B$27)</x:f>
        <x:v>0</x:v>
      </x:c>
      <x:c r="AU27" s="39" t="n">
        <x:f>IF($E27="","",$E27*Supuestos!$B$27)</x:f>
        <x:v>0</x:v>
      </x:c>
      <x:c r="AV27" s="39" t="n">
        <x:f>IF($E27="","",$E27*Supuestos!$B$27)</x:f>
        <x:v>0</x:v>
      </x:c>
      <x:c r="AW27" s="39" t="n">
        <x:f>IF($E27="","",$E27*Supuestos!$B$27)</x:f>
        <x:v>0</x:v>
      </x:c>
      <x:c r="AX27" s="39" t="n">
        <x:f>IF($E27="","",$E27*Supuestos!$B$27)</x:f>
        <x:v>0</x:v>
      </x:c>
      <x:c r="AY27" s="39" t="n">
        <x:f>IF($E27="","",$E27*Supuestos!$B$27)</x:f>
        <x:v>0</x:v>
      </x:c>
      <x:c r="AZ27" s="39" t="n">
        <x:f>IF($E27="","",$E27*Supuestos!$B$27)</x:f>
        <x:v>0</x:v>
      </x:c>
      <x:c r="BA27" s="39" t="n">
        <x:f>IF($E27="","",$E27*Supuestos!$B$27)</x:f>
        <x:v>0</x:v>
      </x:c>
      <x:c r="BB27" s="39" t="n">
        <x:f>IF($E27="","",$E27*Supuestos!$B$27)</x:f>
        <x:v>0</x:v>
      </x:c>
      <x:c r="BC27" s="39" t="n">
        <x:f>IF($E27="","",$E27*Supuestos!$B$27)</x:f>
        <x:v>0</x:v>
      </x:c>
      <x:c r="BD27" s="39" t="n">
        <x:f>IF($E27="","",$E27*Supuestos!$B$27)</x:f>
        <x:v>0</x:v>
      </x:c>
      <x:c r="BE27" s="39" t="n">
        <x:f>IF($E27="","",$E27*Supuestos!$B$27)</x:f>
        <x:v>0</x:v>
      </x:c>
      <x:c r="BF27" s="39" t="n">
        <x:f>IF($E27="","",$E27*Supuestos!$B$27)</x:f>
        <x:v>0</x:v>
      </x:c>
      <x:c r="BG27" s="39" t="n">
        <x:f>IF($E27="","",$E27*Supuestos!$B$27)</x:f>
        <x:v>0</x:v>
      </x:c>
      <x:c r="BH27" s="39" t="n">
        <x:f>IF($E27="","",$E27*Supuestos!$B$27)</x:f>
        <x:v>0</x:v>
      </x:c>
      <x:c r="BI27" s="39" t="n">
        <x:f>IF($E27="","",$E27*Supuestos!$B$27)</x:f>
        <x:v>0</x:v>
      </x:c>
      <x:c r="BJ27" s="39" t="n">
        <x:f>IF($E27="","",$E27*Supuestos!$B$27)</x:f>
        <x:v>0</x:v>
      </x:c>
      <x:c r="BK27" s="39" t="n">
        <x:f>IF($E27="","",$E27*Supuestos!$B$27)</x:f>
        <x:v>0</x:v>
      </x:c>
      <x:c r="BL27" s="39" t="n">
        <x:f>IF($E27="","",$E27*Supuestos!$B$27)</x:f>
        <x:v>0</x:v>
      </x:c>
      <x:c r="BM27" s="39" t="n">
        <x:f>IF($E27="","",$E27*Supuestos!$B$27)</x:f>
        <x:v>0</x:v>
      </x:c>
      <x:c r="BN27" s="39" t="n">
        <x:f>IF($E27="","",$E27*Supuestos!$B$27)</x:f>
        <x:v>0</x:v>
      </x:c>
      <x:c r="BO27" s="47" t="n">
        <x:f>IF(COUNT(G27:BN27)=0,"",SUM(G27:BN27))</x:f>
        <x:v>0</x:v>
      </x:c>
    </x:row>
    <x:row r="28">
      <x:c r="A28" s="16" t="str">
        <x:v>USA-10</x:v>
      </x:c>
      <x:c r="B28" s="17" t="str">
        <x:v>East US</x:v>
      </x:c>
      <x:c r="C28" s="17" t="str">
        <x:v>CPU activa no producción</x:v>
      </x:c>
      <x:c r="D28" s="17" t="str">
        <x:v>vCPU-hora</x:v>
      </x:c>
      <x:c r="E28" s="38" t="n">
        <x:f>'Fuentes y Cotizaciones'!F28</x:f>
        <x:v>0.0864</x:v>
      </x:c>
      <x:c r="F28" s="17" t="str">
        <x:v>Franquicia remanente tras producción</x:v>
      </x:c>
      <x:c r="G28" s="39" t="n">
        <x:f>IF($E28="","",$E28*MAX(Supuestos!$B$19*Supuestos!$B$20-MAX(Supuestos!$B$23-Supuestos!$B$8*Supuestos!$B$11,0),0))</x:f>
        <x:v>11.4048</x:v>
      </x:c>
      <x:c r="H28" s="39" t="n">
        <x:f>IF($E28="","",$E28*MAX(Supuestos!$B$19*Supuestos!$B$20-MAX(Supuestos!$B$23-Supuestos!$B$8*Supuestos!$B$11,0),0))</x:f>
        <x:v>11.4048</x:v>
      </x:c>
      <x:c r="I28" s="39" t="n">
        <x:f>IF($E28="","",$E28*MAX(Supuestos!$B$19*Supuestos!$B$20-MAX(Supuestos!$B$23-Supuestos!$B$8*Supuestos!$B$11,0),0))</x:f>
        <x:v>11.4048</x:v>
      </x:c>
      <x:c r="J28" s="39" t="n">
        <x:f>IF($E28="","",$E28*MAX(Supuestos!$B$19*Supuestos!$B$20-MAX(Supuestos!$B$23-Supuestos!$B$8*Supuestos!$B$11,0),0))</x:f>
        <x:v>11.4048</x:v>
      </x:c>
      <x:c r="K28" s="39" t="n">
        <x:f>IF($E28="","",$E28*MAX(Supuestos!$B$19*Supuestos!$B$20-MAX(Supuestos!$B$23-Supuestos!$B$8*Supuestos!$B$11,0),0))</x:f>
        <x:v>11.4048</x:v>
      </x:c>
      <x:c r="L28" s="39" t="n">
        <x:f>IF($E28="","",$E28*MAX(Supuestos!$B$19*Supuestos!$B$20-MAX(Supuestos!$B$23-Supuestos!$B$8*Supuestos!$B$11,0),0))</x:f>
        <x:v>11.4048</x:v>
      </x:c>
      <x:c r="M28" s="39" t="n">
        <x:f>IF($E28="","",$E28*MAX(Supuestos!$B$19*Supuestos!$B$20-MAX(Supuestos!$B$23-Supuestos!$B$8*Supuestos!$B$11,0),0))</x:f>
        <x:v>11.4048</x:v>
      </x:c>
      <x:c r="N28" s="39" t="n">
        <x:f>IF($E28="","",$E28*MAX(Supuestos!$B$19*Supuestos!$B$20-MAX(Supuestos!$B$23-Supuestos!$B$8*Supuestos!$B$11,0),0))</x:f>
        <x:v>11.4048</x:v>
      </x:c>
      <x:c r="O28" s="39" t="n">
        <x:f>IF($E28="","",$E28*MAX(Supuestos!$B$19*Supuestos!$B$20-MAX(Supuestos!$B$23-Supuestos!$B$8*Supuestos!$B$11,0),0))</x:f>
        <x:v>11.4048</x:v>
      </x:c>
      <x:c r="P28" s="39" t="n">
        <x:f>IF($E28="","",$E28*MAX(Supuestos!$B$19*Supuestos!$B$20-MAX(Supuestos!$B$23-Supuestos!$B$8*Supuestos!$B$11,0),0))</x:f>
        <x:v>11.4048</x:v>
      </x:c>
      <x:c r="Q28" s="39" t="n">
        <x:f>IF($E28="","",$E28*MAX(Supuestos!$B$19*Supuestos!$B$20-MAX(Supuestos!$B$23-Supuestos!$B$8*Supuestos!$B$11,0),0))</x:f>
        <x:v>11.4048</x:v>
      </x:c>
      <x:c r="R28" s="39" t="n">
        <x:f>IF($E28="","",$E28*MAX(Supuestos!$B$19*Supuestos!$B$20-MAX(Supuestos!$B$23-Supuestos!$B$8*Supuestos!$B$11,0),0))</x:f>
        <x:v>11.4048</x:v>
      </x:c>
      <x:c r="S28" s="39" t="n">
        <x:f>IF($E28="","",$E28*MAX(Supuestos!$B$19*Supuestos!$B$20-MAX(Supuestos!$B$23-Supuestos!$B$8*Supuestos!$B$11,0),0))</x:f>
        <x:v>11.4048</x:v>
      </x:c>
      <x:c r="T28" s="39" t="n">
        <x:f>IF($E28="","",$E28*MAX(Supuestos!$B$19*Supuestos!$B$20-MAX(Supuestos!$B$23-Supuestos!$B$8*Supuestos!$B$11,0),0))</x:f>
        <x:v>11.4048</x:v>
      </x:c>
      <x:c r="U28" s="39" t="n">
        <x:f>IF($E28="","",$E28*MAX(Supuestos!$B$19*Supuestos!$B$20-MAX(Supuestos!$B$23-Supuestos!$B$8*Supuestos!$B$11,0),0))</x:f>
        <x:v>11.4048</x:v>
      </x:c>
      <x:c r="V28" s="39" t="n">
        <x:f>IF($E28="","",$E28*MAX(Supuestos!$B$19*Supuestos!$B$20-MAX(Supuestos!$B$23-Supuestos!$B$8*Supuestos!$B$11,0),0))</x:f>
        <x:v>11.4048</x:v>
      </x:c>
      <x:c r="W28" s="39" t="n">
        <x:f>IF($E28="","",$E28*MAX(Supuestos!$B$19*Supuestos!$B$20-MAX(Supuestos!$B$23-Supuestos!$B$8*Supuestos!$B$11,0),0))</x:f>
        <x:v>11.4048</x:v>
      </x:c>
      <x:c r="X28" s="39" t="n">
        <x:f>IF($E28="","",$E28*MAX(Supuestos!$B$19*Supuestos!$B$20-MAX(Supuestos!$B$23-Supuestos!$B$8*Supuestos!$B$11,0),0))</x:f>
        <x:v>11.4048</x:v>
      </x:c>
      <x:c r="Y28" s="39" t="n">
        <x:f>IF($E28="","",$E28*MAX(Supuestos!$B$19*Supuestos!$B$20-MAX(Supuestos!$B$23-Supuestos!$B$8*Supuestos!$B$11,0),0))</x:f>
        <x:v>11.4048</x:v>
      </x:c>
      <x:c r="Z28" s="39" t="n">
        <x:f>IF($E28="","",$E28*MAX(Supuestos!$B$19*Supuestos!$B$20-MAX(Supuestos!$B$23-Supuestos!$B$8*Supuestos!$B$11,0),0))</x:f>
        <x:v>11.4048</x:v>
      </x:c>
      <x:c r="AA28" s="39" t="n">
        <x:f>IF($E28="","",$E28*MAX(Supuestos!$B$19*Supuestos!$B$20-MAX(Supuestos!$B$23-Supuestos!$B$8*Supuestos!$B$11,0),0))</x:f>
        <x:v>11.4048</x:v>
      </x:c>
      <x:c r="AB28" s="39" t="n">
        <x:f>IF($E28="","",$E28*MAX(Supuestos!$B$19*Supuestos!$B$20-MAX(Supuestos!$B$23-Supuestos!$B$8*Supuestos!$B$11,0),0))</x:f>
        <x:v>11.4048</x:v>
      </x:c>
      <x:c r="AC28" s="39" t="n">
        <x:f>IF($E28="","",$E28*MAX(Supuestos!$B$19*Supuestos!$B$20-MAX(Supuestos!$B$23-Supuestos!$B$8*Supuestos!$B$11,0),0))</x:f>
        <x:v>11.4048</x:v>
      </x:c>
      <x:c r="AD28" s="39" t="n">
        <x:f>IF($E28="","",$E28*MAX(Supuestos!$B$19*Supuestos!$B$20-MAX(Supuestos!$B$23-Supuestos!$B$8*Supuestos!$B$11,0),0))</x:f>
        <x:v>11.4048</x:v>
      </x:c>
      <x:c r="AE28" s="39" t="n">
        <x:f>IF($E28="","",$E28*MAX(Supuestos!$B$19*Supuestos!$B$20-MAX(Supuestos!$B$23-Supuestos!$B$8*Supuestos!$B$11,0),0))</x:f>
        <x:v>11.4048</x:v>
      </x:c>
      <x:c r="AF28" s="39" t="n">
        <x:f>IF($E28="","",$E28*MAX(Supuestos!$B$19*Supuestos!$B$20-MAX(Supuestos!$B$23-Supuestos!$B$8*Supuestos!$B$11,0),0))</x:f>
        <x:v>11.4048</x:v>
      </x:c>
      <x:c r="AG28" s="39" t="n">
        <x:f>IF($E28="","",$E28*MAX(Supuestos!$B$19*Supuestos!$B$20-MAX(Supuestos!$B$23-Supuestos!$B$8*Supuestos!$B$11,0),0))</x:f>
        <x:v>11.4048</x:v>
      </x:c>
      <x:c r="AH28" s="39" t="n">
        <x:f>IF($E28="","",$E28*MAX(Supuestos!$B$19*Supuestos!$B$20-MAX(Supuestos!$B$23-Supuestos!$B$8*Supuestos!$B$11,0),0))</x:f>
        <x:v>11.4048</x:v>
      </x:c>
      <x:c r="AI28" s="39" t="n">
        <x:f>IF($E28="","",$E28*MAX(Supuestos!$B$19*Supuestos!$B$20-MAX(Supuestos!$B$23-Supuestos!$B$8*Supuestos!$B$11,0),0))</x:f>
        <x:v>11.4048</x:v>
      </x:c>
      <x:c r="AJ28" s="39" t="n">
        <x:f>IF($E28="","",$E28*MAX(Supuestos!$B$19*Supuestos!$B$20-MAX(Supuestos!$B$23-Supuestos!$B$8*Supuestos!$B$11,0),0))</x:f>
        <x:v>11.4048</x:v>
      </x:c>
      <x:c r="AK28" s="39" t="n">
        <x:f>IF($E28="","",$E28*MAX(Supuestos!$B$19*Supuestos!$B$20-MAX(Supuestos!$B$23-Supuestos!$B$8*Supuestos!$B$11,0),0))</x:f>
        <x:v>11.4048</x:v>
      </x:c>
      <x:c r="AL28" s="39" t="n">
        <x:f>IF($E28="","",$E28*MAX(Supuestos!$B$19*Supuestos!$B$20-MAX(Supuestos!$B$23-Supuestos!$B$8*Supuestos!$B$11,0),0))</x:f>
        <x:v>11.4048</x:v>
      </x:c>
      <x:c r="AM28" s="39" t="n">
        <x:f>IF($E28="","",$E28*MAX(Supuestos!$B$19*Supuestos!$B$20-MAX(Supuestos!$B$23-Supuestos!$B$8*Supuestos!$B$11,0),0))</x:f>
        <x:v>11.4048</x:v>
      </x:c>
      <x:c r="AN28" s="39" t="n">
        <x:f>IF($E28="","",$E28*MAX(Supuestos!$B$19*Supuestos!$B$20-MAX(Supuestos!$B$23-Supuestos!$B$8*Supuestos!$B$11,0),0))</x:f>
        <x:v>11.4048</x:v>
      </x:c>
      <x:c r="AO28" s="39" t="n">
        <x:f>IF($E28="","",$E28*MAX(Supuestos!$B$19*Supuestos!$B$20-MAX(Supuestos!$B$23-Supuestos!$B$8*Supuestos!$B$11,0),0))</x:f>
        <x:v>11.4048</x:v>
      </x:c>
      <x:c r="AP28" s="39" t="n">
        <x:f>IF($E28="","",$E28*MAX(Supuestos!$B$19*Supuestos!$B$20-MAX(Supuestos!$B$23-Supuestos!$B$8*Supuestos!$B$11,0),0))</x:f>
        <x:v>11.4048</x:v>
      </x:c>
      <x:c r="AQ28" s="39" t="n">
        <x:f>IF($E28="","",$E28*MAX(Supuestos!$B$19*Supuestos!$B$20-MAX(Supuestos!$B$23-Supuestos!$B$8*Supuestos!$B$11,0),0))</x:f>
        <x:v>11.4048</x:v>
      </x:c>
      <x:c r="AR28" s="39" t="n">
        <x:f>IF($E28="","",$E28*MAX(Supuestos!$B$19*Supuestos!$B$20-MAX(Supuestos!$B$23-Supuestos!$B$8*Supuestos!$B$11,0),0))</x:f>
        <x:v>11.4048</x:v>
      </x:c>
      <x:c r="AS28" s="39" t="n">
        <x:f>IF($E28="","",$E28*MAX(Supuestos!$B$19*Supuestos!$B$20-MAX(Supuestos!$B$23-Supuestos!$B$8*Supuestos!$B$11,0),0))</x:f>
        <x:v>11.4048</x:v>
      </x:c>
      <x:c r="AT28" s="39" t="n">
        <x:f>IF($E28="","",$E28*MAX(Supuestos!$B$19*Supuestos!$B$20-MAX(Supuestos!$B$23-Supuestos!$B$8*Supuestos!$B$11,0),0))</x:f>
        <x:v>11.4048</x:v>
      </x:c>
      <x:c r="AU28" s="39" t="n">
        <x:f>IF($E28="","",$E28*MAX(Supuestos!$B$19*Supuestos!$B$20-MAX(Supuestos!$B$23-Supuestos!$B$8*Supuestos!$B$11,0),0))</x:f>
        <x:v>11.4048</x:v>
      </x:c>
      <x:c r="AV28" s="39" t="n">
        <x:f>IF($E28="","",$E28*MAX(Supuestos!$B$19*Supuestos!$B$20-MAX(Supuestos!$B$23-Supuestos!$B$8*Supuestos!$B$11,0),0))</x:f>
        <x:v>11.4048</x:v>
      </x:c>
      <x:c r="AW28" s="39" t="n">
        <x:f>IF($E28="","",$E28*MAX(Supuestos!$B$19*Supuestos!$B$20-MAX(Supuestos!$B$23-Supuestos!$B$8*Supuestos!$B$11,0),0))</x:f>
        <x:v>11.4048</x:v>
      </x:c>
      <x:c r="AX28" s="39" t="n">
        <x:f>IF($E28="","",$E28*MAX(Supuestos!$B$19*Supuestos!$B$20-MAX(Supuestos!$B$23-Supuestos!$B$8*Supuestos!$B$11,0),0))</x:f>
        <x:v>11.4048</x:v>
      </x:c>
      <x:c r="AY28" s="39" t="n">
        <x:f>IF($E28="","",$E28*MAX(Supuestos!$B$19*Supuestos!$B$20-MAX(Supuestos!$B$23-Supuestos!$B$8*Supuestos!$B$11,0),0))</x:f>
        <x:v>11.4048</x:v>
      </x:c>
      <x:c r="AZ28" s="39" t="n">
        <x:f>IF($E28="","",$E28*MAX(Supuestos!$B$19*Supuestos!$B$20-MAX(Supuestos!$B$23-Supuestos!$B$8*Supuestos!$B$11,0),0))</x:f>
        <x:v>11.4048</x:v>
      </x:c>
      <x:c r="BA28" s="39" t="n">
        <x:f>IF($E28="","",$E28*MAX(Supuestos!$B$19*Supuestos!$B$20-MAX(Supuestos!$B$23-Supuestos!$B$8*Supuestos!$B$11,0),0))</x:f>
        <x:v>11.4048</x:v>
      </x:c>
      <x:c r="BB28" s="39" t="n">
        <x:f>IF($E28="","",$E28*MAX(Supuestos!$B$19*Supuestos!$B$20-MAX(Supuestos!$B$23-Supuestos!$B$8*Supuestos!$B$11,0),0))</x:f>
        <x:v>11.4048</x:v>
      </x:c>
      <x:c r="BC28" s="39" t="n">
        <x:f>IF($E28="","",$E28*MAX(Supuestos!$B$19*Supuestos!$B$20-MAX(Supuestos!$B$23-Supuestos!$B$8*Supuestos!$B$11,0),0))</x:f>
        <x:v>11.4048</x:v>
      </x:c>
      <x:c r="BD28" s="39" t="n">
        <x:f>IF($E28="","",$E28*MAX(Supuestos!$B$19*Supuestos!$B$20-MAX(Supuestos!$B$23-Supuestos!$B$8*Supuestos!$B$11,0),0))</x:f>
        <x:v>11.4048</x:v>
      </x:c>
      <x:c r="BE28" s="39" t="n">
        <x:f>IF($E28="","",$E28*MAX(Supuestos!$B$19*Supuestos!$B$20-MAX(Supuestos!$B$23-Supuestos!$B$8*Supuestos!$B$11,0),0))</x:f>
        <x:v>11.4048</x:v>
      </x:c>
      <x:c r="BF28" s="39" t="n">
        <x:f>IF($E28="","",$E28*MAX(Supuestos!$B$19*Supuestos!$B$20-MAX(Supuestos!$B$23-Supuestos!$B$8*Supuestos!$B$11,0),0))</x:f>
        <x:v>11.4048</x:v>
      </x:c>
      <x:c r="BG28" s="39" t="n">
        <x:f>IF($E28="","",$E28*MAX(Supuestos!$B$19*Supuestos!$B$20-MAX(Supuestos!$B$23-Supuestos!$B$8*Supuestos!$B$11,0),0))</x:f>
        <x:v>11.4048</x:v>
      </x:c>
      <x:c r="BH28" s="39" t="n">
        <x:f>IF($E28="","",$E28*MAX(Supuestos!$B$19*Supuestos!$B$20-MAX(Supuestos!$B$23-Supuestos!$B$8*Supuestos!$B$11,0),0))</x:f>
        <x:v>11.4048</x:v>
      </x:c>
      <x:c r="BI28" s="39" t="n">
        <x:f>IF($E28="","",$E28*MAX(Supuestos!$B$19*Supuestos!$B$20-MAX(Supuestos!$B$23-Supuestos!$B$8*Supuestos!$B$11,0),0))</x:f>
        <x:v>11.4048</x:v>
      </x:c>
      <x:c r="BJ28" s="39" t="n">
        <x:f>IF($E28="","",$E28*MAX(Supuestos!$B$19*Supuestos!$B$20-MAX(Supuestos!$B$23-Supuestos!$B$8*Supuestos!$B$11,0),0))</x:f>
        <x:v>11.4048</x:v>
      </x:c>
      <x:c r="BK28" s="39" t="n">
        <x:f>IF($E28="","",$E28*MAX(Supuestos!$B$19*Supuestos!$B$20-MAX(Supuestos!$B$23-Supuestos!$B$8*Supuestos!$B$11,0),0))</x:f>
        <x:v>11.4048</x:v>
      </x:c>
      <x:c r="BL28" s="39" t="n">
        <x:f>IF($E28="","",$E28*MAX(Supuestos!$B$19*Supuestos!$B$20-MAX(Supuestos!$B$23-Supuestos!$B$8*Supuestos!$B$11,0),0))</x:f>
        <x:v>11.4048</x:v>
      </x:c>
      <x:c r="BM28" s="39" t="n">
        <x:f>IF($E28="","",$E28*MAX(Supuestos!$B$19*Supuestos!$B$20-MAX(Supuestos!$B$23-Supuestos!$B$8*Supuestos!$B$11,0),0))</x:f>
        <x:v>11.4048</x:v>
      </x:c>
      <x:c r="BN28" s="39" t="n">
        <x:f>IF($E28="","",$E28*MAX(Supuestos!$B$19*Supuestos!$B$20-MAX(Supuestos!$B$23-Supuestos!$B$8*Supuestos!$B$11,0),0))</x:f>
        <x:v>11.4048</x:v>
      </x:c>
      <x:c r="BO28" s="47" t="n">
        <x:f>IF(COUNT(G28:BN28)=0,"",SUM(G28:BN28))</x:f>
        <x:v>684.2880000000007</x:v>
      </x:c>
    </x:row>
    <x:row r="29">
      <x:c r="A29" s="16" t="str">
        <x:v>USA-11</x:v>
      </x:c>
      <x:c r="B29" s="17" t="str">
        <x:v>East US</x:v>
      </x:c>
      <x:c r="C29" s="17" t="str">
        <x:v>Memoria activa no producción</x:v>
      </x:c>
      <x:c r="D29" s="17" t="str">
        <x:v>GiB-hora</x:v>
      </x:c>
      <x:c r="E29" s="38" t="n">
        <x:f>'Fuentes y Cotizaciones'!F29</x:f>
        <x:v>0.0108</x:v>
      </x:c>
      <x:c r="F29" s="17" t="str">
        <x:v>Franquicia remanente tras producción</x:v>
      </x:c>
      <x:c r="G29" s="39" t="n">
        <x:f>IF($E29="","",$E29*MAX(Supuestos!$B$19*Supuestos!$B$21-MAX(Supuestos!$B$24-Supuestos!$B$8*Supuestos!$B$12,0),0))</x:f>
        <x:v>2.8512</x:v>
      </x:c>
      <x:c r="H29" s="39" t="n">
        <x:f>IF($E29="","",$E29*MAX(Supuestos!$B$19*Supuestos!$B$21-MAX(Supuestos!$B$24-Supuestos!$B$8*Supuestos!$B$12,0),0))</x:f>
        <x:v>2.8512</x:v>
      </x:c>
      <x:c r="I29" s="39" t="n">
        <x:f>IF($E29="","",$E29*MAX(Supuestos!$B$19*Supuestos!$B$21-MAX(Supuestos!$B$24-Supuestos!$B$8*Supuestos!$B$12,0),0))</x:f>
        <x:v>2.8512</x:v>
      </x:c>
      <x:c r="J29" s="39" t="n">
        <x:f>IF($E29="","",$E29*MAX(Supuestos!$B$19*Supuestos!$B$21-MAX(Supuestos!$B$24-Supuestos!$B$8*Supuestos!$B$12,0),0))</x:f>
        <x:v>2.8512</x:v>
      </x:c>
      <x:c r="K29" s="39" t="n">
        <x:f>IF($E29="","",$E29*MAX(Supuestos!$B$19*Supuestos!$B$21-MAX(Supuestos!$B$24-Supuestos!$B$8*Supuestos!$B$12,0),0))</x:f>
        <x:v>2.8512</x:v>
      </x:c>
      <x:c r="L29" s="39" t="n">
        <x:f>IF($E29="","",$E29*MAX(Supuestos!$B$19*Supuestos!$B$21-MAX(Supuestos!$B$24-Supuestos!$B$8*Supuestos!$B$12,0),0))</x:f>
        <x:v>2.8512</x:v>
      </x:c>
      <x:c r="M29" s="39" t="n">
        <x:f>IF($E29="","",$E29*MAX(Supuestos!$B$19*Supuestos!$B$21-MAX(Supuestos!$B$24-Supuestos!$B$8*Supuestos!$B$12,0),0))</x:f>
        <x:v>2.8512</x:v>
      </x:c>
      <x:c r="N29" s="39" t="n">
        <x:f>IF($E29="","",$E29*MAX(Supuestos!$B$19*Supuestos!$B$21-MAX(Supuestos!$B$24-Supuestos!$B$8*Supuestos!$B$12,0),0))</x:f>
        <x:v>2.8512</x:v>
      </x:c>
      <x:c r="O29" s="39" t="n">
        <x:f>IF($E29="","",$E29*MAX(Supuestos!$B$19*Supuestos!$B$21-MAX(Supuestos!$B$24-Supuestos!$B$8*Supuestos!$B$12,0),0))</x:f>
        <x:v>2.8512</x:v>
      </x:c>
      <x:c r="P29" s="39" t="n">
        <x:f>IF($E29="","",$E29*MAX(Supuestos!$B$19*Supuestos!$B$21-MAX(Supuestos!$B$24-Supuestos!$B$8*Supuestos!$B$12,0),0))</x:f>
        <x:v>2.8512</x:v>
      </x:c>
      <x:c r="Q29" s="39" t="n">
        <x:f>IF($E29="","",$E29*MAX(Supuestos!$B$19*Supuestos!$B$21-MAX(Supuestos!$B$24-Supuestos!$B$8*Supuestos!$B$12,0),0))</x:f>
        <x:v>2.8512</x:v>
      </x:c>
      <x:c r="R29" s="39" t="n">
        <x:f>IF($E29="","",$E29*MAX(Supuestos!$B$19*Supuestos!$B$21-MAX(Supuestos!$B$24-Supuestos!$B$8*Supuestos!$B$12,0),0))</x:f>
        <x:v>2.8512</x:v>
      </x:c>
      <x:c r="S29" s="39" t="n">
        <x:f>IF($E29="","",$E29*MAX(Supuestos!$B$19*Supuestos!$B$21-MAX(Supuestos!$B$24-Supuestos!$B$8*Supuestos!$B$12,0),0))</x:f>
        <x:v>2.8512</x:v>
      </x:c>
      <x:c r="T29" s="39" t="n">
        <x:f>IF($E29="","",$E29*MAX(Supuestos!$B$19*Supuestos!$B$21-MAX(Supuestos!$B$24-Supuestos!$B$8*Supuestos!$B$12,0),0))</x:f>
        <x:v>2.8512</x:v>
      </x:c>
      <x:c r="U29" s="39" t="n">
        <x:f>IF($E29="","",$E29*MAX(Supuestos!$B$19*Supuestos!$B$21-MAX(Supuestos!$B$24-Supuestos!$B$8*Supuestos!$B$12,0),0))</x:f>
        <x:v>2.8512</x:v>
      </x:c>
      <x:c r="V29" s="39" t="n">
        <x:f>IF($E29="","",$E29*MAX(Supuestos!$B$19*Supuestos!$B$21-MAX(Supuestos!$B$24-Supuestos!$B$8*Supuestos!$B$12,0),0))</x:f>
        <x:v>2.8512</x:v>
      </x:c>
      <x:c r="W29" s="39" t="n">
        <x:f>IF($E29="","",$E29*MAX(Supuestos!$B$19*Supuestos!$B$21-MAX(Supuestos!$B$24-Supuestos!$B$8*Supuestos!$B$12,0),0))</x:f>
        <x:v>2.8512</x:v>
      </x:c>
      <x:c r="X29" s="39" t="n">
        <x:f>IF($E29="","",$E29*MAX(Supuestos!$B$19*Supuestos!$B$21-MAX(Supuestos!$B$24-Supuestos!$B$8*Supuestos!$B$12,0),0))</x:f>
        <x:v>2.8512</x:v>
      </x:c>
      <x:c r="Y29" s="39" t="n">
        <x:f>IF($E29="","",$E29*MAX(Supuestos!$B$19*Supuestos!$B$21-MAX(Supuestos!$B$24-Supuestos!$B$8*Supuestos!$B$12,0),0))</x:f>
        <x:v>2.8512</x:v>
      </x:c>
      <x:c r="Z29" s="39" t="n">
        <x:f>IF($E29="","",$E29*MAX(Supuestos!$B$19*Supuestos!$B$21-MAX(Supuestos!$B$24-Supuestos!$B$8*Supuestos!$B$12,0),0))</x:f>
        <x:v>2.8512</x:v>
      </x:c>
      <x:c r="AA29" s="39" t="n">
        <x:f>IF($E29="","",$E29*MAX(Supuestos!$B$19*Supuestos!$B$21-MAX(Supuestos!$B$24-Supuestos!$B$8*Supuestos!$B$12,0),0))</x:f>
        <x:v>2.8512</x:v>
      </x:c>
      <x:c r="AB29" s="39" t="n">
        <x:f>IF($E29="","",$E29*MAX(Supuestos!$B$19*Supuestos!$B$21-MAX(Supuestos!$B$24-Supuestos!$B$8*Supuestos!$B$12,0),0))</x:f>
        <x:v>2.8512</x:v>
      </x:c>
      <x:c r="AC29" s="39" t="n">
        <x:f>IF($E29="","",$E29*MAX(Supuestos!$B$19*Supuestos!$B$21-MAX(Supuestos!$B$24-Supuestos!$B$8*Supuestos!$B$12,0),0))</x:f>
        <x:v>2.8512</x:v>
      </x:c>
      <x:c r="AD29" s="39" t="n">
        <x:f>IF($E29="","",$E29*MAX(Supuestos!$B$19*Supuestos!$B$21-MAX(Supuestos!$B$24-Supuestos!$B$8*Supuestos!$B$12,0),0))</x:f>
        <x:v>2.8512</x:v>
      </x:c>
      <x:c r="AE29" s="39" t="n">
        <x:f>IF($E29="","",$E29*MAX(Supuestos!$B$19*Supuestos!$B$21-MAX(Supuestos!$B$24-Supuestos!$B$8*Supuestos!$B$12,0),0))</x:f>
        <x:v>2.8512</x:v>
      </x:c>
      <x:c r="AF29" s="39" t="n">
        <x:f>IF($E29="","",$E29*MAX(Supuestos!$B$19*Supuestos!$B$21-MAX(Supuestos!$B$24-Supuestos!$B$8*Supuestos!$B$12,0),0))</x:f>
        <x:v>2.8512</x:v>
      </x:c>
      <x:c r="AG29" s="39" t="n">
        <x:f>IF($E29="","",$E29*MAX(Supuestos!$B$19*Supuestos!$B$21-MAX(Supuestos!$B$24-Supuestos!$B$8*Supuestos!$B$12,0),0))</x:f>
        <x:v>2.8512</x:v>
      </x:c>
      <x:c r="AH29" s="39" t="n">
        <x:f>IF($E29="","",$E29*MAX(Supuestos!$B$19*Supuestos!$B$21-MAX(Supuestos!$B$24-Supuestos!$B$8*Supuestos!$B$12,0),0))</x:f>
        <x:v>2.8512</x:v>
      </x:c>
      <x:c r="AI29" s="39" t="n">
        <x:f>IF($E29="","",$E29*MAX(Supuestos!$B$19*Supuestos!$B$21-MAX(Supuestos!$B$24-Supuestos!$B$8*Supuestos!$B$12,0),0))</x:f>
        <x:v>2.8512</x:v>
      </x:c>
      <x:c r="AJ29" s="39" t="n">
        <x:f>IF($E29="","",$E29*MAX(Supuestos!$B$19*Supuestos!$B$21-MAX(Supuestos!$B$24-Supuestos!$B$8*Supuestos!$B$12,0),0))</x:f>
        <x:v>2.8512</x:v>
      </x:c>
      <x:c r="AK29" s="39" t="n">
        <x:f>IF($E29="","",$E29*MAX(Supuestos!$B$19*Supuestos!$B$21-MAX(Supuestos!$B$24-Supuestos!$B$8*Supuestos!$B$12,0),0))</x:f>
        <x:v>2.8512</x:v>
      </x:c>
      <x:c r="AL29" s="39" t="n">
        <x:f>IF($E29="","",$E29*MAX(Supuestos!$B$19*Supuestos!$B$21-MAX(Supuestos!$B$24-Supuestos!$B$8*Supuestos!$B$12,0),0))</x:f>
        <x:v>2.8512</x:v>
      </x:c>
      <x:c r="AM29" s="39" t="n">
        <x:f>IF($E29="","",$E29*MAX(Supuestos!$B$19*Supuestos!$B$21-MAX(Supuestos!$B$24-Supuestos!$B$8*Supuestos!$B$12,0),0))</x:f>
        <x:v>2.8512</x:v>
      </x:c>
      <x:c r="AN29" s="39" t="n">
        <x:f>IF($E29="","",$E29*MAX(Supuestos!$B$19*Supuestos!$B$21-MAX(Supuestos!$B$24-Supuestos!$B$8*Supuestos!$B$12,0),0))</x:f>
        <x:v>2.8512</x:v>
      </x:c>
      <x:c r="AO29" s="39" t="n">
        <x:f>IF($E29="","",$E29*MAX(Supuestos!$B$19*Supuestos!$B$21-MAX(Supuestos!$B$24-Supuestos!$B$8*Supuestos!$B$12,0),0))</x:f>
        <x:v>2.8512</x:v>
      </x:c>
      <x:c r="AP29" s="39" t="n">
        <x:f>IF($E29="","",$E29*MAX(Supuestos!$B$19*Supuestos!$B$21-MAX(Supuestos!$B$24-Supuestos!$B$8*Supuestos!$B$12,0),0))</x:f>
        <x:v>2.8512</x:v>
      </x:c>
      <x:c r="AQ29" s="39" t="n">
        <x:f>IF($E29="","",$E29*MAX(Supuestos!$B$19*Supuestos!$B$21-MAX(Supuestos!$B$24-Supuestos!$B$8*Supuestos!$B$12,0),0))</x:f>
        <x:v>2.8512</x:v>
      </x:c>
      <x:c r="AR29" s="39" t="n">
        <x:f>IF($E29="","",$E29*MAX(Supuestos!$B$19*Supuestos!$B$21-MAX(Supuestos!$B$24-Supuestos!$B$8*Supuestos!$B$12,0),0))</x:f>
        <x:v>2.8512</x:v>
      </x:c>
      <x:c r="AS29" s="39" t="n">
        <x:f>IF($E29="","",$E29*MAX(Supuestos!$B$19*Supuestos!$B$21-MAX(Supuestos!$B$24-Supuestos!$B$8*Supuestos!$B$12,0),0))</x:f>
        <x:v>2.8512</x:v>
      </x:c>
      <x:c r="AT29" s="39" t="n">
        <x:f>IF($E29="","",$E29*MAX(Supuestos!$B$19*Supuestos!$B$21-MAX(Supuestos!$B$24-Supuestos!$B$8*Supuestos!$B$12,0),0))</x:f>
        <x:v>2.8512</x:v>
      </x:c>
      <x:c r="AU29" s="39" t="n">
        <x:f>IF($E29="","",$E29*MAX(Supuestos!$B$19*Supuestos!$B$21-MAX(Supuestos!$B$24-Supuestos!$B$8*Supuestos!$B$12,0),0))</x:f>
        <x:v>2.8512</x:v>
      </x:c>
      <x:c r="AV29" s="39" t="n">
        <x:f>IF($E29="","",$E29*MAX(Supuestos!$B$19*Supuestos!$B$21-MAX(Supuestos!$B$24-Supuestos!$B$8*Supuestos!$B$12,0),0))</x:f>
        <x:v>2.8512</x:v>
      </x:c>
      <x:c r="AW29" s="39" t="n">
        <x:f>IF($E29="","",$E29*MAX(Supuestos!$B$19*Supuestos!$B$21-MAX(Supuestos!$B$24-Supuestos!$B$8*Supuestos!$B$12,0),0))</x:f>
        <x:v>2.8512</x:v>
      </x:c>
      <x:c r="AX29" s="39" t="n">
        <x:f>IF($E29="","",$E29*MAX(Supuestos!$B$19*Supuestos!$B$21-MAX(Supuestos!$B$24-Supuestos!$B$8*Supuestos!$B$12,0),0))</x:f>
        <x:v>2.8512</x:v>
      </x:c>
      <x:c r="AY29" s="39" t="n">
        <x:f>IF($E29="","",$E29*MAX(Supuestos!$B$19*Supuestos!$B$21-MAX(Supuestos!$B$24-Supuestos!$B$8*Supuestos!$B$12,0),0))</x:f>
        <x:v>2.8512</x:v>
      </x:c>
      <x:c r="AZ29" s="39" t="n">
        <x:f>IF($E29="","",$E29*MAX(Supuestos!$B$19*Supuestos!$B$21-MAX(Supuestos!$B$24-Supuestos!$B$8*Supuestos!$B$12,0),0))</x:f>
        <x:v>2.8512</x:v>
      </x:c>
      <x:c r="BA29" s="39" t="n">
        <x:f>IF($E29="","",$E29*MAX(Supuestos!$B$19*Supuestos!$B$21-MAX(Supuestos!$B$24-Supuestos!$B$8*Supuestos!$B$12,0),0))</x:f>
        <x:v>2.8512</x:v>
      </x:c>
      <x:c r="BB29" s="39" t="n">
        <x:f>IF($E29="","",$E29*MAX(Supuestos!$B$19*Supuestos!$B$21-MAX(Supuestos!$B$24-Supuestos!$B$8*Supuestos!$B$12,0),0))</x:f>
        <x:v>2.8512</x:v>
      </x:c>
      <x:c r="BC29" s="39" t="n">
        <x:f>IF($E29="","",$E29*MAX(Supuestos!$B$19*Supuestos!$B$21-MAX(Supuestos!$B$24-Supuestos!$B$8*Supuestos!$B$12,0),0))</x:f>
        <x:v>2.8512</x:v>
      </x:c>
      <x:c r="BD29" s="39" t="n">
        <x:f>IF($E29="","",$E29*MAX(Supuestos!$B$19*Supuestos!$B$21-MAX(Supuestos!$B$24-Supuestos!$B$8*Supuestos!$B$12,0),0))</x:f>
        <x:v>2.8512</x:v>
      </x:c>
      <x:c r="BE29" s="39" t="n">
        <x:f>IF($E29="","",$E29*MAX(Supuestos!$B$19*Supuestos!$B$21-MAX(Supuestos!$B$24-Supuestos!$B$8*Supuestos!$B$12,0),0))</x:f>
        <x:v>2.8512</x:v>
      </x:c>
      <x:c r="BF29" s="39" t="n">
        <x:f>IF($E29="","",$E29*MAX(Supuestos!$B$19*Supuestos!$B$21-MAX(Supuestos!$B$24-Supuestos!$B$8*Supuestos!$B$12,0),0))</x:f>
        <x:v>2.8512</x:v>
      </x:c>
      <x:c r="BG29" s="39" t="n">
        <x:f>IF($E29="","",$E29*MAX(Supuestos!$B$19*Supuestos!$B$21-MAX(Supuestos!$B$24-Supuestos!$B$8*Supuestos!$B$12,0),0))</x:f>
        <x:v>2.8512</x:v>
      </x:c>
      <x:c r="BH29" s="39" t="n">
        <x:f>IF($E29="","",$E29*MAX(Supuestos!$B$19*Supuestos!$B$21-MAX(Supuestos!$B$24-Supuestos!$B$8*Supuestos!$B$12,0),0))</x:f>
        <x:v>2.8512</x:v>
      </x:c>
      <x:c r="BI29" s="39" t="n">
        <x:f>IF($E29="","",$E29*MAX(Supuestos!$B$19*Supuestos!$B$21-MAX(Supuestos!$B$24-Supuestos!$B$8*Supuestos!$B$12,0),0))</x:f>
        <x:v>2.8512</x:v>
      </x:c>
      <x:c r="BJ29" s="39" t="n">
        <x:f>IF($E29="","",$E29*MAX(Supuestos!$B$19*Supuestos!$B$21-MAX(Supuestos!$B$24-Supuestos!$B$8*Supuestos!$B$12,0),0))</x:f>
        <x:v>2.8512</x:v>
      </x:c>
      <x:c r="BK29" s="39" t="n">
        <x:f>IF($E29="","",$E29*MAX(Supuestos!$B$19*Supuestos!$B$21-MAX(Supuestos!$B$24-Supuestos!$B$8*Supuestos!$B$12,0),0))</x:f>
        <x:v>2.8512</x:v>
      </x:c>
      <x:c r="BL29" s="39" t="n">
        <x:f>IF($E29="","",$E29*MAX(Supuestos!$B$19*Supuestos!$B$21-MAX(Supuestos!$B$24-Supuestos!$B$8*Supuestos!$B$12,0),0))</x:f>
        <x:v>2.8512</x:v>
      </x:c>
      <x:c r="BM29" s="39" t="n">
        <x:f>IF($E29="","",$E29*MAX(Supuestos!$B$19*Supuestos!$B$21-MAX(Supuestos!$B$24-Supuestos!$B$8*Supuestos!$B$12,0),0))</x:f>
        <x:v>2.8512</x:v>
      </x:c>
      <x:c r="BN29" s="39" t="n">
        <x:f>IF($E29="","",$E29*MAX(Supuestos!$B$19*Supuestos!$B$21-MAX(Supuestos!$B$24-Supuestos!$B$8*Supuestos!$B$12,0),0))</x:f>
        <x:v>2.8512</x:v>
      </x:c>
      <x:c r="BO29" s="47" t="n">
        <x:f>IF(COUNT(G29:BN29)=0,"",SUM(G29:BN29))</x:f>
        <x:v>171.07200000000017</x:v>
      </x:c>
    </x:row>
    <x:row r="30">
      <x:c r="A30" s="19" t="str">
        <x:v>USA-12</x:v>
      </x:c>
      <x:c r="B30" s="21" t="str">
        <x:v>East US</x:v>
      </x:c>
      <x:c r="C30" s="21" t="str">
        <x:v>Solicitudes no producción</x:v>
      </x:c>
      <x:c r="D30" s="21" t="str">
        <x:v>millón de solicitudes</x:v>
      </x:c>
      <x:c r="E30" s="48" t="n">
        <x:f>'Fuentes y Cotizaciones'!F30</x:f>
        <x:v>0.4</x:v>
      </x:c>
      <x:c r="F30" s="21" t="str">
        <x:v>Franquicia remanente tras producción</x:v>
      </x:c>
      <x:c r="G30" s="49" t="n">
        <x:f>IF($E30="","",$E30*MAX(Supuestos!$B$22-MAX(Supuestos!$B$25-Supuestos!$B$13,0),0)/1000000)</x:f>
        <x:v>0</x:v>
      </x:c>
      <x:c r="H30" s="49" t="n">
        <x:f>IF($E30="","",$E30*MAX(Supuestos!$B$22-MAX(Supuestos!$B$25-Supuestos!$B$13,0),0)/1000000)</x:f>
        <x:v>0</x:v>
      </x:c>
      <x:c r="I30" s="49" t="n">
        <x:f>IF($E30="","",$E30*MAX(Supuestos!$B$22-MAX(Supuestos!$B$25-Supuestos!$B$13,0),0)/1000000)</x:f>
        <x:v>0</x:v>
      </x:c>
      <x:c r="J30" s="49" t="n">
        <x:f>IF($E30="","",$E30*MAX(Supuestos!$B$22-MAX(Supuestos!$B$25-Supuestos!$B$13,0),0)/1000000)</x:f>
        <x:v>0</x:v>
      </x:c>
      <x:c r="K30" s="49" t="n">
        <x:f>IF($E30="","",$E30*MAX(Supuestos!$B$22-MAX(Supuestos!$B$25-Supuestos!$B$13,0),0)/1000000)</x:f>
        <x:v>0</x:v>
      </x:c>
      <x:c r="L30" s="49" t="n">
        <x:f>IF($E30="","",$E30*MAX(Supuestos!$B$22-MAX(Supuestos!$B$25-Supuestos!$B$13,0),0)/1000000)</x:f>
        <x:v>0</x:v>
      </x:c>
      <x:c r="M30" s="49" t="n">
        <x:f>IF($E30="","",$E30*MAX(Supuestos!$B$22-MAX(Supuestos!$B$25-Supuestos!$B$13,0),0)/1000000)</x:f>
        <x:v>0</x:v>
      </x:c>
      <x:c r="N30" s="49" t="n">
        <x:f>IF($E30="","",$E30*MAX(Supuestos!$B$22-MAX(Supuestos!$B$25-Supuestos!$B$13,0),0)/1000000)</x:f>
        <x:v>0</x:v>
      </x:c>
      <x:c r="O30" s="49" t="n">
        <x:f>IF($E30="","",$E30*MAX(Supuestos!$B$22-MAX(Supuestos!$B$25-Supuestos!$B$13,0),0)/1000000)</x:f>
        <x:v>0</x:v>
      </x:c>
      <x:c r="P30" s="49" t="n">
        <x:f>IF($E30="","",$E30*MAX(Supuestos!$B$22-MAX(Supuestos!$B$25-Supuestos!$B$13,0),0)/1000000)</x:f>
        <x:v>0</x:v>
      </x:c>
      <x:c r="Q30" s="49" t="n">
        <x:f>IF($E30="","",$E30*MAX(Supuestos!$B$22-MAX(Supuestos!$B$25-Supuestos!$B$13,0),0)/1000000)</x:f>
        <x:v>0</x:v>
      </x:c>
      <x:c r="R30" s="49" t="n">
        <x:f>IF($E30="","",$E30*MAX(Supuestos!$B$22-MAX(Supuestos!$B$25-Supuestos!$B$13,0),0)/1000000)</x:f>
        <x:v>0</x:v>
      </x:c>
      <x:c r="S30" s="49" t="n">
        <x:f>IF($E30="","",$E30*MAX(Supuestos!$B$22-MAX(Supuestos!$B$25-Supuestos!$B$13,0),0)/1000000)</x:f>
        <x:v>0</x:v>
      </x:c>
      <x:c r="T30" s="49" t="n">
        <x:f>IF($E30="","",$E30*MAX(Supuestos!$B$22-MAX(Supuestos!$B$25-Supuestos!$B$13,0),0)/1000000)</x:f>
        <x:v>0</x:v>
      </x:c>
      <x:c r="U30" s="49" t="n">
        <x:f>IF($E30="","",$E30*MAX(Supuestos!$B$22-MAX(Supuestos!$B$25-Supuestos!$B$13,0),0)/1000000)</x:f>
        <x:v>0</x:v>
      </x:c>
      <x:c r="V30" s="49" t="n">
        <x:f>IF($E30="","",$E30*MAX(Supuestos!$B$22-MAX(Supuestos!$B$25-Supuestos!$B$13,0),0)/1000000)</x:f>
        <x:v>0</x:v>
      </x:c>
      <x:c r="W30" s="49" t="n">
        <x:f>IF($E30="","",$E30*MAX(Supuestos!$B$22-MAX(Supuestos!$B$25-Supuestos!$B$13,0),0)/1000000)</x:f>
        <x:v>0</x:v>
      </x:c>
      <x:c r="X30" s="49" t="n">
        <x:f>IF($E30="","",$E30*MAX(Supuestos!$B$22-MAX(Supuestos!$B$25-Supuestos!$B$13,0),0)/1000000)</x:f>
        <x:v>0</x:v>
      </x:c>
      <x:c r="Y30" s="49" t="n">
        <x:f>IF($E30="","",$E30*MAX(Supuestos!$B$22-MAX(Supuestos!$B$25-Supuestos!$B$13,0),0)/1000000)</x:f>
        <x:v>0</x:v>
      </x:c>
      <x:c r="Z30" s="49" t="n">
        <x:f>IF($E30="","",$E30*MAX(Supuestos!$B$22-MAX(Supuestos!$B$25-Supuestos!$B$13,0),0)/1000000)</x:f>
        <x:v>0</x:v>
      </x:c>
      <x:c r="AA30" s="49" t="n">
        <x:f>IF($E30="","",$E30*MAX(Supuestos!$B$22-MAX(Supuestos!$B$25-Supuestos!$B$13,0),0)/1000000)</x:f>
        <x:v>0</x:v>
      </x:c>
      <x:c r="AB30" s="49" t="n">
        <x:f>IF($E30="","",$E30*MAX(Supuestos!$B$22-MAX(Supuestos!$B$25-Supuestos!$B$13,0),0)/1000000)</x:f>
        <x:v>0</x:v>
      </x:c>
      <x:c r="AC30" s="49" t="n">
        <x:f>IF($E30="","",$E30*MAX(Supuestos!$B$22-MAX(Supuestos!$B$25-Supuestos!$B$13,0),0)/1000000)</x:f>
        <x:v>0</x:v>
      </x:c>
      <x:c r="AD30" s="49" t="n">
        <x:f>IF($E30="","",$E30*MAX(Supuestos!$B$22-MAX(Supuestos!$B$25-Supuestos!$B$13,0),0)/1000000)</x:f>
        <x:v>0</x:v>
      </x:c>
      <x:c r="AE30" s="49" t="n">
        <x:f>IF($E30="","",$E30*MAX(Supuestos!$B$22-MAX(Supuestos!$B$25-Supuestos!$B$13,0),0)/1000000)</x:f>
        <x:v>0</x:v>
      </x:c>
      <x:c r="AF30" s="49" t="n">
        <x:f>IF($E30="","",$E30*MAX(Supuestos!$B$22-MAX(Supuestos!$B$25-Supuestos!$B$13,0),0)/1000000)</x:f>
        <x:v>0</x:v>
      </x:c>
      <x:c r="AG30" s="49" t="n">
        <x:f>IF($E30="","",$E30*MAX(Supuestos!$B$22-MAX(Supuestos!$B$25-Supuestos!$B$13,0),0)/1000000)</x:f>
        <x:v>0</x:v>
      </x:c>
      <x:c r="AH30" s="49" t="n">
        <x:f>IF($E30="","",$E30*MAX(Supuestos!$B$22-MAX(Supuestos!$B$25-Supuestos!$B$13,0),0)/1000000)</x:f>
        <x:v>0</x:v>
      </x:c>
      <x:c r="AI30" s="49" t="n">
        <x:f>IF($E30="","",$E30*MAX(Supuestos!$B$22-MAX(Supuestos!$B$25-Supuestos!$B$13,0),0)/1000000)</x:f>
        <x:v>0</x:v>
      </x:c>
      <x:c r="AJ30" s="49" t="n">
        <x:f>IF($E30="","",$E30*MAX(Supuestos!$B$22-MAX(Supuestos!$B$25-Supuestos!$B$13,0),0)/1000000)</x:f>
        <x:v>0</x:v>
      </x:c>
      <x:c r="AK30" s="49" t="n">
        <x:f>IF($E30="","",$E30*MAX(Supuestos!$B$22-MAX(Supuestos!$B$25-Supuestos!$B$13,0),0)/1000000)</x:f>
        <x:v>0</x:v>
      </x:c>
      <x:c r="AL30" s="49" t="n">
        <x:f>IF($E30="","",$E30*MAX(Supuestos!$B$22-MAX(Supuestos!$B$25-Supuestos!$B$13,0),0)/1000000)</x:f>
        <x:v>0</x:v>
      </x:c>
      <x:c r="AM30" s="49" t="n">
        <x:f>IF($E30="","",$E30*MAX(Supuestos!$B$22-MAX(Supuestos!$B$25-Supuestos!$B$13,0),0)/1000000)</x:f>
        <x:v>0</x:v>
      </x:c>
      <x:c r="AN30" s="49" t="n">
        <x:f>IF($E30="","",$E30*MAX(Supuestos!$B$22-MAX(Supuestos!$B$25-Supuestos!$B$13,0),0)/1000000)</x:f>
        <x:v>0</x:v>
      </x:c>
      <x:c r="AO30" s="49" t="n">
        <x:f>IF($E30="","",$E30*MAX(Supuestos!$B$22-MAX(Supuestos!$B$25-Supuestos!$B$13,0),0)/1000000)</x:f>
        <x:v>0</x:v>
      </x:c>
      <x:c r="AP30" s="49" t="n">
        <x:f>IF($E30="","",$E30*MAX(Supuestos!$B$22-MAX(Supuestos!$B$25-Supuestos!$B$13,0),0)/1000000)</x:f>
        <x:v>0</x:v>
      </x:c>
      <x:c r="AQ30" s="49" t="n">
        <x:f>IF($E30="","",$E30*MAX(Supuestos!$B$22-MAX(Supuestos!$B$25-Supuestos!$B$13,0),0)/1000000)</x:f>
        <x:v>0</x:v>
      </x:c>
      <x:c r="AR30" s="49" t="n">
        <x:f>IF($E30="","",$E30*MAX(Supuestos!$B$22-MAX(Supuestos!$B$25-Supuestos!$B$13,0),0)/1000000)</x:f>
        <x:v>0</x:v>
      </x:c>
      <x:c r="AS30" s="49" t="n">
        <x:f>IF($E30="","",$E30*MAX(Supuestos!$B$22-MAX(Supuestos!$B$25-Supuestos!$B$13,0),0)/1000000)</x:f>
        <x:v>0</x:v>
      </x:c>
      <x:c r="AT30" s="49" t="n">
        <x:f>IF($E30="","",$E30*MAX(Supuestos!$B$22-MAX(Supuestos!$B$25-Supuestos!$B$13,0),0)/1000000)</x:f>
        <x:v>0</x:v>
      </x:c>
      <x:c r="AU30" s="49" t="n">
        <x:f>IF($E30="","",$E30*MAX(Supuestos!$B$22-MAX(Supuestos!$B$25-Supuestos!$B$13,0),0)/1000000)</x:f>
        <x:v>0</x:v>
      </x:c>
      <x:c r="AV30" s="49" t="n">
        <x:f>IF($E30="","",$E30*MAX(Supuestos!$B$22-MAX(Supuestos!$B$25-Supuestos!$B$13,0),0)/1000000)</x:f>
        <x:v>0</x:v>
      </x:c>
      <x:c r="AW30" s="49" t="n">
        <x:f>IF($E30="","",$E30*MAX(Supuestos!$B$22-MAX(Supuestos!$B$25-Supuestos!$B$13,0),0)/1000000)</x:f>
        <x:v>0</x:v>
      </x:c>
      <x:c r="AX30" s="49" t="n">
        <x:f>IF($E30="","",$E30*MAX(Supuestos!$B$22-MAX(Supuestos!$B$25-Supuestos!$B$13,0),0)/1000000)</x:f>
        <x:v>0</x:v>
      </x:c>
      <x:c r="AY30" s="49" t="n">
        <x:f>IF($E30="","",$E30*MAX(Supuestos!$B$22-MAX(Supuestos!$B$25-Supuestos!$B$13,0),0)/1000000)</x:f>
        <x:v>0</x:v>
      </x:c>
      <x:c r="AZ30" s="49" t="n">
        <x:f>IF($E30="","",$E30*MAX(Supuestos!$B$22-MAX(Supuestos!$B$25-Supuestos!$B$13,0),0)/1000000)</x:f>
        <x:v>0</x:v>
      </x:c>
      <x:c r="BA30" s="49" t="n">
        <x:f>IF($E30="","",$E30*MAX(Supuestos!$B$22-MAX(Supuestos!$B$25-Supuestos!$B$13,0),0)/1000000)</x:f>
        <x:v>0</x:v>
      </x:c>
      <x:c r="BB30" s="49" t="n">
        <x:f>IF($E30="","",$E30*MAX(Supuestos!$B$22-MAX(Supuestos!$B$25-Supuestos!$B$13,0),0)/1000000)</x:f>
        <x:v>0</x:v>
      </x:c>
      <x:c r="BC30" s="49" t="n">
        <x:f>IF($E30="","",$E30*MAX(Supuestos!$B$22-MAX(Supuestos!$B$25-Supuestos!$B$13,0),0)/1000000)</x:f>
        <x:v>0</x:v>
      </x:c>
      <x:c r="BD30" s="49" t="n">
        <x:f>IF($E30="","",$E30*MAX(Supuestos!$B$22-MAX(Supuestos!$B$25-Supuestos!$B$13,0),0)/1000000)</x:f>
        <x:v>0</x:v>
      </x:c>
      <x:c r="BE30" s="49" t="n">
        <x:f>IF($E30="","",$E30*MAX(Supuestos!$B$22-MAX(Supuestos!$B$25-Supuestos!$B$13,0),0)/1000000)</x:f>
        <x:v>0</x:v>
      </x:c>
      <x:c r="BF30" s="49" t="n">
        <x:f>IF($E30="","",$E30*MAX(Supuestos!$B$22-MAX(Supuestos!$B$25-Supuestos!$B$13,0),0)/1000000)</x:f>
        <x:v>0</x:v>
      </x:c>
      <x:c r="BG30" s="49" t="n">
        <x:f>IF($E30="","",$E30*MAX(Supuestos!$B$22-MAX(Supuestos!$B$25-Supuestos!$B$13,0),0)/1000000)</x:f>
        <x:v>0</x:v>
      </x:c>
      <x:c r="BH30" s="49" t="n">
        <x:f>IF($E30="","",$E30*MAX(Supuestos!$B$22-MAX(Supuestos!$B$25-Supuestos!$B$13,0),0)/1000000)</x:f>
        <x:v>0</x:v>
      </x:c>
      <x:c r="BI30" s="49" t="n">
        <x:f>IF($E30="","",$E30*MAX(Supuestos!$B$22-MAX(Supuestos!$B$25-Supuestos!$B$13,0),0)/1000000)</x:f>
        <x:v>0</x:v>
      </x:c>
      <x:c r="BJ30" s="49" t="n">
        <x:f>IF($E30="","",$E30*MAX(Supuestos!$B$22-MAX(Supuestos!$B$25-Supuestos!$B$13,0),0)/1000000)</x:f>
        <x:v>0</x:v>
      </x:c>
      <x:c r="BK30" s="49" t="n">
        <x:f>IF($E30="","",$E30*MAX(Supuestos!$B$22-MAX(Supuestos!$B$25-Supuestos!$B$13,0),0)/1000000)</x:f>
        <x:v>0</x:v>
      </x:c>
      <x:c r="BL30" s="49" t="n">
        <x:f>IF($E30="","",$E30*MAX(Supuestos!$B$22-MAX(Supuestos!$B$25-Supuestos!$B$13,0),0)/1000000)</x:f>
        <x:v>0</x:v>
      </x:c>
      <x:c r="BM30" s="49" t="n">
        <x:f>IF($E30="","",$E30*MAX(Supuestos!$B$22-MAX(Supuestos!$B$25-Supuestos!$B$13,0),0)/1000000)</x:f>
        <x:v>0</x:v>
      </x:c>
      <x:c r="BN30" s="49" t="n">
        <x:f>IF($E30="","",$E30*MAX(Supuestos!$B$22-MAX(Supuestos!$B$25-Supuestos!$B$13,0),0)/1000000)</x:f>
        <x:v>0</x:v>
      </x:c>
      <x:c r="BO30" s="50" t="n">
        <x:f>IF(COUNT(G30:BN30)=0,"",SUM(G30:BN30))</x:f>
        <x:v>0</x:v>
      </x:c>
    </x:row>
    <x:row r="31">
      <x:c r="A31" s="51" t="str">
        <x:v>SCL-13</x:v>
      </x:c>
      <x:c r="B31" s="51" t="str">
        <x:v>Chile Central</x:v>
      </x:c>
      <x:c r="C31" s="51" t="str">
        <x:v>Operaciones Blob</x:v>
      </x:c>
      <x:c r="D31" s="51" t="str">
        <x:v>operaciones/mes</x:v>
      </x:c>
      <x:c r="E31" s="51" t="n">
        <x:f>'Fuentes y Cotizaciones'!F31</x:f>
        <x:v>0</x:v>
      </x:c>
      <x:c r="F31" s="51" t="str">
        <x:v>No aplica: volumen transaccional no definido</x:v>
      </x:c>
      <x:c r="G31" s="51" t="str">
        <x:f>IF($E31="","",$E31)</x:f>
      </x:c>
      <x:c r="H31" s="51" t="str">
        <x:f>IF($E31="","",$E31)</x:f>
      </x:c>
      <x:c r="I31" s="51" t="str">
        <x:f>IF($E31="","",$E31)</x:f>
      </x:c>
      <x:c r="J31" s="51" t="str">
        <x:f>IF($E31="","",$E31)</x:f>
      </x:c>
      <x:c r="K31" s="51" t="str">
        <x:f>IF($E31="","",$E31)</x:f>
      </x:c>
      <x:c r="L31" s="51" t="str">
        <x:f>IF($E31="","",$E31)</x:f>
      </x:c>
      <x:c r="M31" s="51" t="str">
        <x:f>IF($E31="","",$E31)</x:f>
      </x:c>
      <x:c r="N31" s="51" t="str">
        <x:f>IF($E31="","",$E31)</x:f>
      </x:c>
      <x:c r="O31" s="51" t="str">
        <x:f>IF($E31="","",$E31)</x:f>
      </x:c>
      <x:c r="P31" s="51" t="str">
        <x:f>IF($E31="","",$E31)</x:f>
      </x:c>
      <x:c r="Q31" s="51" t="str">
        <x:f>IF($E31="","",$E31)</x:f>
      </x:c>
      <x:c r="R31" s="51" t="str">
        <x:f>IF($E31="","",$E31)</x:f>
      </x:c>
      <x:c r="S31" s="51" t="str">
        <x:f>IF($E31="","",$E31)</x:f>
      </x:c>
      <x:c r="T31" s="51" t="str">
        <x:f>IF($E31="","",$E31)</x:f>
      </x:c>
      <x:c r="U31" s="51" t="str">
        <x:f>IF($E31="","",$E31)</x:f>
      </x:c>
      <x:c r="V31" s="51" t="str">
        <x:f>IF($E31="","",$E31)</x:f>
      </x:c>
      <x:c r="W31" s="51" t="str">
        <x:f>IF($E31="","",$E31)</x:f>
      </x:c>
      <x:c r="X31" s="51" t="str">
        <x:f>IF($E31="","",$E31)</x:f>
      </x:c>
      <x:c r="Y31" s="51" t="str">
        <x:f>IF($E31="","",$E31)</x:f>
      </x:c>
      <x:c r="Z31" s="51" t="str">
        <x:f>IF($E31="","",$E31)</x:f>
      </x:c>
      <x:c r="AA31" s="51" t="str">
        <x:f>IF($E31="","",$E31)</x:f>
      </x:c>
      <x:c r="AB31" s="51" t="str">
        <x:f>IF($E31="","",$E31)</x:f>
      </x:c>
      <x:c r="AC31" s="51" t="str">
        <x:f>IF($E31="","",$E31)</x:f>
      </x:c>
      <x:c r="AD31" s="51" t="str">
        <x:f>IF($E31="","",$E31)</x:f>
      </x:c>
      <x:c r="AE31" s="51" t="str">
        <x:f>IF($E31="","",$E31)</x:f>
      </x:c>
      <x:c r="AF31" s="51" t="str">
        <x:f>IF($E31="","",$E31)</x:f>
      </x:c>
      <x:c r="AG31" s="51" t="str">
        <x:f>IF($E31="","",$E31)</x:f>
      </x:c>
      <x:c r="AH31" s="51" t="str">
        <x:f>IF($E31="","",$E31)</x:f>
      </x:c>
      <x:c r="AI31" s="51" t="str">
        <x:f>IF($E31="","",$E31)</x:f>
      </x:c>
      <x:c r="AJ31" s="51" t="str">
        <x:f>IF($E31="","",$E31)</x:f>
      </x:c>
      <x:c r="AK31" s="51" t="str">
        <x:f>IF($E31="","",$E31)</x:f>
      </x:c>
      <x:c r="AL31" s="51" t="str">
        <x:f>IF($E31="","",$E31)</x:f>
      </x:c>
      <x:c r="AM31" s="51" t="str">
        <x:f>IF($E31="","",$E31)</x:f>
      </x:c>
      <x:c r="AN31" s="51" t="str">
        <x:f>IF($E31="","",$E31)</x:f>
      </x:c>
      <x:c r="AO31" s="51" t="str">
        <x:f>IF($E31="","",$E31)</x:f>
      </x:c>
      <x:c r="AP31" s="51" t="str">
        <x:f>IF($E31="","",$E31)</x:f>
      </x:c>
      <x:c r="AQ31" s="51" t="str">
        <x:f>IF($E31="","",$E31)</x:f>
      </x:c>
      <x:c r="AR31" s="51" t="str">
        <x:f>IF($E31="","",$E31)</x:f>
      </x:c>
      <x:c r="AS31" s="51" t="str">
        <x:f>IF($E31="","",$E31)</x:f>
      </x:c>
      <x:c r="AT31" s="51" t="str">
        <x:f>IF($E31="","",$E31)</x:f>
      </x:c>
      <x:c r="AU31" s="51" t="str">
        <x:f>IF($E31="","",$E31)</x:f>
      </x:c>
      <x:c r="AV31" s="51" t="str">
        <x:f>IF($E31="","",$E31)</x:f>
      </x:c>
      <x:c r="AW31" s="51" t="str">
        <x:f>IF($E31="","",$E31)</x:f>
      </x:c>
      <x:c r="AX31" s="51" t="str">
        <x:f>IF($E31="","",$E31)</x:f>
      </x:c>
      <x:c r="AY31" s="51" t="str">
        <x:f>IF($E31="","",$E31)</x:f>
      </x:c>
      <x:c r="AZ31" s="51" t="str">
        <x:f>IF($E31="","",$E31)</x:f>
      </x:c>
      <x:c r="BA31" s="51" t="str">
        <x:f>IF($E31="","",$E31)</x:f>
      </x:c>
      <x:c r="BB31" s="51" t="str">
        <x:f>IF($E31="","",$E31)</x:f>
      </x:c>
      <x:c r="BC31" s="51" t="str">
        <x:f>IF($E31="","",$E31)</x:f>
      </x:c>
      <x:c r="BD31" s="51" t="str">
        <x:f>IF($E31="","",$E31)</x:f>
      </x:c>
      <x:c r="BE31" s="51" t="str">
        <x:f>IF($E31="","",$E31)</x:f>
      </x:c>
      <x:c r="BF31" s="51" t="str">
        <x:f>IF($E31="","",$E31)</x:f>
      </x:c>
      <x:c r="BG31" s="51" t="str">
        <x:f>IF($E31="","",$E31)</x:f>
      </x:c>
      <x:c r="BH31" s="51" t="str">
        <x:f>IF($E31="","",$E31)</x:f>
      </x:c>
      <x:c r="BI31" s="51" t="str">
        <x:f>IF($E31="","",$E31)</x:f>
      </x:c>
      <x:c r="BJ31" s="51" t="str">
        <x:f>IF($E31="","",$E31)</x:f>
      </x:c>
      <x:c r="BK31" s="51" t="str">
        <x:f>IF($E31="","",$E31)</x:f>
      </x:c>
      <x:c r="BL31" s="51" t="str">
        <x:f>IF($E31="","",$E31)</x:f>
      </x:c>
      <x:c r="BM31" s="51" t="str">
        <x:f>IF($E31="","",$E31)</x:f>
      </x:c>
      <x:c r="BN31" s="51" t="str">
        <x:f>IF($E31="","",$E31)</x:f>
      </x:c>
      <x:c r="BO31" s="51" t="str">
        <x:f>IF(COUNT(G31:BN31)=0,"",SUM(G31:BN31))</x:f>
      </x:c>
    </x:row>
    <x:row r="32">
      <x:c r="A32" s="83" t="str">
        <x:v>SCL-14</x:v>
      </x:c>
      <x:c r="B32" s="83" t="str">
        <x:v>Chile Central</x:v>
      </x:c>
      <x:c r="C32" s="83" t="str">
        <x:v>Consultas y retención Monitor</x:v>
      </x:c>
      <x:c r="D32" s="83" t="str">
        <x:v>USD/mes</x:v>
      </x:c>
      <x:c r="E32" s="83" t="n">
        <x:f>'Fuentes y Cotizaciones'!F32</x:f>
        <x:v>0</x:v>
      </x:c>
      <x:c r="F32" s="83" t="str">
        <x:v>No aplica: solo ingesta Basic Logs y 30 días</x:v>
      </x:c>
      <x:c r="G32" s="83" t="str">
        <x:f>IF($E32="","",$E32)</x:f>
      </x:c>
      <x:c r="H32" s="83" t="str">
        <x:f>IF($E32="","",$E32)</x:f>
      </x:c>
      <x:c r="I32" s="83" t="str">
        <x:f>IF($E32="","",$E32)</x:f>
      </x:c>
      <x:c r="J32" s="83" t="str">
        <x:f>IF($E32="","",$E32)</x:f>
      </x:c>
      <x:c r="K32" s="83" t="str">
        <x:f>IF($E32="","",$E32)</x:f>
      </x:c>
      <x:c r="L32" s="83" t="str">
        <x:f>IF($E32="","",$E32)</x:f>
      </x:c>
      <x:c r="M32" s="83" t="str">
        <x:f>IF($E32="","",$E32)</x:f>
      </x:c>
      <x:c r="N32" s="83" t="str">
        <x:f>IF($E32="","",$E32)</x:f>
      </x:c>
      <x:c r="O32" s="83" t="str">
        <x:f>IF($E32="","",$E32)</x:f>
      </x:c>
      <x:c r="P32" s="83" t="str">
        <x:f>IF($E32="","",$E32)</x:f>
      </x:c>
      <x:c r="Q32" s="83" t="str">
        <x:f>IF($E32="","",$E32)</x:f>
      </x:c>
      <x:c r="R32" s="83" t="str">
        <x:f>IF($E32="","",$E32)</x:f>
      </x:c>
      <x:c r="S32" s="83" t="str">
        <x:f>IF($E32="","",$E32)</x:f>
      </x:c>
      <x:c r="T32" s="83" t="str">
        <x:f>IF($E32="","",$E32)</x:f>
      </x:c>
      <x:c r="U32" s="83" t="str">
        <x:f>IF($E32="","",$E32)</x:f>
      </x:c>
      <x:c r="V32" s="83" t="str">
        <x:f>IF($E32="","",$E32)</x:f>
      </x:c>
      <x:c r="W32" s="83" t="str">
        <x:f>IF($E32="","",$E32)</x:f>
      </x:c>
      <x:c r="X32" s="83" t="str">
        <x:f>IF($E32="","",$E32)</x:f>
      </x:c>
      <x:c r="Y32" s="83" t="str">
        <x:f>IF($E32="","",$E32)</x:f>
      </x:c>
      <x:c r="Z32" s="83" t="str">
        <x:f>IF($E32="","",$E32)</x:f>
      </x:c>
      <x:c r="AA32" s="83" t="str">
        <x:f>IF($E32="","",$E32)</x:f>
      </x:c>
      <x:c r="AB32" s="83" t="str">
        <x:f>IF($E32="","",$E32)</x:f>
      </x:c>
      <x:c r="AC32" s="83" t="str">
        <x:f>IF($E32="","",$E32)</x:f>
      </x:c>
      <x:c r="AD32" s="83" t="str">
        <x:f>IF($E32="","",$E32)</x:f>
      </x:c>
      <x:c r="AE32" s="83" t="str">
        <x:f>IF($E32="","",$E32)</x:f>
      </x:c>
      <x:c r="AF32" s="83" t="str">
        <x:f>IF($E32="","",$E32)</x:f>
      </x:c>
      <x:c r="AG32" s="83" t="str">
        <x:f>IF($E32="","",$E32)</x:f>
      </x:c>
      <x:c r="AH32" s="83" t="str">
        <x:f>IF($E32="","",$E32)</x:f>
      </x:c>
      <x:c r="AI32" s="83" t="str">
        <x:f>IF($E32="","",$E32)</x:f>
      </x:c>
      <x:c r="AJ32" s="83" t="str">
        <x:f>IF($E32="","",$E32)</x:f>
      </x:c>
      <x:c r="AK32" s="83" t="str">
        <x:f>IF($E32="","",$E32)</x:f>
      </x:c>
      <x:c r="AL32" s="83" t="str">
        <x:f>IF($E32="","",$E32)</x:f>
      </x:c>
      <x:c r="AM32" s="83" t="str">
        <x:f>IF($E32="","",$E32)</x:f>
      </x:c>
      <x:c r="AN32" s="83" t="str">
        <x:f>IF($E32="","",$E32)</x:f>
      </x:c>
      <x:c r="AO32" s="83" t="str">
        <x:f>IF($E32="","",$E32)</x:f>
      </x:c>
      <x:c r="AP32" s="83" t="str">
        <x:f>IF($E32="","",$E32)</x:f>
      </x:c>
      <x:c r="AQ32" s="83" t="str">
        <x:f>IF($E32="","",$E32)</x:f>
      </x:c>
      <x:c r="AR32" s="83" t="str">
        <x:f>IF($E32="","",$E32)</x:f>
      </x:c>
      <x:c r="AS32" s="83" t="str">
        <x:f>IF($E32="","",$E32)</x:f>
      </x:c>
      <x:c r="AT32" s="83" t="str">
        <x:f>IF($E32="","",$E32)</x:f>
      </x:c>
      <x:c r="AU32" s="83" t="str">
        <x:f>IF($E32="","",$E32)</x:f>
      </x:c>
      <x:c r="AV32" s="83" t="str">
        <x:f>IF($E32="","",$E32)</x:f>
      </x:c>
      <x:c r="AW32" s="83" t="str">
        <x:f>IF($E32="","",$E32)</x:f>
      </x:c>
      <x:c r="AX32" s="83" t="str">
        <x:f>IF($E32="","",$E32)</x:f>
      </x:c>
      <x:c r="AY32" s="83" t="str">
        <x:f>IF($E32="","",$E32)</x:f>
      </x:c>
      <x:c r="AZ32" s="83" t="str">
        <x:f>IF($E32="","",$E32)</x:f>
      </x:c>
      <x:c r="BA32" s="83" t="str">
        <x:f>IF($E32="","",$E32)</x:f>
      </x:c>
      <x:c r="BB32" s="83" t="str">
        <x:f>IF($E32="","",$E32)</x:f>
      </x:c>
      <x:c r="BC32" s="83" t="str">
        <x:f>IF($E32="","",$E32)</x:f>
      </x:c>
      <x:c r="BD32" s="83" t="str">
        <x:f>IF($E32="","",$E32)</x:f>
      </x:c>
      <x:c r="BE32" s="83" t="str">
        <x:f>IF($E32="","",$E32)</x:f>
      </x:c>
      <x:c r="BF32" s="83" t="str">
        <x:f>IF($E32="","",$E32)</x:f>
      </x:c>
      <x:c r="BG32" s="83" t="str">
        <x:f>IF($E32="","",$E32)</x:f>
      </x:c>
      <x:c r="BH32" s="83" t="str">
        <x:f>IF($E32="","",$E32)</x:f>
      </x:c>
      <x:c r="BI32" s="83" t="str">
        <x:f>IF($E32="","",$E32)</x:f>
      </x:c>
      <x:c r="BJ32" s="83" t="str">
        <x:f>IF($E32="","",$E32)</x:f>
      </x:c>
      <x:c r="BK32" s="83" t="str">
        <x:f>IF($E32="","",$E32)</x:f>
      </x:c>
      <x:c r="BL32" s="83" t="str">
        <x:f>IF($E32="","",$E32)</x:f>
      </x:c>
      <x:c r="BM32" s="83" t="str">
        <x:f>IF($E32="","",$E32)</x:f>
      </x:c>
      <x:c r="BN32" s="83" t="str">
        <x:f>IF($E32="","",$E32)</x:f>
      </x:c>
      <x:c r="BO32" s="84" t="str">
        <x:f>IF(COUNT(G32:BN32)=0,"",SUM(G32:BN32))</x:f>
      </x:c>
    </x:row>
    <x:row r="33">
      <x:c r="A33" s="26" t="str">
        <x:v>SCL-15</x:v>
      </x:c>
      <x:c r="B33" s="26" t="str">
        <x:v>Chile Central</x:v>
      </x:c>
      <x:c r="C33" s="26" t="str">
        <x:v>Tráfico interzona</x:v>
      </x:c>
      <x:c r="D33" s="26" t="str">
        <x:v>GB</x:v>
      </x:c>
      <x:c r="E33" s="26" t="n">
        <x:f>'Fuentes y Cotizaciones'!F33</x:f>
        <x:v>0</x:v>
      </x:c>
      <x:c r="F33" s="26" t="str">
        <x:v>No aplica: HA desactivada y servicios colocados</x:v>
      </x:c>
      <x:c r="G33" s="26" t="str">
        <x:f>IF($E33="","",$E33)</x:f>
      </x:c>
      <x:c r="H33" s="26" t="str">
        <x:f>IF($E33="","",$E33)</x:f>
      </x:c>
      <x:c r="I33" s="26" t="str">
        <x:f>IF($E33="","",$E33)</x:f>
      </x:c>
      <x:c r="J33" s="26" t="str">
        <x:f>IF($E33="","",$E33)</x:f>
      </x:c>
      <x:c r="K33" s="26" t="str">
        <x:f>IF($E33="","",$E33)</x:f>
      </x:c>
      <x:c r="L33" s="26" t="str">
        <x:f>IF($E33="","",$E33)</x:f>
      </x:c>
      <x:c r="M33" s="26" t="str">
        <x:f>IF($E33="","",$E33)</x:f>
      </x:c>
      <x:c r="N33" s="26" t="str">
        <x:f>IF($E33="","",$E33)</x:f>
      </x:c>
      <x:c r="O33" s="26" t="str">
        <x:f>IF($E33="","",$E33)</x:f>
      </x:c>
      <x:c r="P33" s="26" t="str">
        <x:f>IF($E33="","",$E33)</x:f>
      </x:c>
      <x:c r="Q33" s="26" t="str">
        <x:f>IF($E33="","",$E33)</x:f>
      </x:c>
      <x:c r="R33" s="26" t="str">
        <x:f>IF($E33="","",$E33)</x:f>
      </x:c>
      <x:c r="S33" s="26" t="str">
        <x:f>IF($E33="","",$E33)</x:f>
      </x:c>
      <x:c r="T33" s="26" t="str">
        <x:f>IF($E33="","",$E33)</x:f>
      </x:c>
      <x:c r="U33" s="26" t="str">
        <x:f>IF($E33="","",$E33)</x:f>
      </x:c>
      <x:c r="V33" s="26" t="str">
        <x:f>IF($E33="","",$E33)</x:f>
      </x:c>
      <x:c r="W33" s="26" t="str">
        <x:f>IF($E33="","",$E33)</x:f>
      </x:c>
      <x:c r="X33" s="26" t="str">
        <x:f>IF($E33="","",$E33)</x:f>
      </x:c>
      <x:c r="Y33" s="26" t="str">
        <x:f>IF($E33="","",$E33)</x:f>
      </x:c>
      <x:c r="Z33" s="26" t="str">
        <x:f>IF($E33="","",$E33)</x:f>
      </x:c>
      <x:c r="AA33" s="26" t="str">
        <x:f>IF($E33="","",$E33)</x:f>
      </x:c>
      <x:c r="AB33" s="26" t="str">
        <x:f>IF($E33="","",$E33)</x:f>
      </x:c>
      <x:c r="AC33" s="26" t="str">
        <x:f>IF($E33="","",$E33)</x:f>
      </x:c>
      <x:c r="AD33" s="26" t="str">
        <x:f>IF($E33="","",$E33)</x:f>
      </x:c>
      <x:c r="AE33" s="26" t="str">
        <x:f>IF($E33="","",$E33)</x:f>
      </x:c>
      <x:c r="AF33" s="26" t="str">
        <x:f>IF($E33="","",$E33)</x:f>
      </x:c>
      <x:c r="AG33" s="26" t="str">
        <x:f>IF($E33="","",$E33)</x:f>
      </x:c>
      <x:c r="AH33" s="26" t="str">
        <x:f>IF($E33="","",$E33)</x:f>
      </x:c>
      <x:c r="AI33" s="26" t="str">
        <x:f>IF($E33="","",$E33)</x:f>
      </x:c>
      <x:c r="AJ33" s="26" t="str">
        <x:f>IF($E33="","",$E33)</x:f>
      </x:c>
      <x:c r="AK33" s="26" t="str">
        <x:f>IF($E33="","",$E33)</x:f>
      </x:c>
      <x:c r="AL33" s="26" t="str">
        <x:f>IF($E33="","",$E33)</x:f>
      </x:c>
      <x:c r="AM33" s="26" t="str">
        <x:f>IF($E33="","",$E33)</x:f>
      </x:c>
      <x:c r="AN33" s="26" t="str">
        <x:f>IF($E33="","",$E33)</x:f>
      </x:c>
      <x:c r="AO33" s="26" t="str">
        <x:f>IF($E33="","",$E33)</x:f>
      </x:c>
      <x:c r="AP33" s="26" t="str">
        <x:f>IF($E33="","",$E33)</x:f>
      </x:c>
      <x:c r="AQ33" s="26" t="str">
        <x:f>IF($E33="","",$E33)</x:f>
      </x:c>
      <x:c r="AR33" s="26" t="str">
        <x:f>IF($E33="","",$E33)</x:f>
      </x:c>
      <x:c r="AS33" s="26" t="str">
        <x:f>IF($E33="","",$E33)</x:f>
      </x:c>
      <x:c r="AT33" s="26" t="str">
        <x:f>IF($E33="","",$E33)</x:f>
      </x:c>
      <x:c r="AU33" s="26" t="str">
        <x:f>IF($E33="","",$E33)</x:f>
      </x:c>
      <x:c r="AV33" s="26" t="str">
        <x:f>IF($E33="","",$E33)</x:f>
      </x:c>
      <x:c r="AW33" s="26" t="str">
        <x:f>IF($E33="","",$E33)</x:f>
      </x:c>
      <x:c r="AX33" s="26" t="str">
        <x:f>IF($E33="","",$E33)</x:f>
      </x:c>
      <x:c r="AY33" s="26" t="str">
        <x:f>IF($E33="","",$E33)</x:f>
      </x:c>
      <x:c r="AZ33" s="26" t="str">
        <x:f>IF($E33="","",$E33)</x:f>
      </x:c>
      <x:c r="BA33" s="26" t="str">
        <x:f>IF($E33="","",$E33)</x:f>
      </x:c>
      <x:c r="BB33" s="26" t="str">
        <x:f>IF($E33="","",$E33)</x:f>
      </x:c>
      <x:c r="BC33" s="26" t="str">
        <x:f>IF($E33="","",$E33)</x:f>
      </x:c>
      <x:c r="BD33" s="26" t="str">
        <x:f>IF($E33="","",$E33)</x:f>
      </x:c>
      <x:c r="BE33" s="26" t="str">
        <x:f>IF($E33="","",$E33)</x:f>
      </x:c>
      <x:c r="BF33" s="26" t="str">
        <x:f>IF($E33="","",$E33)</x:f>
      </x:c>
      <x:c r="BG33" s="26" t="str">
        <x:f>IF($E33="","",$E33)</x:f>
      </x:c>
      <x:c r="BH33" s="26" t="str">
        <x:f>IF($E33="","",$E33)</x:f>
      </x:c>
      <x:c r="BI33" s="26" t="str">
        <x:f>IF($E33="","",$E33)</x:f>
      </x:c>
      <x:c r="BJ33" s="26" t="str">
        <x:f>IF($E33="","",$E33)</x:f>
      </x:c>
      <x:c r="BK33" s="26" t="str">
        <x:f>IF($E33="","",$E33)</x:f>
      </x:c>
      <x:c r="BL33" s="26" t="str">
        <x:f>IF($E33="","",$E33)</x:f>
      </x:c>
      <x:c r="BM33" s="26" t="str">
        <x:f>IF($E33="","",$E33)</x:f>
      </x:c>
      <x:c r="BN33" s="26" t="str">
        <x:f>IF($E33="","",$E33)</x:f>
      </x:c>
      <x:c r="BO33" s="85" t="str">
        <x:f>IF(COUNT(G33:BN33)=0,"",SUM(G33:BN33))</x:f>
      </x:c>
    </x:row>
    <x:row r="34">
      <x:c r="A34" s="26" t="str">
        <x:v>SCL-16</x:v>
      </x:c>
      <x:c r="B34" s="26" t="str">
        <x:v>Chile Central</x:v>
      </x:c>
      <x:c r="C34" s="26" t="str">
        <x:v>Licencias de terceros</x:v>
      </x:c>
      <x:c r="D34" s="26" t="str">
        <x:v>USD/mes</x:v>
      </x:c>
      <x:c r="E34" s="26" t="n">
        <x:f>'Fuentes y Cotizaciones'!F34</x:f>
        <x:v>0</x:v>
      </x:c>
      <x:c r="F34" s="26" t="str">
        <x:v>No aplica: PostgreSQL open source; sin software tercero</x:v>
      </x:c>
      <x:c r="G34" s="26" t="str">
        <x:f>IF($E34="","",$E34)</x:f>
      </x:c>
      <x:c r="H34" s="26" t="str">
        <x:f>IF($E34="","",$E34)</x:f>
      </x:c>
      <x:c r="I34" s="26" t="str">
        <x:f>IF($E34="","",$E34)</x:f>
      </x:c>
      <x:c r="J34" s="26" t="str">
        <x:f>IF($E34="","",$E34)</x:f>
      </x:c>
      <x:c r="K34" s="26" t="str">
        <x:f>IF($E34="","",$E34)</x:f>
      </x:c>
      <x:c r="L34" s="26" t="str">
        <x:f>IF($E34="","",$E34)</x:f>
      </x:c>
      <x:c r="M34" s="26" t="str">
        <x:f>IF($E34="","",$E34)</x:f>
      </x:c>
      <x:c r="N34" s="26" t="str">
        <x:f>IF($E34="","",$E34)</x:f>
      </x:c>
      <x:c r="O34" s="26" t="str">
        <x:f>IF($E34="","",$E34)</x:f>
      </x:c>
      <x:c r="P34" s="26" t="str">
        <x:f>IF($E34="","",$E34)</x:f>
      </x:c>
      <x:c r="Q34" s="26" t="str">
        <x:f>IF($E34="","",$E34)</x:f>
      </x:c>
      <x:c r="R34" s="26" t="str">
        <x:f>IF($E34="","",$E34)</x:f>
      </x:c>
      <x:c r="S34" s="26" t="str">
        <x:f>IF($E34="","",$E34)</x:f>
      </x:c>
      <x:c r="T34" s="26" t="str">
        <x:f>IF($E34="","",$E34)</x:f>
      </x:c>
      <x:c r="U34" s="26" t="str">
        <x:f>IF($E34="","",$E34)</x:f>
      </x:c>
      <x:c r="V34" s="26" t="str">
        <x:f>IF($E34="","",$E34)</x:f>
      </x:c>
      <x:c r="W34" s="26" t="str">
        <x:f>IF($E34="","",$E34)</x:f>
      </x:c>
      <x:c r="X34" s="26" t="str">
        <x:f>IF($E34="","",$E34)</x:f>
      </x:c>
      <x:c r="Y34" s="26" t="str">
        <x:f>IF($E34="","",$E34)</x:f>
      </x:c>
      <x:c r="Z34" s="26" t="str">
        <x:f>IF($E34="","",$E34)</x:f>
      </x:c>
      <x:c r="AA34" s="26" t="str">
        <x:f>IF($E34="","",$E34)</x:f>
      </x:c>
      <x:c r="AB34" s="26" t="str">
        <x:f>IF($E34="","",$E34)</x:f>
      </x:c>
      <x:c r="AC34" s="26" t="str">
        <x:f>IF($E34="","",$E34)</x:f>
      </x:c>
      <x:c r="AD34" s="26" t="str">
        <x:f>IF($E34="","",$E34)</x:f>
      </x:c>
      <x:c r="AE34" s="26" t="str">
        <x:f>IF($E34="","",$E34)</x:f>
      </x:c>
      <x:c r="AF34" s="26" t="str">
        <x:f>IF($E34="","",$E34)</x:f>
      </x:c>
      <x:c r="AG34" s="26" t="str">
        <x:f>IF($E34="","",$E34)</x:f>
      </x:c>
      <x:c r="AH34" s="26" t="str">
        <x:f>IF($E34="","",$E34)</x:f>
      </x:c>
      <x:c r="AI34" s="26" t="str">
        <x:f>IF($E34="","",$E34)</x:f>
      </x:c>
      <x:c r="AJ34" s="26" t="str">
        <x:f>IF($E34="","",$E34)</x:f>
      </x:c>
      <x:c r="AK34" s="26" t="str">
        <x:f>IF($E34="","",$E34)</x:f>
      </x:c>
      <x:c r="AL34" s="26" t="str">
        <x:f>IF($E34="","",$E34)</x:f>
      </x:c>
      <x:c r="AM34" s="26" t="str">
        <x:f>IF($E34="","",$E34)</x:f>
      </x:c>
      <x:c r="AN34" s="26" t="str">
        <x:f>IF($E34="","",$E34)</x:f>
      </x:c>
      <x:c r="AO34" s="26" t="str">
        <x:f>IF($E34="","",$E34)</x:f>
      </x:c>
      <x:c r="AP34" s="26" t="str">
        <x:f>IF($E34="","",$E34)</x:f>
      </x:c>
      <x:c r="AQ34" s="26" t="str">
        <x:f>IF($E34="","",$E34)</x:f>
      </x:c>
      <x:c r="AR34" s="26" t="str">
        <x:f>IF($E34="","",$E34)</x:f>
      </x:c>
      <x:c r="AS34" s="26" t="str">
        <x:f>IF($E34="","",$E34)</x:f>
      </x:c>
      <x:c r="AT34" s="26" t="str">
        <x:f>IF($E34="","",$E34)</x:f>
      </x:c>
      <x:c r="AU34" s="26" t="str">
        <x:f>IF($E34="","",$E34)</x:f>
      </x:c>
      <x:c r="AV34" s="26" t="str">
        <x:f>IF($E34="","",$E34)</x:f>
      </x:c>
      <x:c r="AW34" s="26" t="str">
        <x:f>IF($E34="","",$E34)</x:f>
      </x:c>
      <x:c r="AX34" s="26" t="str">
        <x:f>IF($E34="","",$E34)</x:f>
      </x:c>
      <x:c r="AY34" s="26" t="str">
        <x:f>IF($E34="","",$E34)</x:f>
      </x:c>
      <x:c r="AZ34" s="26" t="str">
        <x:f>IF($E34="","",$E34)</x:f>
      </x:c>
      <x:c r="BA34" s="26" t="str">
        <x:f>IF($E34="","",$E34)</x:f>
      </x:c>
      <x:c r="BB34" s="26" t="str">
        <x:f>IF($E34="","",$E34)</x:f>
      </x:c>
      <x:c r="BC34" s="26" t="str">
        <x:f>IF($E34="","",$E34)</x:f>
      </x:c>
      <x:c r="BD34" s="26" t="str">
        <x:f>IF($E34="","",$E34)</x:f>
      </x:c>
      <x:c r="BE34" s="26" t="str">
        <x:f>IF($E34="","",$E34)</x:f>
      </x:c>
      <x:c r="BF34" s="26" t="str">
        <x:f>IF($E34="","",$E34)</x:f>
      </x:c>
      <x:c r="BG34" s="26" t="str">
        <x:f>IF($E34="","",$E34)</x:f>
      </x:c>
      <x:c r="BH34" s="26" t="str">
        <x:f>IF($E34="","",$E34)</x:f>
      </x:c>
      <x:c r="BI34" s="26" t="str">
        <x:f>IF($E34="","",$E34)</x:f>
      </x:c>
      <x:c r="BJ34" s="26" t="str">
        <x:f>IF($E34="","",$E34)</x:f>
      </x:c>
      <x:c r="BK34" s="26" t="str">
        <x:f>IF($E34="","",$E34)</x:f>
      </x:c>
      <x:c r="BL34" s="26" t="str">
        <x:f>IF($E34="","",$E34)</x:f>
      </x:c>
      <x:c r="BM34" s="26" t="str">
        <x:f>IF($E34="","",$E34)</x:f>
      </x:c>
      <x:c r="BN34" s="26" t="str">
        <x:f>IF($E34="","",$E34)</x:f>
      </x:c>
      <x:c r="BO34" s="85" t="str">
        <x:f>IF(COUNT(G34:BN34)=0,"",SUM(G34:BN34))</x:f>
      </x:c>
    </x:row>
    <x:row r="35">
      <x:c r="A35" s="51" t="str">
        <x:v>SCL-17</x:v>
      </x:c>
      <x:c r="B35" s="51" t="str">
        <x:v>Chile Central</x:v>
      </x:c>
      <x:c r="C35" s="51" t="str">
        <x:v>Soporte Azure</x:v>
      </x:c>
      <x:c r="D35" s="51" t="str">
        <x:v>USD/mes</x:v>
      </x:c>
      <x:c r="E35" s="51" t="n">
        <x:f>'Fuentes y Cotizaciones'!F35</x:f>
        <x:v>0</x:v>
      </x:c>
      <x:c r="F35" s="51" t="str">
        <x:v>Azure Basic Support sin cargo</x:v>
      </x:c>
      <x:c r="G35" s="51" t="str">
        <x:f>IF($E35="","",$E35)</x:f>
      </x:c>
      <x:c r="H35" s="51" t="str">
        <x:f>IF($E35="","",$E35)</x:f>
      </x:c>
      <x:c r="I35" s="51" t="str">
        <x:f>IF($E35="","",$E35)</x:f>
      </x:c>
      <x:c r="J35" s="51" t="str">
        <x:f>IF($E35="","",$E35)</x:f>
      </x:c>
      <x:c r="K35" s="51" t="str">
        <x:f>IF($E35="","",$E35)</x:f>
      </x:c>
      <x:c r="L35" s="51" t="str">
        <x:f>IF($E35="","",$E35)</x:f>
      </x:c>
      <x:c r="M35" s="51" t="str">
        <x:f>IF($E35="","",$E35)</x:f>
      </x:c>
      <x:c r="N35" s="51" t="str">
        <x:f>IF($E35="","",$E35)</x:f>
      </x:c>
      <x:c r="O35" s="51" t="str">
        <x:f>IF($E35="","",$E35)</x:f>
      </x:c>
      <x:c r="P35" s="51" t="str">
        <x:f>IF($E35="","",$E35)</x:f>
      </x:c>
      <x:c r="Q35" s="51" t="str">
        <x:f>IF($E35="","",$E35)</x:f>
      </x:c>
      <x:c r="R35" s="51" t="str">
        <x:f>IF($E35="","",$E35)</x:f>
      </x:c>
      <x:c r="S35" s="51" t="str">
        <x:f>IF($E35="","",$E35)</x:f>
      </x:c>
      <x:c r="T35" s="51" t="str">
        <x:f>IF($E35="","",$E35)</x:f>
      </x:c>
      <x:c r="U35" s="51" t="str">
        <x:f>IF($E35="","",$E35)</x:f>
      </x:c>
      <x:c r="V35" s="51" t="str">
        <x:f>IF($E35="","",$E35)</x:f>
      </x:c>
      <x:c r="W35" s="51" t="str">
        <x:f>IF($E35="","",$E35)</x:f>
      </x:c>
      <x:c r="X35" s="51" t="str">
        <x:f>IF($E35="","",$E35)</x:f>
      </x:c>
      <x:c r="Y35" s="51" t="str">
        <x:f>IF($E35="","",$E35)</x:f>
      </x:c>
      <x:c r="Z35" s="51" t="str">
        <x:f>IF($E35="","",$E35)</x:f>
      </x:c>
      <x:c r="AA35" s="51" t="str">
        <x:f>IF($E35="","",$E35)</x:f>
      </x:c>
      <x:c r="AB35" s="51" t="str">
        <x:f>IF($E35="","",$E35)</x:f>
      </x:c>
      <x:c r="AC35" s="51" t="str">
        <x:f>IF($E35="","",$E35)</x:f>
      </x:c>
      <x:c r="AD35" s="51" t="str">
        <x:f>IF($E35="","",$E35)</x:f>
      </x:c>
      <x:c r="AE35" s="51" t="str">
        <x:f>IF($E35="","",$E35)</x:f>
      </x:c>
      <x:c r="AF35" s="51" t="str">
        <x:f>IF($E35="","",$E35)</x:f>
      </x:c>
      <x:c r="AG35" s="51" t="str">
        <x:f>IF($E35="","",$E35)</x:f>
      </x:c>
      <x:c r="AH35" s="51" t="str">
        <x:f>IF($E35="","",$E35)</x:f>
      </x:c>
      <x:c r="AI35" s="51" t="str">
        <x:f>IF($E35="","",$E35)</x:f>
      </x:c>
      <x:c r="AJ35" s="51" t="str">
        <x:f>IF($E35="","",$E35)</x:f>
      </x:c>
      <x:c r="AK35" s="51" t="str">
        <x:f>IF($E35="","",$E35)</x:f>
      </x:c>
      <x:c r="AL35" s="51" t="str">
        <x:f>IF($E35="","",$E35)</x:f>
      </x:c>
      <x:c r="AM35" s="51" t="str">
        <x:f>IF($E35="","",$E35)</x:f>
      </x:c>
      <x:c r="AN35" s="51" t="str">
        <x:f>IF($E35="","",$E35)</x:f>
      </x:c>
      <x:c r="AO35" s="51" t="str">
        <x:f>IF($E35="","",$E35)</x:f>
      </x:c>
      <x:c r="AP35" s="51" t="str">
        <x:f>IF($E35="","",$E35)</x:f>
      </x:c>
      <x:c r="AQ35" s="51" t="str">
        <x:f>IF($E35="","",$E35)</x:f>
      </x:c>
      <x:c r="AR35" s="51" t="str">
        <x:f>IF($E35="","",$E35)</x:f>
      </x:c>
      <x:c r="AS35" s="51" t="str">
        <x:f>IF($E35="","",$E35)</x:f>
      </x:c>
      <x:c r="AT35" s="51" t="str">
        <x:f>IF($E35="","",$E35)</x:f>
      </x:c>
      <x:c r="AU35" s="51" t="str">
        <x:f>IF($E35="","",$E35)</x:f>
      </x:c>
      <x:c r="AV35" s="51" t="str">
        <x:f>IF($E35="","",$E35)</x:f>
      </x:c>
      <x:c r="AW35" s="51" t="str">
        <x:f>IF($E35="","",$E35)</x:f>
      </x:c>
      <x:c r="AX35" s="51" t="str">
        <x:f>IF($E35="","",$E35)</x:f>
      </x:c>
      <x:c r="AY35" s="51" t="str">
        <x:f>IF($E35="","",$E35)</x:f>
      </x:c>
      <x:c r="AZ35" s="51" t="str">
        <x:f>IF($E35="","",$E35)</x:f>
      </x:c>
      <x:c r="BA35" s="51" t="str">
        <x:f>IF($E35="","",$E35)</x:f>
      </x:c>
      <x:c r="BB35" s="51" t="str">
        <x:f>IF($E35="","",$E35)</x:f>
      </x:c>
      <x:c r="BC35" s="51" t="str">
        <x:f>IF($E35="","",$E35)</x:f>
      </x:c>
      <x:c r="BD35" s="51" t="str">
        <x:f>IF($E35="","",$E35)</x:f>
      </x:c>
      <x:c r="BE35" s="51" t="str">
        <x:f>IF($E35="","",$E35)</x:f>
      </x:c>
      <x:c r="BF35" s="51" t="str">
        <x:f>IF($E35="","",$E35)</x:f>
      </x:c>
      <x:c r="BG35" s="51" t="str">
        <x:f>IF($E35="","",$E35)</x:f>
      </x:c>
      <x:c r="BH35" s="51" t="str">
        <x:f>IF($E35="","",$E35)</x:f>
      </x:c>
      <x:c r="BI35" s="51" t="str">
        <x:f>IF($E35="","",$E35)</x:f>
      </x:c>
      <x:c r="BJ35" s="51" t="str">
        <x:f>IF($E35="","",$E35)</x:f>
      </x:c>
      <x:c r="BK35" s="51" t="str">
        <x:f>IF($E35="","",$E35)</x:f>
      </x:c>
      <x:c r="BL35" s="51" t="str">
        <x:f>IF($E35="","",$E35)</x:f>
      </x:c>
      <x:c r="BM35" s="51" t="str">
        <x:f>IF($E35="","",$E35)</x:f>
      </x:c>
      <x:c r="BN35" s="51" t="str">
        <x:f>IF($E35="","",$E35)</x:f>
      </x:c>
      <x:c r="BO35" s="51" t="str">
        <x:f>IF(COUNT(G35:BN35)=0,"",SUM(G35:BN35))</x:f>
      </x:c>
    </x:row>
    <x:row r="36">
      <x:c r="A36" s="51" t="str">
        <x:v>SCL-18</x:v>
      </x:c>
      <x:c r="B36" s="51" t="str">
        <x:v>Chile Central</x:v>
      </x:c>
      <x:c r="C36" s="51" t="str">
        <x:v>Esfuerzo operativo</x:v>
      </x:c>
      <x:c r="D36" s="51" t="str">
        <x:v>USD/mes</x:v>
      </x:c>
      <x:c r="E36" s="51" t="n">
        <x:f>'Fuentes y Cotizaciones'!F36</x:f>
        <x:v>0</x:v>
      </x:c>
      <x:c r="F36" s="51" t="str">
        <x:v>Horas de operación × tarifa por hora</x:v>
      </x:c>
      <x:c r="G36" s="51" t="str">
        <x:f>IF(OR(Supuestos!$B$30="",Supuestos!$B$31=""),"",Supuestos!$B$30*Supuestos!$B$31)</x:f>
      </x:c>
      <x:c r="H36" s="51" t="str">
        <x:f>IF(OR(Supuestos!$B$30="",Supuestos!$B$31=""),"",Supuestos!$B$30*Supuestos!$B$31)</x:f>
      </x:c>
      <x:c r="I36" s="51" t="str">
        <x:f>IF(OR(Supuestos!$B$30="",Supuestos!$B$31=""),"",Supuestos!$B$30*Supuestos!$B$31)</x:f>
      </x:c>
      <x:c r="J36" s="51" t="str">
        <x:f>IF(OR(Supuestos!$B$30="",Supuestos!$B$31=""),"",Supuestos!$B$30*Supuestos!$B$31)</x:f>
      </x:c>
      <x:c r="K36" s="51" t="str">
        <x:f>IF(OR(Supuestos!$B$30="",Supuestos!$B$31=""),"",Supuestos!$B$30*Supuestos!$B$31)</x:f>
      </x:c>
      <x:c r="L36" s="51" t="str">
        <x:f>IF(OR(Supuestos!$B$30="",Supuestos!$B$31=""),"",Supuestos!$B$30*Supuestos!$B$31)</x:f>
      </x:c>
      <x:c r="M36" s="51" t="str">
        <x:f>IF(OR(Supuestos!$B$30="",Supuestos!$B$31=""),"",Supuestos!$B$30*Supuestos!$B$31)</x:f>
      </x:c>
      <x:c r="N36" s="51" t="str">
        <x:f>IF(OR(Supuestos!$B$30="",Supuestos!$B$31=""),"",Supuestos!$B$30*Supuestos!$B$31)</x:f>
      </x:c>
      <x:c r="O36" s="51" t="str">
        <x:f>IF(OR(Supuestos!$B$30="",Supuestos!$B$31=""),"",Supuestos!$B$30*Supuestos!$B$31)</x:f>
      </x:c>
      <x:c r="P36" s="51" t="str">
        <x:f>IF(OR(Supuestos!$B$30="",Supuestos!$B$31=""),"",Supuestos!$B$30*Supuestos!$B$31)</x:f>
      </x:c>
      <x:c r="Q36" s="51" t="str">
        <x:f>IF(OR(Supuestos!$B$30="",Supuestos!$B$31=""),"",Supuestos!$B$30*Supuestos!$B$31)</x:f>
      </x:c>
      <x:c r="R36" s="51" t="str">
        <x:f>IF(OR(Supuestos!$B$30="",Supuestos!$B$31=""),"",Supuestos!$B$30*Supuestos!$B$31)</x:f>
      </x:c>
      <x:c r="S36" s="51" t="str">
        <x:f>IF(OR(Supuestos!$B$30="",Supuestos!$B$31=""),"",Supuestos!$B$30*Supuestos!$B$31)</x:f>
      </x:c>
      <x:c r="T36" s="51" t="str">
        <x:f>IF(OR(Supuestos!$B$30="",Supuestos!$B$31=""),"",Supuestos!$B$30*Supuestos!$B$31)</x:f>
      </x:c>
      <x:c r="U36" s="51" t="str">
        <x:f>IF(OR(Supuestos!$B$30="",Supuestos!$B$31=""),"",Supuestos!$B$30*Supuestos!$B$31)</x:f>
      </x:c>
      <x:c r="V36" s="51" t="str">
        <x:f>IF(OR(Supuestos!$B$30="",Supuestos!$B$31=""),"",Supuestos!$B$30*Supuestos!$B$31)</x:f>
      </x:c>
      <x:c r="W36" s="51" t="str">
        <x:f>IF(OR(Supuestos!$B$30="",Supuestos!$B$31=""),"",Supuestos!$B$30*Supuestos!$B$31)</x:f>
      </x:c>
      <x:c r="X36" s="51" t="str">
        <x:f>IF(OR(Supuestos!$B$30="",Supuestos!$B$31=""),"",Supuestos!$B$30*Supuestos!$B$31)</x:f>
      </x:c>
      <x:c r="Y36" s="51" t="str">
        <x:f>IF(OR(Supuestos!$B$30="",Supuestos!$B$31=""),"",Supuestos!$B$30*Supuestos!$B$31)</x:f>
      </x:c>
      <x:c r="Z36" s="51" t="str">
        <x:f>IF(OR(Supuestos!$B$30="",Supuestos!$B$31=""),"",Supuestos!$B$30*Supuestos!$B$31)</x:f>
      </x:c>
      <x:c r="AA36" s="51" t="str">
        <x:f>IF(OR(Supuestos!$B$30="",Supuestos!$B$31=""),"",Supuestos!$B$30*Supuestos!$B$31)</x:f>
      </x:c>
      <x:c r="AB36" s="51" t="str">
        <x:f>IF(OR(Supuestos!$B$30="",Supuestos!$B$31=""),"",Supuestos!$B$30*Supuestos!$B$31)</x:f>
      </x:c>
      <x:c r="AC36" s="51" t="str">
        <x:f>IF(OR(Supuestos!$B$30="",Supuestos!$B$31=""),"",Supuestos!$B$30*Supuestos!$B$31)</x:f>
      </x:c>
      <x:c r="AD36" s="51" t="str">
        <x:f>IF(OR(Supuestos!$B$30="",Supuestos!$B$31=""),"",Supuestos!$B$30*Supuestos!$B$31)</x:f>
      </x:c>
      <x:c r="AE36" s="51" t="str">
        <x:f>IF(OR(Supuestos!$B$30="",Supuestos!$B$31=""),"",Supuestos!$B$30*Supuestos!$B$31)</x:f>
      </x:c>
      <x:c r="AF36" s="51" t="str">
        <x:f>IF(OR(Supuestos!$B$30="",Supuestos!$B$31=""),"",Supuestos!$B$30*Supuestos!$B$31)</x:f>
      </x:c>
      <x:c r="AG36" s="51" t="str">
        <x:f>IF(OR(Supuestos!$B$30="",Supuestos!$B$31=""),"",Supuestos!$B$30*Supuestos!$B$31)</x:f>
      </x:c>
      <x:c r="AH36" s="51" t="str">
        <x:f>IF(OR(Supuestos!$B$30="",Supuestos!$B$31=""),"",Supuestos!$B$30*Supuestos!$B$31)</x:f>
      </x:c>
      <x:c r="AI36" s="51" t="str">
        <x:f>IF(OR(Supuestos!$B$30="",Supuestos!$B$31=""),"",Supuestos!$B$30*Supuestos!$B$31)</x:f>
      </x:c>
      <x:c r="AJ36" s="51" t="str">
        <x:f>IF(OR(Supuestos!$B$30="",Supuestos!$B$31=""),"",Supuestos!$B$30*Supuestos!$B$31)</x:f>
      </x:c>
      <x:c r="AK36" s="51" t="str">
        <x:f>IF(OR(Supuestos!$B$30="",Supuestos!$B$31=""),"",Supuestos!$B$30*Supuestos!$B$31)</x:f>
      </x:c>
      <x:c r="AL36" s="51" t="str">
        <x:f>IF(OR(Supuestos!$B$30="",Supuestos!$B$31=""),"",Supuestos!$B$30*Supuestos!$B$31)</x:f>
      </x:c>
      <x:c r="AM36" s="51" t="str">
        <x:f>IF(OR(Supuestos!$B$30="",Supuestos!$B$31=""),"",Supuestos!$B$30*Supuestos!$B$31)</x:f>
      </x:c>
      <x:c r="AN36" s="51" t="str">
        <x:f>IF(OR(Supuestos!$B$30="",Supuestos!$B$31=""),"",Supuestos!$B$30*Supuestos!$B$31)</x:f>
      </x:c>
      <x:c r="AO36" s="51" t="str">
        <x:f>IF(OR(Supuestos!$B$30="",Supuestos!$B$31=""),"",Supuestos!$B$30*Supuestos!$B$31)</x:f>
      </x:c>
      <x:c r="AP36" s="51" t="str">
        <x:f>IF(OR(Supuestos!$B$30="",Supuestos!$B$31=""),"",Supuestos!$B$30*Supuestos!$B$31)</x:f>
      </x:c>
      <x:c r="AQ36" s="51" t="str">
        <x:f>IF(OR(Supuestos!$B$30="",Supuestos!$B$31=""),"",Supuestos!$B$30*Supuestos!$B$31)</x:f>
      </x:c>
      <x:c r="AR36" s="51" t="str">
        <x:f>IF(OR(Supuestos!$B$30="",Supuestos!$B$31=""),"",Supuestos!$B$30*Supuestos!$B$31)</x:f>
      </x:c>
      <x:c r="AS36" s="51" t="str">
        <x:f>IF(OR(Supuestos!$B$30="",Supuestos!$B$31=""),"",Supuestos!$B$30*Supuestos!$B$31)</x:f>
      </x:c>
      <x:c r="AT36" s="51" t="str">
        <x:f>IF(OR(Supuestos!$B$30="",Supuestos!$B$31=""),"",Supuestos!$B$30*Supuestos!$B$31)</x:f>
      </x:c>
      <x:c r="AU36" s="51" t="str">
        <x:f>IF(OR(Supuestos!$B$30="",Supuestos!$B$31=""),"",Supuestos!$B$30*Supuestos!$B$31)</x:f>
      </x:c>
      <x:c r="AV36" s="51" t="str">
        <x:f>IF(OR(Supuestos!$B$30="",Supuestos!$B$31=""),"",Supuestos!$B$30*Supuestos!$B$31)</x:f>
      </x:c>
      <x:c r="AW36" s="51" t="str">
        <x:f>IF(OR(Supuestos!$B$30="",Supuestos!$B$31=""),"",Supuestos!$B$30*Supuestos!$B$31)</x:f>
      </x:c>
      <x:c r="AX36" s="51" t="str">
        <x:f>IF(OR(Supuestos!$B$30="",Supuestos!$B$31=""),"",Supuestos!$B$30*Supuestos!$B$31)</x:f>
      </x:c>
      <x:c r="AY36" s="51" t="str">
        <x:f>IF(OR(Supuestos!$B$30="",Supuestos!$B$31=""),"",Supuestos!$B$30*Supuestos!$B$31)</x:f>
      </x:c>
      <x:c r="AZ36" s="51" t="str">
        <x:f>IF(OR(Supuestos!$B$30="",Supuestos!$B$31=""),"",Supuestos!$B$30*Supuestos!$B$31)</x:f>
      </x:c>
      <x:c r="BA36" s="51" t="str">
        <x:f>IF(OR(Supuestos!$B$30="",Supuestos!$B$31=""),"",Supuestos!$B$30*Supuestos!$B$31)</x:f>
      </x:c>
      <x:c r="BB36" s="51" t="str">
        <x:f>IF(OR(Supuestos!$B$30="",Supuestos!$B$31=""),"",Supuestos!$B$30*Supuestos!$B$31)</x:f>
      </x:c>
      <x:c r="BC36" s="51" t="str">
        <x:f>IF(OR(Supuestos!$B$30="",Supuestos!$B$31=""),"",Supuestos!$B$30*Supuestos!$B$31)</x:f>
      </x:c>
      <x:c r="BD36" s="51" t="str">
        <x:f>IF(OR(Supuestos!$B$30="",Supuestos!$B$31=""),"",Supuestos!$B$30*Supuestos!$B$31)</x:f>
      </x:c>
      <x:c r="BE36" s="51" t="str">
        <x:f>IF(OR(Supuestos!$B$30="",Supuestos!$B$31=""),"",Supuestos!$B$30*Supuestos!$B$31)</x:f>
      </x:c>
      <x:c r="BF36" s="51" t="str">
        <x:f>IF(OR(Supuestos!$B$30="",Supuestos!$B$31=""),"",Supuestos!$B$30*Supuestos!$B$31)</x:f>
      </x:c>
      <x:c r="BG36" s="51" t="str">
        <x:f>IF(OR(Supuestos!$B$30="",Supuestos!$B$31=""),"",Supuestos!$B$30*Supuestos!$B$31)</x:f>
      </x:c>
      <x:c r="BH36" s="51" t="str">
        <x:f>IF(OR(Supuestos!$B$30="",Supuestos!$B$31=""),"",Supuestos!$B$30*Supuestos!$B$31)</x:f>
      </x:c>
      <x:c r="BI36" s="51" t="str">
        <x:f>IF(OR(Supuestos!$B$30="",Supuestos!$B$31=""),"",Supuestos!$B$30*Supuestos!$B$31)</x:f>
      </x:c>
      <x:c r="BJ36" s="51" t="str">
        <x:f>IF(OR(Supuestos!$B$30="",Supuestos!$B$31=""),"",Supuestos!$B$30*Supuestos!$B$31)</x:f>
      </x:c>
      <x:c r="BK36" s="51" t="str">
        <x:f>IF(OR(Supuestos!$B$30="",Supuestos!$B$31=""),"",Supuestos!$B$30*Supuestos!$B$31)</x:f>
      </x:c>
      <x:c r="BL36" s="51" t="str">
        <x:f>IF(OR(Supuestos!$B$30="",Supuestos!$B$31=""),"",Supuestos!$B$30*Supuestos!$B$31)</x:f>
      </x:c>
      <x:c r="BM36" s="51" t="str">
        <x:f>IF(OR(Supuestos!$B$30="",Supuestos!$B$31=""),"",Supuestos!$B$30*Supuestos!$B$31)</x:f>
      </x:c>
      <x:c r="BN36" s="51" t="str">
        <x:f>IF(OR(Supuestos!$B$30="",Supuestos!$B$31=""),"",Supuestos!$B$30*Supuestos!$B$31)</x:f>
      </x:c>
      <x:c r="BO36" s="51" t="str">
        <x:f>IF(COUNT(G36:BN36)=0,"",SUM(G36:BN36))</x:f>
      </x:c>
    </x:row>
    <x:row r="37">
      <x:c r="A37" s="51" t="str">
        <x:v>USA-13</x:v>
      </x:c>
      <x:c r="B37" s="51" t="str">
        <x:v>East US</x:v>
      </x:c>
      <x:c r="C37" s="51" t="str">
        <x:v>Operaciones Blob</x:v>
      </x:c>
      <x:c r="D37" s="51" t="str">
        <x:v>operaciones/mes</x:v>
      </x:c>
      <x:c r="E37" s="51" t="n">
        <x:f>'Fuentes y Cotizaciones'!F37</x:f>
        <x:v>0</x:v>
      </x:c>
      <x:c r="F37" s="51" t="str">
        <x:v>No aplica: volumen transaccional no definido</x:v>
      </x:c>
      <x:c r="G37" s="51" t="str">
        <x:f>IF($E37="","",$E37)</x:f>
      </x:c>
      <x:c r="H37" s="51" t="str">
        <x:f>IF($E37="","",$E37)</x:f>
      </x:c>
      <x:c r="I37" s="51" t="str">
        <x:f>IF($E37="","",$E37)</x:f>
      </x:c>
      <x:c r="J37" s="51" t="str">
        <x:f>IF($E37="","",$E37)</x:f>
      </x:c>
      <x:c r="K37" s="51" t="str">
        <x:f>IF($E37="","",$E37)</x:f>
      </x:c>
      <x:c r="L37" s="51" t="str">
        <x:f>IF($E37="","",$E37)</x:f>
      </x:c>
      <x:c r="M37" s="51" t="str">
        <x:f>IF($E37="","",$E37)</x:f>
      </x:c>
      <x:c r="N37" s="51" t="str">
        <x:f>IF($E37="","",$E37)</x:f>
      </x:c>
      <x:c r="O37" s="51" t="str">
        <x:f>IF($E37="","",$E37)</x:f>
      </x:c>
      <x:c r="P37" s="51" t="str">
        <x:f>IF($E37="","",$E37)</x:f>
      </x:c>
      <x:c r="Q37" s="51" t="str">
        <x:f>IF($E37="","",$E37)</x:f>
      </x:c>
      <x:c r="R37" s="51" t="str">
        <x:f>IF($E37="","",$E37)</x:f>
      </x:c>
      <x:c r="S37" s="51" t="str">
        <x:f>IF($E37="","",$E37)</x:f>
      </x:c>
      <x:c r="T37" s="51" t="str">
        <x:f>IF($E37="","",$E37)</x:f>
      </x:c>
      <x:c r="U37" s="51" t="str">
        <x:f>IF($E37="","",$E37)</x:f>
      </x:c>
      <x:c r="V37" s="51" t="str">
        <x:f>IF($E37="","",$E37)</x:f>
      </x:c>
      <x:c r="W37" s="51" t="str">
        <x:f>IF($E37="","",$E37)</x:f>
      </x:c>
      <x:c r="X37" s="51" t="str">
        <x:f>IF($E37="","",$E37)</x:f>
      </x:c>
      <x:c r="Y37" s="51" t="str">
        <x:f>IF($E37="","",$E37)</x:f>
      </x:c>
      <x:c r="Z37" s="51" t="str">
        <x:f>IF($E37="","",$E37)</x:f>
      </x:c>
      <x:c r="AA37" s="51" t="str">
        <x:f>IF($E37="","",$E37)</x:f>
      </x:c>
      <x:c r="AB37" s="51" t="str">
        <x:f>IF($E37="","",$E37)</x:f>
      </x:c>
      <x:c r="AC37" s="51" t="str">
        <x:f>IF($E37="","",$E37)</x:f>
      </x:c>
      <x:c r="AD37" s="51" t="str">
        <x:f>IF($E37="","",$E37)</x:f>
      </x:c>
      <x:c r="AE37" s="51" t="str">
        <x:f>IF($E37="","",$E37)</x:f>
      </x:c>
      <x:c r="AF37" s="51" t="str">
        <x:f>IF($E37="","",$E37)</x:f>
      </x:c>
      <x:c r="AG37" s="51" t="str">
        <x:f>IF($E37="","",$E37)</x:f>
      </x:c>
      <x:c r="AH37" s="51" t="str">
        <x:f>IF($E37="","",$E37)</x:f>
      </x:c>
      <x:c r="AI37" s="51" t="str">
        <x:f>IF($E37="","",$E37)</x:f>
      </x:c>
      <x:c r="AJ37" s="51" t="str">
        <x:f>IF($E37="","",$E37)</x:f>
      </x:c>
      <x:c r="AK37" s="51" t="str">
        <x:f>IF($E37="","",$E37)</x:f>
      </x:c>
      <x:c r="AL37" s="51" t="str">
        <x:f>IF($E37="","",$E37)</x:f>
      </x:c>
      <x:c r="AM37" s="51" t="str">
        <x:f>IF($E37="","",$E37)</x:f>
      </x:c>
      <x:c r="AN37" s="51" t="str">
        <x:f>IF($E37="","",$E37)</x:f>
      </x:c>
      <x:c r="AO37" s="51" t="str">
        <x:f>IF($E37="","",$E37)</x:f>
      </x:c>
      <x:c r="AP37" s="51" t="str">
        <x:f>IF($E37="","",$E37)</x:f>
      </x:c>
      <x:c r="AQ37" s="51" t="str">
        <x:f>IF($E37="","",$E37)</x:f>
      </x:c>
      <x:c r="AR37" s="51" t="str">
        <x:f>IF($E37="","",$E37)</x:f>
      </x:c>
      <x:c r="AS37" s="51" t="str">
        <x:f>IF($E37="","",$E37)</x:f>
      </x:c>
      <x:c r="AT37" s="51" t="str">
        <x:f>IF($E37="","",$E37)</x:f>
      </x:c>
      <x:c r="AU37" s="51" t="str">
        <x:f>IF($E37="","",$E37)</x:f>
      </x:c>
      <x:c r="AV37" s="51" t="str">
        <x:f>IF($E37="","",$E37)</x:f>
      </x:c>
      <x:c r="AW37" s="51" t="str">
        <x:f>IF($E37="","",$E37)</x:f>
      </x:c>
      <x:c r="AX37" s="51" t="str">
        <x:f>IF($E37="","",$E37)</x:f>
      </x:c>
      <x:c r="AY37" s="51" t="str">
        <x:f>IF($E37="","",$E37)</x:f>
      </x:c>
      <x:c r="AZ37" s="51" t="str">
        <x:f>IF($E37="","",$E37)</x:f>
      </x:c>
      <x:c r="BA37" s="51" t="str">
        <x:f>IF($E37="","",$E37)</x:f>
      </x:c>
      <x:c r="BB37" s="51" t="str">
        <x:f>IF($E37="","",$E37)</x:f>
      </x:c>
      <x:c r="BC37" s="51" t="str">
        <x:f>IF($E37="","",$E37)</x:f>
      </x:c>
      <x:c r="BD37" s="51" t="str">
        <x:f>IF($E37="","",$E37)</x:f>
      </x:c>
      <x:c r="BE37" s="51" t="str">
        <x:f>IF($E37="","",$E37)</x:f>
      </x:c>
      <x:c r="BF37" s="51" t="str">
        <x:f>IF($E37="","",$E37)</x:f>
      </x:c>
      <x:c r="BG37" s="51" t="str">
        <x:f>IF($E37="","",$E37)</x:f>
      </x:c>
      <x:c r="BH37" s="51" t="str">
        <x:f>IF($E37="","",$E37)</x:f>
      </x:c>
      <x:c r="BI37" s="51" t="str">
        <x:f>IF($E37="","",$E37)</x:f>
      </x:c>
      <x:c r="BJ37" s="51" t="str">
        <x:f>IF($E37="","",$E37)</x:f>
      </x:c>
      <x:c r="BK37" s="51" t="str">
        <x:f>IF($E37="","",$E37)</x:f>
      </x:c>
      <x:c r="BL37" s="51" t="str">
        <x:f>IF($E37="","",$E37)</x:f>
      </x:c>
      <x:c r="BM37" s="51" t="str">
        <x:f>IF($E37="","",$E37)</x:f>
      </x:c>
      <x:c r="BN37" s="51" t="str">
        <x:f>IF($E37="","",$E37)</x:f>
      </x:c>
      <x:c r="BO37" s="51" t="str">
        <x:f>IF(COUNT(G37:BN37)=0,"",SUM(G37:BN37))</x:f>
      </x:c>
    </x:row>
    <x:row r="38">
      <x:c r="A38" s="51" t="str">
        <x:v>USA-14</x:v>
      </x:c>
      <x:c r="B38" s="51" t="str">
        <x:v>East US</x:v>
      </x:c>
      <x:c r="C38" s="51" t="str">
        <x:v>Consultas y retención Monitor</x:v>
      </x:c>
      <x:c r="D38" s="51" t="str">
        <x:v>USD/mes</x:v>
      </x:c>
      <x:c r="E38" s="51" t="n">
        <x:f>'Fuentes y Cotizaciones'!F38</x:f>
        <x:v>0</x:v>
      </x:c>
      <x:c r="F38" s="51" t="str">
        <x:v>No aplica: solo ingesta Basic Logs y 30 días</x:v>
      </x:c>
      <x:c r="G38" s="51" t="str">
        <x:f>IF($E38="","",$E38)</x:f>
      </x:c>
      <x:c r="H38" s="51" t="str">
        <x:f>IF($E38="","",$E38)</x:f>
      </x:c>
      <x:c r="I38" s="51" t="str">
        <x:f>IF($E38="","",$E38)</x:f>
      </x:c>
      <x:c r="J38" s="51" t="str">
        <x:f>IF($E38="","",$E38)</x:f>
      </x:c>
      <x:c r="K38" s="51" t="str">
        <x:f>IF($E38="","",$E38)</x:f>
      </x:c>
      <x:c r="L38" s="51" t="str">
        <x:f>IF($E38="","",$E38)</x:f>
      </x:c>
      <x:c r="M38" s="51" t="str">
        <x:f>IF($E38="","",$E38)</x:f>
      </x:c>
      <x:c r="N38" s="51" t="str">
        <x:f>IF($E38="","",$E38)</x:f>
      </x:c>
      <x:c r="O38" s="51" t="str">
        <x:f>IF($E38="","",$E38)</x:f>
      </x:c>
      <x:c r="P38" s="51" t="str">
        <x:f>IF($E38="","",$E38)</x:f>
      </x:c>
      <x:c r="Q38" s="51" t="str">
        <x:f>IF($E38="","",$E38)</x:f>
      </x:c>
      <x:c r="R38" s="51" t="str">
        <x:f>IF($E38="","",$E38)</x:f>
      </x:c>
      <x:c r="S38" s="51" t="str">
        <x:f>IF($E38="","",$E38)</x:f>
      </x:c>
      <x:c r="T38" s="51" t="str">
        <x:f>IF($E38="","",$E38)</x:f>
      </x:c>
      <x:c r="U38" s="51" t="str">
        <x:f>IF($E38="","",$E38)</x:f>
      </x:c>
      <x:c r="V38" s="51" t="str">
        <x:f>IF($E38="","",$E38)</x:f>
      </x:c>
      <x:c r="W38" s="51" t="str">
        <x:f>IF($E38="","",$E38)</x:f>
      </x:c>
      <x:c r="X38" s="51" t="str">
        <x:f>IF($E38="","",$E38)</x:f>
      </x:c>
      <x:c r="Y38" s="51" t="str">
        <x:f>IF($E38="","",$E38)</x:f>
      </x:c>
      <x:c r="Z38" s="51" t="str">
        <x:f>IF($E38="","",$E38)</x:f>
      </x:c>
      <x:c r="AA38" s="51" t="str">
        <x:f>IF($E38="","",$E38)</x:f>
      </x:c>
      <x:c r="AB38" s="51" t="str">
        <x:f>IF($E38="","",$E38)</x:f>
      </x:c>
      <x:c r="AC38" s="51" t="str">
        <x:f>IF($E38="","",$E38)</x:f>
      </x:c>
      <x:c r="AD38" s="51" t="str">
        <x:f>IF($E38="","",$E38)</x:f>
      </x:c>
      <x:c r="AE38" s="51" t="str">
        <x:f>IF($E38="","",$E38)</x:f>
      </x:c>
      <x:c r="AF38" s="51" t="str">
        <x:f>IF($E38="","",$E38)</x:f>
      </x:c>
      <x:c r="AG38" s="51" t="str">
        <x:f>IF($E38="","",$E38)</x:f>
      </x:c>
      <x:c r="AH38" s="51" t="str">
        <x:f>IF($E38="","",$E38)</x:f>
      </x:c>
      <x:c r="AI38" s="51" t="str">
        <x:f>IF($E38="","",$E38)</x:f>
      </x:c>
      <x:c r="AJ38" s="51" t="str">
        <x:f>IF($E38="","",$E38)</x:f>
      </x:c>
      <x:c r="AK38" s="51" t="str">
        <x:f>IF($E38="","",$E38)</x:f>
      </x:c>
      <x:c r="AL38" s="51" t="str">
        <x:f>IF($E38="","",$E38)</x:f>
      </x:c>
      <x:c r="AM38" s="51" t="str">
        <x:f>IF($E38="","",$E38)</x:f>
      </x:c>
      <x:c r="AN38" s="51" t="str">
        <x:f>IF($E38="","",$E38)</x:f>
      </x:c>
      <x:c r="AO38" s="51" t="str">
        <x:f>IF($E38="","",$E38)</x:f>
      </x:c>
      <x:c r="AP38" s="51" t="str">
        <x:f>IF($E38="","",$E38)</x:f>
      </x:c>
      <x:c r="AQ38" s="51" t="str">
        <x:f>IF($E38="","",$E38)</x:f>
      </x:c>
      <x:c r="AR38" s="51" t="str">
        <x:f>IF($E38="","",$E38)</x:f>
      </x:c>
      <x:c r="AS38" s="51" t="str">
        <x:f>IF($E38="","",$E38)</x:f>
      </x:c>
      <x:c r="AT38" s="51" t="str">
        <x:f>IF($E38="","",$E38)</x:f>
      </x:c>
      <x:c r="AU38" s="51" t="str">
        <x:f>IF($E38="","",$E38)</x:f>
      </x:c>
      <x:c r="AV38" s="51" t="str">
        <x:f>IF($E38="","",$E38)</x:f>
      </x:c>
      <x:c r="AW38" s="51" t="str">
        <x:f>IF($E38="","",$E38)</x:f>
      </x:c>
      <x:c r="AX38" s="51" t="str">
        <x:f>IF($E38="","",$E38)</x:f>
      </x:c>
      <x:c r="AY38" s="51" t="str">
        <x:f>IF($E38="","",$E38)</x:f>
      </x:c>
      <x:c r="AZ38" s="51" t="str">
        <x:f>IF($E38="","",$E38)</x:f>
      </x:c>
      <x:c r="BA38" s="51" t="str">
        <x:f>IF($E38="","",$E38)</x:f>
      </x:c>
      <x:c r="BB38" s="51" t="str">
        <x:f>IF($E38="","",$E38)</x:f>
      </x:c>
      <x:c r="BC38" s="51" t="str">
        <x:f>IF($E38="","",$E38)</x:f>
      </x:c>
      <x:c r="BD38" s="51" t="str">
        <x:f>IF($E38="","",$E38)</x:f>
      </x:c>
      <x:c r="BE38" s="51" t="str">
        <x:f>IF($E38="","",$E38)</x:f>
      </x:c>
      <x:c r="BF38" s="51" t="str">
        <x:f>IF($E38="","",$E38)</x:f>
      </x:c>
      <x:c r="BG38" s="51" t="str">
        <x:f>IF($E38="","",$E38)</x:f>
      </x:c>
      <x:c r="BH38" s="51" t="str">
        <x:f>IF($E38="","",$E38)</x:f>
      </x:c>
      <x:c r="BI38" s="51" t="str">
        <x:f>IF($E38="","",$E38)</x:f>
      </x:c>
      <x:c r="BJ38" s="51" t="str">
        <x:f>IF($E38="","",$E38)</x:f>
      </x:c>
      <x:c r="BK38" s="51" t="str">
        <x:f>IF($E38="","",$E38)</x:f>
      </x:c>
      <x:c r="BL38" s="51" t="str">
        <x:f>IF($E38="","",$E38)</x:f>
      </x:c>
      <x:c r="BM38" s="51" t="str">
        <x:f>IF($E38="","",$E38)</x:f>
      </x:c>
      <x:c r="BN38" s="51" t="str">
        <x:f>IF($E38="","",$E38)</x:f>
      </x:c>
      <x:c r="BO38" s="51" t="str">
        <x:f>IF(COUNT(G38:BN38)=0,"",SUM(G38:BN38))</x:f>
      </x:c>
    </x:row>
    <x:row r="39">
      <x:c r="A39" s="51" t="str">
        <x:v>USA-15</x:v>
      </x:c>
      <x:c r="B39" s="51" t="str">
        <x:v>East US</x:v>
      </x:c>
      <x:c r="C39" s="51" t="str">
        <x:v>Tráfico interzona</x:v>
      </x:c>
      <x:c r="D39" s="51" t="str">
        <x:v>GB</x:v>
      </x:c>
      <x:c r="E39" s="51" t="n">
        <x:f>'Fuentes y Cotizaciones'!F39</x:f>
        <x:v>0</x:v>
      </x:c>
      <x:c r="F39" s="51" t="str">
        <x:v>No aplica: HA desactivada y servicios colocados</x:v>
      </x:c>
      <x:c r="G39" s="51" t="str">
        <x:f>IF($E39="","",$E39)</x:f>
      </x:c>
      <x:c r="H39" s="51" t="str">
        <x:f>IF($E39="","",$E39)</x:f>
      </x:c>
      <x:c r="I39" s="51" t="str">
        <x:f>IF($E39="","",$E39)</x:f>
      </x:c>
      <x:c r="J39" s="51" t="str">
        <x:f>IF($E39="","",$E39)</x:f>
      </x:c>
      <x:c r="K39" s="51" t="str">
        <x:f>IF($E39="","",$E39)</x:f>
      </x:c>
      <x:c r="L39" s="51" t="str">
        <x:f>IF($E39="","",$E39)</x:f>
      </x:c>
      <x:c r="M39" s="51" t="str">
        <x:f>IF($E39="","",$E39)</x:f>
      </x:c>
      <x:c r="N39" s="51" t="str">
        <x:f>IF($E39="","",$E39)</x:f>
      </x:c>
      <x:c r="O39" s="51" t="str">
        <x:f>IF($E39="","",$E39)</x:f>
      </x:c>
      <x:c r="P39" s="51" t="str">
        <x:f>IF($E39="","",$E39)</x:f>
      </x:c>
      <x:c r="Q39" s="51" t="str">
        <x:f>IF($E39="","",$E39)</x:f>
      </x:c>
      <x:c r="R39" s="51" t="str">
        <x:f>IF($E39="","",$E39)</x:f>
      </x:c>
      <x:c r="S39" s="51" t="str">
        <x:f>IF($E39="","",$E39)</x:f>
      </x:c>
      <x:c r="T39" s="51" t="str">
        <x:f>IF($E39="","",$E39)</x:f>
      </x:c>
      <x:c r="U39" s="51" t="str">
        <x:f>IF($E39="","",$E39)</x:f>
      </x:c>
      <x:c r="V39" s="51" t="str">
        <x:f>IF($E39="","",$E39)</x:f>
      </x:c>
      <x:c r="W39" s="51" t="str">
        <x:f>IF($E39="","",$E39)</x:f>
      </x:c>
      <x:c r="X39" s="51" t="str">
        <x:f>IF($E39="","",$E39)</x:f>
      </x:c>
      <x:c r="Y39" s="51" t="str">
        <x:f>IF($E39="","",$E39)</x:f>
      </x:c>
      <x:c r="Z39" s="51" t="str">
        <x:f>IF($E39="","",$E39)</x:f>
      </x:c>
      <x:c r="AA39" s="51" t="str">
        <x:f>IF($E39="","",$E39)</x:f>
      </x:c>
      <x:c r="AB39" s="51" t="str">
        <x:f>IF($E39="","",$E39)</x:f>
      </x:c>
      <x:c r="AC39" s="51" t="str">
        <x:f>IF($E39="","",$E39)</x:f>
      </x:c>
      <x:c r="AD39" s="51" t="str">
        <x:f>IF($E39="","",$E39)</x:f>
      </x:c>
      <x:c r="AE39" s="51" t="str">
        <x:f>IF($E39="","",$E39)</x:f>
      </x:c>
      <x:c r="AF39" s="51" t="str">
        <x:f>IF($E39="","",$E39)</x:f>
      </x:c>
      <x:c r="AG39" s="51" t="str">
        <x:f>IF($E39="","",$E39)</x:f>
      </x:c>
      <x:c r="AH39" s="51" t="str">
        <x:f>IF($E39="","",$E39)</x:f>
      </x:c>
      <x:c r="AI39" s="51" t="str">
        <x:f>IF($E39="","",$E39)</x:f>
      </x:c>
      <x:c r="AJ39" s="51" t="str">
        <x:f>IF($E39="","",$E39)</x:f>
      </x:c>
      <x:c r="AK39" s="51" t="str">
        <x:f>IF($E39="","",$E39)</x:f>
      </x:c>
      <x:c r="AL39" s="51" t="str">
        <x:f>IF($E39="","",$E39)</x:f>
      </x:c>
      <x:c r="AM39" s="51" t="str">
        <x:f>IF($E39="","",$E39)</x:f>
      </x:c>
      <x:c r="AN39" s="51" t="str">
        <x:f>IF($E39="","",$E39)</x:f>
      </x:c>
      <x:c r="AO39" s="51" t="str">
        <x:f>IF($E39="","",$E39)</x:f>
      </x:c>
      <x:c r="AP39" s="51" t="str">
        <x:f>IF($E39="","",$E39)</x:f>
      </x:c>
      <x:c r="AQ39" s="51" t="str">
        <x:f>IF($E39="","",$E39)</x:f>
      </x:c>
      <x:c r="AR39" s="51" t="str">
        <x:f>IF($E39="","",$E39)</x:f>
      </x:c>
      <x:c r="AS39" s="51" t="str">
        <x:f>IF($E39="","",$E39)</x:f>
      </x:c>
      <x:c r="AT39" s="51" t="str">
        <x:f>IF($E39="","",$E39)</x:f>
      </x:c>
      <x:c r="AU39" s="51" t="str">
        <x:f>IF($E39="","",$E39)</x:f>
      </x:c>
      <x:c r="AV39" s="51" t="str">
        <x:f>IF($E39="","",$E39)</x:f>
      </x:c>
      <x:c r="AW39" s="51" t="str">
        <x:f>IF($E39="","",$E39)</x:f>
      </x:c>
      <x:c r="AX39" s="51" t="str">
        <x:f>IF($E39="","",$E39)</x:f>
      </x:c>
      <x:c r="AY39" s="51" t="str">
        <x:f>IF($E39="","",$E39)</x:f>
      </x:c>
      <x:c r="AZ39" s="51" t="str">
        <x:f>IF($E39="","",$E39)</x:f>
      </x:c>
      <x:c r="BA39" s="51" t="str">
        <x:f>IF($E39="","",$E39)</x:f>
      </x:c>
      <x:c r="BB39" s="51" t="str">
        <x:f>IF($E39="","",$E39)</x:f>
      </x:c>
      <x:c r="BC39" s="51" t="str">
        <x:f>IF($E39="","",$E39)</x:f>
      </x:c>
      <x:c r="BD39" s="51" t="str">
        <x:f>IF($E39="","",$E39)</x:f>
      </x:c>
      <x:c r="BE39" s="51" t="str">
        <x:f>IF($E39="","",$E39)</x:f>
      </x:c>
      <x:c r="BF39" s="51" t="str">
        <x:f>IF($E39="","",$E39)</x:f>
      </x:c>
      <x:c r="BG39" s="51" t="str">
        <x:f>IF($E39="","",$E39)</x:f>
      </x:c>
      <x:c r="BH39" s="51" t="str">
        <x:f>IF($E39="","",$E39)</x:f>
      </x:c>
      <x:c r="BI39" s="51" t="str">
        <x:f>IF($E39="","",$E39)</x:f>
      </x:c>
      <x:c r="BJ39" s="51" t="str">
        <x:f>IF($E39="","",$E39)</x:f>
      </x:c>
      <x:c r="BK39" s="51" t="str">
        <x:f>IF($E39="","",$E39)</x:f>
      </x:c>
      <x:c r="BL39" s="51" t="str">
        <x:f>IF($E39="","",$E39)</x:f>
      </x:c>
      <x:c r="BM39" s="51" t="str">
        <x:f>IF($E39="","",$E39)</x:f>
      </x:c>
      <x:c r="BN39" s="51" t="str">
        <x:f>IF($E39="","",$E39)</x:f>
      </x:c>
      <x:c r="BO39" s="51" t="str">
        <x:f>IF(COUNT(G39:BN39)=0,"",SUM(G39:BN39))</x:f>
      </x:c>
    </x:row>
    <x:row r="40">
      <x:c r="A40" s="51" t="str">
        <x:v>USA-16</x:v>
      </x:c>
      <x:c r="B40" s="51" t="str">
        <x:v>East US</x:v>
      </x:c>
      <x:c r="C40" s="51" t="str">
        <x:v>Licencias de terceros</x:v>
      </x:c>
      <x:c r="D40" s="51" t="str">
        <x:v>USD/mes</x:v>
      </x:c>
      <x:c r="E40" s="51" t="n">
        <x:f>'Fuentes y Cotizaciones'!F40</x:f>
        <x:v>0</x:v>
      </x:c>
      <x:c r="F40" s="51" t="str">
        <x:v>No aplica: PostgreSQL open source; sin software tercero</x:v>
      </x:c>
      <x:c r="G40" s="51" t="str">
        <x:f>IF($E40="","",$E40)</x:f>
      </x:c>
      <x:c r="H40" s="51" t="str">
        <x:f>IF($E40="","",$E40)</x:f>
      </x:c>
      <x:c r="I40" s="51" t="str">
        <x:f>IF($E40="","",$E40)</x:f>
      </x:c>
      <x:c r="J40" s="51" t="str">
        <x:f>IF($E40="","",$E40)</x:f>
      </x:c>
      <x:c r="K40" s="51" t="str">
        <x:f>IF($E40="","",$E40)</x:f>
      </x:c>
      <x:c r="L40" s="51" t="str">
        <x:f>IF($E40="","",$E40)</x:f>
      </x:c>
      <x:c r="M40" s="51" t="str">
        <x:f>IF($E40="","",$E40)</x:f>
      </x:c>
      <x:c r="N40" s="51" t="str">
        <x:f>IF($E40="","",$E40)</x:f>
      </x:c>
      <x:c r="O40" s="51" t="str">
        <x:f>IF($E40="","",$E40)</x:f>
      </x:c>
      <x:c r="P40" s="51" t="str">
        <x:f>IF($E40="","",$E40)</x:f>
      </x:c>
      <x:c r="Q40" s="51" t="str">
        <x:f>IF($E40="","",$E40)</x:f>
      </x:c>
      <x:c r="R40" s="51" t="str">
        <x:f>IF($E40="","",$E40)</x:f>
      </x:c>
      <x:c r="S40" s="51" t="str">
        <x:f>IF($E40="","",$E40)</x:f>
      </x:c>
      <x:c r="T40" s="51" t="str">
        <x:f>IF($E40="","",$E40)</x:f>
      </x:c>
      <x:c r="U40" s="51" t="str">
        <x:f>IF($E40="","",$E40)</x:f>
      </x:c>
      <x:c r="V40" s="51" t="str">
        <x:f>IF($E40="","",$E40)</x:f>
      </x:c>
      <x:c r="W40" s="51" t="str">
        <x:f>IF($E40="","",$E40)</x:f>
      </x:c>
      <x:c r="X40" s="51" t="str">
        <x:f>IF($E40="","",$E40)</x:f>
      </x:c>
      <x:c r="Y40" s="51" t="str">
        <x:f>IF($E40="","",$E40)</x:f>
      </x:c>
      <x:c r="Z40" s="51" t="str">
        <x:f>IF($E40="","",$E40)</x:f>
      </x:c>
      <x:c r="AA40" s="51" t="str">
        <x:f>IF($E40="","",$E40)</x:f>
      </x:c>
      <x:c r="AB40" s="51" t="str">
        <x:f>IF($E40="","",$E40)</x:f>
      </x:c>
      <x:c r="AC40" s="51" t="str">
        <x:f>IF($E40="","",$E40)</x:f>
      </x:c>
      <x:c r="AD40" s="51" t="str">
        <x:f>IF($E40="","",$E40)</x:f>
      </x:c>
      <x:c r="AE40" s="51" t="str">
        <x:f>IF($E40="","",$E40)</x:f>
      </x:c>
      <x:c r="AF40" s="51" t="str">
        <x:f>IF($E40="","",$E40)</x:f>
      </x:c>
      <x:c r="AG40" s="51" t="str">
        <x:f>IF($E40="","",$E40)</x:f>
      </x:c>
      <x:c r="AH40" s="51" t="str">
        <x:f>IF($E40="","",$E40)</x:f>
      </x:c>
      <x:c r="AI40" s="51" t="str">
        <x:f>IF($E40="","",$E40)</x:f>
      </x:c>
      <x:c r="AJ40" s="51" t="str">
        <x:f>IF($E40="","",$E40)</x:f>
      </x:c>
      <x:c r="AK40" s="51" t="str">
        <x:f>IF($E40="","",$E40)</x:f>
      </x:c>
      <x:c r="AL40" s="51" t="str">
        <x:f>IF($E40="","",$E40)</x:f>
      </x:c>
      <x:c r="AM40" s="51" t="str">
        <x:f>IF($E40="","",$E40)</x:f>
      </x:c>
      <x:c r="AN40" s="51" t="str">
        <x:f>IF($E40="","",$E40)</x:f>
      </x:c>
      <x:c r="AO40" s="51" t="str">
        <x:f>IF($E40="","",$E40)</x:f>
      </x:c>
      <x:c r="AP40" s="51" t="str">
        <x:f>IF($E40="","",$E40)</x:f>
      </x:c>
      <x:c r="AQ40" s="51" t="str">
        <x:f>IF($E40="","",$E40)</x:f>
      </x:c>
      <x:c r="AR40" s="51" t="str">
        <x:f>IF($E40="","",$E40)</x:f>
      </x:c>
      <x:c r="AS40" s="51" t="str">
        <x:f>IF($E40="","",$E40)</x:f>
      </x:c>
      <x:c r="AT40" s="51" t="str">
        <x:f>IF($E40="","",$E40)</x:f>
      </x:c>
      <x:c r="AU40" s="51" t="str">
        <x:f>IF($E40="","",$E40)</x:f>
      </x:c>
      <x:c r="AV40" s="51" t="str">
        <x:f>IF($E40="","",$E40)</x:f>
      </x:c>
      <x:c r="AW40" s="51" t="str">
        <x:f>IF($E40="","",$E40)</x:f>
      </x:c>
      <x:c r="AX40" s="51" t="str">
        <x:f>IF($E40="","",$E40)</x:f>
      </x:c>
      <x:c r="AY40" s="51" t="str">
        <x:f>IF($E40="","",$E40)</x:f>
      </x:c>
      <x:c r="AZ40" s="51" t="str">
        <x:f>IF($E40="","",$E40)</x:f>
      </x:c>
      <x:c r="BA40" s="51" t="str">
        <x:f>IF($E40="","",$E40)</x:f>
      </x:c>
      <x:c r="BB40" s="51" t="str">
        <x:f>IF($E40="","",$E40)</x:f>
      </x:c>
      <x:c r="BC40" s="51" t="str">
        <x:f>IF($E40="","",$E40)</x:f>
      </x:c>
      <x:c r="BD40" s="51" t="str">
        <x:f>IF($E40="","",$E40)</x:f>
      </x:c>
      <x:c r="BE40" s="51" t="str">
        <x:f>IF($E40="","",$E40)</x:f>
      </x:c>
      <x:c r="BF40" s="51" t="str">
        <x:f>IF($E40="","",$E40)</x:f>
      </x:c>
      <x:c r="BG40" s="51" t="str">
        <x:f>IF($E40="","",$E40)</x:f>
      </x:c>
      <x:c r="BH40" s="51" t="str">
        <x:f>IF($E40="","",$E40)</x:f>
      </x:c>
      <x:c r="BI40" s="51" t="str">
        <x:f>IF($E40="","",$E40)</x:f>
      </x:c>
      <x:c r="BJ40" s="51" t="str">
        <x:f>IF($E40="","",$E40)</x:f>
      </x:c>
      <x:c r="BK40" s="51" t="str">
        <x:f>IF($E40="","",$E40)</x:f>
      </x:c>
      <x:c r="BL40" s="51" t="str">
        <x:f>IF($E40="","",$E40)</x:f>
      </x:c>
      <x:c r="BM40" s="51" t="str">
        <x:f>IF($E40="","",$E40)</x:f>
      </x:c>
      <x:c r="BN40" s="51" t="str">
        <x:f>IF($E40="","",$E40)</x:f>
      </x:c>
      <x:c r="BO40" s="51" t="str">
        <x:f>IF(COUNT(G40:BN40)=0,"",SUM(G40:BN40))</x:f>
      </x:c>
    </x:row>
    <x:row r="41">
      <x:c r="A41" s="51" t="str">
        <x:v>USA-17</x:v>
      </x:c>
      <x:c r="B41" s="51" t="str">
        <x:v>East US</x:v>
      </x:c>
      <x:c r="C41" s="51" t="str">
        <x:v>Soporte Azure</x:v>
      </x:c>
      <x:c r="D41" s="51" t="str">
        <x:v>USD/mes</x:v>
      </x:c>
      <x:c r="E41" s="51" t="n">
        <x:f>'Fuentes y Cotizaciones'!F41</x:f>
        <x:v>0</x:v>
      </x:c>
      <x:c r="F41" s="51" t="str">
        <x:v>Azure Basic Support sin cargo</x:v>
      </x:c>
      <x:c r="G41" s="51" t="str">
        <x:f>IF($E41="","",$E41)</x:f>
      </x:c>
      <x:c r="H41" s="51" t="str">
        <x:f>IF($E41="","",$E41)</x:f>
      </x:c>
      <x:c r="I41" s="51" t="str">
        <x:f>IF($E41="","",$E41)</x:f>
      </x:c>
      <x:c r="J41" s="51" t="str">
        <x:f>IF($E41="","",$E41)</x:f>
      </x:c>
      <x:c r="K41" s="51" t="str">
        <x:f>IF($E41="","",$E41)</x:f>
      </x:c>
      <x:c r="L41" s="51" t="str">
        <x:f>IF($E41="","",$E41)</x:f>
      </x:c>
      <x:c r="M41" s="51" t="str">
        <x:f>IF($E41="","",$E41)</x:f>
      </x:c>
      <x:c r="N41" s="51" t="str">
        <x:f>IF($E41="","",$E41)</x:f>
      </x:c>
      <x:c r="O41" s="51" t="str">
        <x:f>IF($E41="","",$E41)</x:f>
      </x:c>
      <x:c r="P41" s="51" t="str">
        <x:f>IF($E41="","",$E41)</x:f>
      </x:c>
      <x:c r="Q41" s="51" t="str">
        <x:f>IF($E41="","",$E41)</x:f>
      </x:c>
      <x:c r="R41" s="51" t="str">
        <x:f>IF($E41="","",$E41)</x:f>
      </x:c>
      <x:c r="S41" s="51" t="str">
        <x:f>IF($E41="","",$E41)</x:f>
      </x:c>
      <x:c r="T41" s="51" t="str">
        <x:f>IF($E41="","",$E41)</x:f>
      </x:c>
      <x:c r="U41" s="51" t="str">
        <x:f>IF($E41="","",$E41)</x:f>
      </x:c>
      <x:c r="V41" s="51" t="str">
        <x:f>IF($E41="","",$E41)</x:f>
      </x:c>
      <x:c r="W41" s="51" t="str">
        <x:f>IF($E41="","",$E41)</x:f>
      </x:c>
      <x:c r="X41" s="51" t="str">
        <x:f>IF($E41="","",$E41)</x:f>
      </x:c>
      <x:c r="Y41" s="51" t="str">
        <x:f>IF($E41="","",$E41)</x:f>
      </x:c>
      <x:c r="Z41" s="51" t="str">
        <x:f>IF($E41="","",$E41)</x:f>
      </x:c>
      <x:c r="AA41" s="51" t="str">
        <x:f>IF($E41="","",$E41)</x:f>
      </x:c>
      <x:c r="AB41" s="51" t="str">
        <x:f>IF($E41="","",$E41)</x:f>
      </x:c>
      <x:c r="AC41" s="51" t="str">
        <x:f>IF($E41="","",$E41)</x:f>
      </x:c>
      <x:c r="AD41" s="51" t="str">
        <x:f>IF($E41="","",$E41)</x:f>
      </x:c>
      <x:c r="AE41" s="51" t="str">
        <x:f>IF($E41="","",$E41)</x:f>
      </x:c>
      <x:c r="AF41" s="51" t="str">
        <x:f>IF($E41="","",$E41)</x:f>
      </x:c>
      <x:c r="AG41" s="51" t="str">
        <x:f>IF($E41="","",$E41)</x:f>
      </x:c>
      <x:c r="AH41" s="51" t="str">
        <x:f>IF($E41="","",$E41)</x:f>
      </x:c>
      <x:c r="AI41" s="51" t="str">
        <x:f>IF($E41="","",$E41)</x:f>
      </x:c>
      <x:c r="AJ41" s="51" t="str">
        <x:f>IF($E41="","",$E41)</x:f>
      </x:c>
      <x:c r="AK41" s="51" t="str">
        <x:f>IF($E41="","",$E41)</x:f>
      </x:c>
      <x:c r="AL41" s="51" t="str">
        <x:f>IF($E41="","",$E41)</x:f>
      </x:c>
      <x:c r="AM41" s="51" t="str">
        <x:f>IF($E41="","",$E41)</x:f>
      </x:c>
      <x:c r="AN41" s="51" t="str">
        <x:f>IF($E41="","",$E41)</x:f>
      </x:c>
      <x:c r="AO41" s="51" t="str">
        <x:f>IF($E41="","",$E41)</x:f>
      </x:c>
      <x:c r="AP41" s="51" t="str">
        <x:f>IF($E41="","",$E41)</x:f>
      </x:c>
      <x:c r="AQ41" s="51" t="str">
        <x:f>IF($E41="","",$E41)</x:f>
      </x:c>
      <x:c r="AR41" s="51" t="str">
        <x:f>IF($E41="","",$E41)</x:f>
      </x:c>
      <x:c r="AS41" s="51" t="str">
        <x:f>IF($E41="","",$E41)</x:f>
      </x:c>
      <x:c r="AT41" s="51" t="str">
        <x:f>IF($E41="","",$E41)</x:f>
      </x:c>
      <x:c r="AU41" s="51" t="str">
        <x:f>IF($E41="","",$E41)</x:f>
      </x:c>
      <x:c r="AV41" s="51" t="str">
        <x:f>IF($E41="","",$E41)</x:f>
      </x:c>
      <x:c r="AW41" s="51" t="str">
        <x:f>IF($E41="","",$E41)</x:f>
      </x:c>
      <x:c r="AX41" s="51" t="str">
        <x:f>IF($E41="","",$E41)</x:f>
      </x:c>
      <x:c r="AY41" s="51" t="str">
        <x:f>IF($E41="","",$E41)</x:f>
      </x:c>
      <x:c r="AZ41" s="51" t="str">
        <x:f>IF($E41="","",$E41)</x:f>
      </x:c>
      <x:c r="BA41" s="51" t="str">
        <x:f>IF($E41="","",$E41)</x:f>
      </x:c>
      <x:c r="BB41" s="51" t="str">
        <x:f>IF($E41="","",$E41)</x:f>
      </x:c>
      <x:c r="BC41" s="51" t="str">
        <x:f>IF($E41="","",$E41)</x:f>
      </x:c>
      <x:c r="BD41" s="51" t="str">
        <x:f>IF($E41="","",$E41)</x:f>
      </x:c>
      <x:c r="BE41" s="51" t="str">
        <x:f>IF($E41="","",$E41)</x:f>
      </x:c>
      <x:c r="BF41" s="51" t="str">
        <x:f>IF($E41="","",$E41)</x:f>
      </x:c>
      <x:c r="BG41" s="51" t="str">
        <x:f>IF($E41="","",$E41)</x:f>
      </x:c>
      <x:c r="BH41" s="51" t="str">
        <x:f>IF($E41="","",$E41)</x:f>
      </x:c>
      <x:c r="BI41" s="51" t="str">
        <x:f>IF($E41="","",$E41)</x:f>
      </x:c>
      <x:c r="BJ41" s="51" t="str">
        <x:f>IF($E41="","",$E41)</x:f>
      </x:c>
      <x:c r="BK41" s="51" t="str">
        <x:f>IF($E41="","",$E41)</x:f>
      </x:c>
      <x:c r="BL41" s="51" t="str">
        <x:f>IF($E41="","",$E41)</x:f>
      </x:c>
      <x:c r="BM41" s="51" t="str">
        <x:f>IF($E41="","",$E41)</x:f>
      </x:c>
      <x:c r="BN41" s="51" t="str">
        <x:f>IF($E41="","",$E41)</x:f>
      </x:c>
      <x:c r="BO41" s="51" t="str">
        <x:f>IF(COUNT(G41:BN41)=0,"",SUM(G41:BN41))</x:f>
      </x:c>
    </x:row>
    <x:row r="42">
      <x:c r="A42" s="51" t="str">
        <x:v>USA-18</x:v>
      </x:c>
      <x:c r="B42" s="51" t="str">
        <x:v>East US</x:v>
      </x:c>
      <x:c r="C42" s="51" t="str">
        <x:v>Esfuerzo operativo</x:v>
      </x:c>
      <x:c r="D42" s="51" t="str">
        <x:v>USD/mes</x:v>
      </x:c>
      <x:c r="E42" s="51" t="n">
        <x:f>'Fuentes y Cotizaciones'!F42</x:f>
        <x:v>0</x:v>
      </x:c>
      <x:c r="F42" s="51" t="str">
        <x:v>Horas de operación × tarifa por hora</x:v>
      </x:c>
      <x:c r="G42" s="51" t="str">
        <x:f>IF(OR(Supuestos!$B$30="",Supuestos!$B$31=""),"",Supuestos!$B$30*Supuestos!$B$31)</x:f>
      </x:c>
      <x:c r="H42" s="51" t="str">
        <x:f>IF(OR(Supuestos!$B$30="",Supuestos!$B$31=""),"",Supuestos!$B$30*Supuestos!$B$31)</x:f>
      </x:c>
      <x:c r="I42" s="51" t="str">
        <x:f>IF(OR(Supuestos!$B$30="",Supuestos!$B$31=""),"",Supuestos!$B$30*Supuestos!$B$31)</x:f>
      </x:c>
      <x:c r="J42" s="51" t="str">
        <x:f>IF(OR(Supuestos!$B$30="",Supuestos!$B$31=""),"",Supuestos!$B$30*Supuestos!$B$31)</x:f>
      </x:c>
      <x:c r="K42" s="51" t="str">
        <x:f>IF(OR(Supuestos!$B$30="",Supuestos!$B$31=""),"",Supuestos!$B$30*Supuestos!$B$31)</x:f>
      </x:c>
      <x:c r="L42" s="51" t="str">
        <x:f>IF(OR(Supuestos!$B$30="",Supuestos!$B$31=""),"",Supuestos!$B$30*Supuestos!$B$31)</x:f>
      </x:c>
      <x:c r="M42" s="51" t="str">
        <x:f>IF(OR(Supuestos!$B$30="",Supuestos!$B$31=""),"",Supuestos!$B$30*Supuestos!$B$31)</x:f>
      </x:c>
      <x:c r="N42" s="51" t="str">
        <x:f>IF(OR(Supuestos!$B$30="",Supuestos!$B$31=""),"",Supuestos!$B$30*Supuestos!$B$31)</x:f>
      </x:c>
      <x:c r="O42" s="51" t="str">
        <x:f>IF(OR(Supuestos!$B$30="",Supuestos!$B$31=""),"",Supuestos!$B$30*Supuestos!$B$31)</x:f>
      </x:c>
      <x:c r="P42" s="51" t="str">
        <x:f>IF(OR(Supuestos!$B$30="",Supuestos!$B$31=""),"",Supuestos!$B$30*Supuestos!$B$31)</x:f>
      </x:c>
      <x:c r="Q42" s="51" t="str">
        <x:f>IF(OR(Supuestos!$B$30="",Supuestos!$B$31=""),"",Supuestos!$B$30*Supuestos!$B$31)</x:f>
      </x:c>
      <x:c r="R42" s="51" t="str">
        <x:f>IF(OR(Supuestos!$B$30="",Supuestos!$B$31=""),"",Supuestos!$B$30*Supuestos!$B$31)</x:f>
      </x:c>
      <x:c r="S42" s="51" t="str">
        <x:f>IF(OR(Supuestos!$B$30="",Supuestos!$B$31=""),"",Supuestos!$B$30*Supuestos!$B$31)</x:f>
      </x:c>
      <x:c r="T42" s="51" t="str">
        <x:f>IF(OR(Supuestos!$B$30="",Supuestos!$B$31=""),"",Supuestos!$B$30*Supuestos!$B$31)</x:f>
      </x:c>
      <x:c r="U42" s="51" t="str">
        <x:f>IF(OR(Supuestos!$B$30="",Supuestos!$B$31=""),"",Supuestos!$B$30*Supuestos!$B$31)</x:f>
      </x:c>
      <x:c r="V42" s="51" t="str">
        <x:f>IF(OR(Supuestos!$B$30="",Supuestos!$B$31=""),"",Supuestos!$B$30*Supuestos!$B$31)</x:f>
      </x:c>
      <x:c r="W42" s="51" t="str">
        <x:f>IF(OR(Supuestos!$B$30="",Supuestos!$B$31=""),"",Supuestos!$B$30*Supuestos!$B$31)</x:f>
      </x:c>
      <x:c r="X42" s="51" t="str">
        <x:f>IF(OR(Supuestos!$B$30="",Supuestos!$B$31=""),"",Supuestos!$B$30*Supuestos!$B$31)</x:f>
      </x:c>
      <x:c r="Y42" s="51" t="str">
        <x:f>IF(OR(Supuestos!$B$30="",Supuestos!$B$31=""),"",Supuestos!$B$30*Supuestos!$B$31)</x:f>
      </x:c>
      <x:c r="Z42" s="51" t="str">
        <x:f>IF(OR(Supuestos!$B$30="",Supuestos!$B$31=""),"",Supuestos!$B$30*Supuestos!$B$31)</x:f>
      </x:c>
      <x:c r="AA42" s="51" t="str">
        <x:f>IF(OR(Supuestos!$B$30="",Supuestos!$B$31=""),"",Supuestos!$B$30*Supuestos!$B$31)</x:f>
      </x:c>
      <x:c r="AB42" s="51" t="str">
        <x:f>IF(OR(Supuestos!$B$30="",Supuestos!$B$31=""),"",Supuestos!$B$30*Supuestos!$B$31)</x:f>
      </x:c>
      <x:c r="AC42" s="51" t="str">
        <x:f>IF(OR(Supuestos!$B$30="",Supuestos!$B$31=""),"",Supuestos!$B$30*Supuestos!$B$31)</x:f>
      </x:c>
      <x:c r="AD42" s="51" t="str">
        <x:f>IF(OR(Supuestos!$B$30="",Supuestos!$B$31=""),"",Supuestos!$B$30*Supuestos!$B$31)</x:f>
      </x:c>
      <x:c r="AE42" s="51" t="str">
        <x:f>IF(OR(Supuestos!$B$30="",Supuestos!$B$31=""),"",Supuestos!$B$30*Supuestos!$B$31)</x:f>
      </x:c>
      <x:c r="AF42" s="51" t="str">
        <x:f>IF(OR(Supuestos!$B$30="",Supuestos!$B$31=""),"",Supuestos!$B$30*Supuestos!$B$31)</x:f>
      </x:c>
      <x:c r="AG42" s="51" t="str">
        <x:f>IF(OR(Supuestos!$B$30="",Supuestos!$B$31=""),"",Supuestos!$B$30*Supuestos!$B$31)</x:f>
      </x:c>
      <x:c r="AH42" s="51" t="str">
        <x:f>IF(OR(Supuestos!$B$30="",Supuestos!$B$31=""),"",Supuestos!$B$30*Supuestos!$B$31)</x:f>
      </x:c>
      <x:c r="AI42" s="51" t="str">
        <x:f>IF(OR(Supuestos!$B$30="",Supuestos!$B$31=""),"",Supuestos!$B$30*Supuestos!$B$31)</x:f>
      </x:c>
      <x:c r="AJ42" s="51" t="str">
        <x:f>IF(OR(Supuestos!$B$30="",Supuestos!$B$31=""),"",Supuestos!$B$30*Supuestos!$B$31)</x:f>
      </x:c>
      <x:c r="AK42" s="51" t="str">
        <x:f>IF(OR(Supuestos!$B$30="",Supuestos!$B$31=""),"",Supuestos!$B$30*Supuestos!$B$31)</x:f>
      </x:c>
      <x:c r="AL42" s="51" t="str">
        <x:f>IF(OR(Supuestos!$B$30="",Supuestos!$B$31=""),"",Supuestos!$B$30*Supuestos!$B$31)</x:f>
      </x:c>
      <x:c r="AM42" s="51" t="str">
        <x:f>IF(OR(Supuestos!$B$30="",Supuestos!$B$31=""),"",Supuestos!$B$30*Supuestos!$B$31)</x:f>
      </x:c>
      <x:c r="AN42" s="51" t="str">
        <x:f>IF(OR(Supuestos!$B$30="",Supuestos!$B$31=""),"",Supuestos!$B$30*Supuestos!$B$31)</x:f>
      </x:c>
      <x:c r="AO42" s="51" t="str">
        <x:f>IF(OR(Supuestos!$B$30="",Supuestos!$B$31=""),"",Supuestos!$B$30*Supuestos!$B$31)</x:f>
      </x:c>
      <x:c r="AP42" s="51" t="str">
        <x:f>IF(OR(Supuestos!$B$30="",Supuestos!$B$31=""),"",Supuestos!$B$30*Supuestos!$B$31)</x:f>
      </x:c>
      <x:c r="AQ42" s="51" t="str">
        <x:f>IF(OR(Supuestos!$B$30="",Supuestos!$B$31=""),"",Supuestos!$B$30*Supuestos!$B$31)</x:f>
      </x:c>
      <x:c r="AR42" s="51" t="str">
        <x:f>IF(OR(Supuestos!$B$30="",Supuestos!$B$31=""),"",Supuestos!$B$30*Supuestos!$B$31)</x:f>
      </x:c>
      <x:c r="AS42" s="51" t="str">
        <x:f>IF(OR(Supuestos!$B$30="",Supuestos!$B$31=""),"",Supuestos!$B$30*Supuestos!$B$31)</x:f>
      </x:c>
      <x:c r="AT42" s="51" t="str">
        <x:f>IF(OR(Supuestos!$B$30="",Supuestos!$B$31=""),"",Supuestos!$B$30*Supuestos!$B$31)</x:f>
      </x:c>
      <x:c r="AU42" s="51" t="str">
        <x:f>IF(OR(Supuestos!$B$30="",Supuestos!$B$31=""),"",Supuestos!$B$30*Supuestos!$B$31)</x:f>
      </x:c>
      <x:c r="AV42" s="51" t="str">
        <x:f>IF(OR(Supuestos!$B$30="",Supuestos!$B$31=""),"",Supuestos!$B$30*Supuestos!$B$31)</x:f>
      </x:c>
      <x:c r="AW42" s="51" t="str">
        <x:f>IF(OR(Supuestos!$B$30="",Supuestos!$B$31=""),"",Supuestos!$B$30*Supuestos!$B$31)</x:f>
      </x:c>
      <x:c r="AX42" s="51" t="str">
        <x:f>IF(OR(Supuestos!$B$30="",Supuestos!$B$31=""),"",Supuestos!$B$30*Supuestos!$B$31)</x:f>
      </x:c>
      <x:c r="AY42" s="51" t="str">
        <x:f>IF(OR(Supuestos!$B$30="",Supuestos!$B$31=""),"",Supuestos!$B$30*Supuestos!$B$31)</x:f>
      </x:c>
      <x:c r="AZ42" s="51" t="str">
        <x:f>IF(OR(Supuestos!$B$30="",Supuestos!$B$31=""),"",Supuestos!$B$30*Supuestos!$B$31)</x:f>
      </x:c>
      <x:c r="BA42" s="51" t="str">
        <x:f>IF(OR(Supuestos!$B$30="",Supuestos!$B$31=""),"",Supuestos!$B$30*Supuestos!$B$31)</x:f>
      </x:c>
      <x:c r="BB42" s="51" t="str">
        <x:f>IF(OR(Supuestos!$B$30="",Supuestos!$B$31=""),"",Supuestos!$B$30*Supuestos!$B$31)</x:f>
      </x:c>
      <x:c r="BC42" s="51" t="str">
        <x:f>IF(OR(Supuestos!$B$30="",Supuestos!$B$31=""),"",Supuestos!$B$30*Supuestos!$B$31)</x:f>
      </x:c>
      <x:c r="BD42" s="51" t="str">
        <x:f>IF(OR(Supuestos!$B$30="",Supuestos!$B$31=""),"",Supuestos!$B$30*Supuestos!$B$31)</x:f>
      </x:c>
      <x:c r="BE42" s="51" t="str">
        <x:f>IF(OR(Supuestos!$B$30="",Supuestos!$B$31=""),"",Supuestos!$B$30*Supuestos!$B$31)</x:f>
      </x:c>
      <x:c r="BF42" s="51" t="str">
        <x:f>IF(OR(Supuestos!$B$30="",Supuestos!$B$31=""),"",Supuestos!$B$30*Supuestos!$B$31)</x:f>
      </x:c>
      <x:c r="BG42" s="51" t="str">
        <x:f>IF(OR(Supuestos!$B$30="",Supuestos!$B$31=""),"",Supuestos!$B$30*Supuestos!$B$31)</x:f>
      </x:c>
      <x:c r="BH42" s="51" t="str">
        <x:f>IF(OR(Supuestos!$B$30="",Supuestos!$B$31=""),"",Supuestos!$B$30*Supuestos!$B$31)</x:f>
      </x:c>
      <x:c r="BI42" s="51" t="str">
        <x:f>IF(OR(Supuestos!$B$30="",Supuestos!$B$31=""),"",Supuestos!$B$30*Supuestos!$B$31)</x:f>
      </x:c>
      <x:c r="BJ42" s="51" t="str">
        <x:f>IF(OR(Supuestos!$B$30="",Supuestos!$B$31=""),"",Supuestos!$B$30*Supuestos!$B$31)</x:f>
      </x:c>
      <x:c r="BK42" s="51" t="str">
        <x:f>IF(OR(Supuestos!$B$30="",Supuestos!$B$31=""),"",Supuestos!$B$30*Supuestos!$B$31)</x:f>
      </x:c>
      <x:c r="BL42" s="51" t="str">
        <x:f>IF(OR(Supuestos!$B$30="",Supuestos!$B$31=""),"",Supuestos!$B$30*Supuestos!$B$31)</x:f>
      </x:c>
      <x:c r="BM42" s="51" t="str">
        <x:f>IF(OR(Supuestos!$B$30="",Supuestos!$B$31=""),"",Supuestos!$B$30*Supuestos!$B$31)</x:f>
      </x:c>
      <x:c r="BN42" s="51" t="str">
        <x:f>IF(OR(Supuestos!$B$30="",Supuestos!$B$31=""),"",Supuestos!$B$30*Supuestos!$B$31)</x:f>
      </x:c>
      <x:c r="BO42" s="51" t="str">
        <x:f>IF(COUNT(G42:BN42)=0,"",SUM(G42:BN42))</x:f>
      </x:c>
    </x:row>
    <x:row r="44">
      <x:c r="A44" t="str">
        <x:v>Subtotal Chile Central</x:v>
      </x:c>
      <x:c r="B44" t="str">
        <x:v>Chile Central</x:v>
      </x:c>
      <x:c r="C44" t="str">
        <x:v>Consultas y retención Monitor</x:v>
      </x:c>
      <x:c r="D44" t="str">
        <x:v>USD/mes</x:v>
      </x:c>
      <x:c r="E44" t="n">
        <x:f>'Fuentes y Cotizaciones'!F44</x:f>
        <x:v>0</x:v>
      </x:c>
      <x:c r="F44" t="str">
        <x:v>No aplica: solo ingesta Basic Logs y 30 días</x:v>
      </x:c>
      <x:c r="G44" t="n">
        <x:f>SUM(G7:G18,G31:G36)</x:f>
        <x:v>379.6164</x:v>
      </x:c>
      <x:c r="H44" t="n">
        <x:f>SUM(H7:H18,H31:H36)</x:f>
        <x:v>379.8135859800365</x:v>
      </x:c>
      <x:c r="I44" t="n">
        <x:f>SUM(I7:I18,I31:I36)</x:f>
        <x:v>380.01379077301743</x:v>
      </x:c>
      <x:c r="J44" t="n">
        <x:f>SUM(J7:J18,J31:J36)</x:f>
        <x:v>380.2170605953703</x:v>
      </x:c>
      <x:c r="K44" t="n">
        <x:f>SUM(K7:K18,K31:K36)</x:f>
        <x:v>380.42344237107204</x:v>
      </x:c>
      <x:c r="L44" t="n">
        <x:f>SUM(L7:L18,L31:L36)</x:f>
        <x:v>380.6329837424805</x:v>
      </x:c>
      <x:c r="M44" t="n">
        <x:f>SUM(M7:M18,M31:M36)</x:f>
        <x:v>380.8457330813331</x:v>
      </x:c>
      <x:c r="N44" t="n">
        <x:f>SUM(N7:N18,N31:N36)</x:f>
        <x:v>381.0617394999126</x:v>
      </x:c>
      <x:c r="O44" t="n">
        <x:f>SUM(O7:O18,O31:O36)</x:f>
        <x:v>381.2810528623852</x:v>
      </x:c>
      <x:c r="P44" t="n">
        <x:f>SUM(P7:P18,P31:P36)</x:f>
        <x:v>381.5037237963107</x:v>
      </x:c>
      <x:c r="Q44" t="n">
        <x:f>SUM(Q7:Q18,Q31:Q36)</x:f>
        <x:v>381.7298037043303</x:v>
      </x:c>
      <x:c r="R44" t="n">
        <x:f>SUM(R7:R18,R31:R36)</x:f>
        <x:v>381.9593447760323</x:v>
      </x:c>
      <x:c r="S44" t="n">
        <x:f>SUM(S7:S18,S31:S36)</x:f>
        <x:v>382.1924</x:v>
      </x:c>
      <x:c r="T44" t="n">
        <x:f>SUM(T7:T18,T31:T36)</x:f>
        <x:v>382.42902317604387</x:v>
      </x:c>
      <x:c r="U44" t="n">
        <x:f>SUM(U7:U18,U31:U36)</x:f>
        <x:v>382.6692689276209</x:v>
      </x:c>
      <x:c r="V44" t="n">
        <x:f>SUM(V7:V18,V31:V36)</x:f>
        <x:v>382.9131927144444</x:v>
      </x:c>
      <x:c r="W44" t="n">
        <x:f>SUM(W7:W18,W31:W36)</x:f>
        <x:v>383.16085084528646</x:v>
      </x:c>
      <x:c r="X44" t="n">
        <x:f>SUM(X7:X18,X31:X36)</x:f>
        <x:v>383.41230049097663</x:v>
      </x:c>
      <x:c r="Y44" t="n">
        <x:f>SUM(Y7:Y18,Y31:Y36)</x:f>
        <x:v>383.6675996975997</x:v>
      </x:c>
      <x:c r="Z44" t="n">
        <x:f>SUM(Z7:Z18,Z31:Z36)</x:f>
        <x:v>383.92680739989515</x:v>
      </x:c>
      <x:c r="AA44" t="n">
        <x:f>SUM(AA7:AA18,AA31:AA36)</x:f>
        <x:v>384.1899834348622</x:v>
      </x:c>
      <x:c r="AB44" t="n">
        <x:f>SUM(AB7:AB18,AB31:AB36)</x:f>
        <x:v>384.4571885555728</x:v>
      </x:c>
      <x:c r="AC44" t="n">
        <x:f>SUM(AC7:AC18,AC31:AC36)</x:f>
        <x:v>384.72848444519633</x:v>
      </x:c>
      <x:c r="AD44" t="n">
        <x:f>SUM(AD7:AD18,AD31:AD36)</x:f>
        <x:v>385.00393373123876</x:v>
      </x:c>
      <x:c r="AE44" t="n">
        <x:f>SUM(AE7:AE18,AE31:AE36)</x:f>
        <x:v>385.2836</x:v>
      </x:c>
      <x:c r="AF44" t="n">
        <x:f>SUM(AF7:AF18,AF31:AF36)</x:f>
        <x:v>385.5675478112526</x:v>
      </x:c>
      <x:c r="AG44" t="n">
        <x:f>SUM(AG7:AG18,AG31:AG36)</x:f>
        <x:v>385.8558427131451</x:v>
      </x:c>
      <x:c r="AH44" t="n">
        <x:f>SUM(AH7:AH18,AH31:AH36)</x:f>
        <x:v>386.1485512573333</x:v>
      </x:c>
      <x:c r="AI44" t="n">
        <x:f>SUM(AI7:AI18,AI31:AI36)</x:f>
        <x:v>386.44574101434375</x:v>
      </x:c>
      <x:c r="AJ44" t="n">
        <x:f>SUM(AJ7:AJ18,AJ31:AJ36)</x:f>
        <x:v>386.74748058917197</x:v>
      </x:c>
      <x:c r="AK44" t="n">
        <x:f>SUM(AK7:AK18,AK31:AK36)</x:f>
        <x:v>387.0538396371196</x:v>
      </x:c>
      <x:c r="AL44" t="n">
        <x:f>SUM(AL7:AL18,AL31:AL36)</x:f>
        <x:v>387.3648888798742</x:v>
      </x:c>
      <x:c r="AM44" t="n">
        <x:f>SUM(AM7:AM18,AM31:AM36)</x:f>
        <x:v>387.68070012183466</x:v>
      </x:c>
      <x:c r="AN44" t="n">
        <x:f>SUM(AN7:AN18,AN31:AN36)</x:f>
        <x:v>388.0013462666874</x:v>
      </x:c>
      <x:c r="AO44" t="n">
        <x:f>SUM(AO7:AO18,AO31:AO36)</x:f>
        <x:v>388.32690133423563</x:v>
      </x:c>
      <x:c r="AP44" t="n">
        <x:f>SUM(AP7:AP18,AP31:AP36)</x:f>
        <x:v>388.6574404774865</x:v>
      </x:c>
      <x:c r="AQ44" t="n">
        <x:f>SUM(AQ7:AQ18,AQ31:AQ36)</x:f>
        <x:v>388.99304</x:v>
      </x:c>
      <x:c r="AR44" t="n">
        <x:f>SUM(AR7:AR18,AR31:AR36)</x:f>
        <x:v>389.33377737350315</x:v>
      </x:c>
      <x:c r="AS44" t="n">
        <x:f>SUM(AS7:AS18,AS31:AS36)</x:f>
        <x:v>389.6797312557741</x:v>
      </x:c>
      <x:c r="AT44" t="n">
        <x:f>SUM(AT7:AT18,AT31:AT36)</x:f>
        <x:v>390.0309815087999</x:v>
      </x:c>
      <x:c r="AU44" t="n">
        <x:f>SUM(AU7:AU18,AU31:AU36)</x:f>
        <x:v>390.38760921721246</x:v>
      </x:c>
      <x:c r="AV44" t="n">
        <x:f>SUM(AV7:AV18,AV31:AV36)</x:f>
        <x:v>390.74969670700636</x:v>
      </x:c>
      <x:c r="AW44" t="n">
        <x:f>SUM(AW7:AW18,AW31:AW36)</x:f>
        <x:v>391.1173275645436</x:v>
      </x:c>
      <x:c r="AX44" t="n">
        <x:f>SUM(AX7:AX18,AX31:AX36)</x:f>
        <x:v>391.49058665584903</x:v>
      </x:c>
      <x:c r="AY44" t="n">
        <x:f>SUM(AY7:AY18,AY31:AY36)</x:f>
        <x:v>391.8695601462016</x:v>
      </x:c>
      <x:c r="AZ44" t="n">
        <x:f>SUM(AZ7:AZ18,AZ31:AZ36)</x:f>
        <x:v>392.2543355200249</x:v>
      </x:c>
      <x:c r="BA44" t="n">
        <x:f>SUM(BA7:BA18,BA31:BA36)</x:f>
        <x:v>392.64500160108275</x:v>
      </x:c>
      <x:c r="BB44" t="n">
        <x:f>SUM(BB7:BB18,BB31:BB36)</x:f>
        <x:v>393.04164857298383</x:v>
      </x:c>
      <x:c r="BC44" t="n">
        <x:f>SUM(BC7:BC18,BC31:BC36)</x:f>
        <x:v>393.444368</x:v>
      </x:c>
      <x:c r="BD44" t="n">
        <x:f>SUM(BD7:BD18,BD31:BD36)</x:f>
        <x:v>393.85325284820374</x:v>
      </x:c>
      <x:c r="BE44" t="n">
        <x:f>SUM(BE7:BE18,BE31:BE36)</x:f>
        <x:v>394.2683975069289</x:v>
      </x:c>
      <x:c r="BF44" t="n">
        <x:f>SUM(BF7:BF18,BF31:BF36)</x:f>
        <x:v>394.6898978105599</x:v>
      </x:c>
      <x:c r="BG44" t="n">
        <x:f>SUM(BG7:BG18,BG31:BG36)</x:f>
        <x:v>395.11785106065497</x:v>
      </x:c>
      <x:c r="BH44" t="n">
        <x:f>SUM(BH7:BH18,BH31:BH36)</x:f>
        <x:v>395.5523560484076</x:v>
      </x:c>
      <x:c r="BI44" t="n">
        <x:f>SUM(BI7:BI18,BI31:BI36)</x:f>
        <x:v>395.9935130774523</x:v>
      </x:c>
      <x:c r="BJ44" t="n">
        <x:f>SUM(BJ7:BJ18,BJ31:BJ36)</x:f>
        <x:v>396.4414239870188</x:v>
      </x:c>
      <x:c r="BK44" t="n">
        <x:f>SUM(BK7:BK18,BK31:BK36)</x:f>
        <x:v>396.8961921754419</x:v>
      </x:c>
      <x:c r="BL44" t="n">
        <x:f>SUM(BL7:BL18,BL31:BL36)</x:f>
        <x:v>397.35792262402987</x:v>
      </x:c>
      <x:c r="BM44" t="n">
        <x:f>SUM(BM7:BM18,BM31:BM36)</x:f>
        <x:v>397.8267219212993</x:v>
      </x:c>
      <x:c r="BN44" t="n">
        <x:f>SUM(BN7:BN18,BN31:BN36)</x:f>
        <x:v>398.3026982875806</x:v>
      </x:c>
      <x:c r="BO44" t="n">
        <x:f>SUM(G44:BN44)</x:f>
        <x:v>23256.321466174068</x:v>
      </x:c>
    </x:row>
    <x:row r="45">
      <x:c r="A45" t="str">
        <x:v>Subtotal East US</x:v>
      </x:c>
      <x:c r="B45" t="str">
        <x:v>Chile Central</x:v>
      </x:c>
      <x:c r="C45" t="str">
        <x:v>Tráfico interzona</x:v>
      </x:c>
      <x:c r="D45" t="str">
        <x:v>GB</x:v>
      </x:c>
      <x:c r="E45" t="n">
        <x:f>'Fuentes y Cotizaciones'!F45</x:f>
        <x:v>0</x:v>
      </x:c>
      <x:c r="F45" t="str">
        <x:v>No aplica: HA desactivada y servicios colocados</x:v>
      </x:c>
      <x:c r="G45" t="n">
        <x:f>SUM(G19:G30,G37:G42)</x:f>
        <x:v>268.12600000000003</x:v>
      </x:c>
      <x:c r="H45" t="n">
        <x:f>SUM(H19:H30,H37:H42)</x:f>
        <x:v>268.2852184931972</x:v>
      </x:c>
      <x:c r="I45" t="n">
        <x:f>SUM(I19:I30,I37:I42)</x:f>
        <x:v>268.44687453721906</x:v>
      </x:c>
      <x:c r="J45" t="n">
        <x:f>SUM(J19:J30,J37:J42)</x:f>
        <x:v>268.6110054496779</x:v>
      </x:c>
      <x:c r="K45" t="n">
        <x:f>SUM(K19:K30,K37:K42)</x:f>
        <x:v>268.7776491194992</x:v>
      </x:c>
      <x:c r="L45" t="n">
        <x:f>SUM(L19:L30,L37:L42)</x:f>
        <x:v>268.9468440156675</x:v>
      </x:c>
      <x:c r="M45" t="n">
        <x:f>SUM(M19:M30,M37:M42)</x:f>
        <x:v>269.11862919610746</x:v>
      </x:c>
      <x:c r="N45" t="n">
        <x:f>SUM(N19:N30,N37:N42)</x:f>
        <x:v>269.29304431669965</x:v>
      </x:c>
      <x:c r="O45" t="n">
        <x:f>SUM(O19:O30,O37:O42)</x:f>
        <x:v>269.47012964043523</x:v>
      </x:c>
      <x:c r="P45" t="n">
        <x:f>SUM(P19:P30,P37:P42)</x:f>
        <x:v>269.6499260467105</x:v>
      </x:c>
      <x:c r="Q45" t="n">
        <x:f>SUM(Q19:Q30,Q37:Q42)</x:f>
        <x:v>269.8324750407636</x:v>
      </x:c>
      <x:c r="R45" t="n">
        <x:f>SUM(R19:R30,R37:R42)</x:f>
        <x:v>270.0178187632559</x:v>
      </x:c>
      <x:c r="S45" t="n">
        <x:f>SUM(S19:S30,S37:S42)</x:f>
        <x:v>270.206</x:v>
      </x:c>
      <x:c r="T45" t="n">
        <x:f>SUM(T19:T30,T37:T42)</x:f>
        <x:v>270.3970621918367</x:v>
      </x:c>
      <x:c r="U45" t="n">
        <x:f>SUM(U19:U30,U37:U42)</x:f>
        <x:v>270.5910494446628</x:v>
      </x:c>
      <x:c r="V45" t="n">
        <x:f>SUM(V19:V30,V37:V42)</x:f>
        <x:v>270.7880065396135</x:v>
      </x:c>
      <x:c r="W45" t="n">
        <x:f>SUM(W19:W30,W37:W42)</x:f>
        <x:v>270.987978943399</x:v>
      </x:c>
      <x:c r="X45" t="n">
        <x:f>SUM(X19:X30,X37:X42)</x:f>
        <x:v>271.191012818801</x:v>
      </x:c>
      <x:c r="Y45" t="n">
        <x:f>SUM(Y19:Y30,Y37:Y42)</x:f>
        <x:v>271.397155035329</x:v>
      </x:c>
      <x:c r="Z45" t="n">
        <x:f>SUM(Z19:Z30,Z37:Z42)</x:f>
        <x:v>271.6064531800396</x:v>
      </x:c>
      <x:c r="AA45" t="n">
        <x:f>SUM(AA19:AA30,AA37:AA42)</x:f>
        <x:v>271.8189555685223</x:v>
      </x:c>
      <x:c r="AB45" t="n">
        <x:f>SUM(AB19:AB30,AB37:AB42)</x:f>
        <x:v>272.0347112560526</x:v>
      </x:c>
      <x:c r="AC45" t="n">
        <x:f>SUM(AC19:AC30,AC37:AC42)</x:f>
        <x:v>272.25377004891635</x:v>
      </x:c>
      <x:c r="AD45" t="n">
        <x:f>SUM(AD19:AD30,AD37:AD42)</x:f>
        <x:v>272.4761825159071</x:v>
      </x:c>
      <x:c r="AE45" t="n">
        <x:f>SUM(AE19:AE30,AE37:AE42)</x:f>
        <x:v>272.70200000000006</x:v>
      </x:c>
      <x:c r="AF45" t="n">
        <x:f>SUM(AF19:AF30,AF37:AF42)</x:f>
        <x:v>272.931274630204</x:v>
      </x:c>
      <x:c r="AG45" t="n">
        <x:f>SUM(AG19:AG30,AG37:AG42)</x:f>
        <x:v>273.1640593335954</x:v>
      </x:c>
      <x:c r="AH45" t="n">
        <x:f>SUM(AH19:AH30,AH37:AH42)</x:f>
        <x:v>273.4004078475362</x:v>
      </x:c>
      <x:c r="AI45" t="n">
        <x:f>SUM(AI19:AI30,AI37:AI42)</x:f>
        <x:v>273.6403747320788</x:v>
      </x:c>
      <x:c r="AJ45" t="n">
        <x:f>SUM(AJ19:AJ30,AJ37:AJ42)</x:f>
        <x:v>273.88401538256124</x:v>
      </x:c>
      <x:c r="AK45" t="n">
        <x:f>SUM(AK19:AK30,AK37:AK42)</x:f>
        <x:v>274.13138604239475</x:v>
      </x:c>
      <x:c r="AL45" t="n">
        <x:f>SUM(AL19:AL30,AL37:AL42)</x:f>
        <x:v>274.38254381604753</x:v>
      </x:c>
      <x:c r="AM45" t="n">
        <x:f>SUM(AM19:AM30,AM37:AM42)</x:f>
        <x:v>274.63754668222674</x:v>
      </x:c>
      <x:c r="AN45" t="n">
        <x:f>SUM(AN19:AN30,AN37:AN42)</x:f>
        <x:v>274.8964535072632</x:v>
      </x:c>
      <x:c r="AO45" t="n">
        <x:f>SUM(AO19:AO30,AO37:AO42)</x:f>
        <x:v>275.1593240586996</x:v>
      </x:c>
      <x:c r="AP45" t="n">
        <x:f>SUM(AP19:AP30,AP37:AP42)</x:f>
        <x:v>275.4262190190885</x:v>
      </x:c>
      <x:c r="AQ45" t="n">
        <x:f>SUM(AQ19:AQ30,AQ37:AQ42)</x:f>
        <x:v>275.6972</x:v>
      </x:c>
      <x:c r="AR45" t="n">
        <x:f>SUM(AR19:AR30,AR37:AR42)</x:f>
        <x:v>275.9723295562448</x:v>
      </x:c>
      <x:c r="AS45" t="n">
        <x:f>SUM(AS19:AS30,AS37:AS42)</x:f>
        <x:v>276.2516712003145</x:v>
      </x:c>
      <x:c r="AT45" t="n">
        <x:f>SUM(AT19:AT30,AT37:AT42)</x:f>
        <x:v>276.53528941704343</x:v>
      </x:c>
      <x:c r="AU45" t="n">
        <x:f>SUM(AU19:AU30,AU37:AU42)</x:f>
        <x:v>276.82324967849456</x:v>
      </x:c>
      <x:c r="AV45" t="n">
        <x:f>SUM(AV19:AV30,AV37:AV42)</x:f>
        <x:v>277.11561845907346</x:v>
      </x:c>
      <x:c r="AW45" t="n">
        <x:f>SUM(AW19:AW30,AW37:AW42)</x:f>
        <x:v>277.4124632508737</x:v>
      </x:c>
      <x:c r="AX45" t="n">
        <x:f>SUM(AX19:AX30,AX37:AX42)</x:f>
        <x:v>277.713852579257</x:v>
      </x:c>
      <x:c r="AY45" t="n">
        <x:f>SUM(AY19:AY30,AY37:AY42)</x:f>
        <x:v>278.0198560186721</x:v>
      </x:c>
      <x:c r="AZ45" t="n">
        <x:f>SUM(AZ19:AZ30,AZ37:AZ42)</x:f>
        <x:v>278.33054420871576</x:v>
      </x:c>
      <x:c r="BA45" t="n">
        <x:f>SUM(BA19:BA30,BA37:BA42)</x:f>
        <x:v>278.6459888704395</x:v>
      </x:c>
      <x:c r="BB45" t="n">
        <x:f>SUM(BB19:BB30,BB37:BB42)</x:f>
        <x:v>278.96626282290623</x:v>
      </x:c>
      <x:c r="BC45" t="n">
        <x:f>SUM(BC19:BC30,BC37:BC42)</x:f>
        <x:v>279.29144</x:v>
      </x:c>
      <x:c r="BD45" t="n">
        <x:f>SUM(BD19:BD30,BD37:BD42)</x:f>
        <x:v>279.62159546749376</x:v>
      </x:c>
      <x:c r="BE45" t="n">
        <x:f>SUM(BE19:BE30,BE37:BE42)</x:f>
        <x:v>279.9568054403774</x:v>
      </x:c>
      <x:c r="BF45" t="n">
        <x:f>SUM(BF19:BF30,BF37:BF42)</x:f>
        <x:v>280.2971473004521</x:v>
      </x:c>
      <x:c r="BG45" t="n">
        <x:f>SUM(BG19:BG30,BG37:BG42)</x:f>
        <x:v>280.6426996141935</x:v>
      </x:c>
      <x:c r="BH45" t="n">
        <x:f>SUM(BH19:BH30,BH37:BH42)</x:f>
        <x:v>280.9935421508882</x:v>
      </x:c>
      <x:c r="BI45" t="n">
        <x:f>SUM(BI19:BI30,BI37:BI42)</x:f>
        <x:v>281.34975590104847</x:v>
      </x:c>
      <x:c r="BJ45" t="n">
        <x:f>SUM(BJ19:BJ30,BJ37:BJ42)</x:f>
        <x:v>281.7114230951084</x:v>
      </x:c>
      <x:c r="BK45" t="n">
        <x:f>SUM(BK19:BK30,BK37:BK42)</x:f>
        <x:v>282.0786272224065</x:v>
      </x:c>
      <x:c r="BL45" t="n">
        <x:f>SUM(BL19:BL30,BL37:BL42)</x:f>
        <x:v>282.45145305045895</x:v>
      </x:c>
      <x:c r="BM45" t="n">
        <x:f>SUM(BM19:BM30,BM37:BM42)</x:f>
        <x:v>282.8299866445274</x:v>
      </x:c>
      <x:c r="BN45" t="n">
        <x:f>SUM(BN19:BN30,BN37:BN42)</x:f>
        <x:v>283.21431538748743</x:v>
      </x:c>
      <x:c r="BO45" t="n">
        <x:f>SUM(G45:BN45)</x:f>
        <x:v>16474.602674550486</x:v>
      </x:c>
    </x:row>
    <x:row r="46">
      <x:c r="A46" t="str">
        <x:v>Diferencia East US - Chile Central</x:v>
      </x:c>
      <x:c r="B46" t="str">
        <x:v>Chile Central</x:v>
      </x:c>
      <x:c r="C46" t="str">
        <x:v>Licencias de terceros</x:v>
      </x:c>
      <x:c r="D46" t="str">
        <x:v>USD/mes</x:v>
      </x:c>
      <x:c r="E46" t="n">
        <x:f>'Fuentes y Cotizaciones'!F46</x:f>
        <x:v>0</x:v>
      </x:c>
      <x:c r="F46" t="str">
        <x:v>No aplica: PostgreSQL open source; sin software tercero</x:v>
      </x:c>
      <x:c r="G46" t="n">
        <x:f>G45-G44</x:f>
        <x:v>-111.49039999999997</x:v>
      </x:c>
      <x:c r="H46" t="n">
        <x:f>H45-H44</x:f>
        <x:v>-111.52836748683933</x:v>
      </x:c>
      <x:c r="I46" t="n">
        <x:f>I45-I44</x:f>
        <x:v>-111.56691623579837</x:v>
      </x:c>
      <x:c r="J46" t="n">
        <x:f>J45-J44</x:f>
        <x:v>-111.60605514569238</x:v>
      </x:c>
      <x:c r="K46" t="n">
        <x:f>K45-K44</x:f>
        <x:v>-111.64579325157285</x:v>
      </x:c>
      <x:c r="L46" t="n">
        <x:f>L45-L44</x:f>
        <x:v>-111.686139726813</x:v>
      </x:c>
      <x:c r="M46" t="n">
        <x:f>M45-M44</x:f>
        <x:v>-111.72710388522563</x:v>
      </x:c>
      <x:c r="N46" t="n">
        <x:f>N45-N44</x:f>
        <x:v>-111.76869518321297</x:v>
      </x:c>
      <x:c r="O46" t="n">
        <x:f>O45-O44</x:f>
        <x:v>-111.81092322194996</x:v>
      </x:c>
      <x:c r="P46" t="n">
        <x:f>P45-P44</x:f>
        <x:v>-111.85379774960018</x:v>
      </x:c>
      <x:c r="Q46" t="n">
        <x:f>Q45-Q44</x:f>
        <x:v>-111.89732866356673</x:v>
      </x:c>
      <x:c r="R46" t="n">
        <x:f>R45-R44</x:f>
        <x:v>-111.94152601277642</x:v>
      </x:c>
      <x:c r="S46" t="n">
        <x:f>S45-S44</x:f>
        <x:v>-111.9864</x:v>
      </x:c>
      <x:c r="T46" t="n">
        <x:f>T45-T44</x:f>
        <x:v>-112.03196098420716</x:v>
      </x:c>
      <x:c r="U46" t="n">
        <x:f>U45-U44</x:f>
        <x:v>-112.0782194829581</x:v>
      </x:c>
      <x:c r="V46" t="n">
        <x:f>V45-V44</x:f>
        <x:v>-112.1251861748309</x:v>
      </x:c>
      <x:c r="W46" t="n">
        <x:f>W45-W44</x:f>
        <x:v>-112.17287190188745</x:v>
      </x:c>
      <x:c r="X46" t="n">
        <x:f>X45-X44</x:f>
        <x:v>-112.2212876721756</x:v>
      </x:c>
      <x:c r="Y46" t="n">
        <x:f>Y45-Y44</x:f>
        <x:v>-112.27044466227073</x:v>
      </x:c>
      <x:c r="Z46" t="n">
        <x:f>Z45-Z44</x:f>
        <x:v>-112.32035421985557</x:v>
      </x:c>
      <x:c r="AA46" t="n">
        <x:f>AA45-AA44</x:f>
        <x:v>-112.37102786633989</x:v>
      </x:c>
      <x:c r="AB46" t="n">
        <x:f>AB45-AB44</x:f>
        <x:v>-112.42247729952021</x:v>
      </x:c>
      <x:c r="AC46" t="n">
        <x:f>AC45-AC44</x:f>
        <x:v>-112.47471439627998</x:v>
      </x:c>
      <x:c r="AD46" t="n">
        <x:f>AD45-AD44</x:f>
        <x:v>-112.52775121533165</x:v>
      </x:c>
      <x:c r="AE46" t="n">
        <x:f>AE45-AE44</x:f>
        <x:v>-112.58159999999992</x:v>
      </x:c>
      <x:c r="AF46" t="n">
        <x:f>AF45-AF44</x:f>
        <x:v>-112.63627318104864</x:v>
      </x:c>
      <x:c r="AG46" t="n">
        <x:f>AG45-AG44</x:f>
        <x:v>-112.69178337954969</x:v>
      </x:c>
      <x:c r="AH46" t="n">
        <x:f>AH45-AH44</x:f>
        <x:v>-112.74814340979708</x:v>
      </x:c>
      <x:c r="AI46" t="n">
        <x:f>AI45-AI44</x:f>
        <x:v>-112.80536628226497</x:v>
      </x:c>
      <x:c r="AJ46" t="n">
        <x:f>AJ45-AJ44</x:f>
        <x:v>-112.86346520661073</x:v>
      </x:c>
      <x:c r="AK46" t="n">
        <x:f>AK45-AK44</x:f>
        <x:v>-112.92245359472486</x:v>
      </x:c>
      <x:c r="AL46" t="n">
        <x:f>AL45-AL44</x:f>
        <x:v>-112.98234506382664</x:v>
      </x:c>
      <x:c r="AM46" t="n">
        <x:f>AM45-AM44</x:f>
        <x:v>-113.04315343960792</x:v>
      </x:c>
      <x:c r="AN46" t="n">
        <x:f>AN45-AN44</x:f>
        <x:v>-113.10489275942422</x:v>
      </x:c>
      <x:c r="AO46" t="n">
        <x:f>AO45-AO44</x:f>
        <x:v>-113.16757727553602</x:v>
      </x:c>
      <x:c r="AP46" t="n">
        <x:f>AP45-AP44</x:f>
        <x:v>-113.23122145839801</x:v>
      </x:c>
      <x:c r="AQ46" t="n">
        <x:f>AQ45-AQ44</x:f>
        <x:v>-113.29584</x:v>
      </x:c>
      <x:c r="AR46" t="n">
        <x:f>AR45-AR44</x:f>
        <x:v>-113.36144781725835</x:v>
      </x:c>
      <x:c r="AS46" t="n">
        <x:f>AS45-AS44</x:f>
        <x:v>-113.42806005545958</x:v>
      </x:c>
      <x:c r="AT46" t="n">
        <x:f>AT45-AT44</x:f>
        <x:v>-113.4956920917565</x:v>
      </x:c>
      <x:c r="AU46" t="n">
        <x:f>AU45-AU44</x:f>
        <x:v>-113.5643595387179</x:v>
      </x:c>
      <x:c r="AV46" t="n">
        <x:f>AV45-AV44</x:f>
        <x:v>-113.6340782479329</x:v>
      </x:c>
      <x:c r="AW46" t="n">
        <x:f>AW45-AW44</x:f>
        <x:v>-113.70486431366987</x:v>
      </x:c>
      <x:c r="AX46" t="n">
        <x:f>AX45-AX44</x:f>
        <x:v>-113.77673407659205</x:v>
      </x:c>
      <x:c r="AY46" t="n">
        <x:f>AY45-AY44</x:f>
        <x:v>-113.84970412752949</x:v>
      </x:c>
      <x:c r="AZ46" t="n">
        <x:f>AZ45-AZ44</x:f>
        <x:v>-113.92379131130912</x:v>
      </x:c>
      <x:c r="BA46" t="n">
        <x:f>BA45-BA44</x:f>
        <x:v>-113.99901273064324</x:v>
      </x:c>
      <x:c r="BB46" t="n">
        <x:f>BB45-BB44</x:f>
        <x:v>-114.0753857500776</x:v>
      </x:c>
      <x:c r="BC46" t="n">
        <x:f>BC45-BC44</x:f>
        <x:v>-114.15292799999997</x:v>
      </x:c>
      <x:c r="BD46" t="n">
        <x:f>BD45-BD44</x:f>
        <x:v>-114.23165738070998</x:v>
      </x:c>
      <x:c r="BE46" t="n">
        <x:f>BE45-BE44</x:f>
        <x:v>-114.3115920665515</x:v>
      </x:c>
      <x:c r="BF46" t="n">
        <x:f>BF45-BF44</x:f>
        <x:v>-114.39275051010782</x:v>
      </x:c>
      <x:c r="BG46" t="n">
        <x:f>BG45-BG44</x:f>
        <x:v>-114.4751514464615</x:v>
      </x:c>
      <x:c r="BH46" t="n">
        <x:f>BH45-BH44</x:f>
        <x:v>-114.55881389751943</x:v>
      </x:c>
      <x:c r="BI46" t="n">
        <x:f>BI45-BI44</x:f>
        <x:v>-114.64375717640382</x:v>
      </x:c>
      <x:c r="BJ46" t="n">
        <x:f>BJ45-BJ44</x:f>
        <x:v>-114.73000089191044</x:v>
      </x:c>
      <x:c r="BK46" t="n">
        <x:f>BK45-BK44</x:f>
        <x:v>-114.8175649530354</x:v>
      </x:c>
      <x:c r="BL46" t="n">
        <x:f>BL45-BL44</x:f>
        <x:v>-114.90646957357092</x:v>
      </x:c>
      <x:c r="BM46" t="n">
        <x:f>BM45-BM44</x:f>
        <x:v>-114.99673527677186</x:v>
      </x:c>
      <x:c r="BN46" t="n">
        <x:f>BN45-BN44</x:f>
        <x:v>-115.08838290009317</x:v>
      </x:c>
      <x:c r="BO46" t="n">
        <x:f>BO45-BO44</x:f>
        <x:v>-6781.718791623582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46" hidden="0" customWidth="1"/>
    <x:col min="5" max="5" width="17" hidden="0" customWidth="1"/>
    <x:col min="6" max="6" width="19" hidden="0" customWidth="1"/>
    <x:col min="7" max="7" width="42" hidden="0" customWidth="1"/>
    <x:col min="8" max="8" width="16" hidden="0" customWidth="1"/>
    <x:col min="9" max="9" width="22" hidden="0" customWidth="1"/>
    <x:col min="10" max="10" width="15" hidden="0" customWidth="1"/>
  </x:cols>
  <x:sheetData>
    <x:row r="2">
      <x:c r="A2" s="1" t="str">
        <x:v>FP-183 — Fuentes y cotizaciones</x:v>
      </x:c>
    </x:row>
    <x:row r="3">
      <x:c r="A3" s="2" t="str">
        <x:v>Complete precio, URL y fecha desde una fuente oficial antes de interpretar totales. No se inventaron precios.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6">
      <x:c r="A6" s="13" t="str">
        <x:v>Id</x:v>
      </x:c>
      <x:c r="B6" s="14" t="str">
        <x:v>Región</x:v>
      </x:c>
      <x:c r="C6" s="14" t="str">
        <x:v>Componente</x:v>
      </x:c>
      <x:c r="D6" s="14" t="str">
        <x:v>Servicio / configuración a cotizar</x:v>
      </x:c>
      <x:c r="E6" s="14" t="str">
        <x:v>Unidad</x:v>
      </x:c>
      <x:c r="F6" s="14" t="str">
        <x:v>Precio unitario USD</x:v>
      </x:c>
      <x:c r="G6" s="14" t="str">
        <x:v>Fuente oficial / URL</x:v>
      </x:c>
      <x:c r="H6" s="14" t="str">
        <x:v>Fecha de consulta</x:v>
      </x:c>
      <x:c r="I6" s="14" t="str">
        <x:v>Modalidad</x:v>
      </x:c>
      <x:c r="J6" s="15" t="str">
        <x:v>Estado</x:v>
      </x:c>
    </x:row>
    <x:row r="7">
      <x:c r="A7" s="16" t="str">
        <x:v>SCL-01</x:v>
      </x:c>
      <x:c r="B7" s="17" t="str">
        <x:v>Chile Central</x:v>
      </x:c>
      <x:c r="C7" s="17" t="str">
        <x:v>CPU activa producción</x:v>
      </x:c>
      <x:c r="D7" s="17" t="str">
        <x:v>Standard vCPU Active Usage; Consumption plan; Chile Central</x:v>
      </x:c>
      <x:c r="E7" s="17" t="str">
        <x:v>vCPU-hora</x:v>
      </x:c>
      <x:c r="F7" s="29" t="n">
        <x:v>0.1224</x:v>
      </x:c>
      <x:c r="G7" s="11" t="str">
        <x:v>https://learn.microsoft.com/en-us/azure/container-apps/billing</x:v>
      </x:c>
      <x:c r="H7" s="30" t="n">
        <x:v>46281</x:v>
      </x:c>
      <x:c r="I7" s="11" t="str">
        <x:v>Precio público / regla oficial</x:v>
      </x:c>
      <x:c r="J7" s="31" t="str">
        <x:v>Precio de lista; franquicia mensual separada; consulta 2026-09-16</x:v>
      </x:c>
    </x:row>
    <x:row r="8">
      <x:c r="A8" s="16" t="str">
        <x:v>SCL-02</x:v>
      </x:c>
      <x:c r="B8" s="17" t="str">
        <x:v>Chile Central</x:v>
      </x:c>
      <x:c r="C8" s="17" t="str">
        <x:v>Memoria activa producción</x:v>
      </x:c>
      <x:c r="D8" s="17" t="str">
        <x:v>Standard Memory Active Usage; Consumption plan; Chile Central</x:v>
      </x:c>
      <x:c r="E8" s="17" t="str">
        <x:v>GiB-hora</x:v>
      </x:c>
      <x:c r="F8" s="29" t="n">
        <x:v>0.0144</x:v>
      </x:c>
      <x:c r="G8" s="11" t="str">
        <x:v>https://learn.microsoft.com/en-us/azure/container-apps/billing</x:v>
      </x:c>
      <x:c r="H8" s="30" t="n">
        <x:v>46281</x:v>
      </x:c>
      <x:c r="I8" s="11" t="str">
        <x:v>Precio público / regla oficial</x:v>
      </x:c>
      <x:c r="J8" s="31" t="str">
        <x:v>Precio de lista; franquicia mensual separada; consulta 2026-09-16</x:v>
      </x:c>
    </x:row>
    <x:row r="9">
      <x:c r="A9" s="16" t="str">
        <x:v>SCL-03</x:v>
      </x:c>
      <x:c r="B9" s="17" t="str">
        <x:v>Chile Central</x:v>
      </x:c>
      <x:c r="C9" s="17" t="str">
        <x:v>Solicitudes producción</x:v>
      </x:c>
      <x:c r="D9" s="17" t="str">
        <x:v>Standard Requests; Consumption plan; Chile Central</x:v>
      </x:c>
      <x:c r="E9" s="17" t="str">
        <x:v>millón de solicitudes</x:v>
      </x:c>
      <x:c r="F9" s="29" t="n">
        <x:v>0.4</x:v>
      </x:c>
      <x:c r="G9" s="11" t="str">
        <x:v>https://learn.microsoft.com/en-us/azure/container-apps/billing</x:v>
      </x:c>
      <x:c r="H9" s="30" t="n">
        <x:v>46281</x:v>
      </x:c>
      <x:c r="I9" s="11" t="str">
        <x:v>Precio público / regla oficial</x:v>
      </x:c>
      <x:c r="J9" s="31" t="str">
        <x:v>Primeros 2 millones por suscripción/mes sin cargo; consulta 2026-09-16</x:v>
      </x:c>
    </x:row>
    <x:row r="10">
      <x:c r="A10" s="16" t="str">
        <x:v>SCL-04</x:v>
      </x:c>
      <x:c r="B10" s="17" t="str">
        <x:v>Chile Central</x:v>
      </x:c>
      <x:c r="C10" s="17" t="str">
        <x:v>Base de datos gestionada</x:v>
      </x:c>
      <x:c r="D10" s="17" t="str">
        <x:v>General Purpose Dsv3; precio por vCore-hora; base 2 vCores</x:v>
      </x:c>
      <x:c r="E10" s="17" t="str">
        <x:v>vCore-hora</x:v>
      </x:c>
      <x:c r="F10" s="29" t="n">
        <x:v>0.1197</x:v>
      </x:c>
      <x:c r="G10" s="11" t="str">
        <x:v>https://learn.microsoft.com/en-us/azure/postgresql/compute-storage/concepts-compute</x:v>
      </x:c>
      <x:c r="H10" s="30" t="n">
        <x:v>46281</x:v>
      </x:c>
      <x:c r="I10" s="11" t="str">
        <x:v>Precio público / regla oficial</x:v>
      </x:c>
      <x:c r="J10" s="31" t="str">
        <x:v>SKU desplegable: 2 vCores; HA desactivada; consulta 2026-09-16</x:v>
      </x:c>
    </x:row>
    <x:row r="11">
      <x:c r="A11" s="16" t="str">
        <x:v>SCL-05</x:v>
      </x:c>
      <x:c r="B11" s="17" t="str">
        <x:v>Chile Central</x:v>
      </x:c>
      <x:c r="C11" s="17" t="str">
        <x:v>Almacenamiento base de datos</x:v>
      </x:c>
      <x:c r="D11" s="17" t="str">
        <x:v>Premium SSD v2 Storage Data Stored; Chile Central</x:v>
      </x:c>
      <x:c r="E11" s="17" t="str">
        <x:v>GiB-mes</x:v>
      </x:c>
      <x:c r="F11" s="29" t="n">
        <x:v>0.161</x:v>
      </x:c>
      <x:c r="G11" s="11" t="str">
        <x:v>https://azure.microsoft.com/en-us/pricing/details/postgresql/flexible-server/</x:v>
      </x:c>
      <x:c r="H11" s="30" t="n">
        <x:v>46281</x:v>
      </x:c>
      <x:c r="I11" s="11" t="str">
        <x:v>Precio público / regla oficial</x:v>
      </x:c>
      <x:c r="J11" s="31" t="str">
        <x:v>Precio de lista; consulta 2026-09-16</x:v>
      </x:c>
    </x:row>
    <x:row r="12">
      <x:c r="A12" s="16" t="str">
        <x:v>SCL-06</x:v>
      </x:c>
      <x:c r="B12" s="17" t="str">
        <x:v>Chile Central</x:v>
      </x:c>
      <x:c r="C12" s="17" t="str">
        <x:v>Almacenamiento de objetos</x:v>
      </x:c>
      <x:c r="D12" s="17" t="str">
        <x:v>Block Blob v2 Hot LRS Data Stored; Chile Central</x:v>
      </x:c>
      <x:c r="E12" s="17" t="str">
        <x:v>GB-mes</x:v>
      </x:c>
      <x:c r="F12" s="29" t="n">
        <x:v>0.02576</x:v>
      </x:c>
      <x:c r="G12" s="11" t="str">
        <x:v>https://azure.microsoft.com/en-us/pricing/details/storage/blobs/</x:v>
      </x:c>
      <x:c r="H12" s="30" t="n">
        <x:v>46281</x:v>
      </x:c>
      <x:c r="I12" s="11" t="str">
        <x:v>Precio público / regla oficial</x:v>
      </x:c>
      <x:c r="J12" s="31" t="str">
        <x:v>Primer tramo; operaciones excluidas; consulta 2026-09-16</x:v>
      </x:c>
    </x:row>
    <x:row r="13">
      <x:c r="A13" s="16" t="str">
        <x:v>SCL-07</x:v>
      </x:c>
      <x:c r="B13" s="17" t="str">
        <x:v>Chile Central</x:v>
      </x:c>
      <x:c r="C13" s="17" t="str">
        <x:v>Egreso a Internet</x:v>
      </x:c>
      <x:c r="D13" s="17" t="str">
        <x:v>Internet egress via Microsoft Premium Global Network; South America</x:v>
      </x:c>
      <x:c r="E13" s="17" t="str">
        <x:v>GB</x:v>
      </x:c>
      <x:c r="F13" s="29" t="n">
        <x:v>0.181</x:v>
      </x:c>
      <x:c r="G13" s="11" t="str">
        <x:v>https://azure.microsoft.com/en-us/pricing/details/bandwidth/</x:v>
      </x:c>
      <x:c r="H13" s="30" t="n">
        <x:v>46281</x:v>
      </x:c>
      <x:c r="I13" s="11" t="str">
        <x:v>Precio público / regla oficial</x:v>
      </x:c>
      <x:c r="J13" s="31" t="str">
        <x:v>Primeros 100 GB/mes sin cargo; consulta 2026-09-16</x:v>
      </x:c>
    </x:row>
    <x:row r="14">
      <x:c r="A14" s="16" t="str">
        <x:v>SCL-08</x:v>
      </x:c>
      <x:c r="B14" s="17" t="str">
        <x:v>Chile Central</x:v>
      </x:c>
      <x:c r="C14" s="17" t="str">
        <x:v>Logs y monitoreo</x:v>
      </x:c>
      <x:c r="D14" s="17" t="str">
        <x:v>Basic Logs Data Ingestion; Chile Central</x:v>
      </x:c>
      <x:c r="E14" s="17" t="str">
        <x:v>GB</x:v>
      </x:c>
      <x:c r="F14" s="29" t="n">
        <x:v>0.7</x:v>
      </x:c>
      <x:c r="G14" s="11" t="str">
        <x:v>https://azure.microsoft.com/en-us/pricing/details/monitor/</x:v>
      </x:c>
      <x:c r="H14" s="30" t="n">
        <x:v>46281</x:v>
      </x:c>
      <x:c r="I14" s="11" t="str">
        <x:v>Precio público / regla oficial</x:v>
      </x:c>
      <x:c r="J14" s="31" t="str">
        <x:v>Consultas y retención adicional excluidas; consulta 2026-09-16</x:v>
      </x:c>
    </x:row>
    <x:row r="15">
      <x:c r="A15" s="16" t="str">
        <x:v>SCL-09</x:v>
      </x:c>
      <x:c r="B15" s="17" t="str">
        <x:v>Chile Central</x:v>
      </x:c>
      <x:c r="C15" s="17" t="str">
        <x:v>Backup automático excedente</x:v>
      </x:c>
      <x:c r="D15" s="17" t="str">
        <x:v>PostgreSQL automated backup storage overage</x:v>
      </x:c>
      <x:c r="E15" s="17" t="str">
        <x:v>GiB-mes</x:v>
      </x:c>
      <x:c r="F15" s="29" t="n">
        <x:v>0.095</x:v>
      </x:c>
      <x:c r="G15" s="11" t="str">
        <x:v>https://azure.microsoft.com/en-us/pricing/details/postgresql/flexible-server/</x:v>
      </x:c>
      <x:c r="H15" s="30" t="n">
        <x:v>46281</x:v>
      </x:c>
      <x:c r="I15" s="11" t="str">
        <x:v>Precio público / regla oficial</x:v>
      </x:c>
      <x:c r="J15" s="31" t="str">
        <x:v>0 GiB base: &lt;=100% del storage provisionado; consulta 2026-09-16</x:v>
      </x:c>
    </x:row>
    <x:row r="16">
      <x:c r="A16" s="16" t="str">
        <x:v>SCL-10</x:v>
      </x:c>
      <x:c r="B16" s="17" t="str">
        <x:v>Chile Central</x:v>
      </x:c>
      <x:c r="C16" s="17" t="str">
        <x:v>CPU activa no producción</x:v>
      </x:c>
      <x:c r="D16" s="17" t="str">
        <x:v>Standard vCPU Active Usage; Consumption plan; Chile Central</x:v>
      </x:c>
      <x:c r="E16" s="17" t="str">
        <x:v>vCPU-hora</x:v>
      </x:c>
      <x:c r="F16" s="29" t="n">
        <x:v>0.1224</x:v>
      </x:c>
      <x:c r="G16" s="11" t="str">
        <x:v>https://learn.microsoft.com/en-us/azure/container-apps/billing</x:v>
      </x:c>
      <x:c r="H16" s="30" t="n">
        <x:v>46281</x:v>
      </x:c>
      <x:c r="I16" s="11" t="str">
        <x:v>Precio público / regla oficial</x:v>
      </x:c>
      <x:c r="J16" s="31" t="str">
        <x:v>Franquicia remanente tras producción; consulta 2026-09-16</x:v>
      </x:c>
    </x:row>
    <x:row r="17">
      <x:c r="A17" s="16" t="str">
        <x:v>SCL-11</x:v>
      </x:c>
      <x:c r="B17" s="17" t="str">
        <x:v>Chile Central</x:v>
      </x:c>
      <x:c r="C17" s="17" t="str">
        <x:v>Memoria activa no producción</x:v>
      </x:c>
      <x:c r="D17" s="17" t="str">
        <x:v>Standard Memory Active Usage; Consumption plan; Chile Central</x:v>
      </x:c>
      <x:c r="E17" s="17" t="str">
        <x:v>GiB-hora</x:v>
      </x:c>
      <x:c r="F17" s="29" t="n">
        <x:v>0.0144</x:v>
      </x:c>
      <x:c r="G17" s="11" t="str">
        <x:v>https://learn.microsoft.com/en-us/azure/container-apps/billing</x:v>
      </x:c>
      <x:c r="H17" s="30" t="n">
        <x:v>46281</x:v>
      </x:c>
      <x:c r="I17" s="11" t="str">
        <x:v>Precio público / regla oficial</x:v>
      </x:c>
      <x:c r="J17" s="31" t="str">
        <x:v>Franquicia remanente tras producción; consulta 2026-09-16</x:v>
      </x:c>
    </x:row>
    <x:row r="18">
      <x:c r="A18" s="16" t="str">
        <x:v>SCL-12</x:v>
      </x:c>
      <x:c r="B18" s="17" t="str">
        <x:v>Chile Central</x:v>
      </x:c>
      <x:c r="C18" s="17" t="str">
        <x:v>Solicitudes no producción</x:v>
      </x:c>
      <x:c r="D18" s="17" t="str">
        <x:v>Standard Requests; Consumption plan; Chile Central</x:v>
      </x:c>
      <x:c r="E18" s="17" t="str">
        <x:v>millón de solicitudes</x:v>
      </x:c>
      <x:c r="F18" s="29" t="n">
        <x:v>0.4</x:v>
      </x:c>
      <x:c r="G18" s="11" t="str">
        <x:v>https://learn.microsoft.com/en-us/azure/container-apps/billing</x:v>
      </x:c>
      <x:c r="H18" s="30" t="n">
        <x:v>46281</x:v>
      </x:c>
      <x:c r="I18" s="11" t="str">
        <x:v>Precio público / regla oficial</x:v>
      </x:c>
      <x:c r="J18" s="31" t="str">
        <x:v>Franquicia remanente tras producción; consulta 2026-09-16</x:v>
      </x:c>
    </x:row>
    <x:row r="19">
      <x:c r="A19" s="16" t="str">
        <x:v>USA-01</x:v>
      </x:c>
      <x:c r="B19" s="17" t="str">
        <x:v>East US</x:v>
      </x:c>
      <x:c r="C19" s="17" t="str">
        <x:v>CPU activa producción</x:v>
      </x:c>
      <x:c r="D19" s="17" t="str">
        <x:v>Standard vCPU Active Usage; Consumption plan; East US</x:v>
      </x:c>
      <x:c r="E19" s="17" t="str">
        <x:v>vCPU-hora</x:v>
      </x:c>
      <x:c r="F19" s="29" t="n">
        <x:v>0.0864</x:v>
      </x:c>
      <x:c r="G19" s="11" t="str">
        <x:v>https://learn.microsoft.com/en-us/azure/container-apps/billing</x:v>
      </x:c>
      <x:c r="H19" s="30" t="n">
        <x:v>46281</x:v>
      </x:c>
      <x:c r="I19" s="11" t="str">
        <x:v>Precio público / regla oficial</x:v>
      </x:c>
      <x:c r="J19" s="31" t="str">
        <x:v>Precio de lista; franquicia mensual separada; consulta 2026-09-16</x:v>
      </x:c>
    </x:row>
    <x:row r="20">
      <x:c r="A20" s="16" t="str">
        <x:v>USA-02</x:v>
      </x:c>
      <x:c r="B20" s="17" t="str">
        <x:v>East US</x:v>
      </x:c>
      <x:c r="C20" s="17" t="str">
        <x:v>Memoria activa producción</x:v>
      </x:c>
      <x:c r="D20" s="17" t="str">
        <x:v>Standard Memory Active Usage; Consumption plan; East US</x:v>
      </x:c>
      <x:c r="E20" s="17" t="str">
        <x:v>GiB-hora</x:v>
      </x:c>
      <x:c r="F20" s="29" t="n">
        <x:v>0.0108</x:v>
      </x:c>
      <x:c r="G20" s="11" t="str">
        <x:v>https://learn.microsoft.com/en-us/azure/container-apps/billing</x:v>
      </x:c>
      <x:c r="H20" s="30" t="n">
        <x:v>46281</x:v>
      </x:c>
      <x:c r="I20" s="11" t="str">
        <x:v>Precio público / regla oficial</x:v>
      </x:c>
      <x:c r="J20" s="31" t="str">
        <x:v>Precio de lista; franquicia mensual separada; consulta 2026-09-16</x:v>
      </x:c>
    </x:row>
    <x:row r="21">
      <x:c r="A21" s="16" t="str">
        <x:v>USA-03</x:v>
      </x:c>
      <x:c r="B21" s="17" t="str">
        <x:v>East US</x:v>
      </x:c>
      <x:c r="C21" s="17" t="str">
        <x:v>Solicitudes producción</x:v>
      </x:c>
      <x:c r="D21" s="17" t="str">
        <x:v>Standard Requests; Consumption plan; East US</x:v>
      </x:c>
      <x:c r="E21" s="17" t="str">
        <x:v>millón de solicitudes</x:v>
      </x:c>
      <x:c r="F21" s="29" t="n">
        <x:v>0.4</x:v>
      </x:c>
      <x:c r="G21" s="11" t="str">
        <x:v>https://learn.microsoft.com/en-us/azure/container-apps/billing</x:v>
      </x:c>
      <x:c r="H21" s="30" t="n">
        <x:v>46281</x:v>
      </x:c>
      <x:c r="I21" s="11" t="str">
        <x:v>Precio público / regla oficial</x:v>
      </x:c>
      <x:c r="J21" s="31" t="str">
        <x:v>Primeros 2 millones por suscripción/mes sin cargo; consulta 2026-09-16</x:v>
      </x:c>
    </x:row>
    <x:row r="22">
      <x:c r="A22" s="16" t="str">
        <x:v>USA-04</x:v>
      </x:c>
      <x:c r="B22" s="17" t="str">
        <x:v>East US</x:v>
      </x:c>
      <x:c r="C22" s="17" t="str">
        <x:v>Base de datos gestionada</x:v>
      </x:c>
      <x:c r="D22" s="17" t="str">
        <x:v>General Purpose Dsv3; precio por vCore-hora; base 2 vCores</x:v>
      </x:c>
      <x:c r="E22" s="17" t="str">
        <x:v>vCore-hora</x:v>
      </x:c>
      <x:c r="F22" s="29" t="n">
        <x:v>0.0855</x:v>
      </x:c>
      <x:c r="G22" s="11" t="str">
        <x:v>https://learn.microsoft.com/en-us/azure/postgresql/compute-storage/concepts-compute</x:v>
      </x:c>
      <x:c r="H22" s="30" t="n">
        <x:v>46281</x:v>
      </x:c>
      <x:c r="I22" s="11" t="str">
        <x:v>Precio público / regla oficial</x:v>
      </x:c>
      <x:c r="J22" s="31" t="str">
        <x:v>SKU desplegable: 2 vCores; HA desactivada; consulta 2026-09-16</x:v>
      </x:c>
    </x:row>
    <x:row r="23">
      <x:c r="A23" s="16" t="str">
        <x:v>USA-05</x:v>
      </x:c>
      <x:c r="B23" s="17" t="str">
        <x:v>East US</x:v>
      </x:c>
      <x:c r="C23" s="17" t="str">
        <x:v>Almacenamiento base de datos</x:v>
      </x:c>
      <x:c r="D23" s="17" t="str">
        <x:v>Premium SSD v2 Storage Data Stored; East US</x:v>
      </x:c>
      <x:c r="E23" s="17" t="str">
        <x:v>GiB-mes</x:v>
      </x:c>
      <x:c r="F23" s="29" t="n">
        <x:v>0.115</x:v>
      </x:c>
      <x:c r="G23" s="11" t="str">
        <x:v>https://azure.microsoft.com/en-us/pricing/details/postgresql/flexible-server/</x:v>
      </x:c>
      <x:c r="H23" s="30" t="n">
        <x:v>46281</x:v>
      </x:c>
      <x:c r="I23" s="11" t="str">
        <x:v>Precio público / regla oficial</x:v>
      </x:c>
      <x:c r="J23" s="31" t="str">
        <x:v>Precio de lista; consulta 2026-09-16</x:v>
      </x:c>
    </x:row>
    <x:row r="24">
      <x:c r="A24" s="16" t="str">
        <x:v>USA-06</x:v>
      </x:c>
      <x:c r="B24" s="17" t="str">
        <x:v>East US</x:v>
      </x:c>
      <x:c r="C24" s="17" t="str">
        <x:v>Almacenamiento de objetos</x:v>
      </x:c>
      <x:c r="D24" s="17" t="str">
        <x:v>Block Blob v2 Hot LRS Data Stored; East US</x:v>
      </x:c>
      <x:c r="E24" s="17" t="str">
        <x:v>GB-mes</x:v>
      </x:c>
      <x:c r="F24" s="29" t="n">
        <x:v>0.0208</x:v>
      </x:c>
      <x:c r="G24" s="11" t="str">
        <x:v>https://azure.microsoft.com/en-us/pricing/details/storage/blobs/</x:v>
      </x:c>
      <x:c r="H24" s="30" t="n">
        <x:v>46281</x:v>
      </x:c>
      <x:c r="I24" s="11" t="str">
        <x:v>Precio público / regla oficial</x:v>
      </x:c>
      <x:c r="J24" s="31" t="str">
        <x:v>Primer tramo; operaciones excluidas; consulta 2026-09-16</x:v>
      </x:c>
    </x:row>
    <x:row r="25">
      <x:c r="A25" s="16" t="str">
        <x:v>USA-07</x:v>
      </x:c>
      <x:c r="B25" s="17" t="str">
        <x:v>East US</x:v>
      </x:c>
      <x:c r="C25" s="17" t="str">
        <x:v>Egreso a Internet</x:v>
      </x:c>
      <x:c r="D25" s="17" t="str">
        <x:v>Internet egress via Microsoft Premium Global Network; North America</x:v>
      </x:c>
      <x:c r="E25" s="17" t="str">
        <x:v>GB</x:v>
      </x:c>
      <x:c r="F25" s="29" t="n">
        <x:v>0.087</x:v>
      </x:c>
      <x:c r="G25" s="11" t="str">
        <x:v>https://azure.microsoft.com/en-us/pricing/details/bandwidth/</x:v>
      </x:c>
      <x:c r="H25" s="30" t="n">
        <x:v>46281</x:v>
      </x:c>
      <x:c r="I25" s="11" t="str">
        <x:v>Precio público / regla oficial</x:v>
      </x:c>
      <x:c r="J25" s="31" t="str">
        <x:v>Primeros 100 GB/mes sin cargo; consulta 2026-09-16</x:v>
      </x:c>
    </x:row>
    <x:row r="26">
      <x:c r="A26" s="16" t="str">
        <x:v>USA-08</x:v>
      </x:c>
      <x:c r="B26" s="17" t="str">
        <x:v>East US</x:v>
      </x:c>
      <x:c r="C26" s="17" t="str">
        <x:v>Logs y monitoreo</x:v>
      </x:c>
      <x:c r="D26" s="17" t="str">
        <x:v>Basic Logs Data Ingestion; East US</x:v>
      </x:c>
      <x:c r="E26" s="17" t="str">
        <x:v>GB</x:v>
      </x:c>
      <x:c r="F26" s="29" t="n">
        <x:v>0.5</x:v>
      </x:c>
      <x:c r="G26" s="11" t="str">
        <x:v>https://azure.microsoft.com/en-us/pricing/details/monitor/</x:v>
      </x:c>
      <x:c r="H26" s="30" t="n">
        <x:v>46281</x:v>
      </x:c>
      <x:c r="I26" s="11" t="str">
        <x:v>Precio público / regla oficial</x:v>
      </x:c>
      <x:c r="J26" s="31" t="str">
        <x:v>Consultas y retención adicional excluidas; consulta 2026-09-16</x:v>
      </x:c>
    </x:row>
    <x:row r="27">
      <x:c r="A27" s="16" t="str">
        <x:v>USA-09</x:v>
      </x:c>
      <x:c r="B27" s="17" t="str">
        <x:v>East US</x:v>
      </x:c>
      <x:c r="C27" s="17" t="str">
        <x:v>Backup automático excedente</x:v>
      </x:c>
      <x:c r="D27" s="17" t="str">
        <x:v>PostgreSQL automated backup storage overage</x:v>
      </x:c>
      <x:c r="E27" s="17" t="str">
        <x:v>GiB-mes</x:v>
      </x:c>
      <x:c r="F27" s="29" t="n">
        <x:v>0.095</x:v>
      </x:c>
      <x:c r="G27" s="11" t="str">
        <x:v>https://azure.microsoft.com/en-us/pricing/details/postgresql/flexible-server/</x:v>
      </x:c>
      <x:c r="H27" s="30" t="n">
        <x:v>46281</x:v>
      </x:c>
      <x:c r="I27" s="11" t="str">
        <x:v>Precio público / regla oficial</x:v>
      </x:c>
      <x:c r="J27" s="31" t="str">
        <x:v>0 GiB base: &lt;=100% del storage provisionado; consulta 2026-09-16</x:v>
      </x:c>
    </x:row>
    <x:row r="28">
      <x:c r="A28" s="16" t="str">
        <x:v>USA-10</x:v>
      </x:c>
      <x:c r="B28" s="17" t="str">
        <x:v>East US</x:v>
      </x:c>
      <x:c r="C28" s="17" t="str">
        <x:v>CPU activa no producción</x:v>
      </x:c>
      <x:c r="D28" s="17" t="str">
        <x:v>Standard vCPU Active Usage; Consumption plan; East US</x:v>
      </x:c>
      <x:c r="E28" s="17" t="str">
        <x:v>vCPU-hora</x:v>
      </x:c>
      <x:c r="F28" s="29" t="n">
        <x:v>0.0864</x:v>
      </x:c>
      <x:c r="G28" s="11" t="str">
        <x:v>https://learn.microsoft.com/en-us/azure/container-apps/billing</x:v>
      </x:c>
      <x:c r="H28" s="30" t="n">
        <x:v>46281</x:v>
      </x:c>
      <x:c r="I28" s="11" t="str">
        <x:v>Precio público / regla oficial</x:v>
      </x:c>
      <x:c r="J28" s="31" t="str">
        <x:v>Franquicia remanente tras producción; consulta 2026-09-16</x:v>
      </x:c>
    </x:row>
    <x:row r="29">
      <x:c r="A29" s="16" t="str">
        <x:v>USA-11</x:v>
      </x:c>
      <x:c r="B29" s="17" t="str">
        <x:v>East US</x:v>
      </x:c>
      <x:c r="C29" s="17" t="str">
        <x:v>Memoria activa no producción</x:v>
      </x:c>
      <x:c r="D29" s="17" t="str">
        <x:v>Standard Memory Active Usage; Consumption plan; East US</x:v>
      </x:c>
      <x:c r="E29" s="17" t="str">
        <x:v>GiB-hora</x:v>
      </x:c>
      <x:c r="F29" s="29" t="n">
        <x:v>0.0108</x:v>
      </x:c>
      <x:c r="G29" s="11" t="str">
        <x:v>https://learn.microsoft.com/en-us/azure/container-apps/billing</x:v>
      </x:c>
      <x:c r="H29" s="30" t="n">
        <x:v>46281</x:v>
      </x:c>
      <x:c r="I29" s="11" t="str">
        <x:v>Precio público / regla oficial</x:v>
      </x:c>
      <x:c r="J29" s="31" t="str">
        <x:v>Franquicia remanente tras producción; consulta 2026-09-16</x:v>
      </x:c>
    </x:row>
    <x:row r="30">
      <x:c r="A30" s="19" t="str">
        <x:v>USA-12</x:v>
      </x:c>
      <x:c r="B30" s="21" t="str">
        <x:v>East US</x:v>
      </x:c>
      <x:c r="C30" s="21" t="str">
        <x:v>Solicitudes no producción</x:v>
      </x:c>
      <x:c r="D30" s="21" t="str">
        <x:v>Standard Requests; Consumption plan; East US</x:v>
      </x:c>
      <x:c r="E30" s="21" t="str">
        <x:v>millón de solicitudes</x:v>
      </x:c>
      <x:c r="F30" s="32" t="n">
        <x:v>0.4</x:v>
      </x:c>
      <x:c r="G30" s="20" t="str">
        <x:v>https://learn.microsoft.com/en-us/azure/container-apps/billing</x:v>
      </x:c>
      <x:c r="H30" s="33" t="n">
        <x:v>46281</x:v>
      </x:c>
      <x:c r="I30" s="20" t="str">
        <x:v>Precio público / regla oficial</x:v>
      </x:c>
      <x:c r="J30" s="34" t="str">
        <x:v>Franquicia remanente tras producción; consulta 2026-09-16</x:v>
      </x:c>
    </x:row>
    <x:row r="31">
      <x:c r="A31" t="str">
        <x:v>SCL-13</x:v>
      </x:c>
      <x:c r="B31" t="str">
        <x:v>Chile Central</x:v>
      </x:c>
      <x:c r="C31" t="str">
        <x:v>Operaciones Blob</x:v>
      </x:c>
      <x:c r="D31" t="str">
        <x:v>Operaciones Blob</x:v>
      </x:c>
      <x:c r="E31" t="str">
        <x:v>operaciones/mes</x:v>
      </x:c>
      <x:c r="F31" t="n">
        <x:v>0</x:v>
      </x:c>
      <x:c r="G31" t="str">
        <x:v>https://azure.microsoft.com/en-us/pricing/details/storage/blobs/</x:v>
      </x:c>
      <x:c r="H31" s="86" t="n">
        <x:v>46281</x:v>
      </x:c>
      <x:c r="I31" t="str">
        <x:v>Exclusión explícita</x:v>
      </x:c>
      <x:c r="J31" t="str">
        <x:v>No aplica justificado: falta volumen de operaciones Blob</x:v>
      </x:c>
    </x:row>
    <x:row r="32">
      <x:c r="A32" t="str">
        <x:v>SCL-14</x:v>
      </x:c>
      <x:c r="B32" t="str">
        <x:v>Chile Central</x:v>
      </x:c>
      <x:c r="C32" t="str">
        <x:v>Consultas y retención Monitor</x:v>
      </x:c>
      <x:c r="D32" t="str">
        <x:v>Consultas y retención Monitor</x:v>
      </x:c>
      <x:c r="E32" t="str">
        <x:v>USD/mes</x:v>
      </x:c>
      <x:c r="F32" t="n">
        <x:v>0</x:v>
      </x:c>
      <x:c r="G32" t="str">
        <x:v>https://azure.microsoft.com/en-us/pricing/details/monitor/</x:v>
      </x:c>
      <x:c r="H32" s="86" t="n">
        <x:v>46281</x:v>
      </x:c>
      <x:c r="I32" t="str">
        <x:v>Exclusión explícita</x:v>
      </x:c>
      <x:c r="J32" t="str">
        <x:v>No aplica justificado: sin consultas ni retención adicional</x:v>
      </x:c>
    </x:row>
    <x:row r="33">
      <x:c r="A33" s="25" t="str">
        <x:v>SCL-15</x:v>
      </x:c>
      <x:c r="B33" s="25" t="str">
        <x:v>Chile Central</x:v>
      </x:c>
      <x:c r="C33" s="25" t="str">
        <x:v>Tráfico interzona</x:v>
      </x:c>
      <x:c r="D33" s="25" t="str">
        <x:v>Tráfico interzona</x:v>
      </x:c>
      <x:c r="E33" s="25" t="str">
        <x:v>GB</x:v>
      </x:c>
      <x:c r="F33" s="25" t="n">
        <x:v>0</x:v>
      </x:c>
      <x:c r="G33" s="25" t="str">
        <x:v>https://azure.microsoft.com/en-us/pricing/details/bandwidth/</x:v>
      </x:c>
      <x:c r="H33" s="87" t="n">
        <x:v>46281</x:v>
      </x:c>
      <x:c r="I33" s="25" t="str">
        <x:v>Exclusión explícita</x:v>
      </x:c>
      <x:c r="J33" s="25" t="str">
        <x:v>No aplica justificado: HA desactivada y sin tráfico interzona</x:v>
      </x:c>
    </x:row>
    <x:row r="34">
      <x:c r="A34" t="str">
        <x:v>SCL-16</x:v>
      </x:c>
      <x:c r="B34" t="str">
        <x:v>Chile Central</x:v>
      </x:c>
      <x:c r="C34" t="str">
        <x:v>Licencias de terceros</x:v>
      </x:c>
      <x:c r="D34" t="str">
        <x:v>Licencias de terceros</x:v>
      </x:c>
      <x:c r="E34" t="str">
        <x:v>USD/mes</x:v>
      </x:c>
      <x:c r="F34" t="n">
        <x:v>0</x:v>
      </x:c>
      <x:c r="G34" t="str">
        <x:v>https://azure.microsoft.com/en-us/pricing/details/postgresql/flexible-server/</x:v>
      </x:c>
      <x:c r="H34" s="86" t="n">
        <x:v>46281</x:v>
      </x:c>
      <x:c r="I34" t="str">
        <x:v>Exclusión explícita</x:v>
      </x:c>
      <x:c r="J34" t="str">
        <x:v>No aplica justificado: sin licencias de terceros</x:v>
      </x:c>
    </x:row>
    <x:row r="35">
      <x:c r="A35" t="str">
        <x:v>SCL-17</x:v>
      </x:c>
      <x:c r="B35" t="str">
        <x:v>Chile Central</x:v>
      </x:c>
      <x:c r="C35" t="str">
        <x:v>Soporte Azure</x:v>
      </x:c>
      <x:c r="D35" t="str">
        <x:v>Soporte Azure</x:v>
      </x:c>
      <x:c r="E35" t="str">
        <x:v>USD/mes</x:v>
      </x:c>
      <x:c r="F35" t="n">
        <x:v>0</x:v>
      </x:c>
      <x:c r="G35" t="str">
        <x:v>https://azure.microsoft.com/en-us/support/plans/</x:v>
      </x:c>
      <x:c r="H35" s="86" t="n">
        <x:v>46281</x:v>
      </x:c>
      <x:c r="I35" t="str">
        <x:v>Exclusión explícita</x:v>
      </x:c>
      <x:c r="J35" t="str">
        <x:v>No aplica justificado: Azure Basic Support</x:v>
      </x:c>
    </x:row>
    <x:row r="36">
      <x:c r="A36" t="str">
        <x:v>SCL-18</x:v>
      </x:c>
      <x:c r="B36" t="str">
        <x:v>Chile Central</x:v>
      </x:c>
      <x:c r="C36" t="str">
        <x:v>Esfuerzo operativo</x:v>
      </x:c>
      <x:c r="D36" t="str">
        <x:v>Esfuerzo operativo</x:v>
      </x:c>
      <x:c r="E36" t="str">
        <x:v>USD/mes</x:v>
      </x:c>
      <x:c r="F36"/>
      <x:c r="G36" t="str">
        <x:v>docs/fp-182/arquitectura-y-supuestos-borrador.md</x:v>
      </x:c>
      <x:c r="H36" s="86" t="n">
        <x:v>46281</x:v>
      </x:c>
      <x:c r="I36" t="str">
        <x:v>Entrada humana</x:v>
      </x:c>
      <x:c r="J36" t="str">
        <x:v>Pendiente: horas y tarifa operativa</x:v>
      </x:c>
    </x:row>
    <x:row r="37">
      <x:c r="A37" t="str">
        <x:v>USA-13</x:v>
      </x:c>
      <x:c r="B37" t="str">
        <x:v>East US</x:v>
      </x:c>
      <x:c r="C37" t="str">
        <x:v>Operaciones Blob</x:v>
      </x:c>
      <x:c r="D37" t="str">
        <x:v>Operaciones Blob</x:v>
      </x:c>
      <x:c r="E37" t="str">
        <x:v>operaciones/mes</x:v>
      </x:c>
      <x:c r="F37" t="n">
        <x:v>0</x:v>
      </x:c>
      <x:c r="G37" t="str">
        <x:v>https://azure.microsoft.com/en-us/pricing/details/storage/blobs/</x:v>
      </x:c>
      <x:c r="H37" s="86" t="n">
        <x:v>46281</x:v>
      </x:c>
      <x:c r="I37" t="str">
        <x:v>Exclusión explícita</x:v>
      </x:c>
      <x:c r="J37" t="str">
        <x:v>No aplica justificado: falta volumen de operaciones Blob</x:v>
      </x:c>
    </x:row>
    <x:row r="38">
      <x:c r="A38" t="str">
        <x:v>USA-14</x:v>
      </x:c>
      <x:c r="B38" t="str">
        <x:v>East US</x:v>
      </x:c>
      <x:c r="C38" t="str">
        <x:v>Consultas y retención Monitor</x:v>
      </x:c>
      <x:c r="D38" t="str">
        <x:v>Consultas y retención Monitor</x:v>
      </x:c>
      <x:c r="E38" t="str">
        <x:v>USD/mes</x:v>
      </x:c>
      <x:c r="F38" t="n">
        <x:v>0</x:v>
      </x:c>
      <x:c r="G38" t="str">
        <x:v>https://azure.microsoft.com/en-us/pricing/details/monitor/</x:v>
      </x:c>
      <x:c r="H38" s="86" t="n">
        <x:v>46281</x:v>
      </x:c>
      <x:c r="I38" t="str">
        <x:v>Exclusión explícita</x:v>
      </x:c>
      <x:c r="J38" t="str">
        <x:v>No aplica justificado: sin consultas ni retención adicional</x:v>
      </x:c>
    </x:row>
    <x:row r="39">
      <x:c r="A39" t="str">
        <x:v>USA-15</x:v>
      </x:c>
      <x:c r="B39" t="str">
        <x:v>East US</x:v>
      </x:c>
      <x:c r="C39" t="str">
        <x:v>Tráfico interzona</x:v>
      </x:c>
      <x:c r="D39" t="str">
        <x:v>Tráfico interzona</x:v>
      </x:c>
      <x:c r="E39" t="str">
        <x:v>GB</x:v>
      </x:c>
      <x:c r="F39" t="n">
        <x:v>0</x:v>
      </x:c>
      <x:c r="G39" t="str">
        <x:v>https://azure.microsoft.com/en-us/pricing/details/bandwidth/</x:v>
      </x:c>
      <x:c r="H39" s="86" t="n">
        <x:v>46281</x:v>
      </x:c>
      <x:c r="I39" t="str">
        <x:v>Exclusión explícita</x:v>
      </x:c>
      <x:c r="J39" t="str">
        <x:v>No aplica justificado: HA desactivada y sin tráfico interzona</x:v>
      </x:c>
    </x:row>
    <x:row r="40">
      <x:c r="A40" t="str">
        <x:v>USA-16</x:v>
      </x:c>
      <x:c r="B40" t="str">
        <x:v>East US</x:v>
      </x:c>
      <x:c r="C40" t="str">
        <x:v>Licencias de terceros</x:v>
      </x:c>
      <x:c r="D40" t="str">
        <x:v>Licencias de terceros</x:v>
      </x:c>
      <x:c r="E40" t="str">
        <x:v>USD/mes</x:v>
      </x:c>
      <x:c r="F40" t="n">
        <x:v>0</x:v>
      </x:c>
      <x:c r="G40" t="str">
        <x:v>https://azure.microsoft.com/en-us/pricing/details/postgresql/flexible-server/</x:v>
      </x:c>
      <x:c r="H40" s="86" t="n">
        <x:v>46281</x:v>
      </x:c>
      <x:c r="I40" t="str">
        <x:v>Exclusión explícita</x:v>
      </x:c>
      <x:c r="J40" t="str">
        <x:v>No aplica justificado: sin licencias de terceros</x:v>
      </x:c>
    </x:row>
    <x:row r="41">
      <x:c r="A41" t="str">
        <x:v>USA-17</x:v>
      </x:c>
      <x:c r="B41" t="str">
        <x:v>East US</x:v>
      </x:c>
      <x:c r="C41" t="str">
        <x:v>Soporte Azure</x:v>
      </x:c>
      <x:c r="D41" t="str">
        <x:v>Soporte Azure</x:v>
      </x:c>
      <x:c r="E41" t="str">
        <x:v>USD/mes</x:v>
      </x:c>
      <x:c r="F41" t="n">
        <x:v>0</x:v>
      </x:c>
      <x:c r="G41" t="str">
        <x:v>https://azure.microsoft.com/en-us/support/plans/</x:v>
      </x:c>
      <x:c r="H41" s="86" t="n">
        <x:v>46281</x:v>
      </x:c>
      <x:c r="I41" t="str">
        <x:v>Exclusión explícita</x:v>
      </x:c>
      <x:c r="J41" t="str">
        <x:v>No aplica justificado: Azure Basic Support</x:v>
      </x:c>
    </x:row>
    <x:row r="42">
      <x:c r="A42" t="str">
        <x:v>USA-18</x:v>
      </x:c>
      <x:c r="B42" t="str">
        <x:v>East US</x:v>
      </x:c>
      <x:c r="C42" t="str">
        <x:v>Esfuerzo operativo</x:v>
      </x:c>
      <x:c r="D42" t="str">
        <x:v>Esfuerzo operativo</x:v>
      </x:c>
      <x:c r="E42" t="str">
        <x:v>USD/mes</x:v>
      </x:c>
      <x:c r="F42"/>
      <x:c r="G42" t="str">
        <x:v>docs/fp-182/arquitectura-y-supuestos-borrador.md</x:v>
      </x:c>
      <x:c r="H42" s="86" t="n">
        <x:v>46281</x:v>
      </x:c>
      <x:c r="I42" t="str">
        <x:v>Entrada humana</x:v>
      </x:c>
      <x:c r="J42" t="str">
        <x:v>Pendiente: horas y tarifa operativa</x:v>
      </x:c>
    </x:row>
    <x:row r="43">
      <x:c r="H43" s="86"/>
    </x:row>
    <x:row r="44">
      <x:c r="H44" s="86"/>
    </x:row>
    <x:row r="45">
      <x:c r="A45" t="str">
        <x:v>Fuente de hipótesis</x:v>
      </x:c>
      <x:c r="B45"/>
      <x:c r="C45"/>
      <x:c r="D45" t="str">
        <x:v>docs/fp-182/arquitectura-y-supuestos-borrador.md</x:v>
      </x:c>
      <x:c r="E45"/>
      <x:c r="F45"/>
      <x:c r="G45"/>
      <x:c r="H45" s="86" t="n">
        <x:v>46281</x:v>
      </x:c>
      <x:c r="I45" t="str">
        <x:v>Escenario ilustrativo TI-06</x:v>
      </x:c>
      <x:c r="J45"/>
    </x:row>
  </x:sheetData>
  <x:conditionalFormatting sqref="J7:J30">
    <x:cfRule type="containsText" dxfId="0" priority="1" operator="containsText" text="Pendi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7F7F"/>
  </x:sheetPr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16" hidden="0" customWidth="1"/>
    <x:col min="4" max="4" width="46" hidden="0" customWidth="1"/>
  </x:cols>
  <x:sheetData>
    <x:row r="2">
      <x:c r="A2" s="1" t="str">
        <x:v>FP-183 — Auditoría y controles</x:v>
      </x:c>
    </x:row>
    <x:row r="3">
      <x:c r="A3" s="2" t="str">
        <x:v>Controles terminales. No alimentan cálculos ni supuestos del modelo.</x:v>
      </x:c>
    </x:row>
    <x:row r="4">
      <x:c r="A4" s="3"/>
      <x:c r="B4" s="3"/>
      <x:c r="C4" s="3"/>
      <x:c r="D4" s="3"/>
    </x:row>
    <x:row r="6">
      <x:c r="A6" s="8" t="str">
        <x:v>Control</x:v>
      </x:c>
      <x:c r="B6" s="8" t="str">
        <x:v>Resultado</x:v>
      </x:c>
      <x:c r="C6" s="8" t="str">
        <x:v>Estado</x:v>
      </x:c>
      <x:c r="D6" s="8" t="str">
        <x:v>Acción requerida</x:v>
      </x:c>
    </x:row>
    <x:row r="7">
      <x:c r="A7" s="56" t="str">
        <x:v>Categorías modeladas</x:v>
      </x:c>
      <x:c r="B7" s="57" t="n">
        <x:v>36</x:v>
      </x:c>
      <x:c r="C7" s="57" t="str">
        <x:v>Completo</x:v>
      </x:c>
      <x:c r="D7" s="58" t="str">
        <x:v>18 por región; 12 facturables + 6 TCO/exclusiones</x:v>
      </x:c>
    </x:row>
    <x:row r="8">
      <x:c r="A8" s="16" t="str">
        <x:v>Categorías pendientes</x:v>
      </x:c>
      <x:c r="B8" s="17" t="n">
        <x:v>2</x:v>
      </x:c>
      <x:c r="C8" s="17" t="str">
        <x:v>Pendiente</x:v>
      </x:c>
      <x:c r="D8" s="18" t="str">
        <x:v>Esfuerzo operativo: horas y tarifa, una fila por región</x:v>
      </x:c>
    </x:row>
    <x:row r="9">
      <x:c r="A9" s="16" t="str">
        <x:v>Franquicias Container Apps</x:v>
      </x:c>
      <x:c r="B9" s="17" t="n">
        <x:v>3</x:v>
      </x:c>
      <x:c r="C9" s="17" t="str">
        <x:v>Completo</x:v>
      </x:c>
      <x:c r="D9" s="18" t="str">
        <x:v>CPU, memoria y solicitudes aplicadas por suscripción/mes</x:v>
      </x:c>
    </x:row>
    <x:row r="10">
      <x:c r="A10" s="16" t="str">
        <x:v>Egreso Internet</x:v>
      </x:c>
      <x:c r="B10" s="17" t="n">
        <x:v>100</x:v>
      </x:c>
      <x:c r="C10" s="17" t="str">
        <x:v>Completo</x:v>
      </x:c>
      <x:c r="D10" s="18" t="str">
        <x:v>Se descuenta franquicia de 100 GB y se usa tarifa continental</x:v>
      </x:c>
    </x:row>
    <x:row r="11">
      <x:c r="A11" s="16" t="str">
        <x:v>Horizonte</x:v>
      </x:c>
      <x:c r="B11" s="17" t="n">
        <x:f>'Supuestos'!B7</x:f>
        <x:v>60</x:v>
      </x:c>
      <x:c r="C11" s="17" t="str">
        <x:v>Completo</x:v>
      </x:c>
      <x:c r="D11" s="18" t="str">
        <x:v>Mantener 60 meses</x:v>
      </x:c>
    </x:row>
    <x:row r="12">
      <x:c r="A12" s="16" t="str">
        <x:v>Regiones declaradas</x:v>
      </x:c>
      <x:c r="B12" s="17" t="n">
        <x:f>COUNTA('Supuestos'!B9:B10)</x:f>
        <x:v>2</x:v>
      </x:c>
      <x:c r="C12" s="17" t="str">
        <x:v>Completo</x:v>
      </x:c>
      <x:c r="D12" s="18" t="str">
        <x:v>Chile Central y East US</x:v>
      </x:c>
    </x:row>
    <x:row r="13">
      <x:c r="A13" s="16" t="str">
        <x:v>Supuestos aprobados</x:v>
      </x:c>
      <x:c r="B13" s="17" t="str">
        <x:f>'Supuestos'!B33</x:f>
        <x:v>Pendiente de validación humana</x:v>
      </x:c>
      <x:c r="C13" s="17" t="str">
        <x:v>Pendiente</x:v>
      </x:c>
      <x:c r="D13" s="18" t="str">
        <x:v>Aprobación humana obligatoria</x:v>
      </x:c>
    </x:row>
    <x:row r="14">
      <x:c r="A14" s="19" t="str">
        <x:v>Errores de fórmula revisados</x:v>
      </x:c>
      <x:c r="B14" s="21" t="str">
        <x:v>Automático + conciliación independiente</x:v>
      </x:c>
      <x:c r="C14" s="21" t="str">
        <x:v>Completo</x:v>
      </x:c>
      <x:c r="D14" s="22" t="str">
        <x:v>Repetir al cambiar supuestos</x:v>
      </x:c>
    </x:row>
    <x:row r="17">
      <x:c r="A17" s="25" t="str">
        <x:v>Declaración</x:v>
      </x:c>
      <x:c r="B17" s="26" t="str">
        <x:v>Borrador generado con asistencia de IA, nivel 3. La validación de supuestos, precios, fuentes y conclusiones corresponde al equipo humano.</x:v>
      </x:c>
      <x:c r="C17" s="26" t="str"/>
      <x:c r="D17" s="26" t="str"/>
    </x:row>
  </x:sheetData>
  <x:conditionalFormatting sqref="C7:C14">
    <x:cfRule type="containsText" dxfId="2" priority="1" operator="containsText" text="Pendiente"/>
  </x:conditionalFormatting>
  <x:pageMargins left="0.7" right="0.7" top="0.75" bottom="0.75" header="0.3" footer="0.3"/>
</x:worksheet>
</file>